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80EAF0A7-657C-4928-A5DE-E5EAC4C49166}" xr6:coauthVersionLast="47" xr6:coauthVersionMax="47" xr10:uidLastSave="{00000000-0000-0000-0000-000000000000}"/>
  <bookViews>
    <workbookView xWindow="-110" yWindow="-110" windowWidth="19420" windowHeight="10300" firstSheet="1" activeTab="1" xr2:uid="{C5800B01-F9F8-4B72-8792-1FFFE5EAE2DF}"/>
  </bookViews>
  <sheets>
    <sheet name="Main DATA" sheetId="1" r:id="rId1"/>
    <sheet name="REPORT" sheetId="3" r:id="rId2"/>
    <sheet name="ANALYSIS AND SUGGESTION" sheetId="16" r:id="rId3"/>
    <sheet name="sales vs category" sheetId="6" r:id="rId4"/>
    <sheet name="Sales vs states" sheetId="7" r:id="rId5"/>
    <sheet name="Sales in regions" sheetId="9" r:id="rId6"/>
    <sheet name="sales vs subcategory" sheetId="10" r:id="rId7"/>
    <sheet name="SEGMENT SALES" sheetId="12" r:id="rId8"/>
    <sheet name="EACH YEAR SALES" sheetId="13" r:id="rId9"/>
    <sheet name="TOP 10 PRODUCTS" sheetId="14" r:id="rId10"/>
  </sheets>
  <definedNames>
    <definedName name="Slicer_Category">#N/A</definedName>
    <definedName name="Slicer_Region">#N/A</definedName>
    <definedName name="Slicer_Segment">#N/A</definedName>
    <definedName name="Slicer_Years__Ship_D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S2502" i="1"/>
</calcChain>
</file>

<file path=xl/sharedStrings.xml><?xml version="1.0" encoding="utf-8"?>
<sst xmlns="http://schemas.openxmlformats.org/spreadsheetml/2006/main" count="32572" uniqueCount="5596">
  <si>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</si>
  <si>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</si>
  <si>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</si>
  <si>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</si>
  <si>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</si>
  <si>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</si>
  <si>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</si>
  <si>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</si>
  <si>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</si>
  <si>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</si>
  <si>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</si>
  <si>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</si>
  <si>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</si>
  <si>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</si>
  <si>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</si>
  <si>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</si>
  <si>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</si>
  <si>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</si>
  <si>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</si>
  <si>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</si>
  <si>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</si>
  <si>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</si>
  <si>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</si>
  <si>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</si>
  <si>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</si>
  <si>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</si>
  <si>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</si>
  <si>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</si>
  <si>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</si>
  <si>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</si>
  <si>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</si>
  <si>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</si>
  <si>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</si>
  <si>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</si>
  <si>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</si>
  <si>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</si>
  <si>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</si>
  <si>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</si>
  <si>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</si>
  <si>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</si>
  <si>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</si>
  <si>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</si>
  <si>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</si>
  <si>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</si>
  <si>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</si>
  <si>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</si>
  <si>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</si>
  <si>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</si>
  <si>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</si>
  <si>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</si>
  <si>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</si>
  <si>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</si>
  <si>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</si>
  <si>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</si>
  <si>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</si>
  <si>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</si>
  <si>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</si>
  <si>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</si>
  <si>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</si>
  <si>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</si>
  <si>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</si>
  <si>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</si>
  <si>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</si>
  <si>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</si>
  <si>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</si>
  <si>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</si>
  <si>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</si>
  <si>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</si>
  <si>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</si>
  <si>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</si>
  <si>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</si>
  <si>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</si>
  <si>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</si>
  <si>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</si>
  <si>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</si>
  <si>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</si>
  <si>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</si>
  <si>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</si>
  <si>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</si>
  <si>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</si>
  <si>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</si>
  <si>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</si>
  <si>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</si>
  <si>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</si>
  <si>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</si>
  <si>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</si>
  <si>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</si>
  <si>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</si>
  <si>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</si>
  <si>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</si>
  <si>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</si>
  <si>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</si>
  <si>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</si>
  <si>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</si>
  <si>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</si>
  <si>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</si>
  <si>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</si>
  <si>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</si>
  <si>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</si>
  <si>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</si>
  <si>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</si>
  <si>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</si>
  <si>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</si>
  <si>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</si>
  <si>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</si>
  <si>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</si>
  <si>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</si>
  <si>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</si>
  <si>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</si>
  <si>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</si>
  <si>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</si>
  <si>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</si>
  <si>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</si>
  <si>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</si>
  <si>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</si>
  <si>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</si>
  <si>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</si>
  <si>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</si>
  <si>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</si>
  <si>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</si>
  <si>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</si>
  <si>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</si>
  <si>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</si>
  <si>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</si>
  <si>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</si>
  <si>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</si>
  <si>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</si>
  <si>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</si>
  <si>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</si>
  <si>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</si>
  <si>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</si>
  <si>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</si>
  <si>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</si>
  <si>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</si>
  <si>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</si>
  <si>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</si>
  <si>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</si>
  <si>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</si>
  <si>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</si>
  <si>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</si>
  <si>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</si>
  <si>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</si>
  <si>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</si>
  <si>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</si>
  <si>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</si>
  <si>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</si>
  <si>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</si>
  <si>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</si>
  <si>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</si>
  <si>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</si>
  <si>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</si>
  <si>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</si>
  <si>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</si>
  <si>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</si>
  <si>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</si>
  <si>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</si>
  <si>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</si>
  <si>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</si>
  <si>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</si>
  <si>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</si>
  <si>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</si>
  <si>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</si>
  <si>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</si>
  <si>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</si>
  <si>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</si>
  <si>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</si>
  <si>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</si>
  <si>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</si>
  <si>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</si>
  <si>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</si>
  <si>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</si>
  <si>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</si>
  <si>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</si>
  <si>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</si>
  <si>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</si>
  <si>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</si>
  <si>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</si>
  <si>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</si>
  <si>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</si>
  <si>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</si>
  <si>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</si>
  <si>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</si>
  <si>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</si>
  <si>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</si>
  <si>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</si>
  <si>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</si>
  <si>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</si>
  <si>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</si>
  <si>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</si>
  <si>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</si>
  <si>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</si>
  <si>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</si>
  <si>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</si>
  <si>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</si>
  <si>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</si>
  <si>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</si>
  <si>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</si>
  <si>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</si>
  <si>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</si>
  <si>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</si>
  <si>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</si>
  <si>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</si>
  <si>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</si>
  <si>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</si>
  <si>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</si>
  <si>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</si>
  <si>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</si>
  <si>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</si>
  <si>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</si>
  <si>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</si>
  <si>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</si>
  <si>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</si>
  <si>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</si>
  <si>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</si>
  <si>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</si>
  <si>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</si>
  <si>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</si>
  <si>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</si>
  <si>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</si>
  <si>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</si>
  <si>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</si>
  <si>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</si>
  <si>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</si>
  <si>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</si>
  <si>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</si>
  <si>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</si>
  <si>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</si>
  <si>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</si>
  <si>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</si>
  <si>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</si>
  <si>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</si>
  <si>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</si>
  <si>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</si>
  <si>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</si>
  <si>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</si>
  <si>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</si>
  <si>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</si>
  <si>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</si>
  <si>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</si>
  <si>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</si>
  <si>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</si>
  <si>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</si>
  <si>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</si>
  <si>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</si>
  <si>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</si>
  <si>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</si>
  <si>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</si>
  <si>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</si>
  <si>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</si>
  <si>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</si>
  <si>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</si>
  <si>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</si>
  <si>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</si>
  <si>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</si>
  <si>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</si>
  <si>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</si>
  <si>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</si>
  <si>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</si>
  <si>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</si>
  <si>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</si>
  <si>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</si>
  <si>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</si>
  <si>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</si>
  <si>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</si>
  <si>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</si>
  <si>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</si>
  <si>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</si>
  <si>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</si>
  <si>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</si>
  <si>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</si>
  <si>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</si>
  <si>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</si>
  <si>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</si>
  <si>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</si>
  <si>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</si>
  <si>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</si>
  <si>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</si>
  <si>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</si>
  <si>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</si>
  <si>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</si>
  <si>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</si>
  <si>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</si>
  <si>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</si>
  <si>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</si>
  <si>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</si>
  <si>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</si>
  <si>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</si>
  <si>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</si>
  <si>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</si>
  <si>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</si>
  <si>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</si>
  <si>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</si>
  <si>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</si>
  <si>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</si>
  <si>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</si>
  <si>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</si>
  <si>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</si>
  <si>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</si>
  <si>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</si>
  <si>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</si>
  <si>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</si>
  <si>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</si>
  <si>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</si>
  <si>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</si>
  <si>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</si>
  <si>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</si>
  <si>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</si>
  <si>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</si>
  <si>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</si>
  <si>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</si>
  <si>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</si>
  <si>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</si>
  <si>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</si>
  <si>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</si>
  <si>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</si>
  <si>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</si>
  <si>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</si>
  <si>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</si>
  <si>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</si>
  <si>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</si>
  <si>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</si>
  <si>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</si>
  <si>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</si>
  <si>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</si>
  <si>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</si>
  <si>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</si>
  <si>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</si>
  <si>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</si>
  <si>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</si>
  <si>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</si>
  <si>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</si>
  <si>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</si>
  <si>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</si>
  <si>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</si>
  <si>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</si>
  <si>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</si>
  <si>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</si>
  <si>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</si>
  <si>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</si>
  <si>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</si>
  <si>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</si>
  <si>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</si>
  <si>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</si>
  <si>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</si>
  <si>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</si>
  <si>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</si>
  <si>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</si>
  <si>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</si>
  <si>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</si>
  <si>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</si>
  <si>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</si>
  <si>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</si>
  <si>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</si>
  <si>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</si>
  <si>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</si>
  <si>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</si>
  <si>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</si>
  <si>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</si>
  <si>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</si>
  <si>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</si>
  <si>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</si>
  <si>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</si>
  <si>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</si>
  <si>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</si>
  <si>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</si>
  <si>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</si>
  <si>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</si>
  <si>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</si>
  <si>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</si>
  <si>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</si>
  <si>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</si>
  <si>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</si>
  <si>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</si>
  <si>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</si>
  <si>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</si>
  <si>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</si>
  <si>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</si>
  <si>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</si>
  <si>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</si>
  <si>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</si>
  <si>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</si>
  <si>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</si>
  <si>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</si>
  <si>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</si>
  <si>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</si>
  <si>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</si>
  <si>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</si>
  <si>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</si>
  <si>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</si>
  <si>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</si>
  <si>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</si>
  <si>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</si>
  <si>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</si>
  <si>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</si>
  <si>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</si>
  <si>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</si>
  <si>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</si>
  <si>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</si>
  <si>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</si>
  <si>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</si>
  <si>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</si>
  <si>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</si>
  <si>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</si>
  <si>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</si>
  <si>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</si>
  <si>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</si>
  <si>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</si>
  <si>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</si>
  <si>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</si>
  <si>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</si>
  <si>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</si>
  <si>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</si>
  <si>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</si>
  <si>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PN-18775</t>
  </si>
  <si>
    <t>Parhena Norris</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</si>
  <si>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</si>
  <si>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</si>
  <si>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</si>
  <si>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</si>
  <si>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</si>
  <si>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</si>
  <si>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</si>
  <si>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</si>
  <si>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</si>
  <si>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</si>
  <si>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</si>
  <si>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</si>
  <si>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</si>
  <si>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</si>
  <si>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</si>
  <si>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</si>
  <si>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</si>
  <si>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</si>
  <si>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</si>
  <si>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</si>
  <si>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</si>
  <si>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</si>
  <si>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</si>
  <si>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</si>
  <si>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</si>
  <si>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</si>
  <si>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</si>
  <si>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</si>
  <si>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</si>
  <si>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</si>
  <si>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</si>
  <si>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</si>
  <si>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</si>
  <si>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</si>
  <si>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</si>
  <si>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</si>
  <si>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</si>
  <si>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</si>
  <si>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</si>
  <si>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</si>
  <si>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</si>
  <si>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</si>
  <si>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</si>
  <si>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</si>
  <si>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</si>
  <si>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</si>
  <si>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</si>
  <si>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</si>
  <si>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</si>
  <si>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</si>
  <si>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</si>
  <si>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</si>
  <si>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</si>
  <si>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</si>
  <si>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</si>
  <si>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</si>
  <si>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</si>
  <si>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</si>
  <si>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</si>
  <si>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</si>
  <si>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</si>
  <si>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</si>
  <si>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</si>
  <si>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</si>
  <si>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</si>
  <si>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</si>
  <si>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</si>
  <si>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</si>
  <si>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</si>
  <si>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</si>
  <si>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</si>
  <si>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</si>
  <si>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</si>
  <si>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</si>
  <si>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</si>
  <si>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</si>
  <si>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</si>
  <si>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</si>
  <si>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</si>
  <si>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</si>
  <si>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</si>
  <si>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</si>
  <si>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</si>
  <si>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</si>
  <si>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</si>
  <si>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</si>
  <si>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</si>
  <si>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</si>
  <si>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</si>
  <si>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</si>
  <si>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</si>
  <si>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</si>
  <si>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</si>
  <si>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</si>
  <si>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</si>
  <si>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</si>
  <si>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</si>
  <si>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</si>
  <si>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</si>
  <si>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</si>
  <si>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</si>
  <si>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</si>
  <si>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</si>
  <si>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</si>
  <si>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</si>
  <si>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</si>
  <si>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</si>
  <si>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</si>
  <si>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</si>
  <si>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</si>
  <si>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</si>
  <si>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</si>
  <si>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</si>
  <si>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</si>
  <si>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</si>
  <si>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</si>
  <si>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</si>
  <si>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</si>
  <si>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</si>
  <si>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</si>
  <si>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</si>
  <si>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</si>
  <si>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</si>
  <si>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</si>
  <si>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</si>
  <si>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</si>
  <si>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</si>
  <si>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</si>
  <si>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</si>
  <si>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</si>
  <si>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</si>
  <si>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</si>
  <si>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</si>
  <si>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</si>
  <si>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</si>
  <si>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</si>
  <si>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</si>
  <si>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</si>
  <si>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</si>
  <si>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</si>
  <si>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</si>
  <si>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</si>
  <si>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</si>
  <si>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</si>
  <si>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</si>
  <si>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</si>
  <si>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</si>
  <si>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</si>
  <si>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</si>
  <si>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</si>
  <si>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</si>
  <si>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</si>
  <si>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</si>
  <si>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</si>
  <si>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</si>
  <si>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</si>
  <si>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</si>
  <si>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</si>
  <si>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</si>
  <si>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</si>
  <si>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</si>
  <si>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</si>
  <si>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</si>
  <si>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</si>
  <si>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</si>
  <si>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</si>
  <si>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</si>
  <si>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</si>
  <si>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</si>
  <si>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</si>
  <si>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</si>
  <si>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</si>
  <si>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</si>
  <si>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</si>
  <si>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</si>
  <si>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</si>
  <si>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</si>
  <si>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</si>
  <si>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</si>
  <si>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</si>
  <si>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</si>
  <si>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</si>
  <si>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</si>
  <si>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</si>
  <si>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</si>
  <si>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</si>
  <si>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</si>
  <si>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</si>
  <si>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</si>
  <si>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</si>
  <si>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</si>
  <si>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</si>
  <si>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</si>
  <si>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</si>
  <si>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</si>
  <si>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</si>
  <si>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</si>
  <si>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</si>
  <si>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</si>
  <si>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</si>
  <si>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</si>
  <si>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</si>
  <si>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</si>
  <si>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</si>
  <si>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</si>
  <si>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</si>
  <si>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</si>
  <si>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</si>
  <si>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</si>
  <si>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</si>
  <si>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</si>
  <si>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</si>
  <si>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</si>
  <si>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</si>
  <si>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</si>
  <si>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</si>
  <si>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</si>
  <si>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</si>
  <si>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</si>
  <si>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</si>
  <si>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</si>
  <si>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</si>
  <si>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</si>
  <si>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</si>
  <si>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</si>
  <si>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</si>
  <si>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</si>
  <si>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</si>
  <si>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</si>
  <si>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</si>
  <si>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</si>
  <si>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</si>
  <si>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</si>
  <si>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</si>
  <si>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</si>
  <si>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</si>
  <si>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</si>
  <si>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</si>
  <si>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</si>
  <si>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</si>
  <si>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</si>
  <si>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</si>
  <si>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</si>
  <si>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</si>
  <si>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</si>
  <si>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</si>
  <si>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</si>
  <si>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</si>
  <si>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</si>
  <si>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</si>
  <si>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</si>
  <si>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</si>
  <si>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</si>
  <si>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</si>
  <si>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</si>
  <si>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</si>
  <si>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</si>
  <si>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</si>
  <si>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</si>
  <si>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</si>
  <si>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</si>
  <si>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</si>
  <si>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</si>
  <si>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</si>
  <si>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</si>
  <si>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</si>
  <si>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</si>
  <si>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</si>
  <si>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</si>
  <si>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</si>
  <si>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</si>
  <si>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</si>
  <si>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</si>
  <si>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</si>
  <si>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</si>
  <si>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</si>
  <si>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</si>
  <si>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</si>
  <si>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</si>
  <si>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</si>
  <si>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</si>
  <si>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</si>
  <si>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</si>
  <si>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</si>
  <si>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</si>
  <si>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</si>
  <si>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</si>
  <si>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</si>
  <si>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</si>
  <si>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</si>
  <si>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</si>
  <si>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</si>
  <si>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</si>
  <si>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</si>
  <si>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</si>
  <si>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</si>
  <si>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</si>
  <si>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</si>
  <si>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</si>
  <si>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</si>
  <si>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</si>
  <si>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</si>
  <si>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</si>
  <si>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</si>
  <si>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</si>
  <si>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</si>
  <si>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</si>
  <si>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</si>
  <si>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</si>
  <si>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</si>
  <si>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</si>
  <si>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</si>
  <si>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</si>
  <si>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</si>
  <si>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</si>
  <si>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</si>
  <si>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</si>
  <si>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</si>
  <si>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</si>
  <si>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</si>
  <si>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</si>
  <si>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</si>
  <si>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</si>
  <si>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</si>
  <si>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</si>
  <si>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</si>
  <si>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</si>
  <si>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</si>
  <si>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</si>
  <si>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</si>
  <si>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</si>
  <si>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</si>
  <si>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</si>
  <si>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</si>
  <si>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</si>
  <si>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</si>
  <si>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</si>
  <si>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</si>
  <si>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</si>
  <si>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</si>
  <si>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</si>
  <si>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</si>
  <si>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</si>
  <si>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</si>
  <si>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</si>
  <si>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</si>
  <si>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</si>
  <si>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</si>
  <si>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</si>
  <si>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</si>
  <si>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</si>
  <si>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</si>
  <si>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</si>
  <si>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</si>
  <si>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</si>
  <si>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</si>
  <si>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</si>
  <si>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</si>
  <si>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</si>
  <si>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</si>
  <si>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</si>
  <si>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</si>
  <si>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</si>
  <si>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</si>
  <si>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</si>
  <si>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</si>
  <si>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</si>
  <si>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</si>
  <si>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</si>
  <si>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</si>
  <si>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</si>
  <si>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</si>
  <si>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</si>
  <si>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</si>
  <si>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</si>
  <si>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</si>
  <si>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</si>
  <si>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</si>
  <si>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</si>
  <si>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</si>
  <si>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</si>
  <si>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</si>
  <si>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</si>
  <si>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</si>
  <si>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</si>
  <si>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</si>
  <si>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</si>
  <si>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</si>
  <si>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</si>
  <si>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</si>
  <si>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</si>
  <si>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</si>
  <si>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</si>
  <si>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</si>
  <si>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</si>
  <si>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</si>
  <si>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</si>
  <si>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</si>
  <si>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</si>
  <si>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</si>
  <si>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</si>
  <si>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</si>
  <si>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</si>
  <si>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</si>
  <si>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</si>
  <si>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</si>
  <si>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</si>
  <si>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</si>
  <si>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</si>
  <si>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</si>
  <si>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</si>
  <si>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</si>
  <si>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</si>
  <si>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</si>
  <si>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</si>
  <si>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</si>
  <si>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</si>
  <si>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</si>
  <si>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</si>
  <si>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</si>
  <si>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</si>
  <si>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</si>
  <si>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</si>
  <si>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</si>
  <si>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</si>
  <si>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</si>
  <si>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</si>
  <si>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</si>
  <si>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</si>
  <si>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</si>
  <si>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</si>
  <si>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</si>
  <si>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</si>
  <si>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</si>
  <si>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</si>
  <si>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</si>
  <si>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</si>
  <si>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</si>
  <si>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</si>
  <si>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</si>
  <si>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</si>
  <si>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</si>
  <si>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</si>
  <si>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</si>
  <si>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</si>
  <si>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</si>
  <si>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</si>
  <si>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</si>
  <si>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</si>
  <si>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</si>
  <si>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</si>
  <si>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</si>
  <si>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</si>
  <si>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</si>
  <si>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</si>
  <si>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</si>
  <si>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</si>
  <si>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</si>
  <si>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</si>
  <si>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</si>
  <si>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</si>
  <si>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</si>
  <si>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</si>
  <si>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</si>
  <si>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</si>
  <si>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</si>
  <si>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</si>
  <si>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</si>
  <si>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</si>
  <si>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</si>
  <si>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</si>
  <si>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</si>
  <si>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</si>
  <si>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</si>
  <si>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</si>
  <si>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</si>
  <si>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</si>
  <si>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</si>
  <si>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</si>
  <si>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</si>
  <si>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</si>
  <si>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</si>
  <si>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</si>
  <si>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</si>
  <si>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</si>
  <si>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</si>
  <si>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</si>
  <si>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</si>
  <si>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</si>
  <si>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</si>
  <si>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</si>
  <si>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</si>
  <si>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</si>
  <si>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</si>
  <si>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</si>
  <si>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</si>
  <si>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</si>
  <si>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</si>
  <si>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</si>
  <si>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</si>
  <si>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</si>
  <si>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</si>
  <si>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</si>
  <si>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</si>
  <si>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</si>
  <si>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</si>
  <si>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</si>
  <si>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</si>
  <si>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</si>
  <si>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</si>
  <si>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</si>
  <si>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</si>
  <si>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</si>
  <si>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</si>
  <si>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</si>
  <si>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</si>
  <si>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</si>
  <si>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</si>
  <si>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</si>
  <si>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</si>
  <si>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</si>
  <si>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</si>
  <si>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</si>
  <si>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</si>
  <si>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</si>
  <si>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</si>
  <si>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</si>
  <si>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</si>
  <si>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</si>
  <si>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</si>
  <si>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</si>
  <si>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</si>
  <si>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</si>
  <si>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</si>
  <si>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</si>
  <si>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</si>
  <si>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</si>
  <si>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</si>
  <si>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</si>
  <si>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</si>
  <si>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</si>
  <si>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</si>
  <si>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</si>
  <si>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</si>
  <si>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</si>
  <si>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</si>
  <si>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</si>
  <si>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</si>
  <si>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</si>
  <si>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</si>
  <si>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</si>
  <si>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</si>
  <si>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</si>
  <si>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</si>
  <si>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</si>
  <si>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</si>
  <si>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</si>
  <si>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</si>
  <si>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</si>
  <si>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</si>
  <si>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</si>
  <si>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</si>
  <si>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</si>
  <si>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</si>
  <si>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</si>
  <si>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</si>
  <si>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</si>
  <si>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</si>
  <si>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</si>
  <si>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</si>
  <si>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</si>
  <si>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</si>
  <si>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</si>
  <si>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</si>
  <si>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</si>
  <si>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</si>
  <si>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</si>
  <si>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</si>
  <si>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</si>
  <si>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</si>
  <si>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</si>
  <si>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</si>
  <si>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</si>
  <si>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</si>
  <si>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</si>
  <si>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</si>
  <si>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</si>
  <si>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</si>
  <si>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</si>
  <si>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</si>
  <si>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</si>
  <si>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</si>
  <si>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</si>
  <si>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</si>
  <si>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</si>
  <si>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</si>
  <si>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</si>
  <si>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</si>
  <si>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</si>
  <si>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</si>
  <si>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</si>
  <si>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</si>
  <si>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</si>
  <si>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</si>
  <si>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</si>
  <si>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</si>
  <si>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</si>
  <si>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</si>
  <si>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</si>
  <si>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</si>
  <si>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</si>
  <si>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</si>
  <si>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</si>
  <si>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</si>
  <si>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</si>
  <si>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</si>
  <si>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</si>
  <si>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</si>
  <si>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</si>
  <si>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</si>
  <si>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</si>
  <si>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</si>
  <si>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</si>
  <si>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</si>
  <si>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</si>
  <si>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</si>
  <si>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</si>
  <si>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</si>
  <si>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</si>
  <si>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</si>
  <si>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</si>
  <si>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</si>
  <si>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</si>
  <si>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</si>
  <si>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</si>
  <si>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</si>
  <si>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</si>
  <si>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</si>
  <si>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</si>
  <si>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</si>
  <si>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</si>
  <si>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</si>
  <si>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</si>
  <si>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</si>
  <si>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</si>
  <si>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</si>
  <si>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</si>
  <si>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</si>
  <si>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</si>
  <si>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</si>
  <si>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</si>
  <si>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</si>
  <si>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</si>
  <si>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</si>
  <si>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</si>
  <si>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</si>
  <si>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</si>
  <si>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</si>
  <si>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</si>
  <si>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</si>
  <si>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</si>
  <si>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</si>
  <si>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</si>
  <si>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</si>
  <si>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</si>
  <si>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</si>
  <si>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</si>
  <si>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</si>
  <si>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</si>
  <si>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</si>
  <si>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</si>
  <si>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</si>
  <si>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</si>
  <si>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</si>
  <si>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</si>
  <si>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</si>
  <si>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</si>
  <si>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</si>
  <si>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</si>
  <si>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</si>
  <si>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</si>
  <si>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</si>
  <si>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</si>
  <si>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</si>
  <si>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</si>
  <si>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</si>
  <si>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</si>
  <si>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</si>
  <si>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</si>
  <si>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</si>
  <si>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</si>
  <si>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</si>
  <si>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</si>
  <si>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</si>
  <si>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</si>
  <si>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</si>
  <si>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</si>
  <si>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</si>
  <si>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</si>
  <si>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</si>
  <si>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</si>
  <si>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</si>
  <si>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</si>
  <si>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</si>
  <si>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</si>
  <si>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</si>
  <si>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</si>
  <si>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</si>
  <si>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</si>
  <si>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</si>
  <si>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</si>
  <si>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</si>
  <si>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</si>
  <si>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</si>
  <si>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</si>
  <si>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</si>
  <si>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</si>
  <si>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</si>
  <si>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</si>
  <si>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</si>
  <si>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</si>
  <si>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</si>
  <si>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</si>
  <si>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</si>
  <si>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</si>
  <si>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</si>
  <si>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</si>
  <si>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</si>
  <si>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</si>
  <si>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</si>
  <si>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</si>
  <si>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</si>
  <si>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</si>
  <si>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</si>
  <si>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</si>
  <si>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</si>
  <si>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</si>
  <si>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</si>
  <si>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</si>
  <si>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</si>
  <si>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</si>
  <si>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</si>
  <si>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</si>
  <si>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</si>
  <si>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</si>
  <si>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</si>
  <si>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</si>
  <si>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</si>
  <si>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</si>
  <si>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</si>
  <si>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</si>
  <si>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</si>
  <si>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</si>
  <si>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</si>
  <si>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</si>
  <si>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</si>
  <si>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</si>
  <si>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</si>
  <si>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</si>
  <si>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</si>
  <si>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</si>
  <si>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</si>
  <si>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</si>
  <si>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</si>
  <si>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</si>
  <si>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</si>
  <si>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</si>
  <si>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</si>
  <si>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</si>
  <si>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</si>
  <si>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</si>
  <si>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</si>
  <si>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</si>
  <si>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</si>
  <si>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</si>
  <si>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</si>
  <si>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</si>
  <si>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</si>
  <si>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</si>
  <si>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</si>
  <si>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</si>
  <si>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</si>
  <si>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</si>
  <si>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</si>
  <si>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</si>
  <si>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</si>
  <si>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</si>
  <si>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</si>
  <si>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</si>
  <si>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</si>
  <si>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</si>
  <si>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</si>
  <si>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</si>
  <si>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</si>
  <si>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</si>
  <si>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</si>
  <si>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</si>
  <si>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</si>
  <si>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</si>
  <si>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</si>
  <si>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</si>
  <si>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</si>
  <si>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</si>
  <si>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</si>
  <si>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</si>
  <si>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</si>
  <si>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</si>
  <si>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</si>
  <si>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</si>
  <si>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</si>
  <si>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</si>
  <si>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</si>
  <si>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</si>
  <si>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</si>
  <si>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</si>
  <si>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</si>
  <si>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</si>
  <si>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</si>
  <si>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</si>
  <si>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</si>
  <si>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</si>
  <si>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</si>
  <si>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</si>
  <si>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</si>
  <si>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</si>
  <si>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</si>
  <si>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</si>
  <si>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</si>
  <si>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</si>
  <si>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</si>
  <si>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</si>
  <si>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</si>
  <si>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</si>
  <si>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</si>
  <si>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</si>
  <si>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</si>
  <si>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</si>
  <si>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</si>
  <si>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</si>
  <si>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</si>
  <si>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</si>
  <si>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</si>
  <si>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</si>
  <si>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</si>
  <si>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</si>
  <si>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</si>
  <si>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</si>
  <si>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</si>
  <si>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</si>
  <si>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</si>
  <si>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</si>
  <si>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</si>
  <si>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</si>
  <si>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</si>
  <si>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</si>
  <si>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</si>
  <si>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</si>
  <si>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</si>
  <si>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</si>
  <si>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</si>
  <si>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</si>
  <si>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</si>
  <si>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</si>
  <si>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</si>
  <si>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</si>
  <si>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</si>
  <si>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</si>
  <si>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</si>
  <si>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</si>
  <si>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</si>
  <si>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</si>
  <si>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</si>
  <si>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</si>
  <si>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</si>
  <si>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</si>
  <si>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</si>
  <si>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</si>
  <si>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</si>
  <si>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</si>
  <si>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</si>
  <si>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</si>
  <si>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</si>
  <si>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</si>
  <si>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</si>
  <si>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</si>
  <si>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</si>
  <si>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</si>
  <si>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</si>
  <si>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</si>
  <si>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</si>
  <si>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</si>
  <si>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</si>
  <si>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</si>
  <si>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</si>
  <si>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</si>
  <si>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</si>
  <si>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</si>
  <si>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</si>
  <si>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</si>
  <si>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</si>
  <si>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</si>
  <si>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</si>
  <si>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</si>
  <si>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</si>
  <si>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</si>
  <si>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</si>
  <si>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</si>
  <si>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</si>
  <si>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</si>
  <si>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</si>
  <si>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</si>
  <si>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</si>
  <si>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</si>
  <si>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</si>
  <si>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</si>
  <si>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</si>
  <si>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</si>
  <si>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</si>
  <si>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</si>
  <si>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</si>
  <si>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</si>
  <si>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</si>
  <si>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</si>
  <si>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</si>
  <si>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</si>
  <si>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</si>
  <si>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</si>
  <si>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</si>
  <si>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</si>
  <si>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</si>
  <si>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</si>
  <si>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</si>
  <si>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</si>
  <si>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</si>
  <si>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</si>
  <si>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</si>
  <si>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</si>
  <si>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</si>
  <si>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</si>
  <si>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</si>
  <si>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</si>
  <si>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</si>
  <si>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</si>
  <si>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</si>
  <si>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</si>
  <si>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</si>
  <si>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</si>
  <si>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</si>
  <si>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</si>
  <si>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</si>
  <si>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</si>
  <si>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</si>
  <si>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</si>
  <si>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</si>
  <si>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</si>
  <si>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</si>
  <si>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</si>
  <si>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</si>
  <si>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</si>
  <si>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</si>
  <si>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</si>
  <si>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</si>
  <si>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</si>
  <si>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</si>
  <si>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</si>
  <si>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</si>
  <si>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</si>
  <si>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</si>
  <si>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</si>
  <si>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</si>
  <si>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</si>
  <si>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</si>
  <si>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</si>
  <si>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</si>
  <si>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</si>
  <si>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</si>
  <si>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</si>
  <si>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</si>
  <si>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</si>
  <si>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</si>
  <si>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</si>
  <si>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</si>
  <si>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</si>
  <si>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</si>
  <si>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</si>
  <si>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</si>
  <si>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</si>
  <si>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</si>
  <si>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</si>
  <si>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</si>
  <si>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</si>
  <si>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</si>
  <si>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</si>
  <si>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</si>
  <si>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</si>
  <si>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</si>
  <si>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</si>
  <si>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</si>
  <si>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</si>
  <si>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</si>
  <si>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</si>
  <si>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</si>
  <si>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</si>
  <si>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</si>
  <si>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</si>
  <si>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</si>
  <si>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</si>
  <si>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</si>
  <si>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</si>
  <si>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</si>
  <si>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</si>
  <si>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</si>
  <si>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</si>
  <si>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</si>
  <si>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</si>
  <si>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</si>
  <si>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</si>
  <si>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</si>
  <si>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</si>
  <si>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</si>
  <si>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</si>
  <si>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</si>
  <si>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</si>
  <si>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</si>
  <si>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</si>
  <si>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</si>
  <si>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</si>
  <si>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</si>
  <si>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</si>
  <si>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</si>
  <si>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</si>
  <si>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</si>
  <si>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</si>
  <si>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</si>
  <si>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</si>
  <si>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</si>
  <si>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</si>
  <si>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</si>
  <si>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</si>
  <si>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</si>
  <si>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</si>
  <si>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</si>
  <si>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</si>
  <si>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</si>
  <si>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</si>
  <si>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</si>
  <si>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</si>
  <si>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</si>
  <si>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</si>
  <si>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</si>
  <si>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</si>
  <si>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</si>
  <si>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</si>
  <si>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</si>
  <si>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</si>
  <si>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</si>
  <si>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</si>
  <si>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</si>
  <si>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</si>
  <si>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</si>
  <si>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</si>
  <si>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</si>
  <si>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</si>
  <si>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</si>
  <si>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</si>
  <si>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</si>
  <si>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</si>
  <si>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</si>
  <si>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</si>
  <si>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</si>
  <si>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</si>
  <si>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</si>
  <si>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</si>
  <si>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</si>
  <si>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</si>
  <si>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</si>
  <si>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</si>
  <si>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</si>
  <si>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</si>
  <si>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</si>
  <si>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</si>
  <si>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</si>
  <si>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</si>
  <si>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</si>
  <si>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</si>
  <si>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</si>
  <si>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</si>
  <si>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</si>
  <si>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</si>
  <si>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</si>
  <si>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</si>
  <si>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</si>
  <si>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</si>
  <si>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</si>
  <si>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</si>
  <si>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</si>
  <si>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</si>
  <si>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</si>
  <si>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</si>
  <si>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</si>
  <si>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</si>
  <si>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</si>
  <si>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</si>
  <si>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</si>
  <si>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</si>
  <si>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</si>
  <si>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</si>
  <si>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</si>
  <si>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</si>
  <si>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</si>
  <si>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</si>
  <si>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</si>
  <si>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</si>
  <si>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</si>
  <si>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</si>
  <si>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</si>
  <si>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</si>
  <si>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</si>
  <si>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</si>
  <si>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</si>
  <si>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</si>
  <si>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</si>
  <si>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</si>
  <si>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</si>
  <si>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</si>
  <si>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</si>
  <si>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</si>
  <si>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</si>
  <si>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</si>
  <si>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</si>
  <si>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</si>
  <si>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</si>
  <si>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</si>
  <si>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</si>
  <si>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</si>
  <si>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</si>
  <si>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</si>
  <si>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</si>
  <si>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</si>
  <si>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</si>
  <si>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</si>
  <si>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</si>
  <si>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</si>
  <si>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</si>
  <si>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</si>
  <si>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</si>
  <si>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</si>
  <si>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</si>
  <si>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</si>
  <si>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</si>
  <si>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</si>
  <si>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</si>
  <si>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</si>
  <si>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</si>
  <si>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</si>
  <si>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</si>
  <si>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</si>
  <si>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</si>
  <si>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</si>
  <si>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</si>
  <si>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</si>
  <si>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</si>
  <si>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</si>
  <si>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</si>
  <si>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</si>
  <si>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</si>
  <si>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</si>
  <si>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</si>
  <si>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</si>
  <si>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</si>
  <si>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</si>
  <si>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</si>
  <si>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</si>
  <si>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</si>
  <si>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</si>
  <si>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</si>
  <si>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</si>
  <si>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</si>
  <si>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</si>
  <si>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</si>
  <si>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</si>
  <si>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</si>
  <si>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</si>
  <si>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</si>
  <si>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</si>
  <si>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</si>
  <si>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</si>
  <si>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</si>
  <si>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</si>
  <si>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</si>
  <si>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</si>
  <si>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</si>
  <si>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</si>
  <si>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</si>
  <si>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</si>
  <si>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</si>
  <si>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</si>
  <si>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</si>
  <si>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</si>
  <si>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</si>
  <si>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</si>
  <si>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</si>
  <si>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</si>
  <si>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</si>
  <si>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</si>
  <si>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</si>
  <si>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</si>
  <si>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</si>
  <si>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</si>
  <si>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</si>
  <si>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</si>
  <si>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</si>
  <si>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</si>
  <si>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</si>
  <si>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</si>
  <si>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</si>
  <si>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</si>
  <si>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</si>
  <si>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</si>
  <si>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</si>
  <si>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</si>
  <si>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</si>
  <si>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</si>
  <si>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</si>
  <si>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</si>
  <si>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</si>
  <si>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</si>
  <si>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</si>
  <si>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</si>
  <si>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</si>
  <si>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</si>
  <si>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</si>
  <si>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</si>
  <si>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</si>
  <si>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</si>
  <si>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</si>
  <si>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</si>
  <si>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</si>
  <si>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</si>
  <si>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</si>
  <si>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</si>
  <si>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</si>
  <si>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</si>
  <si>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</si>
  <si>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</si>
  <si>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</si>
  <si>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</si>
  <si>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</si>
  <si>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</si>
  <si>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</si>
  <si>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</si>
  <si>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</si>
  <si>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</si>
  <si>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</si>
  <si>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</si>
  <si>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</si>
  <si>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</si>
  <si>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</si>
  <si>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</si>
  <si>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</si>
  <si>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</si>
  <si>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</si>
  <si>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</si>
  <si>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</si>
  <si>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</si>
  <si>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</si>
  <si>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</si>
  <si>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</si>
  <si>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</si>
  <si>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</si>
  <si>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</si>
  <si>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</si>
  <si>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</si>
  <si>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</si>
  <si>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</si>
  <si>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</si>
  <si>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</si>
  <si>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</si>
  <si>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</si>
  <si>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</si>
  <si>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</si>
  <si>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</si>
  <si>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</si>
  <si>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</si>
  <si>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</si>
  <si>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</si>
  <si>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</si>
  <si>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</si>
  <si>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</si>
  <si>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</si>
  <si>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</si>
  <si>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</si>
  <si>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</si>
  <si>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</si>
  <si>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</si>
  <si>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</si>
  <si>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</si>
  <si>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</si>
  <si>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</si>
  <si>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</si>
  <si>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</si>
  <si>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</si>
  <si>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</si>
  <si>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</si>
  <si>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</si>
  <si>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</si>
  <si>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</si>
  <si>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</si>
  <si>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</si>
  <si>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</si>
  <si>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</si>
  <si>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</si>
  <si>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</si>
  <si>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</si>
  <si>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</si>
  <si>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</si>
  <si>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</si>
  <si>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</si>
  <si>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</si>
  <si>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</si>
  <si>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</si>
  <si>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</si>
  <si>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</si>
  <si>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</si>
  <si>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</si>
  <si>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</si>
  <si>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</si>
  <si>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</si>
  <si>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</si>
  <si>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</si>
  <si>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</si>
  <si>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</si>
  <si>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</si>
  <si>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</si>
  <si>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</si>
  <si>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</si>
  <si>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</si>
  <si>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</si>
  <si>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</si>
  <si>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</si>
  <si>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</si>
  <si>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</si>
  <si>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</si>
  <si>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</si>
  <si>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</si>
  <si>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</si>
  <si>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</si>
  <si>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</si>
  <si>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</si>
  <si>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</si>
  <si>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</si>
  <si>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</si>
  <si>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</si>
  <si>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</si>
  <si>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</si>
  <si>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</si>
  <si>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</si>
  <si>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</si>
  <si>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</si>
  <si>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</si>
  <si>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</si>
  <si>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</si>
  <si>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</si>
  <si>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</si>
  <si>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</si>
  <si>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</si>
  <si>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</si>
  <si>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</si>
  <si>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</si>
  <si>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</si>
  <si>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</si>
  <si>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</si>
  <si>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</si>
  <si>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</si>
  <si>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</si>
  <si>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</si>
  <si>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</si>
  <si>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</si>
  <si>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</si>
  <si>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</si>
  <si>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</si>
  <si>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</si>
  <si>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</si>
  <si>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</si>
  <si>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</si>
  <si>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</si>
  <si>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</si>
  <si>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</si>
  <si>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</si>
  <si>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</si>
  <si>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</si>
  <si>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</si>
  <si>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</si>
  <si>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</si>
  <si>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</si>
  <si>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</si>
  <si>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</si>
  <si>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</si>
  <si>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</si>
  <si>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</si>
  <si>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</si>
  <si>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</si>
  <si>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</si>
  <si>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</si>
  <si>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</si>
  <si>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</si>
  <si>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</si>
  <si>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</si>
  <si>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</si>
  <si>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</si>
  <si>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</si>
  <si>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</si>
  <si>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</si>
  <si>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</si>
  <si>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</si>
  <si>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</si>
  <si>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</si>
  <si>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</si>
  <si>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</si>
  <si>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</si>
  <si>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</si>
  <si>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</si>
  <si>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</si>
  <si>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</si>
  <si>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</si>
  <si>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</si>
  <si>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</si>
  <si>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</si>
  <si>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</si>
  <si>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</si>
  <si>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</si>
  <si>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</si>
  <si>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</si>
  <si>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</si>
  <si>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</si>
  <si>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</si>
  <si>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</si>
  <si>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</si>
  <si>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</si>
  <si>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</si>
  <si>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</si>
  <si>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</si>
  <si>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</si>
  <si>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</si>
  <si>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</si>
  <si>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</si>
  <si>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</si>
  <si>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</si>
  <si>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</si>
  <si>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</si>
  <si>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</si>
  <si>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</si>
  <si>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</si>
  <si>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</si>
  <si>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</si>
  <si>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</si>
  <si>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</si>
  <si>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</si>
  <si>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</si>
  <si>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</si>
  <si>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</si>
  <si>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</si>
  <si>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</si>
  <si>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</si>
  <si>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</si>
  <si>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</si>
  <si>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</si>
  <si>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</si>
  <si>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</si>
  <si>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</si>
  <si>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</si>
  <si>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</si>
  <si>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</si>
  <si>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</si>
  <si>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</si>
  <si>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</si>
  <si>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</si>
  <si>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</si>
  <si>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</si>
  <si>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</si>
  <si>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</si>
  <si>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</si>
  <si>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</si>
  <si>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</si>
  <si>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</si>
  <si>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</si>
  <si>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</si>
  <si>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</si>
  <si>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</si>
  <si>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</si>
  <si>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</si>
  <si>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</si>
  <si>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</si>
  <si>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</si>
  <si>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</si>
  <si>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</si>
  <si>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</si>
  <si>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</si>
  <si>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</si>
  <si>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</si>
  <si>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</si>
  <si>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</si>
  <si>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</si>
  <si>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</si>
  <si>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</si>
  <si>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</si>
  <si>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</si>
  <si>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</si>
  <si>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</si>
  <si>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</si>
  <si>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</si>
  <si>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</si>
  <si>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</si>
  <si>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</si>
  <si>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</si>
  <si>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</si>
  <si>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</si>
  <si>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</si>
  <si>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</si>
  <si>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</si>
  <si>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</si>
  <si>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</si>
  <si>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</si>
  <si>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</si>
  <si>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</si>
  <si>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</si>
  <si>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</si>
  <si>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</si>
  <si>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</si>
  <si>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</si>
  <si>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</si>
  <si>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</si>
  <si>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</si>
  <si>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</si>
  <si>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</si>
  <si>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</si>
  <si>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</si>
  <si>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</si>
  <si>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</si>
  <si>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</si>
  <si>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</si>
  <si>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</si>
  <si>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</si>
  <si>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</si>
  <si>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</si>
  <si>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</si>
  <si>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</si>
  <si>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</si>
  <si>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</si>
  <si>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</si>
  <si>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</si>
  <si>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</si>
  <si>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</si>
  <si>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</si>
  <si>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</si>
  <si>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</si>
  <si>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</si>
  <si>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</si>
  <si>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</si>
  <si>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</si>
  <si>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</si>
  <si>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</si>
  <si>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</si>
  <si>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</si>
  <si>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</si>
  <si>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</si>
  <si>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</si>
  <si>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</si>
  <si>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</si>
  <si>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</si>
  <si>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</si>
  <si>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</si>
  <si>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</si>
  <si>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</si>
  <si>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</si>
  <si>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</si>
  <si>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</si>
  <si>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</si>
  <si>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</si>
  <si>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</si>
  <si>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</si>
  <si>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</si>
  <si>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</si>
  <si>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</si>
  <si>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</si>
  <si>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</si>
  <si>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</si>
  <si>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</si>
  <si>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</si>
  <si>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</si>
  <si>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</si>
  <si>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</si>
  <si>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</si>
  <si>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</si>
  <si>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</si>
  <si>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</si>
  <si>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</si>
  <si>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</si>
  <si>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</si>
  <si>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</si>
  <si>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</si>
  <si>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</si>
  <si>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</si>
  <si>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</si>
  <si>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</si>
  <si>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</si>
  <si>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</si>
  <si>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</si>
  <si>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</si>
  <si>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</si>
  <si>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</si>
  <si>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</si>
  <si>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</si>
  <si>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</si>
  <si>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</si>
  <si>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</si>
  <si>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</si>
  <si>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</si>
  <si>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</si>
  <si>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</si>
  <si>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</si>
  <si>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</si>
  <si>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</si>
  <si>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</si>
  <si>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</si>
  <si>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</si>
  <si>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</si>
  <si>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</si>
  <si>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</si>
  <si>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</si>
  <si>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</si>
  <si>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</si>
  <si>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</si>
  <si>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</si>
  <si>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</si>
  <si>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</si>
  <si>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</si>
  <si>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</si>
  <si>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</si>
  <si>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</si>
  <si>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</si>
  <si>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</si>
  <si>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</si>
  <si>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</si>
  <si>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</si>
  <si>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</si>
  <si>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</si>
  <si>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</si>
  <si>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</si>
  <si>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</si>
  <si>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</si>
  <si>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</si>
  <si>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</si>
  <si>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</si>
  <si>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</si>
  <si>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</si>
  <si>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</si>
  <si>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</si>
  <si>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</si>
  <si>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</si>
  <si>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</si>
  <si>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</si>
  <si>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</si>
  <si>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</si>
  <si>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</si>
  <si>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</si>
  <si>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</si>
  <si>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</si>
  <si>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</si>
  <si>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</si>
  <si>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</si>
  <si>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</si>
  <si>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</si>
  <si>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</si>
  <si>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</si>
  <si>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</si>
  <si>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</si>
  <si>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</si>
  <si>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</si>
  <si>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</si>
  <si>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</si>
  <si>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</si>
  <si>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</si>
  <si>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</si>
  <si>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</si>
  <si>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</si>
  <si>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</si>
  <si>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</si>
  <si>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</si>
  <si>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</si>
  <si>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</si>
  <si>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</si>
  <si>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</si>
  <si>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</si>
  <si>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</si>
  <si>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</si>
  <si>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</si>
  <si>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</si>
  <si>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</si>
  <si>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</si>
  <si>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</si>
  <si>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</si>
  <si>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</si>
  <si>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</si>
  <si>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</si>
  <si>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</si>
  <si>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</si>
  <si>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</si>
  <si>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</si>
  <si>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</si>
  <si>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</si>
  <si>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</si>
  <si>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</si>
  <si>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</si>
  <si>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</si>
  <si>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</si>
  <si>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</si>
  <si>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</si>
  <si>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</si>
  <si>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</si>
  <si>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</si>
  <si>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</si>
  <si>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</si>
  <si>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</si>
  <si>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</si>
  <si>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</si>
  <si>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</si>
  <si>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</si>
  <si>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</si>
  <si>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</si>
  <si>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</si>
  <si>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</si>
  <si>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</si>
  <si>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</si>
  <si>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</si>
  <si>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</si>
  <si>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</si>
  <si>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</si>
  <si>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</si>
  <si>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</si>
  <si>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</si>
  <si>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</si>
  <si>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</si>
  <si>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</si>
  <si>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</si>
  <si>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</si>
  <si>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</si>
  <si>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</si>
  <si>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</si>
  <si>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</si>
  <si>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</si>
  <si>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</si>
  <si>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</si>
  <si>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</si>
  <si>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</si>
  <si>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</si>
  <si>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</si>
  <si>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</si>
  <si>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</si>
  <si>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</si>
  <si>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</si>
  <si>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</si>
  <si>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</si>
  <si>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</si>
  <si>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</si>
  <si>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</si>
  <si>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</si>
  <si>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</si>
  <si>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</si>
  <si>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</si>
  <si>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</si>
  <si>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</si>
  <si>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</si>
  <si>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</si>
  <si>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</si>
  <si>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</si>
  <si>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</si>
  <si>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</si>
  <si>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</si>
  <si>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</si>
  <si>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</si>
  <si>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</si>
  <si>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</si>
  <si>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</si>
  <si>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</si>
  <si>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</si>
  <si>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</si>
  <si>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</si>
  <si>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</si>
  <si>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</si>
  <si>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</si>
  <si>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</si>
  <si>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</si>
  <si>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</si>
  <si>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</si>
  <si>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</si>
  <si>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</si>
  <si>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</si>
  <si>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</si>
  <si>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</si>
  <si>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</si>
  <si>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</si>
  <si>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</si>
  <si>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</si>
  <si>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</si>
  <si>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</si>
  <si>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</si>
  <si>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</si>
  <si>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</si>
  <si>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</si>
  <si>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</si>
  <si>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</si>
  <si>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</si>
  <si>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</si>
  <si>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</si>
  <si>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</si>
  <si>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</si>
  <si>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</si>
  <si>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</si>
  <si>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</si>
  <si>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</si>
  <si>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</si>
  <si>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</si>
  <si>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</si>
  <si>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</si>
  <si>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</si>
  <si>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</si>
  <si>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</si>
  <si>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</si>
  <si>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</si>
  <si>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</si>
  <si>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</si>
  <si>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</si>
  <si>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</si>
  <si>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</si>
  <si>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</si>
  <si>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</si>
  <si>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</si>
  <si>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</si>
  <si>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</si>
  <si>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</si>
  <si>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</si>
  <si>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</si>
  <si>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</si>
  <si>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</si>
  <si>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</si>
  <si>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</si>
  <si>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</si>
  <si>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</si>
  <si>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AP-10915</t>
  </si>
  <si>
    <t>Arthur Prichep</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</si>
  <si>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</si>
  <si>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</si>
  <si>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</si>
  <si>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</si>
  <si>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</si>
  <si>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</si>
  <si>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</si>
  <si>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</si>
  <si>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</si>
  <si>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</si>
  <si>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</si>
  <si>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</si>
  <si>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</si>
  <si>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</si>
  <si>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</si>
  <si>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</si>
  <si>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</si>
  <si>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</si>
  <si>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</si>
  <si>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</si>
  <si>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</si>
  <si>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</si>
  <si>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</si>
  <si>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</si>
  <si>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</si>
  <si>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</si>
  <si>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</si>
  <si>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</si>
  <si>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</si>
  <si>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</si>
  <si>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</si>
  <si>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</si>
  <si>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</si>
  <si>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</si>
  <si>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</si>
  <si>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</si>
  <si>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</si>
  <si>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</si>
  <si>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</si>
  <si>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</si>
  <si>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</si>
  <si>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</si>
  <si>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</si>
  <si>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</si>
  <si>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</si>
  <si>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</si>
  <si>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</si>
  <si>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</si>
  <si>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</si>
  <si>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</si>
  <si>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</si>
  <si>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</si>
  <si>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</si>
  <si>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</si>
  <si>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</si>
  <si>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</si>
  <si>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</si>
  <si>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</si>
  <si>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</si>
  <si>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</si>
  <si>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</si>
  <si>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</si>
  <si>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</si>
  <si>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</si>
  <si>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</si>
  <si>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</si>
  <si>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</si>
  <si>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</si>
  <si>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</si>
  <si>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</si>
  <si>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</si>
  <si>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</si>
  <si>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</si>
  <si>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</si>
  <si>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</si>
  <si>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</si>
  <si>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</si>
  <si>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</si>
  <si>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</si>
  <si>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</si>
  <si>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</si>
  <si>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</si>
  <si>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</si>
  <si>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</si>
  <si>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</si>
  <si>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</si>
  <si>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</si>
  <si>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</si>
  <si>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</si>
  <si>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</si>
  <si>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</si>
  <si>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</si>
  <si>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</si>
  <si>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</si>
  <si>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</si>
  <si>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</si>
  <si>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</si>
  <si>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</si>
  <si>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</si>
  <si>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</si>
  <si>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</si>
  <si>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</si>
  <si>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</si>
  <si>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</si>
  <si>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</si>
  <si>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</si>
  <si>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</si>
  <si>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</si>
  <si>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</si>
  <si>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</si>
  <si>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</si>
  <si>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</si>
  <si>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</si>
  <si>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</si>
  <si>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</si>
  <si>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</si>
  <si>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</si>
  <si>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</si>
  <si>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</si>
  <si>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</si>
  <si>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</si>
  <si>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</si>
  <si>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</si>
  <si>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</si>
  <si>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</si>
  <si>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</si>
  <si>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</si>
  <si>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</si>
  <si>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</si>
  <si>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</si>
  <si>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</si>
  <si>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</si>
  <si>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</si>
  <si>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</si>
  <si>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</si>
  <si>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</si>
  <si>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</si>
  <si>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</si>
  <si>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</si>
  <si>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</si>
  <si>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</si>
  <si>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</si>
  <si>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</si>
  <si>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</si>
  <si>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</si>
  <si>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</si>
  <si>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</si>
  <si>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</si>
  <si>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</si>
  <si>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</si>
  <si>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</si>
  <si>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</si>
  <si>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</si>
  <si>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</si>
  <si>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</si>
  <si>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</si>
  <si>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</si>
  <si>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</si>
  <si>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</si>
  <si>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</si>
  <si>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</si>
  <si>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</si>
  <si>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</si>
  <si>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</si>
  <si>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</si>
  <si>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</si>
  <si>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</si>
  <si>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</si>
  <si>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</si>
  <si>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</si>
  <si>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</si>
  <si>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</si>
  <si>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</si>
  <si>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</si>
  <si>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</si>
  <si>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</si>
  <si>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</si>
  <si>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</si>
  <si>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</si>
  <si>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</si>
  <si>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</si>
  <si>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</si>
  <si>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</si>
  <si>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</si>
  <si>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</si>
  <si>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</si>
  <si>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</si>
  <si>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</si>
  <si>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</si>
  <si>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</si>
  <si>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</si>
  <si>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</si>
  <si>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</si>
  <si>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</si>
  <si>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</si>
  <si>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</si>
  <si>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</si>
  <si>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</si>
  <si>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</si>
  <si>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</si>
  <si>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</si>
  <si>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</si>
  <si>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</si>
  <si>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</si>
  <si>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</si>
  <si>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</si>
  <si>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</si>
  <si>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</si>
  <si>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</si>
  <si>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</si>
  <si>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</si>
  <si>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</si>
  <si>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</si>
  <si>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</si>
  <si>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</si>
  <si>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</si>
  <si>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</si>
  <si>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</si>
  <si>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</si>
  <si>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</si>
  <si>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</si>
  <si>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</si>
  <si>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</si>
  <si>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</si>
  <si>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</si>
  <si>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</si>
  <si>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</si>
  <si>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</si>
  <si>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</si>
  <si>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</si>
  <si>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</si>
  <si>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</si>
  <si>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</si>
  <si>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</si>
  <si>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</si>
  <si>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</si>
  <si>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</si>
  <si>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</si>
  <si>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</si>
  <si>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</si>
  <si>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</si>
  <si>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</si>
  <si>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</si>
  <si>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</si>
  <si>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</si>
  <si>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</si>
  <si>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</si>
  <si>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</si>
  <si>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</si>
  <si>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</si>
  <si>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</si>
  <si>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</si>
  <si>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</si>
  <si>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</si>
  <si>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</si>
  <si>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</si>
  <si>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</si>
  <si>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</si>
  <si>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</si>
  <si>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</si>
  <si>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</si>
  <si>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</si>
  <si>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</si>
  <si>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</si>
  <si>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</si>
  <si>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</si>
  <si>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</si>
  <si>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</si>
  <si>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</si>
  <si>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</si>
  <si>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</si>
  <si>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</si>
  <si>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</si>
  <si>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</si>
  <si>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</si>
  <si>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</si>
  <si>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</si>
  <si>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</si>
  <si>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</si>
  <si>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</si>
  <si>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</si>
  <si>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</si>
  <si>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</si>
  <si>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</si>
  <si>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</si>
  <si>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</si>
  <si>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</si>
  <si>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</si>
  <si>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</si>
  <si>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</si>
  <si>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</si>
  <si>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</si>
  <si>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</si>
  <si>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</si>
  <si>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</si>
  <si>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</si>
  <si>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</si>
  <si>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</si>
  <si>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</si>
  <si>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</si>
  <si>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</si>
  <si>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</si>
  <si>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</si>
  <si>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</si>
  <si>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</si>
  <si>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</si>
  <si>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</si>
  <si>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</si>
  <si>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</si>
  <si>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</si>
  <si>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</si>
  <si>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</si>
  <si>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</si>
  <si>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</si>
  <si>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</si>
  <si>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</si>
  <si>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</si>
  <si>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</si>
  <si>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</si>
  <si>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</si>
  <si>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</si>
  <si>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</si>
  <si>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</si>
  <si>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</si>
  <si>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</si>
  <si>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</si>
  <si>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</si>
  <si>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</si>
  <si>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</si>
  <si>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</si>
  <si>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</si>
  <si>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</si>
  <si>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</si>
  <si>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</si>
  <si>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</si>
  <si>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</si>
  <si>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</si>
  <si>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</si>
  <si>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</si>
  <si>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</si>
  <si>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</si>
  <si>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</si>
  <si>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</si>
  <si>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</si>
  <si>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</si>
  <si>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</si>
  <si>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</si>
  <si>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</si>
  <si>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</si>
  <si>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</si>
  <si>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</si>
  <si>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</si>
  <si>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</si>
  <si>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</si>
  <si>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</si>
  <si>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</si>
  <si>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</si>
  <si>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</si>
  <si>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</si>
  <si>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</si>
  <si>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</si>
  <si>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</si>
  <si>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</si>
  <si>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</si>
  <si>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</si>
  <si>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</si>
  <si>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</si>
  <si>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</si>
  <si>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</si>
  <si>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</si>
  <si>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</si>
  <si>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</si>
  <si>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</si>
  <si>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</si>
  <si>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</si>
  <si>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</si>
  <si>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</si>
  <si>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</si>
  <si>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</si>
  <si>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</si>
  <si>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</si>
  <si>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</si>
  <si>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</si>
  <si>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</si>
  <si>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</si>
  <si>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</si>
  <si>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</si>
  <si>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</si>
  <si>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</si>
  <si>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</si>
  <si>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</si>
  <si>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</si>
  <si>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</si>
  <si>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</si>
  <si>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</si>
  <si>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</si>
  <si>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</si>
  <si>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</si>
  <si>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</si>
  <si>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</si>
  <si>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</si>
  <si>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</si>
  <si>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</si>
  <si>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</si>
  <si>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</si>
  <si>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</si>
  <si>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</si>
  <si>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</si>
  <si>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</si>
  <si>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</si>
  <si>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</si>
  <si>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</si>
  <si>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</si>
  <si>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</si>
  <si>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</si>
  <si>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</si>
  <si>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</si>
  <si>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</si>
  <si>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</si>
  <si>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</si>
  <si>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</si>
  <si>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</si>
  <si>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</si>
  <si>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</si>
  <si>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</si>
  <si>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</si>
  <si>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</si>
  <si>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</si>
  <si>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</si>
  <si>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</si>
  <si>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</si>
  <si>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</si>
  <si>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</si>
  <si>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</si>
  <si>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</si>
  <si>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</si>
  <si>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</si>
  <si>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</si>
  <si>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</si>
  <si>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</si>
  <si>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</si>
  <si>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</si>
  <si>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</si>
  <si>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</si>
  <si>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</si>
  <si>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</si>
  <si>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</si>
  <si>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</si>
  <si>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</si>
  <si>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</si>
  <si>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</si>
  <si>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</si>
  <si>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</si>
  <si>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</si>
  <si>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</si>
  <si>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</si>
  <si>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</si>
  <si>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</si>
  <si>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</si>
  <si>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</si>
  <si>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</si>
  <si>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</si>
  <si>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</si>
  <si>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</si>
  <si>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</si>
  <si>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</si>
  <si>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</si>
  <si>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</si>
  <si>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</si>
  <si>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</si>
  <si>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</si>
  <si>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</si>
  <si>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</si>
  <si>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</si>
  <si>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</si>
  <si>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</si>
  <si>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</si>
  <si>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</si>
  <si>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</si>
  <si>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</si>
  <si>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</si>
  <si>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</si>
  <si>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</si>
  <si>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</si>
  <si>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</si>
  <si>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</si>
  <si>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</si>
  <si>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</si>
  <si>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</si>
  <si>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</si>
  <si>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</si>
  <si>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</si>
  <si>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</si>
  <si>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</si>
  <si>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</si>
  <si>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</si>
  <si>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</si>
  <si>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</si>
  <si>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</si>
  <si>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</si>
  <si>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</si>
  <si>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</si>
  <si>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</si>
  <si>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</si>
  <si>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</si>
  <si>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</si>
  <si>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</si>
  <si>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</si>
  <si>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</si>
  <si>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</si>
  <si>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</si>
  <si>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</si>
  <si>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</si>
  <si>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</si>
  <si>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</si>
  <si>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</si>
  <si>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</si>
  <si>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</si>
  <si>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</si>
  <si>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</si>
  <si>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</si>
  <si>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</si>
  <si>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</si>
  <si>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</si>
  <si>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</si>
  <si>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</si>
  <si>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</si>
  <si>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</si>
  <si>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</si>
  <si>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</si>
  <si>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</si>
  <si>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</si>
  <si>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</si>
  <si>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</si>
  <si>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</si>
  <si>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</si>
  <si>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</si>
  <si>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</si>
  <si>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</si>
  <si>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</si>
  <si>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</si>
  <si>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</si>
  <si>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</si>
  <si>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</si>
  <si>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</si>
  <si>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</si>
  <si>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</si>
  <si>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</si>
  <si>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</si>
  <si>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</si>
  <si>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</si>
  <si>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</si>
  <si>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</si>
  <si>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</si>
  <si>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</si>
  <si>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</si>
  <si>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</si>
  <si>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</si>
  <si>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</si>
  <si>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</si>
  <si>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</si>
  <si>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</si>
  <si>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</si>
  <si>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</si>
  <si>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</si>
  <si>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</si>
  <si>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</si>
  <si>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</si>
  <si>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</si>
  <si>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</si>
  <si>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</si>
  <si>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</si>
  <si>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</si>
  <si>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</si>
  <si>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</si>
  <si>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</si>
  <si>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</si>
  <si>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</si>
  <si>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</si>
  <si>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</si>
  <si>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</si>
  <si>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</si>
  <si>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</si>
  <si>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</si>
  <si>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</si>
  <si>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</si>
  <si>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</si>
  <si>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</si>
  <si>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</si>
  <si>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</si>
  <si>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</si>
  <si>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</si>
  <si>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</si>
  <si>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</si>
  <si>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</si>
  <si>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</si>
  <si>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</si>
  <si>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</si>
  <si>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</si>
  <si>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</si>
  <si>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</si>
  <si>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</si>
  <si>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</si>
  <si>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</si>
  <si>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</si>
  <si>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</si>
  <si>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</si>
  <si>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</si>
  <si>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</si>
  <si>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</si>
  <si>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</si>
  <si>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</si>
  <si>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</si>
  <si>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</si>
  <si>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</si>
  <si>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</si>
  <si>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</si>
  <si>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</si>
  <si>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</si>
  <si>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</si>
  <si>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</si>
  <si>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</si>
  <si>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</si>
  <si>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</si>
  <si>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</si>
  <si>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</si>
  <si>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</si>
  <si>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</si>
  <si>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</si>
  <si>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</si>
  <si>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</si>
  <si>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</si>
  <si>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</si>
  <si>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</si>
  <si>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</si>
  <si>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</si>
  <si>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</si>
  <si>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</si>
  <si>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</si>
  <si>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</si>
  <si>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</si>
  <si>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</si>
  <si>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</si>
  <si>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</si>
  <si>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</si>
  <si>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</si>
  <si>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</si>
  <si>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</si>
  <si>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</si>
  <si>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</si>
  <si>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</si>
  <si>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</si>
  <si>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</si>
  <si>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</si>
  <si>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</si>
  <si>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</si>
  <si>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</si>
  <si>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</si>
  <si>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</si>
  <si>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</si>
  <si>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</si>
  <si>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</si>
  <si>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</si>
  <si>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</si>
  <si>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</si>
  <si>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</si>
  <si>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</si>
  <si>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</si>
  <si>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</si>
  <si>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</si>
  <si>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</si>
  <si>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</si>
  <si>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</si>
  <si>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</si>
  <si>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</si>
  <si>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</si>
  <si>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</si>
  <si>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</si>
  <si>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</si>
  <si>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</si>
  <si>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</si>
  <si>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</si>
  <si>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</si>
  <si>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</si>
  <si>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</si>
  <si>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</si>
  <si>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</si>
  <si>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</si>
  <si>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</si>
  <si>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</si>
  <si>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</si>
  <si>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</si>
  <si>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</si>
  <si>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</si>
  <si>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</si>
  <si>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</si>
  <si>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</si>
  <si>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</si>
  <si>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</si>
  <si>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</si>
  <si>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</si>
  <si>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</si>
  <si>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</si>
  <si>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</si>
  <si>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</si>
  <si>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</si>
  <si>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</si>
  <si>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</si>
  <si>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</si>
  <si>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</si>
  <si>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</si>
  <si>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</si>
  <si>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</si>
  <si>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</si>
  <si>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</si>
  <si>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</si>
  <si>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</si>
  <si>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</si>
  <si>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</si>
  <si>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</si>
  <si>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</si>
  <si>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</si>
  <si>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</si>
  <si>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</si>
  <si>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</si>
  <si>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</si>
  <si>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</si>
  <si>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</si>
  <si>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</si>
  <si>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</si>
  <si>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</si>
  <si>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</si>
  <si>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</si>
  <si>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</si>
  <si>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</si>
  <si>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</si>
  <si>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</si>
  <si>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</si>
  <si>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</si>
  <si>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</si>
  <si>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</si>
  <si>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</si>
  <si>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</si>
  <si>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</si>
  <si>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</si>
  <si>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</si>
  <si>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</si>
  <si>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</si>
  <si>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</si>
  <si>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</si>
  <si>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</si>
  <si>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</si>
  <si>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</si>
  <si>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</si>
  <si>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</si>
  <si>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</si>
  <si>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</si>
  <si>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</si>
  <si>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</si>
  <si>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</si>
  <si>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</si>
  <si>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</si>
  <si>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</si>
  <si>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</si>
  <si>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</si>
  <si>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</si>
  <si>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</si>
  <si>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</si>
  <si>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</si>
  <si>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</si>
  <si>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</si>
  <si>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</si>
  <si>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</si>
  <si>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</si>
  <si>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</si>
  <si>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</si>
  <si>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</si>
  <si>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</si>
  <si>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</si>
  <si>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</si>
  <si>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</si>
  <si>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</si>
  <si>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</si>
  <si>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</si>
  <si>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</si>
  <si>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</si>
  <si>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</si>
  <si>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</si>
  <si>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</si>
  <si>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</si>
  <si>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</si>
  <si>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</si>
  <si>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</si>
  <si>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</si>
  <si>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</si>
  <si>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</si>
  <si>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</si>
  <si>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</si>
  <si>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</si>
  <si>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</si>
  <si>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</si>
  <si>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</si>
  <si>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</si>
  <si>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</si>
  <si>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</si>
  <si>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</si>
  <si>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</si>
  <si>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</si>
  <si>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</si>
  <si>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</si>
  <si>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</si>
  <si>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</si>
  <si>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</si>
  <si>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</si>
  <si>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</si>
  <si>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</si>
  <si>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</si>
  <si>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</si>
  <si>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</si>
  <si>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</si>
  <si>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</si>
  <si>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</si>
  <si>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</si>
  <si>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</si>
  <si>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</si>
  <si>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</si>
  <si>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</si>
  <si>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</si>
  <si>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</si>
  <si>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</si>
  <si>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</si>
  <si>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</si>
  <si>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</si>
  <si>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</si>
  <si>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</si>
  <si>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</si>
  <si>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</si>
  <si>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</si>
  <si>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</si>
  <si>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</si>
  <si>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</si>
  <si>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</si>
  <si>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</si>
  <si>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</si>
  <si>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</si>
  <si>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</si>
  <si>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</si>
  <si>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</si>
  <si>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</si>
  <si>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</si>
  <si>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</si>
  <si>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</si>
  <si>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</si>
  <si>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</si>
  <si>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</si>
  <si>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</si>
  <si>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</si>
  <si>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</si>
  <si>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</si>
  <si>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</si>
  <si>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</si>
  <si>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</si>
  <si>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</si>
  <si>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</si>
  <si>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</si>
  <si>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FO-14305</t>
  </si>
  <si>
    <t>Frank Olsen</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</si>
  <si>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</si>
  <si>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</si>
  <si>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</si>
  <si>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</si>
  <si>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</si>
  <si>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</si>
  <si>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</si>
  <si>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</si>
  <si>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</si>
  <si>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</si>
  <si>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</si>
  <si>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</si>
  <si>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</si>
  <si>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</si>
  <si>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</si>
  <si>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</si>
  <si>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</si>
  <si>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</si>
  <si>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</si>
  <si>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</si>
  <si>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</si>
  <si>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</si>
  <si>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</si>
  <si>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</si>
  <si>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</si>
  <si>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</si>
  <si>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</si>
  <si>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</si>
  <si>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</si>
  <si>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</si>
  <si>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</si>
  <si>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</si>
  <si>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</si>
  <si>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</si>
  <si>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</si>
  <si>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</si>
  <si>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</si>
  <si>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</si>
  <si>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</si>
  <si>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</si>
  <si>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</si>
  <si>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</si>
  <si>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</si>
  <si>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</si>
  <si>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</si>
  <si>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</si>
  <si>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</si>
  <si>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</si>
  <si>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</si>
  <si>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</si>
  <si>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</si>
  <si>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</si>
  <si>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</si>
  <si>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</si>
  <si>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</si>
  <si>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</si>
  <si>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</si>
  <si>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</si>
  <si>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</si>
  <si>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</si>
  <si>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</si>
  <si>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</si>
  <si>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</si>
  <si>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</si>
  <si>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</si>
  <si>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</si>
  <si>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</si>
  <si>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</si>
  <si>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</si>
  <si>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</si>
  <si>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</si>
  <si>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</si>
  <si>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</si>
  <si>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</si>
  <si>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</si>
  <si>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</si>
  <si>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</si>
  <si>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</si>
  <si>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</si>
  <si>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</si>
  <si>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</si>
  <si>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</si>
  <si>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</si>
  <si>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</si>
  <si>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</si>
  <si>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</si>
  <si>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</si>
  <si>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</si>
  <si>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</si>
  <si>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</si>
  <si>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</si>
  <si>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</si>
  <si>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</si>
  <si>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</si>
  <si>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</si>
  <si>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</si>
  <si>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</si>
  <si>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</si>
  <si>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</si>
  <si>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</si>
  <si>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</si>
  <si>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</si>
  <si>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</si>
  <si>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</si>
  <si>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</si>
  <si>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</si>
  <si>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</si>
  <si>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</si>
  <si>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</si>
  <si>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</si>
  <si>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</si>
  <si>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</si>
  <si>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</si>
  <si>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</si>
  <si>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</si>
  <si>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</si>
  <si>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</si>
  <si>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</si>
  <si>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</si>
  <si>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</si>
  <si>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</si>
  <si>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</si>
  <si>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</si>
  <si>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</si>
  <si>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</si>
  <si>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</si>
  <si>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</si>
  <si>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</si>
  <si>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</si>
  <si>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</si>
  <si>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</si>
  <si>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</si>
  <si>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</si>
  <si>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</si>
  <si>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</si>
  <si>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</si>
  <si>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</si>
  <si>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</si>
  <si>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</si>
  <si>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</si>
  <si>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</si>
  <si>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</si>
  <si>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</si>
  <si>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</si>
  <si>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</si>
  <si>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</si>
  <si>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</si>
  <si>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</si>
  <si>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</si>
  <si>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</si>
  <si>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</si>
  <si>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</si>
  <si>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</si>
  <si>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</si>
  <si>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</si>
  <si>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</si>
  <si>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</si>
  <si>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</si>
  <si>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</si>
  <si>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</si>
  <si>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</si>
  <si>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</si>
  <si>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</si>
  <si>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</si>
  <si>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</si>
  <si>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</si>
  <si>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</si>
  <si>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</si>
  <si>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</si>
  <si>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</si>
  <si>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</si>
  <si>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</si>
  <si>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</si>
  <si>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</si>
  <si>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</si>
  <si>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</si>
  <si>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</si>
  <si>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</si>
  <si>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</si>
  <si>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</si>
  <si>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</si>
  <si>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</si>
  <si>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</si>
  <si>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</si>
  <si>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</si>
  <si>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</si>
  <si>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</si>
  <si>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</si>
  <si>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</si>
  <si>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</si>
  <si>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</si>
  <si>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</si>
  <si>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</si>
  <si>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</si>
  <si>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</si>
  <si>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</si>
  <si>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</si>
  <si>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</si>
  <si>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</si>
  <si>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</si>
  <si>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</si>
  <si>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</si>
  <si>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</si>
  <si>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</si>
  <si>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</si>
  <si>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</si>
  <si>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</si>
  <si>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</si>
  <si>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</si>
  <si>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</si>
  <si>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</si>
  <si>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</si>
  <si>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</si>
  <si>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</si>
  <si>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</si>
  <si>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</si>
  <si>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</si>
  <si>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</si>
  <si>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</si>
  <si>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</si>
  <si>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</si>
  <si>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</si>
  <si>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</si>
  <si>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</si>
  <si>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</si>
  <si>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</si>
  <si>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</si>
  <si>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</si>
  <si>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</si>
  <si>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</si>
  <si>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</si>
  <si>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</si>
  <si>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</si>
  <si>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</si>
  <si>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</si>
  <si>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</si>
  <si>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</si>
  <si>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</si>
  <si>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</si>
  <si>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</si>
  <si>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</si>
  <si>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</si>
  <si>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</si>
  <si>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</si>
  <si>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</si>
  <si>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</si>
  <si>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</si>
  <si>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</si>
  <si>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</si>
  <si>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</si>
  <si>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</si>
  <si>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</si>
  <si>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</si>
  <si>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</si>
  <si>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</si>
  <si>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</si>
  <si>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</si>
  <si>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</si>
  <si>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</si>
  <si>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</si>
  <si>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</si>
  <si>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</si>
  <si>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</si>
  <si>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</si>
  <si>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</si>
  <si>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</si>
  <si>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</si>
  <si>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</si>
  <si>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</si>
  <si>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</si>
  <si>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</si>
  <si>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</si>
  <si>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</si>
  <si>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</si>
  <si>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</si>
  <si>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</si>
  <si>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</si>
  <si>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</si>
  <si>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</si>
  <si>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</si>
  <si>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</si>
  <si>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</si>
  <si>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</si>
  <si>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</si>
  <si>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</si>
  <si>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</si>
  <si>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</si>
  <si>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</si>
  <si>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</si>
  <si>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</si>
  <si>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</si>
  <si>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</si>
  <si>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</si>
  <si>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</si>
  <si>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</si>
  <si>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</si>
  <si>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</si>
  <si>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</si>
  <si>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</si>
  <si>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</si>
  <si>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</si>
  <si>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</si>
  <si>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</si>
  <si>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</si>
  <si>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</si>
  <si>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</si>
  <si>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</si>
  <si>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</si>
  <si>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</si>
  <si>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</si>
  <si>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</si>
  <si>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</si>
  <si>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</si>
  <si>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</si>
  <si>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</si>
  <si>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</si>
  <si>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</si>
  <si>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</si>
  <si>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</si>
  <si>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</si>
  <si>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</si>
  <si>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</si>
  <si>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</si>
  <si>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</si>
  <si>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</si>
  <si>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</si>
  <si>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</si>
  <si>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</si>
  <si>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</si>
  <si>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</si>
  <si>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</si>
  <si>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</si>
  <si>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</si>
  <si>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</si>
  <si>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</si>
  <si>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</si>
  <si>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</si>
  <si>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</si>
  <si>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</si>
  <si>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</si>
  <si>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</si>
  <si>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</si>
  <si>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</si>
  <si>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</si>
  <si>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</si>
  <si>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</si>
  <si>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</si>
  <si>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</si>
  <si>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</si>
  <si>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</si>
  <si>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</si>
  <si>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</si>
  <si>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</si>
  <si>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</si>
  <si>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</si>
  <si>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</si>
  <si>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</si>
  <si>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</si>
  <si>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</si>
  <si>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</si>
  <si>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</si>
  <si>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</si>
  <si>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</si>
  <si>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</si>
  <si>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</si>
  <si>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</si>
  <si>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</si>
  <si>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</si>
  <si>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</si>
  <si>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</si>
  <si>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</si>
  <si>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</si>
  <si>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</si>
  <si>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</si>
  <si>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</si>
  <si>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</si>
  <si>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</si>
  <si>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</si>
  <si>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</si>
  <si>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</si>
  <si>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</si>
  <si>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</si>
  <si>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</si>
  <si>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</si>
  <si>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</si>
  <si>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</si>
  <si>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</si>
  <si>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</si>
  <si>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</si>
  <si>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</si>
  <si>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</si>
  <si>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</si>
  <si>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</si>
  <si>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</si>
  <si>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</si>
  <si>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</si>
  <si>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</si>
  <si>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</si>
  <si>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</si>
  <si>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</si>
  <si>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</si>
  <si>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</si>
  <si>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</si>
  <si>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</si>
  <si>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</si>
  <si>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</si>
  <si>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</si>
  <si>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</si>
  <si>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</si>
  <si>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</si>
  <si>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</si>
  <si>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</si>
  <si>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</si>
  <si>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</si>
  <si>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</si>
  <si>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</si>
  <si>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</si>
  <si>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</si>
  <si>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</si>
  <si>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</si>
  <si>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</si>
  <si>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</si>
  <si>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</si>
  <si>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</si>
  <si>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</si>
  <si>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</si>
  <si>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</si>
  <si>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</si>
  <si>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</si>
  <si>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</si>
  <si>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</si>
  <si>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</si>
  <si>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</si>
  <si>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</si>
  <si>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</si>
  <si>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</si>
  <si>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</si>
  <si>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</si>
  <si>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</si>
  <si>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</si>
  <si>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</si>
  <si>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</si>
  <si>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</si>
  <si>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</si>
  <si>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</si>
  <si>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</si>
  <si>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</si>
  <si>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</si>
  <si>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</si>
  <si>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</si>
  <si>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</si>
  <si>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</si>
  <si>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</si>
  <si>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</si>
  <si>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</si>
  <si>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</si>
  <si>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</si>
  <si>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</si>
  <si>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</si>
  <si>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</si>
  <si>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</si>
  <si>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</si>
  <si>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</si>
  <si>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</si>
  <si>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</si>
  <si>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</si>
  <si>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</si>
  <si>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</si>
  <si>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</si>
  <si>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</si>
  <si>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</si>
  <si>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</si>
  <si>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</si>
  <si>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</si>
  <si>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</si>
  <si>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</si>
  <si>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</si>
  <si>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</si>
  <si>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</si>
  <si>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</si>
  <si>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</si>
  <si>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</si>
  <si>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</si>
  <si>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</si>
  <si>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</si>
  <si>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</si>
  <si>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</si>
  <si>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</si>
  <si>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</si>
  <si>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</si>
  <si>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</si>
  <si>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</si>
  <si>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</si>
  <si>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</si>
  <si>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</si>
  <si>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</si>
  <si>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</si>
  <si>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</si>
  <si>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</si>
  <si>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</si>
  <si>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</si>
  <si>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</si>
  <si>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</si>
  <si>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</si>
  <si>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</si>
  <si>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</si>
  <si>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</si>
  <si>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</si>
  <si>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</si>
  <si>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</si>
  <si>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</si>
  <si>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</si>
  <si>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</si>
  <si>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</si>
  <si>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</si>
  <si>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</si>
  <si>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</si>
  <si>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</si>
  <si>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</si>
  <si>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</si>
  <si>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</si>
  <si>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</si>
  <si>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</si>
  <si>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</si>
  <si>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</si>
  <si>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</si>
  <si>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</si>
  <si>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</si>
  <si>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</si>
  <si>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</si>
  <si>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</si>
  <si>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</si>
  <si>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</si>
  <si>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</si>
  <si>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</si>
  <si>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</si>
  <si>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</si>
  <si>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</si>
  <si>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</si>
  <si>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</si>
  <si>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</si>
  <si>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</si>
  <si>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</si>
  <si>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</si>
  <si>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</si>
  <si>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</si>
  <si>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</si>
  <si>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</si>
  <si>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</si>
  <si>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</si>
  <si>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</si>
  <si>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</si>
  <si>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</si>
  <si>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</si>
  <si>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</si>
  <si>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</si>
  <si>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</si>
  <si>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</si>
  <si>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</si>
  <si>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</si>
  <si>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</si>
  <si>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</si>
  <si>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</si>
  <si>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</si>
  <si>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</si>
  <si>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</si>
  <si>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</si>
  <si>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</si>
  <si>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</si>
  <si>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</si>
  <si>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</si>
  <si>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</si>
  <si>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</si>
  <si>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</si>
  <si>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</si>
  <si>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</si>
  <si>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</si>
  <si>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</si>
  <si>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</si>
  <si>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</si>
  <si>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</si>
  <si>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</si>
  <si>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</si>
  <si>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</si>
  <si>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</si>
  <si>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</si>
  <si>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</si>
  <si>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</si>
  <si>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</si>
  <si>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</si>
  <si>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</si>
  <si>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</si>
  <si>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</si>
  <si>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</si>
  <si>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</si>
  <si>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</si>
  <si>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</si>
  <si>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</si>
  <si>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</si>
  <si>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</si>
  <si>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</si>
  <si>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</si>
  <si>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</si>
  <si>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</si>
  <si>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</si>
  <si>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</si>
  <si>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</si>
  <si>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</si>
  <si>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</si>
  <si>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</si>
  <si>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</si>
  <si>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</si>
  <si>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</si>
  <si>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</si>
  <si>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</si>
  <si>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</si>
  <si>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</si>
  <si>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</si>
  <si>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</si>
  <si>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</si>
  <si>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</si>
  <si>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</si>
  <si>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</si>
  <si>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</si>
  <si>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</si>
  <si>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</si>
  <si>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</si>
  <si>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</si>
  <si>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</si>
  <si>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</si>
  <si>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</si>
  <si>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</si>
  <si>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</si>
  <si>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</si>
  <si>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</si>
  <si>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</si>
  <si>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</si>
  <si>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</si>
  <si>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</si>
  <si>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</si>
  <si>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</si>
  <si>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</si>
  <si>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</si>
  <si>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</si>
  <si>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</si>
  <si>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</si>
  <si>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</si>
  <si>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</si>
  <si>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</si>
  <si>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</si>
  <si>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</si>
  <si>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</si>
  <si>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</si>
  <si>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</si>
  <si>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</si>
  <si>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</si>
  <si>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</si>
  <si>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</si>
  <si>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</si>
  <si>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</si>
  <si>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</si>
  <si>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</si>
  <si>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</si>
  <si>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</si>
  <si>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</si>
  <si>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</si>
  <si>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</si>
  <si>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</si>
  <si>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</si>
  <si>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</si>
  <si>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</si>
  <si>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</si>
  <si>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</si>
  <si>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</si>
  <si>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</si>
  <si>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</si>
  <si>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</si>
  <si>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</si>
  <si>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</si>
  <si>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</si>
  <si>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</si>
  <si>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</si>
  <si>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</si>
  <si>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</si>
  <si>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</si>
  <si>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</si>
  <si>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</si>
  <si>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</si>
  <si>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</si>
  <si>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</si>
  <si>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</si>
  <si>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</si>
  <si>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</si>
  <si>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</si>
  <si>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</si>
  <si>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</si>
  <si>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</si>
  <si>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</si>
  <si>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</si>
  <si>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</si>
  <si>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</si>
  <si>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</si>
  <si>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</si>
  <si>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</si>
  <si>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</si>
  <si>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</si>
  <si>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</si>
  <si>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</si>
  <si>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</si>
  <si>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</si>
  <si>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</si>
  <si>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</si>
  <si>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</si>
  <si>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</si>
  <si>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</si>
  <si>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</si>
  <si>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</si>
  <si>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</si>
  <si>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</si>
  <si>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</si>
  <si>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</si>
  <si>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</si>
  <si>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</si>
  <si>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</si>
  <si>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</si>
  <si>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</si>
  <si>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</si>
  <si>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</si>
  <si>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</si>
  <si>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</si>
  <si>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</si>
  <si>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</si>
  <si>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</si>
  <si>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</si>
  <si>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</si>
  <si>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</si>
  <si>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</si>
  <si>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</si>
  <si>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</si>
  <si>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</si>
  <si>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</si>
  <si>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</si>
  <si>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</si>
  <si>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</si>
  <si>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</si>
  <si>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</si>
  <si>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</si>
  <si>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</si>
  <si>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</si>
  <si>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</si>
  <si>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</si>
  <si>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</si>
  <si>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</si>
  <si>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</si>
  <si>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</si>
  <si>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</si>
  <si>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</si>
  <si>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</si>
  <si>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</si>
  <si>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</si>
  <si>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</si>
  <si>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</si>
  <si>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</si>
  <si>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</si>
  <si>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</si>
  <si>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</si>
  <si>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</si>
  <si>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</si>
  <si>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</si>
  <si>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</si>
  <si>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</si>
  <si>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</si>
  <si>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</si>
  <si>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</si>
  <si>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</si>
  <si>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</si>
  <si>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</si>
  <si>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</si>
  <si>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</si>
  <si>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</si>
  <si>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</si>
  <si>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</si>
  <si>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</si>
  <si>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</si>
  <si>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</si>
  <si>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</si>
  <si>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</si>
  <si>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</si>
  <si>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</si>
  <si>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</si>
  <si>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</si>
  <si>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</si>
  <si>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</si>
  <si>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</si>
  <si>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</si>
  <si>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</si>
  <si>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</si>
  <si>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</si>
  <si>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</si>
  <si>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</si>
  <si>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</si>
  <si>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</si>
  <si>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</si>
  <si>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</si>
  <si>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</si>
  <si>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</si>
  <si>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</si>
  <si>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</si>
  <si>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</si>
  <si>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</si>
  <si>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</si>
  <si>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</si>
  <si>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</si>
  <si>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</si>
  <si>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</si>
  <si>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</si>
  <si>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</si>
  <si>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</si>
  <si>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</si>
  <si>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</si>
  <si>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</si>
  <si>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</si>
  <si>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</si>
  <si>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</si>
  <si>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</si>
  <si>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</si>
  <si>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</si>
  <si>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</si>
  <si>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</si>
  <si>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</si>
  <si>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</si>
  <si>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</si>
  <si>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</si>
  <si>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</si>
  <si>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</si>
  <si>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</si>
  <si>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</si>
  <si>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</si>
  <si>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</si>
  <si>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</si>
  <si>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</si>
  <si>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</si>
  <si>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</si>
  <si>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</si>
  <si>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</si>
  <si>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</si>
  <si>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</si>
  <si>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</si>
  <si>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</si>
  <si>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</si>
  <si>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</si>
  <si>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</si>
  <si>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</si>
  <si>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</si>
  <si>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</si>
  <si>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</si>
  <si>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</si>
  <si>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</si>
  <si>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</si>
  <si>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</si>
  <si>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</si>
  <si>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</si>
  <si>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</si>
  <si>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</si>
  <si>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</si>
  <si>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</si>
  <si>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</si>
  <si>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</si>
  <si>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</si>
  <si>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</si>
  <si>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</si>
  <si>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</si>
  <si>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</si>
  <si>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</si>
  <si>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</si>
  <si>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</si>
  <si>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</si>
  <si>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</si>
  <si>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</si>
  <si>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</si>
  <si>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</si>
  <si>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</si>
  <si>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</si>
  <si>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</si>
  <si>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</si>
  <si>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</si>
  <si>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</si>
  <si>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</si>
  <si>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</si>
  <si>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</si>
  <si>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</si>
  <si>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</si>
  <si>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</si>
  <si>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</si>
  <si>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</si>
  <si>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</si>
  <si>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</si>
  <si>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</si>
  <si>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</si>
  <si>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</si>
  <si>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</si>
  <si>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</si>
  <si>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</si>
  <si>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</si>
  <si>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</si>
  <si>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</si>
  <si>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</si>
  <si>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</si>
  <si>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</si>
  <si>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</si>
  <si>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</si>
  <si>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</si>
  <si>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</si>
  <si>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</si>
  <si>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</si>
  <si>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</si>
  <si>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</si>
  <si>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</si>
  <si>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</si>
  <si>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</si>
  <si>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</si>
  <si>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</si>
  <si>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</si>
  <si>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</si>
  <si>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</si>
  <si>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</si>
  <si>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</si>
  <si>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</si>
  <si>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</si>
  <si>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</si>
  <si>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</si>
  <si>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</si>
  <si>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</si>
  <si>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</si>
  <si>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</si>
  <si>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</si>
  <si>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</si>
  <si>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</si>
  <si>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</si>
  <si>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</si>
  <si>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</si>
  <si>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</si>
  <si>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</si>
  <si>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</si>
  <si>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</si>
  <si>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</si>
  <si>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</si>
  <si>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</si>
  <si>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</si>
  <si>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</si>
  <si>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</si>
  <si>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</si>
  <si>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</si>
  <si>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</si>
  <si>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</si>
  <si>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</si>
  <si>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</si>
  <si>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</si>
  <si>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</si>
  <si>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</si>
  <si>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</si>
  <si>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</si>
  <si>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</si>
  <si>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</si>
  <si>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</si>
  <si>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</si>
  <si>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</si>
  <si>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</si>
  <si>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</si>
  <si>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</si>
  <si>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</si>
  <si>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</si>
  <si>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</si>
  <si>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</si>
  <si>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</si>
  <si>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</si>
  <si>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</si>
  <si>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</si>
  <si>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</si>
  <si>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</si>
  <si>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</si>
  <si>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</si>
  <si>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</si>
  <si>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</si>
  <si>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</si>
  <si>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</si>
  <si>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</si>
  <si>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</si>
  <si>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</si>
  <si>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</si>
  <si>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</si>
  <si>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</si>
  <si>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</si>
  <si>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</si>
  <si>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</si>
  <si>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</si>
  <si>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</si>
  <si>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</si>
  <si>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</si>
  <si>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</si>
  <si>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</si>
  <si>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</si>
  <si>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</si>
  <si>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</si>
  <si>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</si>
  <si>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</si>
  <si>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</si>
  <si>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</si>
  <si>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</si>
  <si>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</si>
  <si>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</si>
  <si>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</si>
  <si>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</si>
  <si>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</si>
  <si>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</si>
  <si>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</si>
  <si>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</si>
  <si>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</si>
  <si>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</si>
  <si>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</si>
  <si>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</si>
  <si>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</si>
  <si>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</si>
  <si>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</si>
  <si>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</si>
  <si>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</si>
  <si>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</si>
  <si>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</si>
  <si>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</si>
  <si>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</si>
  <si>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</si>
  <si>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</si>
  <si>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</si>
  <si>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</si>
  <si>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</si>
  <si>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</si>
  <si>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</si>
  <si>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</si>
  <si>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</si>
  <si>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</si>
  <si>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</si>
  <si>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</si>
  <si>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</si>
  <si>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</si>
  <si>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</si>
  <si>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</si>
  <si>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</si>
  <si>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</si>
  <si>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</si>
  <si>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</si>
  <si>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</si>
  <si>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</si>
  <si>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</si>
  <si>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</si>
  <si>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</si>
  <si>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</si>
  <si>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</si>
  <si>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</si>
  <si>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</si>
  <si>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</si>
  <si>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</si>
  <si>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</si>
  <si>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</si>
  <si>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</si>
  <si>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</si>
  <si>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</si>
  <si>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</si>
  <si>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</si>
  <si>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</si>
  <si>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</si>
  <si>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</si>
  <si>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</si>
  <si>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</si>
  <si>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</si>
  <si>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</si>
  <si>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</si>
  <si>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</si>
  <si>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</si>
  <si>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</si>
  <si>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</si>
  <si>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</si>
  <si>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</si>
  <si>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</si>
  <si>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</si>
  <si>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</si>
  <si>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</si>
  <si>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</si>
  <si>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</si>
  <si>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</si>
  <si>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</si>
  <si>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</si>
  <si>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</si>
  <si>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</si>
  <si>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</si>
  <si>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</si>
  <si>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</si>
  <si>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</si>
  <si>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</si>
  <si>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</si>
  <si>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</si>
  <si>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</si>
  <si>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</si>
  <si>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</si>
  <si>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</si>
  <si>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</si>
  <si>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</si>
  <si>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</si>
  <si>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</si>
  <si>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</si>
  <si>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</si>
  <si>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</si>
  <si>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</si>
  <si>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</si>
  <si>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</si>
  <si>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</si>
  <si>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</si>
  <si>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</si>
  <si>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</si>
  <si>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</si>
  <si>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</si>
  <si>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</si>
  <si>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</si>
  <si>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</si>
  <si>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</si>
  <si>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</si>
  <si>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</si>
  <si>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</si>
  <si>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</si>
  <si>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</si>
  <si>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</si>
  <si>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</si>
  <si>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</si>
  <si>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</si>
  <si>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</si>
  <si>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</si>
  <si>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</si>
  <si>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</si>
  <si>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</si>
  <si>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</si>
  <si>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</si>
  <si>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</si>
  <si>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</si>
  <si>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</si>
  <si>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</si>
  <si>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</si>
  <si>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</si>
  <si>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</si>
  <si>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</si>
  <si>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</si>
  <si>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</si>
  <si>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</si>
  <si>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</si>
  <si>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</si>
  <si>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</si>
  <si>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</si>
  <si>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</si>
  <si>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</si>
  <si>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</si>
  <si>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</si>
  <si>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</si>
  <si>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</si>
  <si>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</si>
  <si>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</si>
  <si>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</si>
  <si>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</si>
  <si>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</si>
  <si>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</si>
  <si>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</si>
  <si>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</si>
  <si>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</si>
  <si>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</si>
  <si>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</si>
  <si>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</si>
  <si>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</si>
  <si>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</si>
  <si>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</si>
  <si>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</si>
  <si>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</si>
  <si>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</si>
  <si>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</si>
  <si>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</si>
  <si>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</si>
  <si>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</si>
  <si>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</si>
  <si>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</si>
  <si>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</si>
  <si>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</si>
  <si>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</si>
  <si>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</si>
  <si>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</si>
  <si>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</si>
  <si>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</si>
  <si>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</si>
  <si>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</si>
  <si>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</si>
  <si>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</si>
  <si>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</si>
  <si>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</si>
  <si>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</si>
  <si>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</si>
  <si>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</si>
  <si>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</si>
  <si>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</si>
  <si>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</si>
  <si>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</si>
  <si>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</si>
  <si>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</si>
  <si>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</si>
  <si>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</si>
  <si>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</si>
  <si>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</si>
  <si>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</si>
  <si>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</si>
  <si>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</si>
  <si>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</si>
  <si>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</si>
  <si>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</si>
  <si>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</si>
  <si>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</si>
  <si>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</si>
  <si>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</si>
  <si>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</si>
  <si>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</si>
  <si>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</si>
  <si>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</si>
  <si>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</si>
  <si>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</si>
  <si>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</si>
  <si>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</si>
  <si>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</si>
  <si>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</si>
  <si>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</si>
  <si>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</si>
  <si>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</si>
  <si>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</si>
  <si>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</si>
  <si>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</si>
  <si>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</si>
  <si>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</si>
  <si>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</si>
  <si>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</si>
  <si>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</si>
  <si>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</si>
  <si>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</si>
  <si>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</si>
  <si>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</si>
  <si>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</si>
  <si>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</si>
  <si>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</si>
  <si>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</si>
  <si>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</si>
  <si>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</si>
  <si>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</si>
  <si>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</si>
  <si>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</si>
  <si>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</si>
  <si>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</si>
  <si>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</si>
  <si>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</si>
  <si>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</si>
  <si>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</si>
  <si>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</si>
  <si>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</si>
  <si>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</si>
  <si>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</si>
  <si>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</si>
  <si>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</si>
  <si>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</si>
  <si>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</si>
  <si>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</si>
  <si>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</si>
  <si>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</si>
  <si>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</si>
  <si>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</si>
  <si>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</si>
  <si>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</si>
  <si>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</si>
  <si>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</si>
  <si>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</si>
  <si>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</si>
  <si>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</si>
  <si>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</si>
  <si>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</si>
  <si>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</si>
  <si>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</si>
  <si>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</si>
  <si>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</si>
  <si>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</si>
  <si>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</si>
  <si>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</si>
  <si>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</si>
  <si>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</si>
  <si>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</si>
  <si>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</si>
  <si>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</si>
  <si>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</si>
  <si>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</si>
  <si>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</si>
  <si>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</si>
  <si>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</si>
  <si>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</si>
  <si>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</si>
  <si>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</si>
  <si>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</si>
  <si>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</si>
  <si>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</si>
  <si>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</si>
  <si>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</si>
  <si>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</si>
  <si>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</si>
  <si>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</si>
  <si>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</si>
  <si>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</si>
  <si>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</si>
  <si>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</si>
  <si>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</si>
  <si>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</si>
  <si>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</si>
  <si>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</si>
  <si>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</si>
  <si>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</si>
  <si>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</si>
  <si>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</si>
  <si>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</si>
  <si>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</si>
  <si>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</si>
  <si>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</si>
  <si>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</si>
  <si>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</si>
  <si>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</si>
  <si>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</si>
  <si>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</si>
  <si>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</si>
  <si>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</si>
  <si>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</si>
  <si>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</si>
  <si>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</si>
  <si>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</si>
  <si>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</si>
  <si>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</si>
  <si>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</si>
  <si>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</si>
  <si>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</si>
  <si>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</si>
  <si>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</si>
  <si>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</si>
  <si>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</si>
  <si>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</si>
  <si>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</si>
  <si>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</si>
  <si>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</si>
  <si>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</si>
  <si>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</si>
  <si>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</si>
  <si>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</si>
  <si>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</si>
  <si>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</si>
  <si>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</si>
  <si>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</si>
  <si>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</si>
  <si>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</si>
  <si>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</si>
  <si>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</si>
  <si>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</si>
  <si>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</si>
  <si>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</si>
  <si>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</si>
  <si>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</si>
  <si>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</si>
  <si>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</si>
  <si>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</si>
  <si>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</si>
  <si>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</si>
  <si>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</si>
  <si>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</si>
  <si>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</si>
  <si>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</si>
  <si>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</si>
  <si>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</si>
  <si>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</si>
  <si>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</si>
  <si>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</si>
  <si>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</si>
  <si>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</si>
  <si>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</si>
  <si>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</si>
  <si>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</si>
  <si>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</si>
  <si>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</si>
  <si>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</si>
  <si>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</si>
  <si>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</si>
  <si>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</si>
  <si>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</si>
  <si>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</si>
  <si>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</si>
  <si>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</si>
  <si>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</si>
  <si>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</si>
  <si>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</si>
  <si>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</si>
  <si>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</si>
  <si>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</si>
  <si>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</si>
  <si>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</si>
  <si>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</si>
  <si>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</si>
  <si>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</si>
  <si>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</si>
  <si>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</si>
  <si>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</si>
  <si>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</si>
  <si>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</si>
  <si>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</si>
  <si>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</si>
  <si>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</si>
  <si>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</si>
  <si>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</si>
  <si>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</si>
  <si>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</si>
  <si>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</si>
  <si>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</si>
  <si>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</si>
  <si>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</si>
  <si>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</si>
  <si>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</si>
  <si>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</si>
  <si>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</si>
  <si>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</si>
  <si>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</si>
  <si>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</si>
  <si>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</si>
  <si>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</si>
  <si>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</si>
  <si>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</si>
  <si>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</si>
  <si>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</si>
  <si>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</si>
  <si>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</si>
  <si>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</si>
  <si>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</si>
  <si>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</si>
  <si>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</si>
  <si>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</si>
  <si>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</si>
  <si>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</si>
  <si>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</si>
  <si>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</si>
  <si>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</si>
  <si>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</si>
  <si>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</si>
  <si>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</si>
  <si>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</si>
  <si>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</si>
  <si>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</si>
  <si>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</si>
  <si>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</si>
  <si>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</si>
  <si>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</si>
  <si>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</si>
  <si>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</si>
  <si>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</si>
  <si>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</si>
  <si>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</si>
  <si>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</si>
  <si>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</si>
  <si>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</si>
  <si>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</si>
  <si>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</si>
  <si>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</si>
  <si>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</si>
  <si>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</si>
  <si>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</si>
  <si>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</si>
  <si>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</si>
  <si>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</si>
  <si>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</si>
  <si>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</si>
  <si>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</si>
  <si>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</si>
  <si>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</si>
  <si>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</si>
  <si>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</si>
  <si>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</si>
  <si>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</si>
  <si>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</si>
  <si>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</si>
  <si>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</si>
  <si>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</si>
  <si>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</si>
  <si>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</si>
  <si>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</si>
  <si>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</si>
  <si>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</si>
  <si>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</si>
  <si>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</si>
  <si>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</si>
  <si>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</si>
  <si>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</si>
  <si>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</si>
  <si>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</si>
  <si>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</si>
  <si>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</si>
  <si>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</si>
  <si>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</si>
  <si>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</si>
  <si>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</si>
  <si>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</si>
  <si>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</si>
  <si>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</si>
  <si>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</si>
  <si>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</si>
  <si>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</si>
  <si>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</si>
  <si>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</si>
  <si>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</si>
  <si>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</si>
  <si>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</si>
  <si>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</si>
  <si>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</si>
  <si>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</si>
  <si>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</si>
  <si>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</si>
  <si>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</si>
  <si>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</si>
  <si>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</si>
  <si>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</si>
  <si>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</si>
  <si>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</si>
  <si>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</si>
  <si>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</si>
  <si>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</si>
  <si>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</si>
  <si>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</si>
  <si>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</si>
  <si>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</si>
  <si>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</si>
  <si>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</si>
  <si>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</si>
  <si>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</si>
  <si>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</si>
  <si>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</si>
  <si>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</si>
  <si>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</si>
  <si>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</si>
  <si>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</si>
  <si>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</si>
  <si>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</si>
  <si>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</si>
  <si>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</si>
  <si>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</si>
  <si>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</si>
  <si>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</si>
  <si>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</si>
  <si>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</si>
  <si>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</si>
  <si>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</si>
  <si>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</si>
  <si>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</si>
  <si>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</si>
  <si>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</si>
  <si>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</si>
  <si>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</si>
  <si>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</si>
  <si>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</si>
  <si>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</si>
  <si>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</si>
  <si>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</si>
  <si>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</si>
  <si>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</si>
  <si>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</si>
  <si>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</si>
  <si>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</si>
  <si>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</si>
  <si>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</si>
  <si>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</si>
  <si>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</si>
  <si>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</si>
  <si>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</si>
  <si>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</si>
  <si>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</si>
  <si>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</si>
  <si>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</si>
  <si>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</si>
  <si>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</si>
  <si>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</si>
  <si>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</si>
  <si>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</si>
  <si>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</si>
  <si>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</si>
  <si>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</si>
  <si>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</si>
  <si>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</si>
  <si>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</si>
  <si>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</si>
  <si>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</si>
  <si>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</si>
  <si>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</si>
  <si>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</si>
  <si>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</si>
  <si>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</si>
  <si>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</si>
  <si>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</si>
  <si>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</si>
  <si>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</si>
  <si>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</si>
  <si>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</si>
  <si>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</si>
  <si>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</si>
  <si>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</si>
  <si>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</si>
  <si>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</si>
  <si>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</si>
  <si>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</si>
  <si>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</si>
  <si>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</si>
  <si>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</si>
  <si>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</si>
  <si>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</si>
  <si>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</si>
  <si>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</si>
  <si>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</si>
  <si>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</si>
  <si>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</si>
  <si>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</si>
  <si>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</si>
  <si>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</si>
  <si>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</si>
  <si>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</si>
  <si>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</si>
  <si>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</si>
  <si>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</si>
  <si>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</si>
  <si>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</si>
  <si>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</si>
  <si>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</si>
  <si>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</si>
  <si>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</si>
  <si>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</si>
  <si>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</si>
  <si>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</si>
  <si>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</si>
  <si>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</si>
  <si>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</si>
  <si>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</si>
  <si>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</si>
  <si>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</si>
  <si>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</si>
  <si>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</si>
  <si>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</si>
  <si>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</si>
  <si>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</si>
  <si>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</si>
  <si>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</si>
  <si>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</si>
  <si>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</si>
  <si>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</si>
  <si>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</si>
  <si>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</si>
  <si>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</si>
  <si>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</si>
  <si>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</si>
  <si>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</si>
  <si>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</si>
  <si>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</si>
  <si>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</si>
  <si>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</si>
  <si>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</si>
  <si>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</si>
  <si>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</si>
  <si>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</si>
  <si>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</si>
  <si>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</si>
  <si>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</si>
  <si>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</si>
  <si>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</si>
  <si>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</si>
  <si>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</si>
  <si>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</si>
  <si>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</si>
  <si>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</si>
  <si>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</si>
  <si>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</si>
  <si>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</si>
  <si>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</si>
  <si>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</si>
  <si>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</si>
  <si>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</si>
  <si>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</si>
  <si>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</si>
  <si>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</si>
  <si>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</si>
  <si>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</si>
  <si>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</si>
  <si>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</si>
  <si>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</si>
  <si>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</si>
  <si>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</si>
  <si>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</si>
  <si>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</si>
  <si>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</si>
  <si>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</si>
  <si>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</si>
  <si>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</si>
  <si>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</si>
  <si>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</si>
  <si>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</si>
  <si>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</si>
  <si>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</si>
  <si>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</si>
  <si>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</si>
  <si>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</si>
  <si>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</si>
  <si>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</si>
  <si>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</si>
  <si>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</si>
  <si>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</si>
  <si>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</si>
  <si>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</si>
  <si>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</si>
  <si>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</si>
  <si>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</si>
  <si>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</si>
  <si>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</si>
  <si>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</si>
  <si>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</si>
  <si>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</si>
  <si>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</si>
  <si>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</si>
  <si>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</si>
  <si>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</si>
  <si>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</si>
  <si>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</si>
  <si>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</si>
  <si>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</si>
  <si>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</si>
  <si>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</si>
  <si>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</si>
  <si>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</si>
  <si>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</si>
  <si>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</si>
  <si>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</si>
  <si>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</si>
  <si>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</si>
  <si>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</si>
  <si>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</si>
  <si>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</si>
  <si>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</si>
  <si>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</si>
  <si>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</si>
  <si>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</si>
  <si>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</si>
  <si>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</si>
  <si>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</si>
  <si>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</si>
  <si>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</si>
  <si>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</si>
  <si>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</si>
  <si>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</si>
  <si>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</si>
  <si>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</si>
  <si>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</si>
  <si>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</si>
  <si>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</si>
  <si>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</si>
  <si>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</si>
  <si>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</si>
  <si>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</si>
  <si>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</si>
  <si>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</si>
  <si>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</si>
  <si>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</si>
  <si>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</si>
  <si>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</si>
  <si>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</si>
  <si>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</si>
  <si>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</si>
  <si>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</si>
  <si>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</si>
  <si>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</si>
  <si>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</si>
  <si>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</si>
  <si>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</si>
  <si>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</si>
  <si>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</si>
  <si>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</si>
  <si>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</si>
  <si>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</si>
  <si>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</si>
  <si>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</si>
  <si>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</si>
  <si>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</si>
  <si>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</si>
  <si>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</si>
  <si>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</si>
  <si>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</si>
  <si>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</si>
  <si>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</si>
  <si>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</si>
  <si>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</si>
  <si>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</si>
  <si>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</si>
  <si>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</si>
  <si>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</si>
  <si>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</si>
  <si>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</si>
  <si>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</si>
  <si>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</si>
  <si>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</si>
  <si>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</si>
  <si>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</si>
  <si>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</si>
  <si>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</si>
  <si>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</si>
  <si>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</si>
  <si>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</si>
  <si>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</si>
  <si>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</si>
  <si>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</si>
  <si>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</si>
  <si>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</si>
  <si>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</si>
  <si>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</si>
  <si>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</si>
  <si>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</si>
  <si>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</si>
  <si>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</si>
  <si>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</si>
  <si>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</si>
  <si>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</si>
  <si>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</si>
  <si>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</si>
  <si>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</si>
  <si>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</si>
  <si>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</si>
  <si>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</si>
  <si>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</si>
  <si>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</si>
  <si>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</si>
  <si>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</si>
  <si>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</si>
  <si>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</si>
  <si>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</si>
  <si>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</si>
  <si>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</si>
  <si>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</si>
  <si>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</si>
  <si>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</si>
  <si>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</si>
  <si>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</si>
  <si>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</si>
  <si>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</si>
  <si>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</si>
  <si>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</si>
  <si>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</si>
  <si>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</si>
  <si>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</si>
  <si>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</si>
  <si>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</si>
  <si>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</si>
  <si>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</si>
  <si>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</si>
  <si>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</si>
  <si>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</si>
  <si>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</si>
  <si>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</si>
  <si>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</si>
  <si>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</si>
  <si>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</si>
  <si>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</si>
  <si>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</si>
  <si>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</si>
  <si>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</si>
  <si>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</si>
  <si>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</si>
  <si>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</si>
  <si>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</si>
  <si>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</si>
  <si>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</si>
  <si>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</si>
  <si>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</si>
  <si>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</si>
  <si>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</si>
  <si>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</si>
  <si>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</si>
  <si>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</si>
  <si>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</si>
  <si>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</si>
  <si>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</si>
  <si>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</si>
  <si>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</si>
  <si>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</si>
  <si>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</si>
  <si>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</si>
  <si>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</si>
  <si>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</si>
  <si>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</si>
  <si>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</si>
  <si>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</si>
  <si>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</si>
  <si>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</si>
  <si>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</si>
  <si>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</si>
  <si>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</si>
  <si>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</si>
  <si>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</si>
  <si>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</si>
  <si>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</si>
  <si>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</si>
  <si>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</si>
  <si>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</si>
  <si>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</si>
  <si>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</si>
  <si>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</si>
  <si>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</si>
  <si>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</si>
  <si>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</si>
  <si>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</si>
  <si>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</si>
  <si>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</si>
  <si>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</si>
  <si>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</si>
  <si>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</si>
  <si>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</si>
  <si>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</si>
  <si>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</si>
  <si>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</si>
  <si>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</si>
  <si>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</si>
  <si>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</si>
  <si>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</si>
  <si>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</si>
  <si>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</si>
  <si>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</si>
  <si>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</si>
  <si>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</si>
  <si>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</si>
  <si>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</si>
  <si>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</si>
  <si>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</si>
  <si>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</si>
  <si>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</si>
  <si>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</si>
  <si>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</si>
  <si>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</si>
  <si>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</si>
  <si>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</si>
  <si>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</si>
  <si>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</si>
  <si>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</si>
  <si>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</si>
  <si>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</si>
  <si>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</si>
  <si>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</si>
  <si>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</si>
  <si>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</si>
  <si>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</si>
  <si>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</si>
  <si>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</si>
  <si>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</si>
  <si>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</si>
  <si>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</si>
  <si>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</si>
  <si>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</si>
  <si>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</si>
  <si>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</si>
  <si>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</si>
  <si>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</si>
  <si>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</si>
  <si>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</si>
  <si>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</si>
  <si>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</si>
  <si>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</si>
  <si>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</si>
  <si>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</si>
  <si>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</si>
  <si>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</si>
  <si>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</si>
  <si>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</si>
  <si>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</si>
  <si>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</si>
  <si>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</si>
  <si>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</si>
  <si>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</si>
  <si>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</si>
  <si>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</si>
  <si>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</si>
  <si>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</si>
  <si>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</si>
  <si>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</si>
  <si>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</si>
  <si>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</si>
  <si>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</si>
  <si>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</si>
  <si>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</si>
  <si>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</si>
  <si>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</si>
  <si>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</si>
  <si>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</si>
  <si>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</si>
  <si>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</si>
  <si>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</si>
  <si>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</si>
  <si>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</si>
  <si>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</si>
  <si>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</si>
  <si>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</si>
  <si>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</si>
  <si>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</si>
  <si>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</si>
  <si>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</si>
  <si>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</si>
  <si>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</si>
  <si>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</si>
  <si>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</si>
  <si>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</si>
  <si>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</si>
  <si>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</si>
  <si>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</si>
  <si>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</si>
  <si>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</si>
  <si>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</si>
  <si>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</si>
  <si>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</si>
  <si>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</si>
  <si>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</si>
  <si>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</si>
  <si>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</si>
  <si>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</si>
  <si>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</si>
  <si>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</si>
  <si>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</si>
  <si>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</si>
  <si>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</si>
  <si>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</si>
  <si>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</si>
  <si>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</si>
  <si>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</si>
  <si>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</si>
  <si>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</si>
  <si>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</si>
  <si>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</si>
  <si>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</si>
  <si>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</si>
  <si>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</si>
  <si>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</si>
  <si>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</si>
  <si>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</si>
  <si>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</si>
  <si>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</si>
  <si>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</si>
  <si>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</si>
  <si>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</si>
  <si>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</si>
  <si>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</si>
  <si>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</si>
  <si>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</si>
  <si>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</si>
  <si>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</si>
  <si>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</si>
  <si>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</si>
  <si>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</si>
  <si>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</si>
  <si>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</si>
  <si>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</si>
  <si>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</si>
  <si>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</si>
  <si>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</si>
  <si>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</si>
  <si>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</si>
  <si>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</si>
  <si>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</si>
  <si>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</si>
  <si>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</si>
  <si>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</si>
  <si>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</si>
  <si>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</si>
  <si>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</si>
  <si>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</si>
  <si>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</si>
  <si>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</si>
  <si>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</si>
  <si>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</si>
  <si>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</si>
  <si>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</si>
  <si>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</si>
  <si>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</si>
  <si>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</si>
  <si>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</si>
  <si>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</si>
  <si>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</si>
  <si>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</si>
  <si>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</si>
  <si>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</si>
  <si>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</si>
  <si>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</si>
  <si>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</si>
  <si>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</si>
  <si>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</si>
  <si>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</si>
  <si>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</si>
  <si>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</si>
  <si>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</si>
  <si>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</si>
  <si>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</si>
  <si>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</si>
  <si>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</si>
  <si>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</si>
  <si>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</si>
  <si>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</si>
  <si>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</si>
  <si>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</si>
  <si>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</si>
  <si>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</si>
  <si>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</si>
  <si>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</si>
  <si>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</si>
  <si>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</si>
  <si>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</si>
  <si>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</si>
  <si>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</si>
  <si>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</si>
  <si>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</si>
  <si>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</si>
  <si>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</si>
  <si>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</si>
  <si>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</si>
  <si>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</si>
  <si>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</si>
  <si>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</si>
  <si>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</si>
  <si>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</si>
  <si>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</si>
  <si>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</si>
  <si>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</si>
  <si>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</si>
  <si>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</si>
  <si>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</si>
  <si>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</si>
  <si>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</si>
  <si>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</si>
  <si>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</si>
  <si>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</si>
  <si>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</si>
  <si>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</si>
  <si>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</si>
  <si>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</si>
  <si>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</si>
  <si>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</si>
  <si>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</si>
  <si>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</si>
  <si>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</si>
  <si>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</si>
  <si>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</si>
  <si>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</si>
  <si>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</si>
  <si>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</si>
  <si>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</si>
  <si>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</si>
  <si>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</si>
  <si>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</si>
  <si>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</si>
  <si>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</si>
  <si>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</si>
  <si>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</si>
  <si>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</si>
  <si>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</si>
  <si>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</si>
  <si>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</si>
  <si>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</si>
  <si>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</si>
  <si>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</si>
  <si>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</si>
  <si>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</si>
  <si>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</si>
  <si>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</si>
  <si>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</si>
  <si>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</si>
  <si>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</si>
  <si>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</si>
  <si>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</si>
  <si>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</si>
  <si>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</si>
  <si>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</si>
  <si>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</si>
  <si>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</si>
  <si>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</si>
  <si>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</si>
  <si>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</si>
  <si>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</si>
  <si>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</si>
  <si>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</si>
  <si>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</si>
  <si>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</si>
  <si>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</si>
  <si>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</si>
  <si>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</si>
  <si>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</si>
  <si>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</si>
  <si>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</si>
  <si>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</si>
  <si>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</si>
  <si>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</si>
  <si>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</si>
  <si>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</si>
  <si>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</si>
  <si>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</si>
  <si>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</si>
  <si>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</si>
  <si>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</si>
  <si>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</si>
  <si>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</si>
  <si>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</si>
  <si>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</si>
  <si>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</si>
  <si>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</si>
  <si>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</si>
  <si>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</si>
  <si>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</si>
  <si>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</si>
  <si>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</si>
  <si>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</si>
  <si>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</si>
  <si>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</si>
  <si>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</si>
  <si>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</si>
  <si>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</si>
  <si>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</si>
  <si>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</si>
  <si>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</si>
  <si>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</si>
  <si>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</si>
  <si>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</si>
  <si>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</si>
  <si>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</si>
  <si>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</si>
  <si>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</si>
  <si>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</si>
  <si>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</si>
  <si>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</si>
  <si>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</si>
  <si>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</si>
  <si>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</si>
  <si>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</si>
  <si>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</si>
  <si>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</si>
  <si>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</si>
  <si>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</si>
  <si>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</si>
  <si>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</si>
  <si>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</si>
  <si>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</si>
  <si>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</si>
  <si>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</si>
  <si>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</si>
  <si>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</si>
  <si>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</si>
  <si>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</si>
  <si>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</si>
  <si>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</si>
  <si>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</si>
  <si>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</si>
  <si>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</si>
  <si>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</si>
  <si>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</si>
  <si>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</si>
  <si>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</si>
  <si>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</si>
  <si>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</si>
  <si>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</si>
  <si>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</si>
  <si>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</si>
  <si>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</si>
  <si>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</si>
  <si>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</si>
  <si>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</si>
  <si>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</si>
  <si>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</si>
  <si>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</si>
  <si>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</si>
  <si>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</si>
  <si>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</si>
  <si>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</si>
  <si>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</si>
  <si>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</si>
  <si>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</si>
  <si>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</si>
  <si>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</si>
  <si>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</si>
  <si>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</si>
  <si>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</si>
  <si>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</si>
  <si>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</si>
  <si>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</si>
  <si>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</si>
  <si>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</si>
  <si>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</si>
  <si>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</si>
  <si>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</si>
  <si>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</si>
  <si>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</si>
  <si>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</si>
  <si>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</si>
  <si>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</si>
  <si>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</si>
  <si>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</si>
  <si>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</si>
  <si>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</si>
  <si>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</si>
  <si>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</si>
  <si>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</si>
  <si>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</si>
  <si>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</si>
  <si>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</si>
  <si>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</si>
  <si>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</si>
  <si>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</si>
  <si>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</si>
  <si>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</si>
  <si>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</si>
  <si>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</si>
  <si>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</si>
  <si>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</si>
  <si>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</si>
  <si>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</si>
  <si>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</si>
  <si>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</si>
  <si>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</si>
  <si>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</si>
  <si>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</si>
  <si>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</si>
  <si>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</si>
  <si>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</si>
  <si>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</si>
  <si>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</si>
  <si>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</si>
  <si>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</si>
  <si>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</si>
  <si>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</si>
  <si>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</si>
  <si>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</si>
  <si>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</si>
  <si>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</si>
  <si>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</si>
  <si>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</si>
  <si>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</si>
  <si>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</si>
  <si>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</si>
  <si>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</si>
  <si>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</si>
  <si>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</si>
  <si>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</si>
  <si>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</si>
  <si>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</si>
  <si>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</si>
  <si>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</si>
  <si>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</si>
  <si>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</si>
  <si>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</si>
  <si>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</si>
  <si>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</si>
  <si>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</si>
  <si>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</si>
  <si>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</si>
  <si>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</si>
  <si>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</si>
  <si>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</si>
  <si>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</si>
  <si>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</si>
  <si>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</si>
  <si>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</si>
  <si>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</si>
  <si>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</si>
  <si>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</si>
  <si>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</si>
  <si>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</si>
  <si>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</si>
  <si>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</si>
  <si>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</si>
  <si>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</si>
  <si>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</si>
  <si>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</si>
  <si>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</si>
  <si>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</si>
  <si>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</si>
  <si>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</si>
  <si>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</si>
  <si>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</si>
  <si>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</si>
  <si>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</si>
  <si>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</si>
  <si>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</si>
  <si>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</si>
  <si>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</si>
  <si>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</si>
  <si>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</si>
  <si>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</si>
  <si>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</si>
  <si>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</si>
  <si>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</si>
  <si>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</si>
  <si>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</si>
  <si>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</si>
  <si>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</si>
  <si>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</si>
  <si>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</si>
  <si>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</si>
  <si>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</si>
  <si>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</si>
  <si>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</si>
  <si>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</si>
  <si>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</si>
  <si>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</si>
  <si>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</si>
  <si>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</si>
  <si>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</si>
  <si>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</si>
  <si>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</si>
  <si>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</si>
  <si>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</si>
  <si>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</si>
  <si>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</si>
  <si>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</si>
  <si>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</si>
  <si>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</si>
  <si>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</si>
  <si>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</si>
  <si>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</si>
  <si>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</si>
  <si>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</si>
  <si>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</si>
  <si>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</si>
  <si>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</si>
  <si>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</si>
  <si>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</si>
  <si>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</si>
  <si>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</si>
  <si>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</si>
  <si>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</si>
  <si>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</si>
  <si>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</si>
  <si>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</si>
  <si>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</si>
  <si>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</si>
  <si>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</si>
  <si>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</si>
  <si>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CA-2015-164385</t>
  </si>
  <si>
    <t>NB-18580</t>
  </si>
  <si>
    <t>Nicole Brennan</t>
  </si>
  <si>
    <t>US-2017-114174</t>
  </si>
  <si>
    <t>FUR-BO-10003450</t>
  </si>
  <si>
    <t>Bush Westfield Collection Bookcases, Dark Cherry Finish</t>
  </si>
  <si>
    <t>CA-2018-108070</t>
  </si>
  <si>
    <t>US-2016-128090</t>
  </si>
  <si>
    <t>Row Labels</t>
  </si>
  <si>
    <t>Sum of Sales</t>
  </si>
  <si>
    <t>Sum of Row ID</t>
  </si>
  <si>
    <t>2015</t>
  </si>
  <si>
    <t>2016</t>
  </si>
  <si>
    <t>2017</t>
  </si>
  <si>
    <t>2018</t>
  </si>
  <si>
    <t>2019</t>
  </si>
  <si>
    <t>SHIPPING SPEED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</si>
</sst>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 ;_-[$$-409]* \-#,##0.00\ ;_-[$$-409]* &quot;-&quot;??_ ;_-@_ "/>
    <numFmt numFmtId="165" formatCode="[$$-409]#,##0.00"/>
    <numFmt numFmtId="166" formatCode="[$$-540A]#,##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Arial Narrow"/>
      <family val="2"/>
    </font>
    <font>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18" fillId="0" borderId="0" xfId="0" applyFont="1"/>
    <xf numFmtId="14" fontId="18" fillId="0" borderId="0" xfId="0" applyNumberFormat="1" applyFont="1"/>
    <xf numFmtId="0" fontId="0" fillId="0" borderId="0" xfId="0" pivotButton="1"/>
    <xf numFmtId="0" fontId="0" fillId="0" borderId="0" xfId="0" applyAlignment="1">
      <alignment horizontal="left"/>
    </xf>
    <xf numFmtId="0" fontId="0" fillId="33" borderId="0" xfId="0" applyFill="1"/>
    <xf numFmtId="10" fontId="0" fillId="0" borderId="0" xfId="0" applyNumberFormat="1"/>
    <xf numFmtId="164" fontId="0" fillId="0" borderId="0" xfId="0" applyNumberFormat="1"/>
    <xf numFmtId="0" fontId="19" fillId="0" borderId="0" xfId="0" applyFont="1"/>
    <xf numFmtId="14" fontId="19" fillId="0" borderId="0" xfId="0" applyNumberFormat="1" applyFont="1"/>
    <xf numFmtId="165"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4" formatCode="_-[$$-409]* #,##0.00_ ;_-[$$-409]* \-#,##0.00\ ;_-[$$-409]* &quot;-&quot;??_ ;_-@_ "/>
    </dxf>
    <dxf>
      <numFmt numFmtId="164" formatCode="_-[$$-409]* #,##0.00_ ;_-[$$-409]* \-#,##0.00\ ;_-[$$-409]* &quot;-&quot;??_ ;_-@_ "/>
    </dxf>
    <dxf>
      <numFmt numFmtId="164" formatCode="_-[$$-409]* #,##0.00_ ;_-[$$-409]* \-#,##0.00\ ;_-[$$-409]* &quot;-&quot;??_ ;_-@_ "/>
    </dxf>
    <dxf>
      <numFmt numFmtId="165" formatCode="[$$-409]#,##0.00"/>
    </dxf>
    <dxf>
      <numFmt numFmtId="165" formatCode="[$$-409]#,##0.00"/>
    </dxf>
    <dxf>
      <numFmt numFmtId="164" formatCode="_-[$$-409]* #,##0.00_ ;_-[$$-409]* \-#,##0.00\ ;_-[$$-409]* &quot;-&quot;??_ ;_-@_ "/>
    </dxf>
    <dxf>
      <numFmt numFmtId="164" formatCode="_-[$$-409]* #,##0.00_ ;_-[$$-409]* \-#,##0.00\ ;_-[$$-409]* &quot;-&quot;??_ ;_-@_ "/>
    </dxf>
    <dxf>
      <numFmt numFmtId="19" formatCode="dd/mm/yyyy"/>
    </dxf>
    <dxf>
      <numFmt numFmtId="19" formatCode="dd/mm/yyyy"/>
    </dxf>
    <dxf>
      <numFmt numFmtId="19" formatCode="dd/mm/yyyy"/>
    </dxf>
    <dxf>
      <numFmt numFmtId="19" formatCode="dd/mm/yyyy"/>
    </dxf>
    <dxf>
      <numFmt numFmtId="19" formatCode="dd/mm/yyyy"/>
    </dxf>
    <dxf>
      <numFmt numFmtId="19" formatCode="dd/mm/yyyy"/>
    </dxf>
    <dxf>
      <font>
        <strike val="0"/>
        <outline val="0"/>
        <shadow val="0"/>
        <u val="none"/>
        <vertAlign val="baseline"/>
        <sz val="14"/>
        <color theme="1"/>
        <name val="Arial Narrow"/>
        <family val="2"/>
        <scheme val="none"/>
      </font>
    </dxf>
    <dxf>
      <fill>
        <patternFill>
          <bgColor theme="4" tint="0.59996337778862885"/>
        </patternFill>
      </fill>
    </dxf>
    <dxf>
      <font>
        <name val="Aptos Display"/>
        <family val="2"/>
        <scheme val="none"/>
      </font>
      <fill>
        <patternFill>
          <bgColor theme="4"/>
        </patternFill>
      </fill>
      <border>
        <left style="thick">
          <color auto="1"/>
        </left>
        <right style="thick">
          <color auto="1"/>
        </right>
        <top style="thick">
          <color auto="1"/>
        </top>
        <bottom style="thick">
          <color auto="1"/>
        </bottom>
      </border>
    </dxf>
  </dxfs>
  <tableStyles count="2" defaultTableStyle="TableStyleMedium2" defaultPivotStyle="PivotStyleLight16">
    <tableStyle name="Slicer Style 1" pivot="0" table="0" count="10" xr9:uid="{B612BF7C-DBB2-4D2C-9EF1-3F74A33F506A}">
      <tableStyleElement type="wholeTable" dxfId="15"/>
      <tableStyleElement type="headerRow" dxfId="14"/>
    </tableStyle>
    <tableStyle name="Table Style 1" pivot="0" count="0" xr9:uid="{1F941234-B7AA-4E3B-A764-43F8B8AE8749}"/>
  </tableStyles>
  <colors>
    <mruColors>
      <color rgb="FF1EEFEA"/>
    </mruColors>
  </colors>
  <extLst>
    <ext xmlns:x14="http://schemas.microsoft.com/office/spreadsheetml/2009/9/main" uri="{46F421CA-312F-682f-3DD2-61675219B42D}">
      <x14:dxfs count="8">
        <dxf>
          <fill>
            <patternFill>
              <bgColor theme="9" tint="-0.24994659260841701"/>
            </patternFill>
          </fill>
        </dxf>
        <dxf>
          <fill>
            <patternFill>
              <bgColor theme="9" tint="0.39994506668294322"/>
            </patternFill>
          </fill>
        </dxf>
        <dxf>
          <fill>
            <patternFill>
              <bgColor theme="9" tint="-0.24994659260841701"/>
            </patternFill>
          </fill>
        </dxf>
        <dxf>
          <fill>
            <patternFill>
              <bgColor theme="9" tint="0.39994506668294322"/>
            </patternFill>
          </fill>
        </dxf>
        <dxf>
          <fill>
            <patternFill>
              <bgColor theme="9" tint="-0.24994659260841701"/>
            </patternFill>
          </fill>
        </dxf>
        <dxf>
          <fill>
            <patternFill>
              <bgColor theme="9" tint="-0.24994659260841701"/>
            </patternFill>
          </fill>
        </dxf>
        <dxf>
          <fill>
            <patternFill>
              <bgColor theme="9" tint="0.39994506668294322"/>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vs category!PivotTable3</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SAlES</a:t>
            </a:r>
            <a:r>
              <a:rPr lang="en-IN" baseline="0"/>
              <a:t> vs category</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8933236091549"/>
          <c:y val="0.13089903519763171"/>
          <c:w val="0.85219685039370074"/>
          <c:h val="0.72383457276173813"/>
        </c:manualLayout>
      </c:layout>
      <c:barChart>
        <c:barDir val="col"/>
        <c:grouping val="clustered"/>
        <c:varyColors val="0"/>
        <c:ser>
          <c:idx val="0"/>
          <c:order val="0"/>
          <c:tx>
            <c:strRef>
              <c:f>'sales vs category'!$B$8</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'sales vs category'!$A$9:$A$11</c:f>
              <c:strCache>
                <c:ptCount val="3"/>
                <c:pt idx="0">
                  <c:v>Furniture</c:v>
                </c:pt>
                <c:pt idx="1">
                  <c:v>Office Supplies</c:v>
                </c:pt>
                <c:pt idx="2">
                  <c:v>Technology</c:v>
                </c:pt>
              </c:strCache>
            </c:strRef>
          </c:cat>
          <c:val>
            <c:numRef>
              <c:f>'sales vs category'!$B$9:$B$11</c:f>
              <c:numCache>
                <c:formatCode>[$$-409]#,##0.00</c:formatCode>
                <c:ptCount val="3"/>
                <c:pt idx="0">
                  <c:v>194540.79870000025</c:v>
                </c:pt>
                <c:pt idx="1">
                  <c:v>174094.83499999961</c:v>
                </c:pt>
                <c:pt idx="2">
                  <c:v>208286.61999999997</c:v>
                </c:pt>
              </c:numCache>
            </c:numRef>
          </c:val>
          <c:extLst>
            <c:ext xmlns:c16="http://schemas.microsoft.com/office/drawing/2014/chart" uri="{C3380CC4-5D6E-409C-BE32-E72D297353CC}">
              <c16:uniqueId val="{00000001-B2ED-4CEF-89FB-DD154298084F}"/>
            </c:ext>
          </c:extLst>
        </c:ser>
        <c:dLbls>
          <c:dLblPos val="outEnd"/>
          <c:showLegendKey val="0"/>
          <c:showVal val="1"/>
          <c:showCatName val="0"/>
          <c:showSerName val="0"/>
          <c:showPercent val="0"/>
          <c:showBubbleSize val="0"/>
        </c:dLbls>
        <c:gapWidth val="77"/>
        <c:overlap val="-20"/>
        <c:axId val="2051864976"/>
        <c:axId val="2051862096"/>
      </c:barChart>
      <c:catAx>
        <c:axId val="2051864976"/>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51862096"/>
        <c:crosses val="autoZero"/>
        <c:auto val="1"/>
        <c:lblAlgn val="ctr"/>
        <c:lblOffset val="100"/>
        <c:noMultiLvlLbl val="0"/>
      </c:catAx>
      <c:valAx>
        <c:axId val="2051862096"/>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5186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vs states!PivotTable1</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a:t>
            </a:r>
            <a:r>
              <a:rPr lang="en-US" baseline="0"/>
              <a:t> TOP 10</a:t>
            </a:r>
            <a:r>
              <a:rPr lang="en-US"/>
              <a:t> states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7.0872433261252574E-2"/>
          <c:y val="0.20500657832603691"/>
          <c:w val="0.56874136497603944"/>
          <c:h val="0.73419341192507104"/>
        </c:manualLayout>
      </c:layout>
      <c:pieChart>
        <c:varyColors val="1"/>
        <c:ser>
          <c:idx val="0"/>
          <c:order val="0"/>
          <c:tx>
            <c:strRef>
              <c:f>'Sales vs states'!$B$6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A5-4294-ACA9-7BCC548AAEE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A5-4294-ACA9-7BCC548AAEE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A5-4294-ACA9-7BCC548AAEE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A5-4294-ACA9-7BCC548AAEE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8A5-4294-ACA9-7BCC548AAEE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8A5-4294-ACA9-7BCC548AAEEC}"/>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38A5-4294-ACA9-7BCC548AAEEC}"/>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38A5-4294-ACA9-7BCC548AAEEC}"/>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38A5-4294-ACA9-7BCC548AAEEC}"/>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38A5-4294-ACA9-7BCC548AAE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vs states'!$A$7:$A$16</c:f>
              <c:strCache>
                <c:ptCount val="10"/>
                <c:pt idx="0">
                  <c:v>California</c:v>
                </c:pt>
                <c:pt idx="1">
                  <c:v>New York</c:v>
                </c:pt>
                <c:pt idx="2">
                  <c:v>Texas</c:v>
                </c:pt>
                <c:pt idx="3">
                  <c:v>Pennsylvania</c:v>
                </c:pt>
                <c:pt idx="4">
                  <c:v>Washington</c:v>
                </c:pt>
                <c:pt idx="5">
                  <c:v>Ohio</c:v>
                </c:pt>
                <c:pt idx="6">
                  <c:v>Illinois</c:v>
                </c:pt>
                <c:pt idx="7">
                  <c:v>Florida</c:v>
                </c:pt>
                <c:pt idx="8">
                  <c:v>Arizona</c:v>
                </c:pt>
                <c:pt idx="9">
                  <c:v>Virginia</c:v>
                </c:pt>
              </c:strCache>
            </c:strRef>
          </c:cat>
          <c:val>
            <c:numRef>
              <c:f>'Sales vs states'!$B$7:$B$16</c:f>
              <c:numCache>
                <c:formatCode>[$$-540A]#,##0.00</c:formatCode>
                <c:ptCount val="10"/>
                <c:pt idx="0">
                  <c:v>647432</c:v>
                </c:pt>
                <c:pt idx="1">
                  <c:v>426503</c:v>
                </c:pt>
                <c:pt idx="2">
                  <c:v>295423</c:v>
                </c:pt>
                <c:pt idx="3">
                  <c:v>215768</c:v>
                </c:pt>
                <c:pt idx="4">
                  <c:v>156283</c:v>
                </c:pt>
                <c:pt idx="5">
                  <c:v>146953</c:v>
                </c:pt>
                <c:pt idx="6">
                  <c:v>133252</c:v>
                </c:pt>
                <c:pt idx="7">
                  <c:v>84730</c:v>
                </c:pt>
                <c:pt idx="8">
                  <c:v>84587</c:v>
                </c:pt>
                <c:pt idx="9">
                  <c:v>82047</c:v>
                </c:pt>
              </c:numCache>
            </c:numRef>
          </c:val>
          <c:extLst>
            <c:ext xmlns:c16="http://schemas.microsoft.com/office/drawing/2014/chart" uri="{C3380CC4-5D6E-409C-BE32-E72D297353CC}">
              <c16:uniqueId val="{00000016-7F76-417F-B6F6-EEDC8CB9C67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in regions!PivotTable1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IN REGIONS</a:t>
            </a:r>
          </a:p>
        </c:rich>
      </c:tx>
      <c:layout>
        <c:manualLayout>
          <c:xMode val="edge"/>
          <c:yMode val="edge"/>
          <c:x val="0.2367603641196393"/>
          <c:y val="6.94444444444444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1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928144326649239E-2"/>
          <c:y val="0.18658903305231309"/>
          <c:w val="0.89547462041690984"/>
          <c:h val="0.80431538788903612"/>
        </c:manualLayout>
      </c:layout>
      <c:pie3DChart>
        <c:varyColors val="1"/>
        <c:ser>
          <c:idx val="0"/>
          <c:order val="0"/>
          <c:tx>
            <c:strRef>
              <c:f>'Sales in regions'!$B$8</c:f>
              <c:strCache>
                <c:ptCount val="1"/>
                <c:pt idx="0">
                  <c:v>Total</c:v>
                </c:pt>
              </c:strCache>
            </c:strRef>
          </c:tx>
          <c:spPr>
            <a:effectLst/>
          </c:spPr>
          <c:explosion val="1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5560-49DA-A55B-C5C30DC112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5560-49DA-A55B-C5C30DC112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5560-49DA-A55B-C5C30DC112D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5560-49DA-A55B-C5C30DC112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in regions'!$A$9:$A$12</c:f>
              <c:strCache>
                <c:ptCount val="4"/>
                <c:pt idx="0">
                  <c:v>Central</c:v>
                </c:pt>
                <c:pt idx="1">
                  <c:v>East</c:v>
                </c:pt>
                <c:pt idx="2">
                  <c:v>South</c:v>
                </c:pt>
                <c:pt idx="3">
                  <c:v>West</c:v>
                </c:pt>
              </c:strCache>
            </c:strRef>
          </c:cat>
          <c:val>
            <c:numRef>
              <c:f>'Sales in regions'!$B$9:$B$12</c:f>
              <c:numCache>
                <c:formatCode>[$$-409]#,##0.00</c:formatCode>
                <c:ptCount val="4"/>
                <c:pt idx="0">
                  <c:v>132219.05719999975</c:v>
                </c:pt>
                <c:pt idx="1">
                  <c:v>169265.54700000005</c:v>
                </c:pt>
                <c:pt idx="2">
                  <c:v>88495.611000000019</c:v>
                </c:pt>
                <c:pt idx="3">
                  <c:v>186942.0385000002</c:v>
                </c:pt>
              </c:numCache>
            </c:numRef>
          </c:val>
          <c:extLst>
            <c:ext xmlns:c16="http://schemas.microsoft.com/office/drawing/2014/chart" uri="{C3380CC4-5D6E-409C-BE32-E72D297353CC}">
              <c16:uniqueId val="{0000000A-5F30-4A5A-8510-10695A14AE69}"/>
            </c:ext>
          </c:extLst>
        </c:ser>
        <c:dLbls>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10718189499725603"/>
          <c:y val="6.7943414721446035E-2"/>
          <c:w val="0.78072353807155237"/>
          <c:h val="0.324002308535723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vs subcategory!PivotTable2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VS SUB-CATEGORY</a:t>
            </a:r>
          </a:p>
        </c:rich>
      </c:tx>
      <c:layout>
        <c:manualLayout>
          <c:xMode val="edge"/>
          <c:yMode val="edge"/>
          <c:x val="0.22443168591411017"/>
          <c:y val="3.668964481204708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vs subcategory'!$B$9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c:spPr>
          <c:cat>
            <c:strRef>
              <c:f>'sales vs subcategory'!$A$10:$A$26</c:f>
              <c:strCache>
                <c:ptCount val="17"/>
                <c:pt idx="0">
                  <c:v>Phones</c:v>
                </c:pt>
                <c:pt idx="1">
                  <c:v>Chairs</c:v>
                </c:pt>
                <c:pt idx="2">
                  <c:v>Tables</c:v>
                </c:pt>
                <c:pt idx="3">
                  <c:v>Storage</c:v>
                </c:pt>
                <c:pt idx="4">
                  <c:v>Machines</c:v>
                </c:pt>
                <c:pt idx="5">
                  <c:v>Accessories</c:v>
                </c:pt>
                <c:pt idx="6">
                  <c:v>Binders</c:v>
                </c:pt>
                <c:pt idx="7">
                  <c:v>Bookcases</c:v>
                </c:pt>
                <c:pt idx="8">
                  <c:v>Appliances</c:v>
                </c:pt>
                <c:pt idx="9">
                  <c:v>Furnishings</c:v>
                </c:pt>
                <c:pt idx="10">
                  <c:v>Paper</c:v>
                </c:pt>
                <c:pt idx="11">
                  <c:v>Copiers</c:v>
                </c:pt>
                <c:pt idx="12">
                  <c:v>Supplies</c:v>
                </c:pt>
                <c:pt idx="13">
                  <c:v>Art</c:v>
                </c:pt>
                <c:pt idx="14">
                  <c:v>Envelopes</c:v>
                </c:pt>
                <c:pt idx="15">
                  <c:v>Labels</c:v>
                </c:pt>
                <c:pt idx="16">
                  <c:v>Fasteners</c:v>
                </c:pt>
              </c:strCache>
            </c:strRef>
          </c:cat>
          <c:val>
            <c:numRef>
              <c:f>'sales vs subcategory'!$B$10:$B$26</c:f>
              <c:numCache>
                <c:formatCode>0.00%</c:formatCode>
                <c:ptCount val="17"/>
                <c:pt idx="0">
                  <c:v>0.15714724716988329</c:v>
                </c:pt>
                <c:pt idx="1">
                  <c:v>0.13748592378141439</c:v>
                </c:pt>
                <c:pt idx="2">
                  <c:v>0.11327744003784473</c:v>
                </c:pt>
                <c:pt idx="3">
                  <c:v>9.5300230919138834E-2</c:v>
                </c:pt>
                <c:pt idx="4">
                  <c:v>9.167432814526566E-2</c:v>
                </c:pt>
                <c:pt idx="5">
                  <c:v>8.1789616707239943E-2</c:v>
                </c:pt>
                <c:pt idx="6">
                  <c:v>6.9303055556582782E-2</c:v>
                </c:pt>
                <c:pt idx="7">
                  <c:v>4.665664312196386E-2</c:v>
                </c:pt>
                <c:pt idx="8">
                  <c:v>4.5517928683776132E-2</c:v>
                </c:pt>
                <c:pt idx="9">
                  <c:v>3.9784525302668163E-2</c:v>
                </c:pt>
                <c:pt idx="10">
                  <c:v>3.3671528313243833E-2</c:v>
                </c:pt>
                <c:pt idx="11">
                  <c:v>3.0419464472808921E-2</c:v>
                </c:pt>
                <c:pt idx="12">
                  <c:v>2.8133277743936685E-2</c:v>
                </c:pt>
                <c:pt idx="13">
                  <c:v>1.35740023023487E-2</c:v>
                </c:pt>
                <c:pt idx="14">
                  <c:v>7.4353727430154113E-3</c:v>
                </c:pt>
                <c:pt idx="15">
                  <c:v>7.3533582259872558E-3</c:v>
                </c:pt>
                <c:pt idx="16">
                  <c:v>1.4760567728815969E-3</c:v>
                </c:pt>
              </c:numCache>
            </c:numRef>
          </c:val>
          <c:extLst>
            <c:ext xmlns:c16="http://schemas.microsoft.com/office/drawing/2014/chart" uri="{C3380CC4-5D6E-409C-BE32-E72D297353CC}">
              <c16:uniqueId val="{00000002-C745-4763-9CD0-307F08EE5358}"/>
            </c:ext>
          </c:extLst>
        </c:ser>
        <c:dLbls>
          <c:showLegendKey val="0"/>
          <c:showVal val="0"/>
          <c:showCatName val="0"/>
          <c:showSerName val="0"/>
          <c:showPercent val="0"/>
          <c:showBubbleSize val="0"/>
        </c:dLbls>
        <c:axId val="1838409823"/>
        <c:axId val="1838413183"/>
      </c:areaChart>
      <c:catAx>
        <c:axId val="183840982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413183"/>
        <c:crosses val="autoZero"/>
        <c:auto val="1"/>
        <c:lblAlgn val="ctr"/>
        <c:lblOffset val="100"/>
        <c:noMultiLvlLbl val="0"/>
      </c:catAx>
      <c:valAx>
        <c:axId val="18384131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409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DATA.xlsx]SEGMENT SALES!PivotTable3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AS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596771776959044E-2"/>
          <c:y val="0.18501393605461097"/>
          <c:w val="0.93080645644608195"/>
          <c:h val="0.79088815614754882"/>
        </c:manualLayout>
      </c:layout>
      <c:pie3DChart>
        <c:varyColors val="1"/>
        <c:ser>
          <c:idx val="0"/>
          <c:order val="0"/>
          <c:tx>
            <c:strRef>
              <c:f>'SEGMENT SALES'!$B$10</c:f>
              <c:strCache>
                <c:ptCount val="1"/>
                <c:pt idx="0">
                  <c:v>Total</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655-408A-8D5E-E954B844A16F}"/>
              </c:ext>
            </c:extLst>
          </c:dPt>
          <c:dPt>
            <c:idx val="1"/>
            <c:bubble3D val="0"/>
            <c:explosion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655-408A-8D5E-E954B844A16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655-408A-8D5E-E954B844A1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'SEGMENT SALES'!$A$11:$A$13</c:f>
              <c:strCache>
                <c:ptCount val="3"/>
                <c:pt idx="0">
                  <c:v>Consumer</c:v>
                </c:pt>
                <c:pt idx="1">
                  <c:v>Corporate</c:v>
                </c:pt>
                <c:pt idx="2">
                  <c:v>Home Office</c:v>
                </c:pt>
              </c:strCache>
            </c:strRef>
          </c:cat>
          <c:val>
            <c:numRef>
              <c:f>'SEGMENT SALES'!$B$11:$B$13</c:f>
              <c:numCache>
                <c:formatCode>_-[$$-409]* #,##0.00_ ;_-[$$-409]* \-#,##0.00\ ;_-[$$-409]* "-"??_ ;_-@_ </c:formatCode>
                <c:ptCount val="3"/>
                <c:pt idx="0">
                  <c:v>312710.37440000009</c:v>
                </c:pt>
                <c:pt idx="1">
                  <c:v>169205.9516</c:v>
                </c:pt>
                <c:pt idx="2">
                  <c:v>95005.9277</c:v>
                </c:pt>
              </c:numCache>
            </c:numRef>
          </c:val>
          <c:extLst>
            <c:ext xmlns:c16="http://schemas.microsoft.com/office/drawing/2014/chart" uri="{C3380CC4-5D6E-409C-BE32-E72D297353CC}">
              <c16:uniqueId val="{00000009-2431-44DE-8F95-F46BED951FA0}"/>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DATA.xlsx]EACH YEAR SALES!PivotTable4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1845170229183"/>
          <c:y val="0.18765219521200857"/>
          <c:w val="0.85219685039370074"/>
          <c:h val="0.70959135316418775"/>
        </c:manualLayout>
      </c:layout>
      <c:barChart>
        <c:barDir val="col"/>
        <c:grouping val="clustered"/>
        <c:varyColors val="0"/>
        <c:ser>
          <c:idx val="0"/>
          <c:order val="0"/>
          <c:tx>
            <c:strRef>
              <c:f>'EACH YEAR SALES'!$B$9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'EACH YEAR SALES'!$A$10:$A$14</c:f>
              <c:strCache>
                <c:ptCount val="5"/>
                <c:pt idx="0">
                  <c:v>2015</c:v>
                </c:pt>
                <c:pt idx="1">
                  <c:v>2016</c:v>
                </c:pt>
                <c:pt idx="2">
                  <c:v>2017</c:v>
                </c:pt>
                <c:pt idx="3">
                  <c:v>2018</c:v>
                </c:pt>
                <c:pt idx="4">
                  <c:v>2019</c:v>
                </c:pt>
              </c:strCache>
            </c:strRef>
          </c:cat>
          <c:val>
            <c:numRef>
              <c:f>'EACH YEAR SALES'!$B$10:$B$14</c:f>
              <c:numCache>
                <c:formatCode>_-[$$-409]* #,##0.00_ ;_-[$$-409]* \-#,##0.00\ ;_-[$$-409]* "-"??_ ;_-@_ </c:formatCode>
                <c:ptCount val="5"/>
                <c:pt idx="0">
                  <c:v>140375.79599999989</c:v>
                </c:pt>
                <c:pt idx="1">
                  <c:v>127311.30919999992</c:v>
                </c:pt>
                <c:pt idx="2">
                  <c:v>149878.64139999967</c:v>
                </c:pt>
                <c:pt idx="3">
                  <c:v>156938.66230000014</c:v>
                </c:pt>
                <c:pt idx="4">
                  <c:v>2417.8447999999999</c:v>
                </c:pt>
              </c:numCache>
            </c:numRef>
          </c:val>
          <c:extLst>
            <c:ext xmlns:c16="http://schemas.microsoft.com/office/drawing/2014/chart" uri="{C3380CC4-5D6E-409C-BE32-E72D297353CC}">
              <c16:uniqueId val="{00000003-5E7D-4456-A17E-F069A4E0CF80}"/>
            </c:ext>
          </c:extLst>
        </c:ser>
        <c:dLbls>
          <c:showLegendKey val="0"/>
          <c:showVal val="0"/>
          <c:showCatName val="0"/>
          <c:showSerName val="0"/>
          <c:showPercent val="0"/>
          <c:showBubbleSize val="0"/>
        </c:dLbls>
        <c:gapWidth val="58"/>
        <c:overlap val="-24"/>
        <c:axId val="2087060047"/>
        <c:axId val="2087061007"/>
      </c:barChart>
      <c:catAx>
        <c:axId val="2087060047"/>
        <c:scaling>
          <c:orientation val="minMax"/>
        </c:scaling>
        <c:delete val="0"/>
        <c:axPos val="b"/>
        <c:numFmt formatCode="0.00,,&quot;M&quot;"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7061007"/>
        <c:crosses val="autoZero"/>
        <c:auto val="1"/>
        <c:lblAlgn val="ctr"/>
        <c:lblOffset val="100"/>
        <c:noMultiLvlLbl val="0"/>
      </c:catAx>
      <c:valAx>
        <c:axId val="2087061007"/>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706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prstDash val="soli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DATA.xlsx]TOP 10 PRODUCTS!PivotTable5</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numFmt formatCode="#,##0_);\(#,##0\)" sourceLinked="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numFmt formatCode="#,##0_);\(#,##0\)" sourceLinked="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PRODUCTS'!$B$9</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'TOP 10 PRODUCTS'!$A$10:$A$19</c:f>
              <c:strCache>
                <c:ptCount val="10"/>
                <c:pt idx="0">
                  <c:v>Apple iPhone 5</c:v>
                </c:pt>
                <c:pt idx="1">
                  <c:v>Martin Yale Chadless Opener Electric Letter Opener</c:v>
                </c:pt>
                <c:pt idx="2">
                  <c:v>Bady BDG101FRU Card Printer</c:v>
                </c:pt>
                <c:pt idx="3">
                  <c:v>GBC DocuBind P400 Electric Binding System</c:v>
                </c:pt>
                <c:pt idx="4">
                  <c:v>Riverside Palais Royal Lawyers Bookcase, Royale Cherry Finish</c:v>
                </c:pt>
                <c:pt idx="5">
                  <c:v>Bretford Rectangular Conference Table Tops</c:v>
                </c:pt>
                <c:pt idx="6">
                  <c:v>Fellowes PB500 Electric Punch Plastic Comb Binding Machine with Manual Bind</c:v>
                </c:pt>
                <c:pt idx="7">
                  <c:v>Cubify CubeX 3D Printer Triple Head Print</c:v>
                </c:pt>
                <c:pt idx="8">
                  <c:v>High Speed Automatic Electric Letter Opener</c:v>
                </c:pt>
                <c:pt idx="9">
                  <c:v>Lexmark MX611dhe Monochrome Laser Printer</c:v>
                </c:pt>
              </c:strCache>
            </c:strRef>
          </c:cat>
          <c:val>
            <c:numRef>
              <c:f>'TOP 10 PRODUCTS'!$B$10:$B$19</c:f>
              <c:numCache>
                <c:formatCode>_-[$$-409]* #,##0.00_ ;_-[$$-409]* \-#,##0.00\ ;_-[$$-409]* "-"??_ ;_-@_ </c:formatCode>
                <c:ptCount val="10"/>
                <c:pt idx="0">
                  <c:v>5328.6060000000007</c:v>
                </c:pt>
                <c:pt idx="1">
                  <c:v>5329.9840000000004</c:v>
                </c:pt>
                <c:pt idx="2">
                  <c:v>5439.9319999999998</c:v>
                </c:pt>
                <c:pt idx="3">
                  <c:v>5443.9599999999991</c:v>
                </c:pt>
                <c:pt idx="4">
                  <c:v>5479.6956</c:v>
                </c:pt>
                <c:pt idx="5">
                  <c:v>6112.1125000000002</c:v>
                </c:pt>
                <c:pt idx="6">
                  <c:v>7371.7420000000002</c:v>
                </c:pt>
                <c:pt idx="7">
                  <c:v>7999.98</c:v>
                </c:pt>
                <c:pt idx="8">
                  <c:v>8187.65</c:v>
                </c:pt>
                <c:pt idx="9">
                  <c:v>14279.916000000001</c:v>
                </c:pt>
              </c:numCache>
            </c:numRef>
          </c:val>
          <c:extLst>
            <c:ext xmlns:c16="http://schemas.microsoft.com/office/drawing/2014/chart" uri="{C3380CC4-5D6E-409C-BE32-E72D297353CC}">
              <c16:uniqueId val="{00000003-853F-431B-AA05-5836B3BB4CB5}"/>
            </c:ext>
          </c:extLst>
        </c:ser>
        <c:dLbls>
          <c:dLblPos val="outEnd"/>
          <c:showLegendKey val="0"/>
          <c:showVal val="1"/>
          <c:showCatName val="0"/>
          <c:showSerName val="0"/>
          <c:showPercent val="0"/>
          <c:showBubbleSize val="0"/>
        </c:dLbls>
        <c:gapWidth val="50"/>
        <c:overlap val="-20"/>
        <c:axId val="2087024527"/>
        <c:axId val="2087025007"/>
      </c:barChart>
      <c:catAx>
        <c:axId val="2087024527"/>
        <c:scaling>
          <c:orientation val="minMax"/>
        </c:scaling>
        <c:delete val="0"/>
        <c:axPos val="l"/>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bg1"/>
                </a:solidFill>
                <a:latin typeface="+mn-lt"/>
                <a:ea typeface="+mn-ea"/>
                <a:cs typeface="+mn-cs"/>
              </a:defRPr>
            </a:pPr>
            <a:endParaRPr lang="en-US"/>
          </a:p>
        </c:txPr>
        <c:crossAx val="2087025007"/>
        <c:crosses val="autoZero"/>
        <c:auto val="1"/>
        <c:lblAlgn val="ctr"/>
        <c:lblOffset val="100"/>
        <c:noMultiLvlLbl val="0"/>
      </c:catAx>
      <c:valAx>
        <c:axId val="2087025007"/>
        <c:scaling>
          <c:orientation val="minMax"/>
        </c:scaling>
        <c:delete val="0"/>
        <c:axPos val="b"/>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8702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vs category!PivotTable3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SAlES</a:t>
            </a:r>
            <a:r>
              <a:rPr lang="en-IN" baseline="0"/>
              <a:t> vs category</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category'!$B$8</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'sales vs category'!$A$9:$A$11</c:f>
              <c:strCache>
                <c:ptCount val="3"/>
                <c:pt idx="0">
                  <c:v>Furniture</c:v>
                </c:pt>
                <c:pt idx="1">
                  <c:v>Office Supplies</c:v>
                </c:pt>
                <c:pt idx="2">
                  <c:v>Technology</c:v>
                </c:pt>
              </c:strCache>
            </c:strRef>
          </c:cat>
          <c:val>
            <c:numRef>
              <c:f>'sales vs category'!$B$9:$B$11</c:f>
              <c:numCache>
                <c:formatCode>[$$-409]#,##0.00</c:formatCode>
                <c:ptCount val="3"/>
                <c:pt idx="0">
                  <c:v>194540.79870000025</c:v>
                </c:pt>
                <c:pt idx="1">
                  <c:v>174094.83499999961</c:v>
                </c:pt>
                <c:pt idx="2">
                  <c:v>208286.61999999997</c:v>
                </c:pt>
              </c:numCache>
            </c:numRef>
          </c:val>
          <c:extLst>
            <c:ext xmlns:c16="http://schemas.microsoft.com/office/drawing/2014/chart" uri="{C3380CC4-5D6E-409C-BE32-E72D297353CC}">
              <c16:uniqueId val="{00000001-BADD-48C5-A274-EB84E626A8F2}"/>
            </c:ext>
          </c:extLst>
        </c:ser>
        <c:dLbls>
          <c:dLblPos val="outEnd"/>
          <c:showLegendKey val="0"/>
          <c:showVal val="1"/>
          <c:showCatName val="0"/>
          <c:showSerName val="0"/>
          <c:showPercent val="0"/>
          <c:showBubbleSize val="0"/>
        </c:dLbls>
        <c:gapWidth val="269"/>
        <c:overlap val="-20"/>
        <c:axId val="2051864976"/>
        <c:axId val="2051862096"/>
      </c:barChart>
      <c:catAx>
        <c:axId val="2051864976"/>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51862096"/>
        <c:crosses val="autoZero"/>
        <c:auto val="1"/>
        <c:lblAlgn val="ctr"/>
        <c:lblOffset val="100"/>
        <c:noMultiLvlLbl val="0"/>
      </c:catAx>
      <c:valAx>
        <c:axId val="2051862096"/>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5186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vs states!PivotTable1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in different states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'Sales vs states'!$B$6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D6A-40E4-A639-684C95832FE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D6A-40E4-A639-684C95832FE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D6A-40E4-A639-684C95832FE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D6A-40E4-A639-684C95832FE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D6A-40E4-A639-684C95832FE1}"/>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D6A-40E4-A639-684C95832FE1}"/>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9D6A-40E4-A639-684C95832FE1}"/>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9D6A-40E4-A639-684C95832FE1}"/>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9D6A-40E4-A639-684C95832FE1}"/>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9D6A-40E4-A639-684C95832F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vs states'!$A$7:$A$16</c:f>
              <c:strCache>
                <c:ptCount val="10"/>
                <c:pt idx="0">
                  <c:v>California</c:v>
                </c:pt>
                <c:pt idx="1">
                  <c:v>New York</c:v>
                </c:pt>
                <c:pt idx="2">
                  <c:v>Texas</c:v>
                </c:pt>
                <c:pt idx="3">
                  <c:v>Pennsylvania</c:v>
                </c:pt>
                <c:pt idx="4">
                  <c:v>Washington</c:v>
                </c:pt>
                <c:pt idx="5">
                  <c:v>Ohio</c:v>
                </c:pt>
                <c:pt idx="6">
                  <c:v>Illinois</c:v>
                </c:pt>
                <c:pt idx="7">
                  <c:v>Florida</c:v>
                </c:pt>
                <c:pt idx="8">
                  <c:v>Arizona</c:v>
                </c:pt>
                <c:pt idx="9">
                  <c:v>Virginia</c:v>
                </c:pt>
              </c:strCache>
            </c:strRef>
          </c:cat>
          <c:val>
            <c:numRef>
              <c:f>'Sales vs states'!$B$7:$B$16</c:f>
              <c:numCache>
                <c:formatCode>[$$-540A]#,##0.00</c:formatCode>
                <c:ptCount val="10"/>
                <c:pt idx="0">
                  <c:v>647432</c:v>
                </c:pt>
                <c:pt idx="1">
                  <c:v>426503</c:v>
                </c:pt>
                <c:pt idx="2">
                  <c:v>295423</c:v>
                </c:pt>
                <c:pt idx="3">
                  <c:v>215768</c:v>
                </c:pt>
                <c:pt idx="4">
                  <c:v>156283</c:v>
                </c:pt>
                <c:pt idx="5">
                  <c:v>146953</c:v>
                </c:pt>
                <c:pt idx="6">
                  <c:v>133252</c:v>
                </c:pt>
                <c:pt idx="7">
                  <c:v>84730</c:v>
                </c:pt>
                <c:pt idx="8">
                  <c:v>84587</c:v>
                </c:pt>
                <c:pt idx="9">
                  <c:v>82047</c:v>
                </c:pt>
              </c:numCache>
            </c:numRef>
          </c:val>
          <c:extLst>
            <c:ext xmlns:c16="http://schemas.microsoft.com/office/drawing/2014/chart" uri="{C3380CC4-5D6E-409C-BE32-E72D297353CC}">
              <c16:uniqueId val="{00000003-2214-4004-95ED-569FC5D2E54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in regions!PivotTable1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IN REGIONS</a:t>
            </a:r>
          </a:p>
        </c:rich>
      </c:tx>
      <c:layout>
        <c:manualLayout>
          <c:xMode val="edge"/>
          <c:yMode val="edge"/>
          <c:x val="0.2367603641196393"/>
          <c:y val="6.94444444444444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in regions'!$B$8</c:f>
              <c:strCache>
                <c:ptCount val="1"/>
                <c:pt idx="0">
                  <c:v>Total</c:v>
                </c:pt>
              </c:strCache>
            </c:strRef>
          </c:tx>
          <c:explosion val="15"/>
          <c:dPt>
            <c:idx val="0"/>
            <c:bubble3D val="0"/>
            <c:explosion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D92-4AA1-AA4B-E958B4EE7B9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D92-4AA1-AA4B-E958B4EE7B9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D92-4AA1-AA4B-E958B4EE7B9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D92-4AA1-AA4B-E958B4EE7B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in regions'!$A$9:$A$12</c:f>
              <c:strCache>
                <c:ptCount val="4"/>
                <c:pt idx="0">
                  <c:v>Central</c:v>
                </c:pt>
                <c:pt idx="1">
                  <c:v>East</c:v>
                </c:pt>
                <c:pt idx="2">
                  <c:v>South</c:v>
                </c:pt>
                <c:pt idx="3">
                  <c:v>West</c:v>
                </c:pt>
              </c:strCache>
            </c:strRef>
          </c:cat>
          <c:val>
            <c:numRef>
              <c:f>'Sales in regions'!$B$9:$B$12</c:f>
              <c:numCache>
                <c:formatCode>[$$-409]#,##0.00</c:formatCode>
                <c:ptCount val="4"/>
                <c:pt idx="0">
                  <c:v>132219.05719999975</c:v>
                </c:pt>
                <c:pt idx="1">
                  <c:v>169265.54700000005</c:v>
                </c:pt>
                <c:pt idx="2">
                  <c:v>88495.611000000019</c:v>
                </c:pt>
                <c:pt idx="3">
                  <c:v>186942.0385000002</c:v>
                </c:pt>
              </c:numCache>
            </c:numRef>
          </c:val>
          <c:extLst>
            <c:ext xmlns:c16="http://schemas.microsoft.com/office/drawing/2014/chart" uri="{C3380CC4-5D6E-409C-BE32-E72D297353CC}">
              <c16:uniqueId val="{00000003-B514-4713-B1F7-E3C6522C2161}"/>
            </c:ext>
          </c:extLst>
        </c:ser>
        <c:dLbls>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5326150020721094"/>
          <c:y val="0.4283089093030038"/>
          <c:w val="0.15399859953984882"/>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DATA.xlsx]sales vs subcategory!PivotTable2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VS SUB-CATEGORY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vs subcategory'!$B$9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'sales vs subcategory'!$A$10:$A$26</c:f>
              <c:strCache>
                <c:ptCount val="17"/>
                <c:pt idx="0">
                  <c:v>Phones</c:v>
                </c:pt>
                <c:pt idx="1">
                  <c:v>Chairs</c:v>
                </c:pt>
                <c:pt idx="2">
                  <c:v>Tables</c:v>
                </c:pt>
                <c:pt idx="3">
                  <c:v>Storage</c:v>
                </c:pt>
                <c:pt idx="4">
                  <c:v>Machines</c:v>
                </c:pt>
                <c:pt idx="5">
                  <c:v>Accessories</c:v>
                </c:pt>
                <c:pt idx="6">
                  <c:v>Binders</c:v>
                </c:pt>
                <c:pt idx="7">
                  <c:v>Bookcases</c:v>
                </c:pt>
                <c:pt idx="8">
                  <c:v>Appliances</c:v>
                </c:pt>
                <c:pt idx="9">
                  <c:v>Furnishings</c:v>
                </c:pt>
                <c:pt idx="10">
                  <c:v>Paper</c:v>
                </c:pt>
                <c:pt idx="11">
                  <c:v>Copiers</c:v>
                </c:pt>
                <c:pt idx="12">
                  <c:v>Supplies</c:v>
                </c:pt>
                <c:pt idx="13">
                  <c:v>Art</c:v>
                </c:pt>
                <c:pt idx="14">
                  <c:v>Envelopes</c:v>
                </c:pt>
                <c:pt idx="15">
                  <c:v>Labels</c:v>
                </c:pt>
                <c:pt idx="16">
                  <c:v>Fasteners</c:v>
                </c:pt>
              </c:strCache>
            </c:strRef>
          </c:cat>
          <c:val>
            <c:numRef>
              <c:f>'sales vs subcategory'!$B$10:$B$26</c:f>
              <c:numCache>
                <c:formatCode>0.00%</c:formatCode>
                <c:ptCount val="17"/>
                <c:pt idx="0">
                  <c:v>0.15714724716988329</c:v>
                </c:pt>
                <c:pt idx="1">
                  <c:v>0.13748592378141439</c:v>
                </c:pt>
                <c:pt idx="2">
                  <c:v>0.11327744003784473</c:v>
                </c:pt>
                <c:pt idx="3">
                  <c:v>9.5300230919138834E-2</c:v>
                </c:pt>
                <c:pt idx="4">
                  <c:v>9.167432814526566E-2</c:v>
                </c:pt>
                <c:pt idx="5">
                  <c:v>8.1789616707239943E-2</c:v>
                </c:pt>
                <c:pt idx="6">
                  <c:v>6.9303055556582782E-2</c:v>
                </c:pt>
                <c:pt idx="7">
                  <c:v>4.665664312196386E-2</c:v>
                </c:pt>
                <c:pt idx="8">
                  <c:v>4.5517928683776132E-2</c:v>
                </c:pt>
                <c:pt idx="9">
                  <c:v>3.9784525302668163E-2</c:v>
                </c:pt>
                <c:pt idx="10">
                  <c:v>3.3671528313243833E-2</c:v>
                </c:pt>
                <c:pt idx="11">
                  <c:v>3.0419464472808921E-2</c:v>
                </c:pt>
                <c:pt idx="12">
                  <c:v>2.8133277743936685E-2</c:v>
                </c:pt>
                <c:pt idx="13">
                  <c:v>1.35740023023487E-2</c:v>
                </c:pt>
                <c:pt idx="14">
                  <c:v>7.4353727430154113E-3</c:v>
                </c:pt>
                <c:pt idx="15">
                  <c:v>7.3533582259872558E-3</c:v>
                </c:pt>
                <c:pt idx="16">
                  <c:v>1.4760567728815969E-3</c:v>
                </c:pt>
              </c:numCache>
            </c:numRef>
          </c:val>
          <c:extLst>
            <c:ext xmlns:c16="http://schemas.microsoft.com/office/drawing/2014/chart" uri="{C3380CC4-5D6E-409C-BE32-E72D297353CC}">
              <c16:uniqueId val="{00000003-A6B0-4621-86C0-CCC7B1ABA86E}"/>
            </c:ext>
          </c:extLst>
        </c:ser>
        <c:dLbls>
          <c:showLegendKey val="0"/>
          <c:showVal val="0"/>
          <c:showCatName val="0"/>
          <c:showSerName val="0"/>
          <c:showPercent val="0"/>
          <c:showBubbleSize val="0"/>
        </c:dLbls>
        <c:axId val="1838409823"/>
        <c:axId val="1838413183"/>
      </c:areaChart>
      <c:catAx>
        <c:axId val="183840982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413183"/>
        <c:crosses val="autoZero"/>
        <c:auto val="1"/>
        <c:lblAlgn val="ctr"/>
        <c:lblOffset val="100"/>
        <c:noMultiLvlLbl val="0"/>
      </c:catAx>
      <c:valAx>
        <c:axId val="18384131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409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DATA.xlsx]SEGMENT SALES!PivotTable3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AS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'SEGMENT SALES'!$B$10</c:f>
              <c:strCache>
                <c:ptCount val="1"/>
                <c:pt idx="0">
                  <c:v>Total</c:v>
                </c:pt>
              </c:strCache>
            </c:strRef>
          </c:tx>
          <c:explosion val="12"/>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4B8-4FF7-8E29-4C7D624C596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4B8-4FF7-8E29-4C7D624C596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4B8-4FF7-8E29-4C7D624C59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'SEGMENT SALES'!$A$11:$A$13</c:f>
              <c:strCache>
                <c:ptCount val="3"/>
                <c:pt idx="0">
                  <c:v>Consumer</c:v>
                </c:pt>
                <c:pt idx="1">
                  <c:v>Corporate</c:v>
                </c:pt>
                <c:pt idx="2">
                  <c:v>Home Office</c:v>
                </c:pt>
              </c:strCache>
            </c:strRef>
          </c:cat>
          <c:val>
            <c:numRef>
              <c:f>'SEGMENT SALES'!$B$11:$B$13</c:f>
              <c:numCache>
                <c:formatCode>_-[$$-409]* #,##0.00_ ;_-[$$-409]* \-#,##0.00\ ;_-[$$-409]* "-"??_ ;_-@_ </c:formatCode>
                <c:ptCount val="3"/>
                <c:pt idx="0">
                  <c:v>312710.37440000009</c:v>
                </c:pt>
                <c:pt idx="1">
                  <c:v>169205.9516</c:v>
                </c:pt>
                <c:pt idx="2">
                  <c:v>95005.9277</c:v>
                </c:pt>
              </c:numCache>
            </c:numRef>
          </c:val>
          <c:extLst>
            <c:ext xmlns:c16="http://schemas.microsoft.com/office/drawing/2014/chart" uri="{C3380CC4-5D6E-409C-BE32-E72D297353CC}">
              <c16:uniqueId val="{00000005-0291-4E81-87B8-E3F5CE1D40D7}"/>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DATA.xlsx]EACH YEAR SALES!PivotTable4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OF EACH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'EACH YEAR SALES'!$B$9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'EACH YEAR SALES'!$A$10:$A$14</c:f>
              <c:strCache>
                <c:ptCount val="5"/>
                <c:pt idx="0">
                  <c:v>2015</c:v>
                </c:pt>
                <c:pt idx="1">
                  <c:v>2016</c:v>
                </c:pt>
                <c:pt idx="2">
                  <c:v>2017</c:v>
                </c:pt>
                <c:pt idx="3">
                  <c:v>2018</c:v>
                </c:pt>
                <c:pt idx="4">
                  <c:v>2019</c:v>
                </c:pt>
              </c:strCache>
            </c:strRef>
          </c:cat>
          <c:val>
            <c:numRef>
              <c:f>'EACH YEAR SALES'!$B$10:$B$14</c:f>
              <c:numCache>
                <c:formatCode>_-[$$-409]* #,##0.00_ ;_-[$$-409]* \-#,##0.00\ ;_-[$$-409]* "-"??_ ;_-@_ </c:formatCode>
                <c:ptCount val="5"/>
                <c:pt idx="0">
                  <c:v>140375.79599999989</c:v>
                </c:pt>
                <c:pt idx="1">
                  <c:v>127311.30919999992</c:v>
                </c:pt>
                <c:pt idx="2">
                  <c:v>149878.64139999967</c:v>
                </c:pt>
                <c:pt idx="3">
                  <c:v>156938.66230000014</c:v>
                </c:pt>
                <c:pt idx="4">
                  <c:v>2417.8447999999999</c:v>
                </c:pt>
              </c:numCache>
            </c:numRef>
          </c:val>
          <c:extLst>
            <c:ext xmlns:c16="http://schemas.microsoft.com/office/drawing/2014/chart" uri="{C3380CC4-5D6E-409C-BE32-E72D297353CC}">
              <c16:uniqueId val="{00000003-602C-4B1E-96C2-C60984E734A5}"/>
            </c:ext>
          </c:extLst>
        </c:ser>
        <c:dLbls>
          <c:showLegendKey val="0"/>
          <c:showVal val="0"/>
          <c:showCatName val="0"/>
          <c:showSerName val="0"/>
          <c:showPercent val="0"/>
          <c:showBubbleSize val="0"/>
        </c:dLbls>
        <c:gapWidth val="100"/>
        <c:overlap val="-24"/>
        <c:axId val="2087060047"/>
        <c:axId val="2087061007"/>
      </c:barChart>
      <c:catAx>
        <c:axId val="2087060047"/>
        <c:scaling>
          <c:orientation val="minMax"/>
        </c:scaling>
        <c:delete val="0"/>
        <c:axPos val="b"/>
        <c:numFmt formatCode="0.00,,&quot;M&quot;"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7061007"/>
        <c:crosses val="autoZero"/>
        <c:auto val="1"/>
        <c:lblAlgn val="ctr"/>
        <c:lblOffset val="100"/>
        <c:noMultiLvlLbl val="0"/>
      </c:catAx>
      <c:valAx>
        <c:axId val="2087061007"/>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706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prstDash val="soli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DATA.xlsx]TOP 10 PRODUCTS!PivotTable5</c:name>
    <c:fmtId val="0"/>
  </c:pivotSource>
  <c:chart>
    <c:title>
      <c:tx>
        <c:rich>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r>
              <a:rPr lang="en-US">
                <a:solidFill>
                  <a:schemeClr val="bg1"/>
                </a:solidFill>
              </a:rPr>
              <a:t>Top 10 PRODUCT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bg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PRODUCTS'!$B$9</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'TOP 10 PRODUCTS'!$A$10:$A$19</c:f>
              <c:strCache>
                <c:ptCount val="10"/>
                <c:pt idx="0">
                  <c:v>Apple iPhone 5</c:v>
                </c:pt>
                <c:pt idx="1">
                  <c:v>Martin Yale Chadless Opener Electric Letter Opener</c:v>
                </c:pt>
                <c:pt idx="2">
                  <c:v>Bady BDG101FRU Card Printer</c:v>
                </c:pt>
                <c:pt idx="3">
                  <c:v>GBC DocuBind P400 Electric Binding System</c:v>
                </c:pt>
                <c:pt idx="4">
                  <c:v>Riverside Palais Royal Lawyers Bookcase, Royale Cherry Finish</c:v>
                </c:pt>
                <c:pt idx="5">
                  <c:v>Bretford Rectangular Conference Table Tops</c:v>
                </c:pt>
                <c:pt idx="6">
                  <c:v>Fellowes PB500 Electric Punch Plastic Comb Binding Machine with Manual Bind</c:v>
                </c:pt>
                <c:pt idx="7">
                  <c:v>Cubify CubeX 3D Printer Triple Head Print</c:v>
                </c:pt>
                <c:pt idx="8">
                  <c:v>High Speed Automatic Electric Letter Opener</c:v>
                </c:pt>
                <c:pt idx="9">
                  <c:v>Lexmark MX611dhe Monochrome Laser Printer</c:v>
                </c:pt>
              </c:strCache>
            </c:strRef>
          </c:cat>
          <c:val>
            <c:numRef>
              <c:f>'TOP 10 PRODUCTS'!$B$10:$B$19</c:f>
              <c:numCache>
                <c:formatCode>_-[$$-409]* #,##0.00_ ;_-[$$-409]* \-#,##0.00\ ;_-[$$-409]* "-"??_ ;_-@_ </c:formatCode>
                <c:ptCount val="10"/>
                <c:pt idx="0">
                  <c:v>5328.6060000000007</c:v>
                </c:pt>
                <c:pt idx="1">
                  <c:v>5329.9840000000004</c:v>
                </c:pt>
                <c:pt idx="2">
                  <c:v>5439.9319999999998</c:v>
                </c:pt>
                <c:pt idx="3">
                  <c:v>5443.9599999999991</c:v>
                </c:pt>
                <c:pt idx="4">
                  <c:v>5479.6956</c:v>
                </c:pt>
                <c:pt idx="5">
                  <c:v>6112.1125000000002</c:v>
                </c:pt>
                <c:pt idx="6">
                  <c:v>7371.7420000000002</c:v>
                </c:pt>
                <c:pt idx="7">
                  <c:v>7999.98</c:v>
                </c:pt>
                <c:pt idx="8">
                  <c:v>8187.65</c:v>
                </c:pt>
                <c:pt idx="9">
                  <c:v>14279.916000000001</c:v>
                </c:pt>
              </c:numCache>
            </c:numRef>
          </c:val>
          <c:extLst>
            <c:ext xmlns:c16="http://schemas.microsoft.com/office/drawing/2014/chart" uri="{C3380CC4-5D6E-409C-BE32-E72D297353CC}">
              <c16:uniqueId val="{00000003-1E70-4CA2-A576-42A1813F534C}"/>
            </c:ext>
          </c:extLst>
        </c:ser>
        <c:dLbls>
          <c:dLblPos val="outEnd"/>
          <c:showLegendKey val="0"/>
          <c:showVal val="1"/>
          <c:showCatName val="0"/>
          <c:showSerName val="0"/>
          <c:showPercent val="0"/>
          <c:showBubbleSize val="0"/>
        </c:dLbls>
        <c:gapWidth val="269"/>
        <c:overlap val="-20"/>
        <c:axId val="2087024527"/>
        <c:axId val="2087025007"/>
      </c:barChart>
      <c:catAx>
        <c:axId val="2087024527"/>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bg1"/>
                </a:solidFill>
                <a:latin typeface="+mn-lt"/>
                <a:ea typeface="+mn-ea"/>
                <a:cs typeface="+mn-cs"/>
              </a:defRPr>
            </a:pPr>
            <a:endParaRPr lang="en-US"/>
          </a:p>
        </c:txPr>
        <c:crossAx val="2087025007"/>
        <c:crosses val="autoZero"/>
        <c:auto val="1"/>
        <c:lblAlgn val="ctr"/>
        <c:lblOffset val="100"/>
        <c:noMultiLvlLbl val="0"/>
      </c:catAx>
      <c:valAx>
        <c:axId val="2087025007"/>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8702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20</xdr:col>
      <xdr:colOff>203200</xdr:colOff>
      <xdr:row>17</xdr:row>
      <xdr:rowOff>76200</xdr:rowOff>
    </xdr:from>
    <xdr:to>
      <xdr:col>26</xdr:col>
      <xdr:colOff>374650</xdr:colOff>
      <xdr:row>37</xdr:row>
      <xdr:rowOff>31750</xdr:rowOff>
    </xdr:to>
    <xdr:sp macro="" textlink="">
      <xdr:nvSpPr>
        <xdr:cNvPr id="2" name="TextBox 1">
          <a:extLst>
            <a:ext uri="{FF2B5EF4-FFF2-40B4-BE49-F238E27FC236}">
              <a16:creationId xmlns:a16="http://schemas.microsoft.com/office/drawing/2014/main" id="{5E67D370-9209-5C30-97AE-67899E2CBFEB}"/>
            </a:ext>
          </a:extLst>
        </xdr:cNvPr>
        <xdr:cNvSpPr txBox="1"/>
      </xdr:nvSpPr>
      <xdr:spPr>
        <a:xfrm>
          <a:off x="26670000" y="488950"/>
          <a:ext cx="382905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l"/>
          <a:r>
            <a:rPr lang="en-IN" sz="1100" b="1">
              <a:latin typeface="Arial Narrow" panose="020B0606020202030204" pitchFamily="34" charset="0"/>
            </a:rPr>
            <a:t> </a:t>
          </a:r>
        </a:p>
      </xdr:txBody>
    </xdr:sp>
    <xdr:clientData/>
  </xdr:twoCellAnchor>
  <xdr:twoCellAnchor>
    <xdr:from>
      <xdr:col>3</xdr:col>
      <xdr:colOff>19050</xdr:colOff>
      <xdr:row>0</xdr:row>
      <xdr:rowOff>38100</xdr:rowOff>
    </xdr:from>
    <xdr:to>
      <xdr:col>6</xdr:col>
      <xdr:colOff>1314450</xdr:colOff>
      <xdr:row>0</xdr:row>
      <xdr:rowOff>736600</xdr:rowOff>
    </xdr:to>
    <xdr:sp macro="" textlink="">
      <xdr:nvSpPr>
        <xdr:cNvPr id="3" name="TextBox 2">
          <a:extLst>
            <a:ext uri="{FF2B5EF4-FFF2-40B4-BE49-F238E27FC236}">
              <a16:creationId xmlns:a16="http://schemas.microsoft.com/office/drawing/2014/main" id="{60D66627-D83D-3F47-444F-315862D687CC}"/>
            </a:ext>
          </a:extLst>
        </xdr:cNvPr>
        <xdr:cNvSpPr txBox="1"/>
      </xdr:nvSpPr>
      <xdr:spPr>
        <a:xfrm>
          <a:off x="3384550" y="38100"/>
          <a:ext cx="5175250" cy="6985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q"/>
          </a:pPr>
          <a:r>
            <a:rPr lang="en-IN" sz="1200" b="1">
              <a:solidFill>
                <a:schemeClr val="tx1">
                  <a:lumMod val="95000"/>
                  <a:lumOff val="5000"/>
                </a:schemeClr>
              </a:solidFill>
            </a:rPr>
            <a:t>CLEANED AND APPLIED</a:t>
          </a:r>
          <a:r>
            <a:rPr lang="en-IN" sz="1200" b="1" baseline="0">
              <a:solidFill>
                <a:schemeClr val="tx1">
                  <a:lumMod val="95000"/>
                  <a:lumOff val="5000"/>
                </a:schemeClr>
              </a:solidFill>
            </a:rPr>
            <a:t> FORMAT TO THE DATA</a:t>
          </a:r>
        </a:p>
        <a:p>
          <a:pPr marL="171450" indent="-171450">
            <a:buFont typeface="Wingdings" panose="05000000000000000000" pitchFamily="2" charset="2"/>
            <a:buChar char="q"/>
          </a:pPr>
          <a:r>
            <a:rPr lang="en-IN" sz="1200" b="1" baseline="0">
              <a:solidFill>
                <a:schemeClr val="tx1">
                  <a:lumMod val="95000"/>
                  <a:lumOff val="5000"/>
                </a:schemeClr>
              </a:solidFill>
            </a:rPr>
            <a:t>SALES SUBTOTAL IN RESPECT OF REGION COLUMN</a:t>
          </a:r>
        </a:p>
        <a:p>
          <a:pPr marL="171450" indent="-171450">
            <a:buFont typeface="Wingdings" panose="05000000000000000000" pitchFamily="2" charset="2"/>
            <a:buChar char="q"/>
          </a:pPr>
          <a:r>
            <a:rPr lang="en-IN" sz="1200" b="1" baseline="0">
              <a:solidFill>
                <a:schemeClr val="tx1">
                  <a:lumMod val="95000"/>
                  <a:lumOff val="5000"/>
                </a:schemeClr>
              </a:solidFill>
            </a:rPr>
            <a:t>IF STATEMENT USED TO FIND THE SHIPPING SPEED OF SHIP MODE</a:t>
          </a:r>
          <a:endParaRPr lang="en-IN" sz="1200" b="1">
            <a:solidFill>
              <a:schemeClr val="tx1">
                <a:lumMod val="95000"/>
                <a:lumOff val="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227948</xdr:colOff>
      <xdr:row>0</xdr:row>
      <xdr:rowOff>854808</xdr:rowOff>
    </xdr:from>
    <xdr:to>
      <xdr:col>26</xdr:col>
      <xdr:colOff>179103</xdr:colOff>
      <xdr:row>31</xdr:row>
      <xdr:rowOff>122114</xdr:rowOff>
    </xdr:to>
    <xdr:sp macro="" textlink="">
      <xdr:nvSpPr>
        <xdr:cNvPr id="12" name="Rectangle 11">
          <a:extLst>
            <a:ext uri="{FF2B5EF4-FFF2-40B4-BE49-F238E27FC236}">
              <a16:creationId xmlns:a16="http://schemas.microsoft.com/office/drawing/2014/main" id="{94D978D9-7B5E-ABCD-09FB-6BFFA4378D3D}"/>
            </a:ext>
          </a:extLst>
        </xdr:cNvPr>
        <xdr:cNvSpPr/>
      </xdr:nvSpPr>
      <xdr:spPr>
        <a:xfrm>
          <a:off x="2059679" y="854808"/>
          <a:ext cx="13383847" cy="5942947"/>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0</xdr:row>
      <xdr:rowOff>154679</xdr:rowOff>
    </xdr:from>
    <xdr:to>
      <xdr:col>4</xdr:col>
      <xdr:colOff>252372</xdr:colOff>
      <xdr:row>31</xdr:row>
      <xdr:rowOff>122115</xdr:rowOff>
    </xdr:to>
    <xdr:sp macro="" textlink="">
      <xdr:nvSpPr>
        <xdr:cNvPr id="11" name="Rectangle 10">
          <a:extLst>
            <a:ext uri="{FF2B5EF4-FFF2-40B4-BE49-F238E27FC236}">
              <a16:creationId xmlns:a16="http://schemas.microsoft.com/office/drawing/2014/main" id="{91C014C7-BD5A-03C4-7DDB-CD3F34354099}"/>
            </a:ext>
          </a:extLst>
        </xdr:cNvPr>
        <xdr:cNvSpPr/>
      </xdr:nvSpPr>
      <xdr:spPr>
        <a:xfrm>
          <a:off x="16282" y="154679"/>
          <a:ext cx="2067821" cy="6643077"/>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296934</xdr:colOff>
      <xdr:row>0</xdr:row>
      <xdr:rowOff>919936</xdr:rowOff>
    </xdr:from>
    <xdr:to>
      <xdr:col>10</xdr:col>
      <xdr:colOff>162820</xdr:colOff>
      <xdr:row>13</xdr:row>
      <xdr:rowOff>16283</xdr:rowOff>
    </xdr:to>
    <xdr:graphicFrame macro="">
      <xdr:nvGraphicFramePr>
        <xdr:cNvPr id="2" name="Chart 1">
          <a:extLst>
            <a:ext uri="{FF2B5EF4-FFF2-40B4-BE49-F238E27FC236}">
              <a16:creationId xmlns:a16="http://schemas.microsoft.com/office/drawing/2014/main" id="{81083CBC-9344-43D1-AE5E-3F81E2481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244231</xdr:colOff>
      <xdr:row>0</xdr:row>
      <xdr:rowOff>919937</xdr:rowOff>
    </xdr:from>
    <xdr:to>
      <xdr:col>20</xdr:col>
      <xdr:colOff>293077</xdr:colOff>
      <xdr:row>13</xdr:row>
      <xdr:rowOff>32564</xdr:rowOff>
    </xdr:to>
    <xdr:graphicFrame macro="">
      <xdr:nvGraphicFramePr>
        <xdr:cNvPr id="3" name="Chart 2">
          <a:extLst>
            <a:ext uri="{FF2B5EF4-FFF2-40B4-BE49-F238E27FC236}">
              <a16:creationId xmlns:a16="http://schemas.microsoft.com/office/drawing/2014/main" id="{68EAE84C-909A-4B2B-B05A-D43811C01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219809</xdr:colOff>
      <xdr:row>0</xdr:row>
      <xdr:rowOff>919936</xdr:rowOff>
    </xdr:from>
    <xdr:to>
      <xdr:col>15</xdr:col>
      <xdr:colOff>150822</xdr:colOff>
      <xdr:row>13</xdr:row>
      <xdr:rowOff>32565</xdr:rowOff>
    </xdr:to>
    <xdr:graphicFrame macro="">
      <xdr:nvGraphicFramePr>
        <xdr:cNvPr id="4" name="Chart 3">
          <a:extLst>
            <a:ext uri="{FF2B5EF4-FFF2-40B4-BE49-F238E27FC236}">
              <a16:creationId xmlns:a16="http://schemas.microsoft.com/office/drawing/2014/main" id="{62C849CB-2516-406E-97A9-7261021EF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358206</xdr:colOff>
      <xdr:row>0</xdr:row>
      <xdr:rowOff>896795</xdr:rowOff>
    </xdr:from>
    <xdr:to>
      <xdr:col>26</xdr:col>
      <xdr:colOff>105835</xdr:colOff>
      <xdr:row>13</xdr:row>
      <xdr:rowOff>8141</xdr:rowOff>
    </xdr:to>
    <xdr:graphicFrame macro="">
      <xdr:nvGraphicFramePr>
        <xdr:cNvPr id="5" name="Chart 4">
          <a:extLst>
            <a:ext uri="{FF2B5EF4-FFF2-40B4-BE49-F238E27FC236}">
              <a16:creationId xmlns:a16="http://schemas.microsoft.com/office/drawing/2014/main" id="{7D56EBF6-8BB9-4352-9688-F828822E7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325640</xdr:colOff>
      <xdr:row>13</xdr:row>
      <xdr:rowOff>122116</xdr:rowOff>
    </xdr:from>
    <xdr:to>
      <xdr:col>10</xdr:col>
      <xdr:colOff>423335</xdr:colOff>
      <xdr:row>31</xdr:row>
      <xdr:rowOff>0</xdr:rowOff>
    </xdr:to>
    <xdr:graphicFrame macro="">
      <xdr:nvGraphicFramePr>
        <xdr:cNvPr id="6" name="Chart 5">
          <a:extLst>
            <a:ext uri="{FF2B5EF4-FFF2-40B4-BE49-F238E27FC236}">
              <a16:creationId xmlns:a16="http://schemas.microsoft.com/office/drawing/2014/main" id="{605E2838-F848-472A-8B34-D3233659E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504743</xdr:colOff>
      <xdr:row>13</xdr:row>
      <xdr:rowOff>113974</xdr:rowOff>
    </xdr:from>
    <xdr:to>
      <xdr:col>18</xdr:col>
      <xdr:colOff>447756</xdr:colOff>
      <xdr:row>31</xdr:row>
      <xdr:rowOff>0</xdr:rowOff>
    </xdr:to>
    <xdr:graphicFrame macro="">
      <xdr:nvGraphicFramePr>
        <xdr:cNvPr id="7" name="Chart 6">
          <a:extLst>
            <a:ext uri="{FF2B5EF4-FFF2-40B4-BE49-F238E27FC236}">
              <a16:creationId xmlns:a16="http://schemas.microsoft.com/office/drawing/2014/main" id="{ED976CBF-8594-407B-B4AD-63E7A7598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537308</xdr:colOff>
      <xdr:row>13</xdr:row>
      <xdr:rowOff>122116</xdr:rowOff>
    </xdr:from>
    <xdr:to>
      <xdr:col>26</xdr:col>
      <xdr:colOff>48846</xdr:colOff>
      <xdr:row>30</xdr:row>
      <xdr:rowOff>170962</xdr:rowOff>
    </xdr:to>
    <xdr:graphicFrame macro="">
      <xdr:nvGraphicFramePr>
        <xdr:cNvPr id="8" name="Chart 7">
          <a:extLst>
            <a:ext uri="{FF2B5EF4-FFF2-40B4-BE49-F238E27FC236}">
              <a16:creationId xmlns:a16="http://schemas.microsoft.com/office/drawing/2014/main" id="{8E9EBEFE-7AC0-42E7-BA65-92651771A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40706</xdr:colOff>
      <xdr:row>7</xdr:row>
      <xdr:rowOff>93947</xdr:rowOff>
    </xdr:from>
    <xdr:to>
      <xdr:col>4</xdr:col>
      <xdr:colOff>233160</xdr:colOff>
      <xdr:row>14</xdr:row>
      <xdr:rowOff>8141</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65F709EC-8A4B-D1A5-83EB-904C1505D21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0706" y="2275742"/>
              <a:ext cx="1828800" cy="1224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16282</xdr:colOff>
      <xdr:row>21</xdr:row>
      <xdr:rowOff>53242</xdr:rowOff>
    </xdr:from>
    <xdr:to>
      <xdr:col>4</xdr:col>
      <xdr:colOff>208736</xdr:colOff>
      <xdr:row>29</xdr:row>
      <xdr:rowOff>56986</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D4C258BE-73DD-674C-B5E9-76ABD19F23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282" y="4856447"/>
              <a:ext cx="1828800" cy="1501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16282</xdr:colOff>
      <xdr:row>14</xdr:row>
      <xdr:rowOff>41032</xdr:rowOff>
    </xdr:from>
    <xdr:to>
      <xdr:col>4</xdr:col>
      <xdr:colOff>208736</xdr:colOff>
      <xdr:row>20</xdr:row>
      <xdr:rowOff>130255</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FF74A5AD-5532-D9EA-B131-D2EF0C0909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282" y="3533532"/>
              <a:ext cx="1828800" cy="1212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56987</xdr:colOff>
      <xdr:row>0</xdr:row>
      <xdr:rowOff>867346</xdr:rowOff>
    </xdr:from>
    <xdr:to>
      <xdr:col>4</xdr:col>
      <xdr:colOff>249441</xdr:colOff>
      <xdr:row>7</xdr:row>
      <xdr:rowOff>73269</xdr:rowOff>
    </xdr:to>
    <mc:AlternateContent xmlns:mc="http://schemas.openxmlformats.org/markup-compatibility/2006" xmlns:a14="http://schemas.microsoft.com/office/drawing/2010/main">
      <mc:Choice Requires="a14">
        <xdr:graphicFrame macro="">
          <xdr:nvGraphicFramePr>
            <xdr:cNvPr id="20" name="Years (Ship Date)">
              <a:extLst>
                <a:ext uri="{FF2B5EF4-FFF2-40B4-BE49-F238E27FC236}">
                  <a16:creationId xmlns:a16="http://schemas.microsoft.com/office/drawing/2014/main" id="{59C4662D-3281-6187-3E2A-FB061A350C3A}"/>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mlns="">
        <xdr:sp macro="" textlink="">
          <xdr:nvSpPr>
            <xdr:cNvPr id="0" name=""/>
            <xdr:cNvSpPr>
              <a:spLocks noTextEdit="1"/>
            </xdr:cNvSpPr>
          </xdr:nvSpPr>
          <xdr:spPr>
            <a:xfrm>
              <a:off x="56987" y="867346"/>
              <a:ext cx="1828800" cy="1387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0</xdr:colOff>
      <xdr:row>0</xdr:row>
      <xdr:rowOff>11505</xdr:rowOff>
    </xdr:from>
    <xdr:ext cx="15866860" cy="818880"/>
    <xdr:sp macro="[0]!Rectangle8_Click" textlink="">
      <xdr:nvSpPr>
        <xdr:cNvPr id="9" name="Rectangle 8">
          <a:extLst>
            <a:ext uri="{FF2B5EF4-FFF2-40B4-BE49-F238E27FC236}">
              <a16:creationId xmlns:a16="http://schemas.microsoft.com/office/drawing/2014/main" id="{F6A6178A-4195-8E05-F56C-2A6FAFF2E89E}"/>
            </a:ext>
          </a:extLst>
        </xdr:cNvPr>
        <xdr:cNvSpPr/>
      </xdr:nvSpPr>
      <xdr:spPr>
        <a:xfrm>
          <a:off x="0" y="11505"/>
          <a:ext cx="15866860" cy="818880"/>
        </a:xfrm>
        <a:prstGeom prst="rect">
          <a:avLst/>
        </a:prstGeom>
        <a:solidFill>
          <a:schemeClr val="tx2">
            <a:lumMod val="50000"/>
          </a:schemeClr>
        </a:solidFill>
        <a:ln w="38100">
          <a:solidFill>
            <a:schemeClr val="accent1">
              <a:lumMod val="75000"/>
            </a:schemeClr>
          </a:solidFill>
        </a:ln>
      </xdr:spPr>
      <xdr:txBody>
        <a:bodyPr wrap="square" lIns="91440" tIns="45720" rIns="91440" bIns="45720">
          <a:noAutofit/>
        </a:bodyPr>
        <a:lstStyle/>
        <a:p>
          <a:pPr algn="ctr"/>
          <a:r>
            <a:rPr lang="en-US" sz="5400" b="1" cap="none" spc="0">
              <a:ln w="13462">
                <a:solidFill>
                  <a:schemeClr val="bg1"/>
                </a:solidFill>
                <a:prstDash val="solid"/>
              </a:ln>
              <a:solidFill>
                <a:schemeClr val="tx1">
                  <a:lumMod val="85000"/>
                  <a:lumOff val="15000"/>
                </a:schemeClr>
              </a:solidFill>
              <a:effectLst>
                <a:glow rad="228600">
                  <a:schemeClr val="accent5">
                    <a:satMod val="175000"/>
                    <a:alpha val="40000"/>
                  </a:schemeClr>
                </a:glow>
                <a:outerShdw dist="38100" dir="2700000" algn="bl" rotWithShape="0">
                  <a:schemeClr val="accent5"/>
                </a:outerShdw>
              </a:effectLst>
            </a:rPr>
            <a:t>REPORT</a:t>
          </a:r>
          <a:r>
            <a:rPr lang="en-US" sz="5400" b="1" cap="none" spc="0" baseline="0">
              <a:ln w="13462">
                <a:solidFill>
                  <a:schemeClr val="bg1"/>
                </a:solidFill>
                <a:prstDash val="solid"/>
              </a:ln>
              <a:solidFill>
                <a:schemeClr val="tx1">
                  <a:lumMod val="85000"/>
                  <a:lumOff val="15000"/>
                </a:schemeClr>
              </a:solidFill>
              <a:effectLst>
                <a:glow rad="228600">
                  <a:schemeClr val="accent5">
                    <a:satMod val="175000"/>
                    <a:alpha val="40000"/>
                  </a:schemeClr>
                </a:glow>
                <a:outerShdw dist="38100" dir="2700000" algn="bl" rotWithShape="0">
                  <a:schemeClr val="accent5"/>
                </a:outerShdw>
              </a:effectLst>
            </a:rPr>
            <a:t> ON SALES</a:t>
          </a:r>
          <a:endParaRPr lang="en-US" sz="5400" b="1" cap="none" spc="0">
            <a:ln w="13462">
              <a:solidFill>
                <a:schemeClr val="bg1"/>
              </a:solidFill>
              <a:prstDash val="solid"/>
            </a:ln>
            <a:solidFill>
              <a:schemeClr val="tx1">
                <a:lumMod val="85000"/>
                <a:lumOff val="15000"/>
              </a:schemeClr>
            </a:solidFill>
            <a:effectLst>
              <a:glow rad="228600">
                <a:schemeClr val="accent5">
                  <a:satMod val="175000"/>
                  <a:alpha val="40000"/>
                </a:schemeClr>
              </a:glow>
              <a:outerShdw dist="38100" dir="2700000" algn="bl" rotWithShape="0">
                <a:schemeClr val="accent5"/>
              </a:outerShdw>
            </a:effectLst>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577850</xdr:colOff>
      <xdr:row>30</xdr:row>
      <xdr:rowOff>0</xdr:rowOff>
    </xdr:to>
    <xdr:sp macro="" textlink="">
      <xdr:nvSpPr>
        <xdr:cNvPr id="5" name="TextBox 4">
          <a:extLst>
            <a:ext uri="{FF2B5EF4-FFF2-40B4-BE49-F238E27FC236}">
              <a16:creationId xmlns:a16="http://schemas.microsoft.com/office/drawing/2014/main" id="{6C05F56B-5D96-80DF-19ED-1917BD0977E2}"/>
            </a:ext>
          </a:extLst>
        </xdr:cNvPr>
        <xdr:cNvSpPr txBox="1"/>
      </xdr:nvSpPr>
      <xdr:spPr>
        <a:xfrm>
          <a:off x="0" y="0"/>
          <a:ext cx="12160250" cy="55245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atin typeface="Copperplate Gothic Light" panose="020E0507020206020404" pitchFamily="34" charset="0"/>
          </a:endParaRPr>
        </a:p>
      </xdr:txBody>
    </xdr:sp>
    <xdr:clientData/>
  </xdr:twoCellAnchor>
  <xdr:twoCellAnchor>
    <xdr:from>
      <xdr:col>0</xdr:col>
      <xdr:colOff>50800</xdr:colOff>
      <xdr:row>0</xdr:row>
      <xdr:rowOff>19050</xdr:rowOff>
    </xdr:from>
    <xdr:to>
      <xdr:col>8</xdr:col>
      <xdr:colOff>177800</xdr:colOff>
      <xdr:row>30</xdr:row>
      <xdr:rowOff>19050</xdr:rowOff>
    </xdr:to>
    <xdr:sp macro="" textlink="">
      <xdr:nvSpPr>
        <xdr:cNvPr id="9" name="Rectangle 8">
          <a:extLst>
            <a:ext uri="{FF2B5EF4-FFF2-40B4-BE49-F238E27FC236}">
              <a16:creationId xmlns:a16="http://schemas.microsoft.com/office/drawing/2014/main" id="{DD2C3F46-3C8B-F34A-88D1-90213420D917}"/>
            </a:ext>
          </a:extLst>
        </xdr:cNvPr>
        <xdr:cNvSpPr/>
      </xdr:nvSpPr>
      <xdr:spPr>
        <a:xfrm>
          <a:off x="50800" y="19050"/>
          <a:ext cx="5003800" cy="5524500"/>
        </a:xfrm>
        <a:prstGeom prst="rect">
          <a:avLst/>
        </a:prstGeom>
        <a:solidFill>
          <a:schemeClr val="accent6">
            <a:lumMod val="50000"/>
          </a:schemeClr>
        </a:solidFill>
        <a:ln>
          <a:noFill/>
        </a:ln>
        <a:effectLst>
          <a:glow rad="1016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450850</xdr:colOff>
      <xdr:row>2</xdr:row>
      <xdr:rowOff>158750</xdr:rowOff>
    </xdr:from>
    <xdr:to>
      <xdr:col>18</xdr:col>
      <xdr:colOff>552450</xdr:colOff>
      <xdr:row>7</xdr:row>
      <xdr:rowOff>171450</xdr:rowOff>
    </xdr:to>
    <xdr:sp macro="" textlink="">
      <xdr:nvSpPr>
        <xdr:cNvPr id="8" name="Rectangle: Rounded Corners 7">
          <a:extLst>
            <a:ext uri="{FF2B5EF4-FFF2-40B4-BE49-F238E27FC236}">
              <a16:creationId xmlns:a16="http://schemas.microsoft.com/office/drawing/2014/main" id="{5C671053-C5A8-3381-B961-8AB4FDA256FD}"/>
            </a:ext>
          </a:extLst>
        </xdr:cNvPr>
        <xdr:cNvSpPr/>
      </xdr:nvSpPr>
      <xdr:spPr>
        <a:xfrm>
          <a:off x="450850" y="527050"/>
          <a:ext cx="11074400" cy="933450"/>
        </a:xfrm>
        <a:prstGeom prst="roundRect">
          <a:avLst/>
        </a:prstGeom>
        <a:solidFill>
          <a:srgbClr val="0070C0"/>
        </a:solidFill>
        <a:ln w="28575">
          <a:solidFill>
            <a:srgbClr val="1EEFEA"/>
          </a:solidFill>
        </a:ln>
        <a:effectLst>
          <a:glow rad="1016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541021</xdr:colOff>
      <xdr:row>2</xdr:row>
      <xdr:rowOff>133350</xdr:rowOff>
    </xdr:from>
    <xdr:ext cx="10887724" cy="514350"/>
    <xdr:sp macro="" textlink="">
      <xdr:nvSpPr>
        <xdr:cNvPr id="4" name="Rectangle 3">
          <a:extLst>
            <a:ext uri="{FF2B5EF4-FFF2-40B4-BE49-F238E27FC236}">
              <a16:creationId xmlns:a16="http://schemas.microsoft.com/office/drawing/2014/main" id="{6FCBDBD7-6AF2-AB88-71CE-ED8A3C13BE6E}"/>
            </a:ext>
          </a:extLst>
        </xdr:cNvPr>
        <xdr:cNvSpPr/>
      </xdr:nvSpPr>
      <xdr:spPr>
        <a:xfrm>
          <a:off x="541021" y="501650"/>
          <a:ext cx="10887724" cy="514350"/>
        </a:xfrm>
        <a:prstGeom prst="rect">
          <a:avLst/>
        </a:prstGeom>
        <a:noFill/>
      </xdr:spPr>
      <xdr:txBody>
        <a:bodyPr wrap="none" lIns="91440" tIns="45720" rIns="91440" bIns="45720">
          <a:noAutofit/>
        </a:bodyPr>
        <a:lstStyle/>
        <a:p>
          <a:pPr algn="ctr"/>
          <a:r>
            <a:rPr lang="en-US" sz="5400" b="1" cap="none" spc="0">
              <a:ln w="22225">
                <a:solidFill>
                  <a:schemeClr val="accent2"/>
                </a:solidFill>
                <a:prstDash val="solid"/>
              </a:ln>
              <a:solidFill>
                <a:schemeClr val="accent2">
                  <a:lumMod val="40000"/>
                  <a:lumOff val="60000"/>
                </a:schemeClr>
              </a:solidFill>
              <a:effectLst>
                <a:outerShdw blurRad="50800" dist="38100" dir="5400000" algn="t" rotWithShape="0">
                  <a:prstClr val="black">
                    <a:alpha val="40000"/>
                  </a:prstClr>
                </a:outerShdw>
              </a:effectLst>
            </a:rPr>
            <a:t>REPORT</a:t>
          </a:r>
          <a:r>
            <a:rPr lang="en-US" sz="5400" b="1" cap="none" spc="0" baseline="0">
              <a:ln w="22225">
                <a:solidFill>
                  <a:schemeClr val="accent2"/>
                </a:solidFill>
                <a:prstDash val="solid"/>
              </a:ln>
              <a:solidFill>
                <a:schemeClr val="accent2">
                  <a:lumMod val="40000"/>
                  <a:lumOff val="60000"/>
                </a:schemeClr>
              </a:solidFill>
              <a:effectLst>
                <a:outerShdw blurRad="50800" dist="38100" dir="5400000" algn="t" rotWithShape="0">
                  <a:prstClr val="black">
                    <a:alpha val="40000"/>
                  </a:prstClr>
                </a:outerShdw>
              </a:effectLst>
            </a:rPr>
            <a:t> ANALYSIS AND SUGGESTIONS</a:t>
          </a:r>
          <a:endParaRPr lang="en-US" sz="5400" b="1" cap="none" spc="0">
            <a:ln w="22225">
              <a:solidFill>
                <a:schemeClr val="accent2"/>
              </a:solidFill>
              <a:prstDash val="solid"/>
            </a:ln>
            <a:solidFill>
              <a:schemeClr val="accent2">
                <a:lumMod val="40000"/>
                <a:lumOff val="60000"/>
              </a:schemeClr>
            </a:solidFill>
            <a:effectLst>
              <a:outerShdw blurRad="50800" dist="38100" dir="5400000" algn="t" rotWithShape="0">
                <a:prstClr val="black">
                  <a:alpha val="40000"/>
                </a:prstClr>
              </a:outerShdw>
            </a:effectLst>
          </a:endParaRPr>
        </a:p>
      </xdr:txBody>
    </xdr:sp>
    <xdr:clientData/>
  </xdr:oneCellAnchor>
  <xdr:twoCellAnchor>
    <xdr:from>
      <xdr:col>1</xdr:col>
      <xdr:colOff>196850</xdr:colOff>
      <xdr:row>9</xdr:row>
      <xdr:rowOff>146050</xdr:rowOff>
    </xdr:from>
    <xdr:to>
      <xdr:col>17</xdr:col>
      <xdr:colOff>222250</xdr:colOff>
      <xdr:row>18</xdr:row>
      <xdr:rowOff>177800</xdr:rowOff>
    </xdr:to>
    <xdr:sp macro="" textlink="">
      <xdr:nvSpPr>
        <xdr:cNvPr id="2" name="Wave 1">
          <a:extLst>
            <a:ext uri="{FF2B5EF4-FFF2-40B4-BE49-F238E27FC236}">
              <a16:creationId xmlns:a16="http://schemas.microsoft.com/office/drawing/2014/main" id="{F30B5273-8A67-E8D6-BFC0-D08275D39C71}"/>
            </a:ext>
          </a:extLst>
        </xdr:cNvPr>
        <xdr:cNvSpPr/>
      </xdr:nvSpPr>
      <xdr:spPr>
        <a:xfrm>
          <a:off x="806450" y="1803400"/>
          <a:ext cx="9779000" cy="1689100"/>
        </a:xfrm>
        <a:prstGeom prst="wave">
          <a:avLst>
            <a:gd name="adj1" fmla="val 12500"/>
            <a:gd name="adj2" fmla="val 511"/>
          </a:avLst>
        </a:prstGeom>
        <a:effectLst>
          <a:outerShdw blurRad="50800" dist="38100" dir="18900000" algn="bl" rotWithShape="0">
            <a:prstClr val="black">
              <a:alpha val="40000"/>
            </a:prstClr>
          </a:outerShdw>
          <a:softEdge rad="63500"/>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marL="285750" indent="-285750" algn="l">
            <a:buFont typeface="Wingdings" panose="05000000000000000000" pitchFamily="2" charset="2"/>
            <a:buChar char="§"/>
          </a:pPr>
          <a:endParaRPr lang="en-IN" sz="1600" b="1">
            <a:solidFill>
              <a:schemeClr val="tx1"/>
            </a:solidFill>
            <a:latin typeface="Copperplate Gothic Bold" panose="020E0705020206020404" pitchFamily="34" charset="0"/>
          </a:endParaRPr>
        </a:p>
      </xdr:txBody>
    </xdr:sp>
    <xdr:clientData/>
  </xdr:twoCellAnchor>
  <xdr:twoCellAnchor>
    <xdr:from>
      <xdr:col>1</xdr:col>
      <xdr:colOff>196850</xdr:colOff>
      <xdr:row>17</xdr:row>
      <xdr:rowOff>107950</xdr:rowOff>
    </xdr:from>
    <xdr:to>
      <xdr:col>17</xdr:col>
      <xdr:colOff>158750</xdr:colOff>
      <xdr:row>26</xdr:row>
      <xdr:rowOff>127000</xdr:rowOff>
    </xdr:to>
    <xdr:sp macro="" textlink="">
      <xdr:nvSpPr>
        <xdr:cNvPr id="3" name="Wave 2">
          <a:extLst>
            <a:ext uri="{FF2B5EF4-FFF2-40B4-BE49-F238E27FC236}">
              <a16:creationId xmlns:a16="http://schemas.microsoft.com/office/drawing/2014/main" id="{D0603B06-D0D4-F17C-8E47-1A0CD2C3CCDA}"/>
            </a:ext>
          </a:extLst>
        </xdr:cNvPr>
        <xdr:cNvSpPr/>
      </xdr:nvSpPr>
      <xdr:spPr>
        <a:xfrm>
          <a:off x="806450" y="3238500"/>
          <a:ext cx="9715500" cy="1676400"/>
        </a:xfrm>
        <a:prstGeom prst="wave">
          <a:avLst>
            <a:gd name="adj1" fmla="val 12500"/>
            <a:gd name="adj2" fmla="val 776"/>
          </a:avLst>
        </a:prstGeom>
        <a:effectLst>
          <a:outerShdw blurRad="50800" dist="38100" dir="5400000" algn="t"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368300</xdr:colOff>
      <xdr:row>10</xdr:row>
      <xdr:rowOff>0</xdr:rowOff>
    </xdr:from>
    <xdr:to>
      <xdr:col>17</xdr:col>
      <xdr:colOff>12700</xdr:colOff>
      <xdr:row>17</xdr:row>
      <xdr:rowOff>63500</xdr:rowOff>
    </xdr:to>
    <xdr:sp macro="" textlink="">
      <xdr:nvSpPr>
        <xdr:cNvPr id="6" name="TextBox 5">
          <a:extLst>
            <a:ext uri="{FF2B5EF4-FFF2-40B4-BE49-F238E27FC236}">
              <a16:creationId xmlns:a16="http://schemas.microsoft.com/office/drawing/2014/main" id="{E7A7F157-E2DC-122D-69F0-F92FDDDB7996}"/>
            </a:ext>
          </a:extLst>
        </xdr:cNvPr>
        <xdr:cNvSpPr txBox="1"/>
      </xdr:nvSpPr>
      <xdr:spPr>
        <a:xfrm>
          <a:off x="977900" y="1841500"/>
          <a:ext cx="9398000" cy="135255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q"/>
          </a:pPr>
          <a:r>
            <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mn-lt"/>
              <a:ea typeface="HP Simplified Jpan" panose="020B0500000000000000" pitchFamily="34" charset="-128"/>
              <a:cs typeface="+mn-cs"/>
            </a:rPr>
            <a:t> ANALYSIS:</a:t>
          </a:r>
          <a:endPar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mn-lt"/>
            <a:ea typeface="HP Simplified Jpan" panose="020B0500000000000000" pitchFamily="34" charset="-128"/>
          </a:endParaRPr>
        </a:p>
        <a:p>
          <a:pPr marL="171450" indent="-171450">
            <a:buFont typeface="Wingdings" panose="05000000000000000000" pitchFamily="2" charset="2"/>
            <a:buChar char="§"/>
          </a:pPr>
          <a:r>
            <a:rPr lang="en-IN" sz="1400" b="1">
              <a:solidFill>
                <a:schemeClr val="bg1">
                  <a:lumMod val="95000"/>
                </a:schemeClr>
              </a:solidFill>
              <a:effectLst/>
              <a:latin typeface="Copperplate Gothic Light" panose="020E0507020206020404" pitchFamily="34" charset="0"/>
              <a:ea typeface="+mn-ea"/>
              <a:cs typeface="+mn-cs"/>
            </a:rPr>
            <a:t>in the overall report we can see that tech</a:t>
          </a:r>
          <a:r>
            <a:rPr lang="en-IN" sz="1400" b="1" baseline="0">
              <a:solidFill>
                <a:schemeClr val="bg1">
                  <a:lumMod val="95000"/>
                </a:schemeClr>
              </a:solidFill>
              <a:effectLst/>
              <a:latin typeface="Copperplate Gothic Light" panose="020E0507020206020404" pitchFamily="34" charset="0"/>
              <a:ea typeface="+mn-ea"/>
              <a:cs typeface="+mn-cs"/>
            </a:rPr>
            <a:t> sales are all time high so if brands want to increase sales in other categories then they should focus on:</a:t>
          </a:r>
          <a:endParaRPr lang="en-IN" sz="1400" b="0" baseline="0">
            <a:solidFill>
              <a:schemeClr val="bg1">
                <a:lumMod val="95000"/>
              </a:schemeClr>
            </a:solidFill>
            <a:effectLst/>
            <a:latin typeface="Copperplate Gothic Light" panose="020E0507020206020404" pitchFamily="34" charset="0"/>
            <a:ea typeface="+mn-ea"/>
            <a:cs typeface="+mn-cs"/>
          </a:endParaRPr>
        </a:p>
        <a:p>
          <a:pPr marL="285750" indent="-285750">
            <a:buFont typeface="Wingdings" panose="05000000000000000000" pitchFamily="2" charset="2"/>
            <a:buChar char="ü"/>
          </a:pPr>
          <a:r>
            <a:rPr lang="en-IN" sz="1400" b="1" baseline="0">
              <a:solidFill>
                <a:schemeClr val="bg1">
                  <a:lumMod val="95000"/>
                </a:schemeClr>
              </a:solidFill>
              <a:effectLst/>
              <a:latin typeface="Copperplate Gothic Light" panose="020E0507020206020404" pitchFamily="34" charset="0"/>
              <a:ea typeface="+mn-ea"/>
              <a:cs typeface="+mn-cs"/>
            </a:rPr>
            <a:t> promoting discount on those category</a:t>
          </a:r>
          <a:endParaRPr lang="en-IN" sz="1400">
            <a:solidFill>
              <a:schemeClr val="bg1">
                <a:lumMod val="95000"/>
              </a:schemeClr>
            </a:solidFill>
            <a:effectLst/>
            <a:latin typeface="Copperplate Gothic Light" panose="020E0507020206020404" pitchFamily="34" charset="0"/>
          </a:endParaRPr>
        </a:p>
        <a:p>
          <a:pPr marL="285750" indent="-285750">
            <a:buFont typeface="Wingdings" panose="05000000000000000000" pitchFamily="2" charset="2"/>
            <a:buChar char="ü"/>
          </a:pPr>
          <a:r>
            <a:rPr lang="en-IN" sz="1400" b="1" baseline="0">
              <a:solidFill>
                <a:schemeClr val="bg1">
                  <a:lumMod val="95000"/>
                </a:schemeClr>
              </a:solidFill>
              <a:effectLst/>
              <a:latin typeface="Copperplate Gothic Light" panose="020E0507020206020404" pitchFamily="34" charset="0"/>
              <a:ea typeface="+mn-ea"/>
              <a:cs typeface="+mn-cs"/>
            </a:rPr>
            <a:t> attracting customers through ad campaigns</a:t>
          </a:r>
          <a:endParaRPr lang="en-IN" sz="1400">
            <a:solidFill>
              <a:schemeClr val="bg1">
                <a:lumMod val="95000"/>
              </a:schemeClr>
            </a:solidFill>
            <a:effectLst/>
            <a:latin typeface="Copperplate Gothic Light" panose="020E0507020206020404" pitchFamily="34" charset="0"/>
          </a:endParaRPr>
        </a:p>
      </xdr:txBody>
    </xdr:sp>
    <xdr:clientData/>
  </xdr:twoCellAnchor>
  <xdr:twoCellAnchor>
    <xdr:from>
      <xdr:col>1</xdr:col>
      <xdr:colOff>355600</xdr:colOff>
      <xdr:row>18</xdr:row>
      <xdr:rowOff>158750</xdr:rowOff>
    </xdr:from>
    <xdr:to>
      <xdr:col>17</xdr:col>
      <xdr:colOff>69850</xdr:colOff>
      <xdr:row>25</xdr:row>
      <xdr:rowOff>120650</xdr:rowOff>
    </xdr:to>
    <xdr:sp macro="" textlink="">
      <xdr:nvSpPr>
        <xdr:cNvPr id="7" name="TextBox 6">
          <a:extLst>
            <a:ext uri="{FF2B5EF4-FFF2-40B4-BE49-F238E27FC236}">
              <a16:creationId xmlns:a16="http://schemas.microsoft.com/office/drawing/2014/main" id="{CB6CD95A-8C7D-6000-9415-10900B33DF78}"/>
            </a:ext>
          </a:extLst>
        </xdr:cNvPr>
        <xdr:cNvSpPr txBox="1"/>
      </xdr:nvSpPr>
      <xdr:spPr>
        <a:xfrm>
          <a:off x="965200" y="3473450"/>
          <a:ext cx="9467850" cy="125095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342900" indent="-342900">
            <a:buFont typeface="Wingdings" panose="05000000000000000000" pitchFamily="2" charset="2"/>
            <a:buChar char="q"/>
          </a:pPr>
          <a:r>
            <a:rPr lang="en-IN"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SUGGESTIONS:</a:t>
          </a:r>
        </a:p>
        <a:p>
          <a:pPr marL="342900" indent="-342900">
            <a:buFont typeface="Wingdings" panose="05000000000000000000" pitchFamily="2" charset="2"/>
            <a:buChar char="§"/>
          </a:pPr>
          <a:r>
            <a:rPr lang="en-IN" sz="1200" b="1">
              <a:solidFill>
                <a:schemeClr val="bg1">
                  <a:lumMod val="85000"/>
                </a:schemeClr>
              </a:solidFill>
              <a:latin typeface="Copperplate Gothic Light" panose="020E0507020206020404" pitchFamily="34" charset="0"/>
            </a:rPr>
            <a:t>IF I HAVE TO</a:t>
          </a:r>
          <a:r>
            <a:rPr lang="en-IN" sz="1200" b="1" baseline="0">
              <a:solidFill>
                <a:schemeClr val="bg1">
                  <a:lumMod val="85000"/>
                </a:schemeClr>
              </a:solidFill>
              <a:latin typeface="Copperplate Gothic Light" panose="020E0507020206020404" pitchFamily="34" charset="0"/>
            </a:rPr>
            <a:t> GIVE A SUGGESTION TO COMPANY I WILL SAY COMPANY SHOULD GIVE A FREE DELIVERY SERVICE TO CUSTOMERS AFTER A CERTAIN AMOUNT SO THAT CUSTOMERS PURCHASE MORE IN ORDER TO SAVE DELIVERY FEE</a:t>
          </a:r>
          <a:endParaRPr lang="en-IN" sz="1200" b="1">
            <a:solidFill>
              <a:schemeClr val="bg1">
                <a:lumMod val="85000"/>
              </a:schemeClr>
            </a:solidFill>
            <a:latin typeface="Copperplate Gothic Light" panose="020E05070202060204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444500</xdr:colOff>
      <xdr:row>6</xdr:row>
      <xdr:rowOff>136525</xdr:rowOff>
    </xdr:from>
    <xdr:to>
      <xdr:col>6</xdr:col>
      <xdr:colOff>749300</xdr:colOff>
      <xdr:row>21</xdr:row>
      <xdr:rowOff>117475</xdr:rowOff>
    </xdr:to>
    <xdr:graphicFrame macro="">
      <xdr:nvGraphicFramePr>
        <xdr:cNvPr id="2" name="Chart 1">
          <a:extLst>
            <a:ext uri="{FF2B5EF4-FFF2-40B4-BE49-F238E27FC236}">
              <a16:creationId xmlns:a16="http://schemas.microsoft.com/office/drawing/2014/main" id="{99BB926A-9C77-08D4-6888-712DC57F0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1009650</xdr:colOff>
      <xdr:row>6</xdr:row>
      <xdr:rowOff>139700</xdr:rowOff>
    </xdr:from>
    <xdr:to>
      <xdr:col>9</xdr:col>
      <xdr:colOff>933450</xdr:colOff>
      <xdr:row>12</xdr:row>
      <xdr:rowOff>6350</xdr:rowOff>
    </xdr:to>
    <xdr:sp macro="" textlink="">
      <xdr:nvSpPr>
        <xdr:cNvPr id="3" name="TextBox 2">
          <a:extLst>
            <a:ext uri="{FF2B5EF4-FFF2-40B4-BE49-F238E27FC236}">
              <a16:creationId xmlns:a16="http://schemas.microsoft.com/office/drawing/2014/main" id="{21B2CFEC-CCA0-AC1E-0DAD-91C15872BF79}"/>
            </a:ext>
          </a:extLst>
        </xdr:cNvPr>
        <xdr:cNvSpPr txBox="1"/>
      </xdr:nvSpPr>
      <xdr:spPr>
        <a:xfrm>
          <a:off x="7023100" y="323850"/>
          <a:ext cx="3124200" cy="97155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v"/>
          </a:pPr>
          <a:r>
            <a:rPr lang="en-IN" sz="1100" b="1"/>
            <a:t>POINTS</a:t>
          </a:r>
          <a:r>
            <a:rPr lang="en-IN" sz="1100" b="1" baseline="0"/>
            <a:t> TO NOTE:</a:t>
          </a:r>
          <a:endParaRPr lang="en-IN" sz="1100" b="1"/>
        </a:p>
        <a:p>
          <a:pPr marL="171450" indent="-171450">
            <a:buFont typeface="Wingdings" panose="05000000000000000000" pitchFamily="2" charset="2"/>
            <a:buChar char="q"/>
          </a:pPr>
          <a:r>
            <a:rPr lang="en-IN" sz="1100"/>
            <a:t>IN THIS</a:t>
          </a:r>
          <a:r>
            <a:rPr lang="en-IN" sz="1100" baseline="0"/>
            <a:t> CHART WE CAN SEE WHICH CATEGORY GOT ORDERED MOST BY USER </a:t>
          </a:r>
        </a:p>
        <a:p>
          <a:pPr marL="171450" indent="-171450">
            <a:buFont typeface="Wingdings" panose="05000000000000000000" pitchFamily="2" charset="2"/>
            <a:buChar char="q"/>
          </a:pPr>
          <a:r>
            <a:rPr lang="en-IN" sz="1100" baseline="0"/>
            <a:t>MOST ORDERED CATEGORY IS TECHNOLOGY</a:t>
          </a:r>
        </a:p>
        <a:p>
          <a:pPr marL="171450" indent="-171450">
            <a:buFont typeface="Wingdings" panose="05000000000000000000" pitchFamily="2" charset="2"/>
            <a:buChar char="q"/>
          </a:pPr>
          <a:r>
            <a:rPr lang="en-IN" sz="1100" baseline="0"/>
            <a:t>LEAST ORDERED IS OFFICE SUPPLIES </a:t>
          </a:r>
        </a:p>
      </xdr:txBody>
    </xdr:sp>
    <xdr:clientData/>
  </xdr:twoCellAnchor>
  <xdr:twoCellAnchor>
    <xdr:from>
      <xdr:col>6</xdr:col>
      <xdr:colOff>1035050</xdr:colOff>
      <xdr:row>12</xdr:row>
      <xdr:rowOff>165100</xdr:rowOff>
    </xdr:from>
    <xdr:to>
      <xdr:col>9</xdr:col>
      <xdr:colOff>952500</xdr:colOff>
      <xdr:row>18</xdr:row>
      <xdr:rowOff>19050</xdr:rowOff>
    </xdr:to>
    <xdr:sp macro="" textlink="">
      <xdr:nvSpPr>
        <xdr:cNvPr id="4" name="TextBox 3">
          <a:extLst>
            <a:ext uri="{FF2B5EF4-FFF2-40B4-BE49-F238E27FC236}">
              <a16:creationId xmlns:a16="http://schemas.microsoft.com/office/drawing/2014/main" id="{DB972BBB-549D-4651-1108-E7B673035090}"/>
            </a:ext>
          </a:extLst>
        </xdr:cNvPr>
        <xdr:cNvSpPr txBox="1"/>
      </xdr:nvSpPr>
      <xdr:spPr>
        <a:xfrm>
          <a:off x="7048500" y="1454150"/>
          <a:ext cx="3117850" cy="95885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v"/>
          </a:pPr>
          <a:r>
            <a:rPr lang="en-IN" sz="1100" b="1"/>
            <a:t>ANALYSIS:</a:t>
          </a:r>
        </a:p>
        <a:p>
          <a:pPr marL="0" indent="0">
            <a:buFontTx/>
            <a:buNone/>
          </a:pPr>
          <a:r>
            <a:rPr lang="en-IN" sz="1100">
              <a:solidFill>
                <a:schemeClr val="bg1"/>
              </a:solidFill>
            </a:rPr>
            <a:t>WE CAN ASSUME THAT PEOPLE MOSTLY</a:t>
          </a:r>
          <a:r>
            <a:rPr lang="en-IN" sz="1100" baseline="0">
              <a:solidFill>
                <a:schemeClr val="bg1"/>
              </a:solidFill>
            </a:rPr>
            <a:t> ORDERED  TECH ITEMS ONLINE AND OFFICE SUPPLIES FROM LOCAL STORES OR BOUGHT IT IN BULK FROM WHOLESALERS</a:t>
          </a:r>
          <a:endParaRPr lang="en-IN" sz="11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330200</xdr:colOff>
      <xdr:row>5</xdr:row>
      <xdr:rowOff>22225</xdr:rowOff>
    </xdr:from>
    <xdr:to>
      <xdr:col>10</xdr:col>
      <xdr:colOff>25400</xdr:colOff>
      <xdr:row>20</xdr:row>
      <xdr:rowOff>3175</xdr:rowOff>
    </xdr:to>
    <xdr:graphicFrame macro="">
      <xdr:nvGraphicFramePr>
        <xdr:cNvPr id="2" name="Chart 1">
          <a:extLst>
            <a:ext uri="{FF2B5EF4-FFF2-40B4-BE49-F238E27FC236}">
              <a16:creationId xmlns:a16="http://schemas.microsoft.com/office/drawing/2014/main" id="{7530D226-48B5-197E-7B55-16EECC7AC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215900</xdr:colOff>
      <xdr:row>6</xdr:row>
      <xdr:rowOff>44450</xdr:rowOff>
    </xdr:from>
    <xdr:to>
      <xdr:col>18</xdr:col>
      <xdr:colOff>95250</xdr:colOff>
      <xdr:row>13</xdr:row>
      <xdr:rowOff>82550</xdr:rowOff>
    </xdr:to>
    <xdr:sp macro="" textlink="">
      <xdr:nvSpPr>
        <xdr:cNvPr id="3" name="TextBox 2">
          <a:extLst>
            <a:ext uri="{FF2B5EF4-FFF2-40B4-BE49-F238E27FC236}">
              <a16:creationId xmlns:a16="http://schemas.microsoft.com/office/drawing/2014/main" id="{75E15E9C-430F-6FFC-E8D9-963ACA3F9091}"/>
            </a:ext>
          </a:extLst>
        </xdr:cNvPr>
        <xdr:cNvSpPr txBox="1"/>
      </xdr:nvSpPr>
      <xdr:spPr>
        <a:xfrm>
          <a:off x="6870700" y="596900"/>
          <a:ext cx="4756150" cy="132715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v"/>
          </a:pPr>
          <a:r>
            <a:rPr lang="en-IN" sz="1100" b="1"/>
            <a:t>POINTS</a:t>
          </a:r>
          <a:r>
            <a:rPr lang="en-IN" sz="1100" b="1" baseline="0"/>
            <a:t> TO NOTE:</a:t>
          </a:r>
        </a:p>
        <a:p>
          <a:pPr marL="171450" indent="-171450">
            <a:buFont typeface="Wingdings" panose="05000000000000000000" pitchFamily="2" charset="2"/>
            <a:buChar char="q"/>
          </a:pPr>
          <a:r>
            <a:rPr lang="en-IN" sz="1100" b="1" baseline="0"/>
            <a:t>HERE, WE CAN SEE THE SALES FROM DIFFERENT STATES OF UNITED STATES</a:t>
          </a:r>
        </a:p>
        <a:p>
          <a:pPr marL="171450" indent="-171450">
            <a:buFont typeface="Wingdings" panose="05000000000000000000" pitchFamily="2" charset="2"/>
            <a:buChar char="q"/>
          </a:pPr>
          <a:r>
            <a:rPr lang="en-IN" sz="1100" b="1" baseline="0"/>
            <a:t>IT IS THE SALES FROM TOP 10 STATES </a:t>
          </a:r>
        </a:p>
        <a:p>
          <a:pPr marL="171450" indent="-171450">
            <a:buFont typeface="Wingdings" panose="05000000000000000000" pitchFamily="2" charset="2"/>
            <a:buChar char="q"/>
          </a:pPr>
          <a:r>
            <a:rPr lang="en-IN" sz="1100" b="1" baseline="0"/>
            <a:t>HIGHEST SALES CAME FROM CALIFORNIA</a:t>
          </a:r>
        </a:p>
        <a:p>
          <a:pPr marL="171450" indent="-171450">
            <a:buFont typeface="Wingdings" panose="05000000000000000000" pitchFamily="2" charset="2"/>
            <a:buChar char="q"/>
          </a:pPr>
          <a:r>
            <a:rPr lang="en-IN" sz="1100" b="1" baseline="0"/>
            <a:t>LOWEST CAME FROM FLORIDA,ARIZONA AND VIRGINIA</a:t>
          </a:r>
        </a:p>
        <a:p>
          <a:pPr marL="171450" indent="-171450">
            <a:buFont typeface="Wingdings" panose="05000000000000000000" pitchFamily="2" charset="2"/>
            <a:buChar char="q"/>
          </a:pPr>
          <a:r>
            <a:rPr lang="en-IN" sz="1100" b="1" baseline="0"/>
            <a:t>IF WE CHANGE THE SLICER ON REPORT WORKSHEET THEN THE DATA MAY VARY</a:t>
          </a:r>
        </a:p>
        <a:p>
          <a:endParaRPr lang="en-IN" sz="1100"/>
        </a:p>
      </xdr:txBody>
    </xdr:sp>
    <xdr:clientData/>
  </xdr:twoCellAnchor>
  <xdr:twoCellAnchor>
    <xdr:from>
      <xdr:col>10</xdr:col>
      <xdr:colOff>228600</xdr:colOff>
      <xdr:row>14</xdr:row>
      <xdr:rowOff>82550</xdr:rowOff>
    </xdr:from>
    <xdr:to>
      <xdr:col>18</xdr:col>
      <xdr:colOff>228600</xdr:colOff>
      <xdr:row>19</xdr:row>
      <xdr:rowOff>133350</xdr:rowOff>
    </xdr:to>
    <xdr:sp macro="" textlink="">
      <xdr:nvSpPr>
        <xdr:cNvPr id="4" name="TextBox 3">
          <a:extLst>
            <a:ext uri="{FF2B5EF4-FFF2-40B4-BE49-F238E27FC236}">
              <a16:creationId xmlns:a16="http://schemas.microsoft.com/office/drawing/2014/main" id="{9C9678B4-9B9B-E6DA-F0E4-E24170C45386}"/>
            </a:ext>
          </a:extLst>
        </xdr:cNvPr>
        <xdr:cNvSpPr txBox="1"/>
      </xdr:nvSpPr>
      <xdr:spPr>
        <a:xfrm>
          <a:off x="6883400" y="2108200"/>
          <a:ext cx="4876800" cy="9715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v"/>
          </a:pPr>
          <a:r>
            <a:rPr lang="en-IN" sz="1100" b="1"/>
            <a:t>ANALYSIS:</a:t>
          </a:r>
        </a:p>
        <a:p>
          <a:pPr marL="171450" indent="-171450">
            <a:buFont typeface="Wingdings" panose="05000000000000000000" pitchFamily="2" charset="2"/>
            <a:buChar char="q"/>
          </a:pPr>
          <a:r>
            <a:rPr lang="en-IN" sz="1100" b="1"/>
            <a:t>STATES</a:t>
          </a:r>
          <a:r>
            <a:rPr lang="en-IN" sz="1100" b="1" baseline="0"/>
            <a:t> THAT</a:t>
          </a:r>
          <a:r>
            <a:rPr lang="en-IN" sz="1100" b="1"/>
            <a:t> HAVE THE HIGHEST</a:t>
          </a:r>
          <a:r>
            <a:rPr lang="en-IN" sz="1100" b="1" baseline="0"/>
            <a:t> SALES ARE THE MAJOR REGIONS OF US SO IF COMPANY WANT TO INCREASE THE SALES IN THESE AREAS THEY NEED TO INCREASE THE AD IN THE TOP 5 REGIONS THEN THEY CAN GET MORE SALES FROM THESE REGIONS</a:t>
          </a:r>
          <a:endParaRPr lang="en-IN" sz="11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228600</xdr:colOff>
      <xdr:row>6</xdr:row>
      <xdr:rowOff>85725</xdr:rowOff>
    </xdr:from>
    <xdr:to>
      <xdr:col>8</xdr:col>
      <xdr:colOff>69850</xdr:colOff>
      <xdr:row>21</xdr:row>
      <xdr:rowOff>66675</xdr:rowOff>
    </xdr:to>
    <xdr:graphicFrame macro="">
      <xdr:nvGraphicFramePr>
        <xdr:cNvPr id="2" name="Chart 1">
          <a:extLst>
            <a:ext uri="{FF2B5EF4-FFF2-40B4-BE49-F238E27FC236}">
              <a16:creationId xmlns:a16="http://schemas.microsoft.com/office/drawing/2014/main" id="{2A76B245-36F0-EAAD-7E53-DFDDA3B7A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330200</xdr:colOff>
      <xdr:row>8</xdr:row>
      <xdr:rowOff>50800</xdr:rowOff>
    </xdr:from>
    <xdr:to>
      <xdr:col>15</xdr:col>
      <xdr:colOff>419100</xdr:colOff>
      <xdr:row>13</xdr:row>
      <xdr:rowOff>146050</xdr:rowOff>
    </xdr:to>
    <xdr:sp macro="" textlink="">
      <xdr:nvSpPr>
        <xdr:cNvPr id="3" name="TextBox 2">
          <a:extLst>
            <a:ext uri="{FF2B5EF4-FFF2-40B4-BE49-F238E27FC236}">
              <a16:creationId xmlns:a16="http://schemas.microsoft.com/office/drawing/2014/main" id="{13C0D8BB-1E1C-D86C-39D8-07A070487B25}"/>
            </a:ext>
          </a:extLst>
        </xdr:cNvPr>
        <xdr:cNvSpPr txBox="1"/>
      </xdr:nvSpPr>
      <xdr:spPr>
        <a:xfrm>
          <a:off x="6286500" y="603250"/>
          <a:ext cx="3746500" cy="10160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v"/>
          </a:pPr>
          <a:r>
            <a:rPr lang="en-IN" sz="1100" b="1"/>
            <a:t>POINTS TO NOTE:</a:t>
          </a:r>
        </a:p>
        <a:p>
          <a:pPr marL="171450" indent="-171450">
            <a:buFont typeface="Wingdings" panose="05000000000000000000" pitchFamily="2" charset="2"/>
            <a:buChar char="q"/>
          </a:pPr>
          <a:r>
            <a:rPr lang="en-IN" sz="1100" b="1"/>
            <a:t>IN</a:t>
          </a:r>
          <a:r>
            <a:rPr lang="en-IN" sz="1100" b="1" baseline="0"/>
            <a:t> THIS WE CAN SEE THE EAST,WEST,CENTRAL,SOUTH REGION DATA</a:t>
          </a:r>
        </a:p>
        <a:p>
          <a:pPr marL="171450" indent="-171450">
            <a:buFont typeface="Wingdings" panose="05000000000000000000" pitchFamily="2" charset="2"/>
            <a:buChar char="q"/>
          </a:pPr>
          <a:r>
            <a:rPr lang="en-IN" sz="1100" b="1" baseline="0"/>
            <a:t>HIGHEST SALES COME FROM WEST REGION</a:t>
          </a:r>
        </a:p>
        <a:p>
          <a:pPr marL="171450" indent="-171450">
            <a:buFont typeface="Wingdings" panose="05000000000000000000" pitchFamily="2" charset="2"/>
            <a:buChar char="q"/>
          </a:pPr>
          <a:r>
            <a:rPr lang="en-IN" sz="1100" b="1" baseline="0"/>
            <a:t>LOWEST SALES COME FROM SOUTH REGION</a:t>
          </a:r>
          <a:endParaRPr lang="en-IN" sz="1100" b="1"/>
        </a:p>
      </xdr:txBody>
    </xdr:sp>
    <xdr:clientData/>
  </xdr:twoCellAnchor>
  <xdr:twoCellAnchor>
    <xdr:from>
      <xdr:col>9</xdr:col>
      <xdr:colOff>323850</xdr:colOff>
      <xdr:row>14</xdr:row>
      <xdr:rowOff>6350</xdr:rowOff>
    </xdr:from>
    <xdr:to>
      <xdr:col>15</xdr:col>
      <xdr:colOff>457200</xdr:colOff>
      <xdr:row>19</xdr:row>
      <xdr:rowOff>165100</xdr:rowOff>
    </xdr:to>
    <xdr:sp macro="" textlink="">
      <xdr:nvSpPr>
        <xdr:cNvPr id="4" name="TextBox 3">
          <a:extLst>
            <a:ext uri="{FF2B5EF4-FFF2-40B4-BE49-F238E27FC236}">
              <a16:creationId xmlns:a16="http://schemas.microsoft.com/office/drawing/2014/main" id="{BEB0426F-D396-FE2E-6912-E86FF6EC15AB}"/>
            </a:ext>
          </a:extLst>
        </xdr:cNvPr>
        <xdr:cNvSpPr txBox="1"/>
      </xdr:nvSpPr>
      <xdr:spPr>
        <a:xfrm>
          <a:off x="6280150" y="1663700"/>
          <a:ext cx="3790950" cy="10795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v"/>
          </a:pPr>
          <a:r>
            <a:rPr lang="en-IN" sz="1100" b="1"/>
            <a:t>ANALYSIS:</a:t>
          </a:r>
        </a:p>
        <a:p>
          <a:pPr marL="171450" indent="-171450">
            <a:buFont typeface="Wingdings" panose="05000000000000000000" pitchFamily="2" charset="2"/>
            <a:buChar char="q"/>
          </a:pPr>
          <a:r>
            <a:rPr lang="en-IN" sz="1100" b="1"/>
            <a:t>IF COMPANY</a:t>
          </a:r>
          <a:r>
            <a:rPr lang="en-IN" sz="1100" b="1" baseline="0"/>
            <a:t> WANT TO INCREASE THE SALES IN SOUTH STATES OF US THEY NEED TO INCREASE THE AD CAMPAIGN IN THAT AREA AND ALSO HIRE THE INFLUENCERS FROM THAT REGION TO PROMOTE THEIR PRODUCTS</a:t>
          </a:r>
          <a:endParaRPr lang="en-IN" sz="11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273050</xdr:colOff>
      <xdr:row>8</xdr:row>
      <xdr:rowOff>50800</xdr:rowOff>
    </xdr:from>
    <xdr:to>
      <xdr:col>9</xdr:col>
      <xdr:colOff>469900</xdr:colOff>
      <xdr:row>23</xdr:row>
      <xdr:rowOff>31750</xdr:rowOff>
    </xdr:to>
    <xdr:graphicFrame macro="">
      <xdr:nvGraphicFramePr>
        <xdr:cNvPr id="2" name="Chart 1">
          <a:extLst>
            <a:ext uri="{FF2B5EF4-FFF2-40B4-BE49-F238E27FC236}">
              <a16:creationId xmlns:a16="http://schemas.microsoft.com/office/drawing/2014/main" id="{E64BDC85-A906-9454-12F7-117C06FC9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107950</xdr:colOff>
      <xdr:row>8</xdr:row>
      <xdr:rowOff>82550</xdr:rowOff>
    </xdr:from>
    <xdr:to>
      <xdr:col>17</xdr:col>
      <xdr:colOff>260350</xdr:colOff>
      <xdr:row>16</xdr:row>
      <xdr:rowOff>69850</xdr:rowOff>
    </xdr:to>
    <xdr:sp macro="" textlink="">
      <xdr:nvSpPr>
        <xdr:cNvPr id="3" name="TextBox 2">
          <a:extLst>
            <a:ext uri="{FF2B5EF4-FFF2-40B4-BE49-F238E27FC236}">
              <a16:creationId xmlns:a16="http://schemas.microsoft.com/office/drawing/2014/main" id="{3AC2323B-29B4-5AA9-F3C6-E6F849FD25D5}"/>
            </a:ext>
          </a:extLst>
        </xdr:cNvPr>
        <xdr:cNvSpPr txBox="1"/>
      </xdr:nvSpPr>
      <xdr:spPr>
        <a:xfrm>
          <a:off x="6635750" y="450850"/>
          <a:ext cx="4419600" cy="14605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v"/>
          </a:pPr>
          <a:r>
            <a:rPr lang="en-IN" sz="1100" b="1"/>
            <a:t>POINTS TO NOTE:</a:t>
          </a:r>
        </a:p>
        <a:p>
          <a:pPr marL="171450" indent="-171450">
            <a:buFont typeface="Wingdings" panose="05000000000000000000" pitchFamily="2" charset="2"/>
            <a:buChar char="q"/>
          </a:pPr>
          <a:r>
            <a:rPr lang="en-IN" sz="1100" b="1"/>
            <a:t>HERE,SALES</a:t>
          </a:r>
          <a:r>
            <a:rPr lang="en-IN" sz="1100" b="1" baseline="0"/>
            <a:t> ARE CATEGORIZED ACCORDING TO SUB-CATEGORY</a:t>
          </a:r>
        </a:p>
        <a:p>
          <a:pPr marL="171450" indent="-171450">
            <a:buFont typeface="Wingdings" panose="05000000000000000000" pitchFamily="2" charset="2"/>
            <a:buChar char="q"/>
          </a:pPr>
          <a:r>
            <a:rPr lang="en-IN" sz="1100" b="1" baseline="0"/>
            <a:t>WE CAN SEE THAT THE HIGHEST SOLD SUB CATEGORY IS DISPLAYED FIRST THEN ALL THE OTHERS </a:t>
          </a:r>
        </a:p>
        <a:p>
          <a:pPr marL="171450" indent="-171450">
            <a:buFont typeface="Wingdings" panose="05000000000000000000" pitchFamily="2" charset="2"/>
            <a:buChar char="q"/>
          </a:pPr>
          <a:r>
            <a:rPr lang="en-IN" sz="1100" b="1" baseline="0"/>
            <a:t>HIGHEST SOLD SUB CATEGORY IS PHONES WITH 15.71% OF GRAND TOTAL SALES</a:t>
          </a:r>
        </a:p>
        <a:p>
          <a:pPr marL="171450" indent="-171450">
            <a:buFont typeface="Wingdings" panose="05000000000000000000" pitchFamily="2" charset="2"/>
            <a:buChar char="q"/>
          </a:pPr>
          <a:r>
            <a:rPr lang="en-IN" sz="1100" b="1" baseline="0"/>
            <a:t>LOWEST SOLD CATEGORY IS FASTENERS WITH 0.15% OF GRAND TOTAL SALES</a:t>
          </a:r>
        </a:p>
        <a:p>
          <a:endParaRPr lang="en-IN" sz="1100"/>
        </a:p>
      </xdr:txBody>
    </xdr:sp>
    <xdr:clientData/>
  </xdr:twoCellAnchor>
  <xdr:twoCellAnchor>
    <xdr:from>
      <xdr:col>10</xdr:col>
      <xdr:colOff>101600</xdr:colOff>
      <xdr:row>17</xdr:row>
      <xdr:rowOff>19050</xdr:rowOff>
    </xdr:from>
    <xdr:to>
      <xdr:col>17</xdr:col>
      <xdr:colOff>279400</xdr:colOff>
      <xdr:row>22</xdr:row>
      <xdr:rowOff>76200</xdr:rowOff>
    </xdr:to>
    <xdr:sp macro="" textlink="">
      <xdr:nvSpPr>
        <xdr:cNvPr id="4" name="TextBox 3">
          <a:extLst>
            <a:ext uri="{FF2B5EF4-FFF2-40B4-BE49-F238E27FC236}">
              <a16:creationId xmlns:a16="http://schemas.microsoft.com/office/drawing/2014/main" id="{5A90873B-F8C1-82D2-EE13-648751B84784}"/>
            </a:ext>
          </a:extLst>
        </xdr:cNvPr>
        <xdr:cNvSpPr txBox="1"/>
      </xdr:nvSpPr>
      <xdr:spPr>
        <a:xfrm>
          <a:off x="6629400" y="2044700"/>
          <a:ext cx="4445000" cy="97790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v"/>
          </a:pPr>
          <a:r>
            <a:rPr lang="en-IN" sz="1100" b="1"/>
            <a:t>ANALYSIS:</a:t>
          </a:r>
        </a:p>
        <a:p>
          <a:pPr marL="171450" indent="-171450">
            <a:buFont typeface="Wingdings" panose="05000000000000000000" pitchFamily="2" charset="2"/>
            <a:buChar char="q"/>
          </a:pPr>
          <a:r>
            <a:rPr lang="en-IN" sz="1100" b="1"/>
            <a:t>WE CAN SEE THAT PHONES ARE THE HIGHEST DELIVERED PRODUCT</a:t>
          </a:r>
          <a:r>
            <a:rPr lang="en-IN" sz="1100" b="1" baseline="0"/>
            <a:t> </a:t>
          </a:r>
        </a:p>
        <a:p>
          <a:pPr marL="171450" indent="-171450">
            <a:buFont typeface="Wingdings" panose="05000000000000000000" pitchFamily="2" charset="2"/>
            <a:buChar char="q"/>
          </a:pPr>
          <a:r>
            <a:rPr lang="en-IN" sz="1100" b="1" baseline="0"/>
            <a:t>PEOPLE USE THE APP TO ORDER THE PHONES MOSTLY </a:t>
          </a:r>
        </a:p>
        <a:p>
          <a:pPr marL="171450" indent="-171450">
            <a:buFont typeface="Wingdings" panose="05000000000000000000" pitchFamily="2" charset="2"/>
            <a:buChar char="q"/>
          </a:pPr>
          <a:r>
            <a:rPr lang="en-IN" sz="1100" b="1" baseline="0"/>
            <a:t>TO INCREASE THE ENGAGEMENT OF CUSTOMERS IN TECH SECTOR THEY CAN PROVIDE DISCOUNT ON THESE ITEMS </a:t>
          </a:r>
          <a:endParaRPr lang="en-IN" sz="11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228600</xdr:colOff>
      <xdr:row>8</xdr:row>
      <xdr:rowOff>85725</xdr:rowOff>
    </xdr:from>
    <xdr:to>
      <xdr:col>9</xdr:col>
      <xdr:colOff>533400</xdr:colOff>
      <xdr:row>23</xdr:row>
      <xdr:rowOff>66675</xdr:rowOff>
    </xdr:to>
    <xdr:graphicFrame macro="">
      <xdr:nvGraphicFramePr>
        <xdr:cNvPr id="2" name="Chart 1">
          <a:extLst>
            <a:ext uri="{FF2B5EF4-FFF2-40B4-BE49-F238E27FC236}">
              <a16:creationId xmlns:a16="http://schemas.microsoft.com/office/drawing/2014/main" id="{A183176D-21DF-F15B-62BB-08D949721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203200</xdr:colOff>
      <xdr:row>9</xdr:row>
      <xdr:rowOff>146050</xdr:rowOff>
    </xdr:from>
    <xdr:to>
      <xdr:col>18</xdr:col>
      <xdr:colOff>50800</xdr:colOff>
      <xdr:row>16</xdr:row>
      <xdr:rowOff>6350</xdr:rowOff>
    </xdr:to>
    <xdr:sp macro="" textlink="">
      <xdr:nvSpPr>
        <xdr:cNvPr id="3" name="TextBox 2">
          <a:extLst>
            <a:ext uri="{FF2B5EF4-FFF2-40B4-BE49-F238E27FC236}">
              <a16:creationId xmlns:a16="http://schemas.microsoft.com/office/drawing/2014/main" id="{A7841BE9-F164-AAEB-9419-C38D50EC78B5}"/>
            </a:ext>
          </a:extLst>
        </xdr:cNvPr>
        <xdr:cNvSpPr txBox="1"/>
      </xdr:nvSpPr>
      <xdr:spPr>
        <a:xfrm>
          <a:off x="6769100" y="514350"/>
          <a:ext cx="4724400" cy="11493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v"/>
          </a:pPr>
          <a:r>
            <a:rPr lang="en-IN" sz="1100" b="1"/>
            <a:t>POINTS TO NOTE :</a:t>
          </a:r>
        </a:p>
        <a:p>
          <a:pPr marL="171450" indent="-171450">
            <a:buFont typeface="Wingdings" panose="05000000000000000000" pitchFamily="2" charset="2"/>
            <a:buChar char="q"/>
          </a:pPr>
          <a:r>
            <a:rPr lang="en-IN" sz="1100" b="1"/>
            <a:t>WITH</a:t>
          </a:r>
          <a:r>
            <a:rPr lang="en-IN" sz="1100" b="1" baseline="0"/>
            <a:t> THE HELP OF PIE CHART WE CAN SEE THE SALES IN DIFFERENT SEGMENT</a:t>
          </a:r>
        </a:p>
        <a:p>
          <a:pPr marL="171450" indent="-171450">
            <a:buFont typeface="Wingdings" panose="05000000000000000000" pitchFamily="2" charset="2"/>
            <a:buChar char="q"/>
          </a:pPr>
          <a:r>
            <a:rPr lang="en-IN" sz="1100" b="1"/>
            <a:t>SEGMENT INDICATES THE DELIVERED ITEM PLACES</a:t>
          </a:r>
        </a:p>
        <a:p>
          <a:pPr marL="171450" indent="-171450">
            <a:buFont typeface="Wingdings" panose="05000000000000000000" pitchFamily="2" charset="2"/>
            <a:buChar char="q"/>
          </a:pPr>
          <a:r>
            <a:rPr lang="en-IN" sz="1100" b="1"/>
            <a:t>HIGHEST ITEM DELIVERED</a:t>
          </a:r>
          <a:r>
            <a:rPr lang="en-IN" sz="1100" b="1" baseline="0"/>
            <a:t> TO CONSUMERS AT THEIR DOOR STEP</a:t>
          </a:r>
        </a:p>
        <a:p>
          <a:pPr marL="171450" indent="-171450">
            <a:buFont typeface="Wingdings" panose="05000000000000000000" pitchFamily="2" charset="2"/>
            <a:buChar char="q"/>
          </a:pPr>
          <a:r>
            <a:rPr lang="en-IN" sz="1100" b="1" baseline="0"/>
            <a:t>LOWEST ITEM DELIVERED TO HOME OFFICE</a:t>
          </a:r>
          <a:endParaRPr lang="en-IN" sz="1100" b="1"/>
        </a:p>
      </xdr:txBody>
    </xdr:sp>
    <xdr:clientData/>
  </xdr:twoCellAnchor>
  <xdr:twoCellAnchor>
    <xdr:from>
      <xdr:col>10</xdr:col>
      <xdr:colOff>203200</xdr:colOff>
      <xdr:row>16</xdr:row>
      <xdr:rowOff>120650</xdr:rowOff>
    </xdr:from>
    <xdr:to>
      <xdr:col>17</xdr:col>
      <xdr:colOff>19050</xdr:colOff>
      <xdr:row>22</xdr:row>
      <xdr:rowOff>88900</xdr:rowOff>
    </xdr:to>
    <xdr:sp macro="" textlink="">
      <xdr:nvSpPr>
        <xdr:cNvPr id="4" name="TextBox 3">
          <a:extLst>
            <a:ext uri="{FF2B5EF4-FFF2-40B4-BE49-F238E27FC236}">
              <a16:creationId xmlns:a16="http://schemas.microsoft.com/office/drawing/2014/main" id="{0D007952-9E97-E9C4-F8A6-EB0D734C685A}"/>
            </a:ext>
          </a:extLst>
        </xdr:cNvPr>
        <xdr:cNvSpPr txBox="1"/>
      </xdr:nvSpPr>
      <xdr:spPr>
        <a:xfrm>
          <a:off x="6769100" y="1778000"/>
          <a:ext cx="4083050" cy="107315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v"/>
          </a:pPr>
          <a:r>
            <a:rPr lang="en-IN" sz="1100" b="1"/>
            <a:t>ANALYSIS:</a:t>
          </a:r>
        </a:p>
        <a:p>
          <a:pPr marL="171450" indent="-171450">
            <a:buFont typeface="Wingdings" panose="05000000000000000000" pitchFamily="2" charset="2"/>
            <a:buChar char="q"/>
          </a:pPr>
          <a:r>
            <a:rPr lang="en-IN" sz="1100" b="1"/>
            <a:t>MOST</a:t>
          </a:r>
          <a:r>
            <a:rPr lang="en-IN" sz="1100" b="1" baseline="0"/>
            <a:t> OF THE CUSTOMERS ARE CONSUMERS AND LEAST ARE HOME OFFICES WHO ORDERS FROM THE WEBSITE </a:t>
          </a:r>
        </a:p>
        <a:p>
          <a:pPr marL="171450" indent="-171450">
            <a:buFont typeface="Wingdings" panose="05000000000000000000" pitchFamily="2" charset="2"/>
            <a:buChar char="q"/>
          </a:pPr>
          <a:r>
            <a:rPr lang="en-IN" sz="1100" b="1" baseline="0"/>
            <a:t>SO IF WE WANT MORE SALES THEN WE NEED TO FOCUS ON CONSUMER BUYERS</a:t>
          </a:r>
        </a:p>
        <a:p>
          <a:endParaRPr lang="en-IN"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355600</xdr:colOff>
      <xdr:row>8</xdr:row>
      <xdr:rowOff>60325</xdr:rowOff>
    </xdr:from>
    <xdr:to>
      <xdr:col>10</xdr:col>
      <xdr:colOff>50800</xdr:colOff>
      <xdr:row>23</xdr:row>
      <xdr:rowOff>41275</xdr:rowOff>
    </xdr:to>
    <xdr:graphicFrame macro="">
      <xdr:nvGraphicFramePr>
        <xdr:cNvPr id="2" name="Chart 1">
          <a:extLst>
            <a:ext uri="{FF2B5EF4-FFF2-40B4-BE49-F238E27FC236}">
              <a16:creationId xmlns:a16="http://schemas.microsoft.com/office/drawing/2014/main" id="{0A3E5E6F-5381-1898-A1D7-2240A0D55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285750</xdr:colOff>
      <xdr:row>10</xdr:row>
      <xdr:rowOff>0</xdr:rowOff>
    </xdr:from>
    <xdr:to>
      <xdr:col>18</xdr:col>
      <xdr:colOff>69850</xdr:colOff>
      <xdr:row>17</xdr:row>
      <xdr:rowOff>50800</xdr:rowOff>
    </xdr:to>
    <xdr:sp macro="" textlink="">
      <xdr:nvSpPr>
        <xdr:cNvPr id="3" name="TextBox 2">
          <a:extLst>
            <a:ext uri="{FF2B5EF4-FFF2-40B4-BE49-F238E27FC236}">
              <a16:creationId xmlns:a16="http://schemas.microsoft.com/office/drawing/2014/main" id="{476B3958-5134-8796-3C9D-C93EAEFFFAF4}"/>
            </a:ext>
          </a:extLst>
        </xdr:cNvPr>
        <xdr:cNvSpPr txBox="1"/>
      </xdr:nvSpPr>
      <xdr:spPr>
        <a:xfrm>
          <a:off x="6851650" y="736600"/>
          <a:ext cx="4660900" cy="13398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v"/>
          </a:pPr>
          <a:r>
            <a:rPr lang="en-IN" sz="1100" b="1"/>
            <a:t>POINTS</a:t>
          </a:r>
          <a:r>
            <a:rPr lang="en-IN" sz="1100" b="1" baseline="0"/>
            <a:t> TO NOTE:</a:t>
          </a:r>
        </a:p>
        <a:p>
          <a:pPr marL="171450" indent="-171450">
            <a:buFont typeface="Wingdings" panose="05000000000000000000" pitchFamily="2" charset="2"/>
            <a:buChar char="q"/>
          </a:pPr>
          <a:r>
            <a:rPr lang="en-IN" sz="1100" b="1" baseline="0"/>
            <a:t>WE CAN SEE THE SALES OF EACH YEAR </a:t>
          </a:r>
        </a:p>
        <a:p>
          <a:pPr marL="171450" indent="-171450">
            <a:buFont typeface="Wingdings" panose="05000000000000000000" pitchFamily="2" charset="2"/>
            <a:buChar char="q"/>
          </a:pPr>
          <a:r>
            <a:rPr lang="en-IN" sz="1100" b="1" baseline="0"/>
            <a:t>IN CHART THE FIGURES ARE ROUND TO THE CLOSEST DECIMAL VALUE</a:t>
          </a:r>
        </a:p>
        <a:p>
          <a:pPr marL="171450" indent="-171450">
            <a:buFont typeface="Wingdings" panose="05000000000000000000" pitchFamily="2" charset="2"/>
            <a:buChar char="q"/>
          </a:pPr>
          <a:r>
            <a:rPr lang="en-IN" sz="1100" b="1" baseline="0"/>
            <a:t>HIGHEST SALES IS IN 2018 WITH TOTOTAL SALES OF 1,56,939</a:t>
          </a:r>
        </a:p>
        <a:p>
          <a:pPr marL="171450" indent="-171450">
            <a:buFont typeface="Wingdings" panose="05000000000000000000" pitchFamily="2" charset="2"/>
            <a:buChar char="q"/>
          </a:pPr>
          <a:r>
            <a:rPr lang="en-IN" sz="1100" b="1" baseline="0"/>
            <a:t>LOWEST SALES IS IN 2016 WITH TOTAL SALES OF 1,27,311</a:t>
          </a:r>
        </a:p>
        <a:p>
          <a:pPr marL="171450" indent="-171450">
            <a:buFont typeface="Wingdings" panose="05000000000000000000" pitchFamily="2" charset="2"/>
            <a:buChar char="q"/>
          </a:pPr>
          <a:r>
            <a:rPr lang="en-IN" sz="1100" b="1" baseline="0"/>
            <a:t>WE ARE NOT CONSIDERING 2019 AS LOWEST BECAUSE IT WAS THE ONGOING YEAR OF THIS REPORT</a:t>
          </a:r>
        </a:p>
        <a:p>
          <a:endParaRPr lang="en-IN" sz="1100"/>
        </a:p>
      </xdr:txBody>
    </xdr:sp>
    <xdr:clientData/>
  </xdr:twoCellAnchor>
  <xdr:twoCellAnchor>
    <xdr:from>
      <xdr:col>10</xdr:col>
      <xdr:colOff>304800</xdr:colOff>
      <xdr:row>17</xdr:row>
      <xdr:rowOff>127000</xdr:rowOff>
    </xdr:from>
    <xdr:to>
      <xdr:col>18</xdr:col>
      <xdr:colOff>88900</xdr:colOff>
      <xdr:row>22</xdr:row>
      <xdr:rowOff>6350</xdr:rowOff>
    </xdr:to>
    <xdr:sp macro="" textlink="">
      <xdr:nvSpPr>
        <xdr:cNvPr id="4" name="TextBox 3">
          <a:extLst>
            <a:ext uri="{FF2B5EF4-FFF2-40B4-BE49-F238E27FC236}">
              <a16:creationId xmlns:a16="http://schemas.microsoft.com/office/drawing/2014/main" id="{B3334393-C479-2936-5F74-BF1BDDC5CFFC}"/>
            </a:ext>
          </a:extLst>
        </xdr:cNvPr>
        <xdr:cNvSpPr txBox="1"/>
      </xdr:nvSpPr>
      <xdr:spPr>
        <a:xfrm>
          <a:off x="6870700" y="2152650"/>
          <a:ext cx="4660900" cy="8001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v"/>
          </a:pPr>
          <a:r>
            <a:rPr lang="en-IN" sz="1100" b="1"/>
            <a:t>ANALYSIS:</a:t>
          </a:r>
        </a:p>
        <a:p>
          <a:pPr marL="171450" indent="-171450">
            <a:buFont typeface="Wingdings" panose="05000000000000000000" pitchFamily="2" charset="2"/>
            <a:buChar char="q"/>
          </a:pPr>
          <a:r>
            <a:rPr lang="en-IN" sz="1100" b="1"/>
            <a:t>WE</a:t>
          </a:r>
          <a:r>
            <a:rPr lang="en-IN" sz="1100" b="1" baseline="0"/>
            <a:t> CAN SEE THAT SALES OF 2016 IS LESS THAN THE OTHER YEARS</a:t>
          </a:r>
        </a:p>
        <a:p>
          <a:pPr marL="171450" indent="-171450">
            <a:buFont typeface="Wingdings" panose="05000000000000000000" pitchFamily="2" charset="2"/>
            <a:buChar char="q"/>
          </a:pPr>
          <a:r>
            <a:rPr lang="en-IN" sz="1100" b="1" baseline="0"/>
            <a:t>WE CAN ALSO CHECK REPORT WORKSHEET TO GET SALES PER QUARTER AND GET THE RESULT ACCORDING TO OUR NEED</a:t>
          </a:r>
          <a:endParaRPr lang="en-IN" sz="1100" b="1"/>
        </a:p>
        <a:p>
          <a:endParaRPr lang="en-IN" sz="1100" b="1"/>
        </a:p>
        <a:p>
          <a:endParaRPr lang="en-IN"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38100</xdr:colOff>
      <xdr:row>7</xdr:row>
      <xdr:rowOff>142875</xdr:rowOff>
    </xdr:from>
    <xdr:to>
      <xdr:col>9</xdr:col>
      <xdr:colOff>342900</xdr:colOff>
      <xdr:row>22</xdr:row>
      <xdr:rowOff>123825</xdr:rowOff>
    </xdr:to>
    <xdr:graphicFrame macro="">
      <xdr:nvGraphicFramePr>
        <xdr:cNvPr id="2" name="Chart 1">
          <a:extLst>
            <a:ext uri="{FF2B5EF4-FFF2-40B4-BE49-F238E27FC236}">
              <a16:creationId xmlns:a16="http://schemas.microsoft.com/office/drawing/2014/main" id="{3D18C85C-0727-C8CB-5C26-F4FC4FC65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234950</xdr:colOff>
      <xdr:row>19</xdr:row>
      <xdr:rowOff>82550</xdr:rowOff>
    </xdr:from>
    <xdr:to>
      <xdr:col>1</xdr:col>
      <xdr:colOff>692150</xdr:colOff>
      <xdr:row>24</xdr:row>
      <xdr:rowOff>6350</xdr:rowOff>
    </xdr:to>
    <xdr:sp macro="" textlink="">
      <xdr:nvSpPr>
        <xdr:cNvPr id="3" name="TextBox 2">
          <a:extLst>
            <a:ext uri="{FF2B5EF4-FFF2-40B4-BE49-F238E27FC236}">
              <a16:creationId xmlns:a16="http://schemas.microsoft.com/office/drawing/2014/main" id="{9741A739-CFA7-C71B-121C-645C3ED22ECA}"/>
            </a:ext>
          </a:extLst>
        </xdr:cNvPr>
        <xdr:cNvSpPr txBox="1"/>
      </xdr:nvSpPr>
      <xdr:spPr>
        <a:xfrm>
          <a:off x="234950" y="2476500"/>
          <a:ext cx="5143500" cy="8445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v"/>
          </a:pPr>
          <a:r>
            <a:rPr lang="en-IN" sz="1100" b="1"/>
            <a:t>POINT TO BE NOTED:</a:t>
          </a:r>
        </a:p>
        <a:p>
          <a:pPr marL="171450" indent="-171450">
            <a:buFont typeface="Wingdings" panose="05000000000000000000" pitchFamily="2" charset="2"/>
            <a:buChar char="q"/>
          </a:pPr>
          <a:r>
            <a:rPr lang="en-IN" sz="1100" b="1"/>
            <a:t>IN</a:t>
          </a:r>
          <a:r>
            <a:rPr lang="en-IN" sz="1100" b="1" baseline="0"/>
            <a:t> THIS WE CAN SEE THE SALES OF TOP 10 PRODUCTS</a:t>
          </a:r>
        </a:p>
        <a:p>
          <a:pPr marL="171450" indent="-171450">
            <a:buFont typeface="Wingdings" panose="05000000000000000000" pitchFamily="2" charset="2"/>
            <a:buChar char="q"/>
          </a:pPr>
          <a:r>
            <a:rPr lang="en-IN" sz="1100" b="1" baseline="0"/>
            <a:t>IF YOU GO TO REPORT SHEET YOU CAN ALSO SEE THE PRODUCT SALES ACCORDING TO YEARS OR QUARTERS WITH THE HELP OF SLICER</a:t>
          </a:r>
          <a:endParaRPr lang="en-IN" sz="1100" b="1"/>
        </a:p>
        <a:p>
          <a:pPr marL="171450" indent="-171450">
            <a:buFont typeface="Wingdings" panose="05000000000000000000" pitchFamily="2" charset="2"/>
            <a:buChar char="v"/>
          </a:pP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ya Chaurasia" refreshedDate="46096.082135185185" createdVersion="8" refreshedVersion="8" minRefreshableVersion="3" recordCount="2499" xr:uid="{DA04552C-42C5-403E-9F8C-92FBB7381E84}">
  <cacheSource type="worksheet">
    <worksheetSource name="Table1"/>
  </cacheSource>
  <cacheFields count="22">
    <cacheField name="Row ID" numFmtId="0">
      <sharedItems containsSemiMixedTypes="0" containsString="0" containsNumber="1" containsInteger="1" minValue="1" maxValue="2548"/>
    </cacheField>
    <cacheField name="Order ID" numFmtId="0">
      <sharedItems/>
    </cacheField>
    <cacheField name="Order Date" numFmtId="14">
      <sharedItems containsSemiMixedTypes="0" containsNonDate="0" containsDate="1" containsString="0" minDate="2015-01-04T00:00:00" maxDate="2018-12-31T00:00:00"/>
    </cacheField>
    <cacheField name="Ship Date" numFmtId="14">
      <sharedItems containsSemiMixedTypes="0" containsNonDate="0" containsDate="1" containsString="0" minDate="2015-01-08T00:00:00" maxDate="2019-01-06T00:00:00" count="799">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8-11-11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8-09-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6-12-12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8-05-05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sharedItems>
      <fieldGroup par="21"/>
    </cacheField>
    <cacheField name="SHIPPING SPEED" numFmtId="14">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5">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haredItems>
    </cacheField>
    <cacheField name="Postal Code" numFmtId="0">
      <sharedItems containsString="0" containsBlank="1" containsNumber="1" containsInteger="1" minValue="1040" maxValue="99207"/>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333">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SimpliFile Personal File, Black Granite, 15w x 6-15/16d x 11-1/4h"/>
        <s v="Eldon Expressions Desk Accessory, Wood Pencil Holder, Oak"/>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Crayola Colored Pencils"/>
        <s v="Angle-D Binders with Locking Rings, Label Holders"/>
        <s v="Nortel Meridian M3904 Professional Digital phone"/>
        <s v="Canon PC1080F Personal Copier"/>
        <s v="Wilson Jones Century Plastic Molded Ring Binders"/>
        <s v="Tuf-Vin Binders"/>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Newell 342"/>
        <s v="Belkin Grip Candy Sheer Case / Cover for iPhone 5 and 5S"/>
        <s v="Deluxe Rollaway Locking File with Drawer"/>
        <s v="Memorex Mini Travel Drive 16 GB USB 2.0 Flash Drive"/>
        <s v="Global Geo Office Task Chair, Gray"/>
        <s v="Hon 4700 Series Mobuis Mid-Back Task Chairs with Adjustable Arms"/>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haredItems>
    </cacheField>
    <cacheField name="Sales" numFmtId="0">
      <sharedItems containsSemiMixedTypes="0" containsString="0" containsNumber="1" minValue="0.876" maxValue="8187.65"/>
    </cacheField>
    <cacheField name="Months (Ship Date)" numFmtId="0" databaseField="0">
      <fieldGroup base="3">
        <rangePr groupBy="months" startDate="2015-01-08T00:00:00" endDate="2019-01-06T00:00:00"/>
        <groupItems count="14">
          <s v="&lt;08-01-2015"/>
          <s v="Jan"/>
          <s v="Feb"/>
          <s v="Mar"/>
          <s v="Apr"/>
          <s v="May"/>
          <s v="Jun"/>
          <s v="Jul"/>
          <s v="Aug"/>
          <s v="Sep"/>
          <s v="Oct"/>
          <s v="Nov"/>
          <s v="Dec"/>
          <s v="&gt;06-01-2019"/>
        </groupItems>
      </fieldGroup>
    </cacheField>
    <cacheField name="Quarters (Ship Date)" numFmtId="0" databaseField="0">
      <fieldGroup base="3">
        <rangePr groupBy="quarters" startDate="2015-01-08T00:00:00" endDate="2019-01-06T00:00:00"/>
        <groupItems count="6">
          <s v="&lt;08-01-2015"/>
          <s v="Qtr1"/>
          <s v="Qtr2"/>
          <s v="Qtr3"/>
          <s v="Qtr4"/>
          <s v="&gt;06-01-2019"/>
        </groupItems>
      </fieldGroup>
    </cacheField>
    <cacheField name="Years (Ship Date)" numFmtId="0" databaseField="0">
      <fieldGroup base="3">
        <rangePr groupBy="years" startDate="2015-01-08T00:00:00" endDate="2019-01-06T00:00:00"/>
        <groupItems count="7">
          <s v="&lt;08-01-2015"/>
          <s v="2015"/>
          <s v="2016"/>
          <s v="2017"/>
          <s v="2018"/>
          <s v="2019"/>
          <s v="&gt;06-01-2019"/>
        </groupItems>
      </fieldGroup>
    </cacheField>
  </cacheFields>
  <extLst>
    <ext xmlns:x14="http://schemas.microsoft.com/office/spreadsheetml/2009/9/main" uri="{725AE2AE-9491-48be-B2B4-4EB974FC3084}">
      <x14:pivotCacheDefinition pivotCacheId="1780932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n v="1"/>
    <s v="CA-2017-152156"/>
    <d v="2017-11-08T00:00:00"/>
    <x v="0"/>
    <s v="SLOW"/>
    <s v="Second Class"/>
    <s v="CG-12520"/>
    <s v="Claire Gute"/>
    <x v="0"/>
    <s v="United States"/>
    <s v="Henderson"/>
    <x v="0"/>
    <n v="42420"/>
    <x v="0"/>
    <s v="FUR-BO-10001798"/>
    <x v="0"/>
    <x v="0"/>
    <x v="0"/>
    <n v="261.95999999999998"/>
  </r>
  <r>
    <n v="2"/>
    <s v="CA-2017-152156"/>
    <d v="2017-11-08T00:00:00"/>
    <x v="0"/>
    <s v="SLOW"/>
    <s v="Second Class"/>
    <s v="CG-12520"/>
    <s v="Claire Gute"/>
    <x v="0"/>
    <s v="United States"/>
    <s v="Henderson"/>
    <x v="0"/>
    <n v="42420"/>
    <x v="0"/>
    <s v="FUR-CH-10000454"/>
    <x v="0"/>
    <x v="1"/>
    <x v="1"/>
    <n v="731.94"/>
  </r>
  <r>
    <n v="3"/>
    <s v="CA-2017-138688"/>
    <d v="2017-06-12T00:00:00"/>
    <x v="1"/>
    <s v="SLOW"/>
    <s v="Second Class"/>
    <s v="DV-13045"/>
    <s v="Darrin Van Huff"/>
    <x v="1"/>
    <s v="United States"/>
    <s v="Los Angeles"/>
    <x v="1"/>
    <n v="90036"/>
    <x v="1"/>
    <s v="OFF-LA-10000240"/>
    <x v="1"/>
    <x v="2"/>
    <x v="2"/>
    <n v="14.62"/>
  </r>
  <r>
    <n v="4"/>
    <s v="US-2016-108966"/>
    <d v="2016-10-11T00:00:00"/>
    <x v="2"/>
    <s v="FAST"/>
    <s v="Standard Class"/>
    <s v="SO-20335"/>
    <s v="Sean O'Donnell"/>
    <x v="0"/>
    <s v="United States"/>
    <s v="Fort Lauderdale"/>
    <x v="2"/>
    <n v="33311"/>
    <x v="0"/>
    <s v="FUR-TA-10000577"/>
    <x v="0"/>
    <x v="3"/>
    <x v="3"/>
    <n v="957.57749999999999"/>
  </r>
  <r>
    <n v="5"/>
    <s v="US-2016-108966"/>
    <d v="2016-10-11T00:00:00"/>
    <x v="2"/>
    <s v="FAST"/>
    <s v="Standard Class"/>
    <s v="SO-20335"/>
    <s v="Sean O'Donnell"/>
    <x v="0"/>
    <s v="United States"/>
    <s v="Fort Lauderdale"/>
    <x v="2"/>
    <n v="33311"/>
    <x v="0"/>
    <s v="OFF-ST-10000760"/>
    <x v="1"/>
    <x v="4"/>
    <x v="4"/>
    <n v="22.367999999999999"/>
  </r>
  <r>
    <n v="6"/>
    <s v="CA-2015-115812"/>
    <d v="2015-06-09T00:00:00"/>
    <x v="3"/>
    <s v="FAST"/>
    <s v="Standard Class"/>
    <s v="BH-11710"/>
    <s v="Brosina Hoffman"/>
    <x v="0"/>
    <s v="United States"/>
    <s v="Los Angeles"/>
    <x v="1"/>
    <n v="90032"/>
    <x v="1"/>
    <s v="FUR-FU-10001487"/>
    <x v="0"/>
    <x v="5"/>
    <x v="5"/>
    <n v="48.86"/>
  </r>
  <r>
    <n v="7"/>
    <s v="CA-2015-115812"/>
    <d v="2015-06-09T00:00:00"/>
    <x v="3"/>
    <s v="FAST"/>
    <s v="Standard Class"/>
    <s v="BH-11710"/>
    <s v="Brosina Hoffman"/>
    <x v="0"/>
    <s v="United States"/>
    <s v="Los Angeles"/>
    <x v="1"/>
    <n v="90032"/>
    <x v="1"/>
    <s v="OFF-AR-10002833"/>
    <x v="1"/>
    <x v="6"/>
    <x v="6"/>
    <n v="7.28"/>
  </r>
  <r>
    <n v="8"/>
    <s v="CA-2015-115812"/>
    <d v="2015-06-09T00:00:00"/>
    <x v="3"/>
    <s v="FAST"/>
    <s v="Standard Class"/>
    <s v="BH-11710"/>
    <s v="Brosina Hoffman"/>
    <x v="0"/>
    <s v="United States"/>
    <s v="Los Angeles"/>
    <x v="1"/>
    <n v="90032"/>
    <x v="1"/>
    <s v="TEC-PH-10002275"/>
    <x v="2"/>
    <x v="7"/>
    <x v="7"/>
    <n v="907.15200000000004"/>
  </r>
  <r>
    <n v="9"/>
    <s v="CA-2015-115812"/>
    <d v="2015-06-09T00:00:00"/>
    <x v="3"/>
    <s v="FAST"/>
    <s v="Standard Class"/>
    <s v="BH-11710"/>
    <s v="Brosina Hoffman"/>
    <x v="0"/>
    <s v="United States"/>
    <s v="Los Angeles"/>
    <x v="1"/>
    <n v="90032"/>
    <x v="1"/>
    <s v="OFF-BI-10003910"/>
    <x v="1"/>
    <x v="8"/>
    <x v="8"/>
    <n v="18.504000000000001"/>
  </r>
  <r>
    <n v="10"/>
    <s v="CA-2015-115812"/>
    <d v="2015-06-09T00:00:00"/>
    <x v="3"/>
    <s v="FAST"/>
    <s v="Standard Class"/>
    <s v="BH-11710"/>
    <s v="Brosina Hoffman"/>
    <x v="0"/>
    <s v="United States"/>
    <s v="Los Angeles"/>
    <x v="1"/>
    <n v="90032"/>
    <x v="1"/>
    <s v="OFF-AP-10002892"/>
    <x v="1"/>
    <x v="9"/>
    <x v="9"/>
    <n v="114.9"/>
  </r>
  <r>
    <n v="11"/>
    <s v="CA-2015-115812"/>
    <d v="2015-06-09T00:00:00"/>
    <x v="3"/>
    <s v="FAST"/>
    <s v="Standard Class"/>
    <s v="BH-11710"/>
    <s v="Brosina Hoffman"/>
    <x v="0"/>
    <s v="United States"/>
    <s v="Los Angeles"/>
    <x v="1"/>
    <n v="90032"/>
    <x v="1"/>
    <s v="FUR-TA-10001539"/>
    <x v="0"/>
    <x v="3"/>
    <x v="10"/>
    <n v="1706.184"/>
  </r>
  <r>
    <n v="12"/>
    <s v="CA-2015-115812"/>
    <d v="2015-06-09T00:00:00"/>
    <x v="3"/>
    <s v="FAST"/>
    <s v="Standard Class"/>
    <s v="BH-11710"/>
    <s v="Brosina Hoffman"/>
    <x v="0"/>
    <s v="United States"/>
    <s v="Los Angeles"/>
    <x v="1"/>
    <n v="90032"/>
    <x v="1"/>
    <s v="TEC-PH-10002033"/>
    <x v="2"/>
    <x v="7"/>
    <x v="11"/>
    <n v="911.42399999999998"/>
  </r>
  <r>
    <n v="13"/>
    <s v="CA-2018-114412"/>
    <d v="2018-04-15T00:00:00"/>
    <x v="4"/>
    <s v="FAST"/>
    <s v="Standard Class"/>
    <s v="AA-10480"/>
    <s v="Andrew Allen"/>
    <x v="0"/>
    <s v="United States"/>
    <s v="Concord"/>
    <x v="3"/>
    <n v="28027"/>
    <x v="0"/>
    <s v="OFF-PA-10002365"/>
    <x v="1"/>
    <x v="10"/>
    <x v="12"/>
    <n v="15.552"/>
  </r>
  <r>
    <n v="14"/>
    <s v="CA-2017-161389"/>
    <d v="2017-12-05T00:00:00"/>
    <x v="5"/>
    <s v="FAST"/>
    <s v="Standard Class"/>
    <s v="IM-15070"/>
    <s v="Irene Maddox"/>
    <x v="0"/>
    <s v="United States"/>
    <s v="Seattle"/>
    <x v="4"/>
    <n v="98103"/>
    <x v="1"/>
    <s v="OFF-BI-10003656"/>
    <x v="1"/>
    <x v="8"/>
    <x v="13"/>
    <n v="407.976"/>
  </r>
  <r>
    <n v="15"/>
    <s v="US-2016-118983"/>
    <d v="2016-11-22T00:00:00"/>
    <x v="6"/>
    <s v="FAST"/>
    <s v="Standard Class"/>
    <s v="HP-14815"/>
    <s v="Harold Pawlan"/>
    <x v="2"/>
    <s v="United States"/>
    <s v="Fort Worth"/>
    <x v="5"/>
    <n v="76106"/>
    <x v="2"/>
    <s v="OFF-AP-10002311"/>
    <x v="1"/>
    <x v="9"/>
    <x v="14"/>
    <n v="68.81"/>
  </r>
  <r>
    <n v="16"/>
    <s v="US-2016-118983"/>
    <d v="2016-11-22T00:00:00"/>
    <x v="6"/>
    <s v="FAST"/>
    <s v="Standard Class"/>
    <s v="HP-14815"/>
    <s v="Harold Pawlan"/>
    <x v="2"/>
    <s v="United States"/>
    <s v="Fort Worth"/>
    <x v="5"/>
    <n v="76106"/>
    <x v="2"/>
    <s v="OFF-BI-10000756"/>
    <x v="1"/>
    <x v="8"/>
    <x v="15"/>
    <n v="2.544"/>
  </r>
  <r>
    <n v="17"/>
    <s v="CA-2015-105893"/>
    <d v="2015-11-11T00:00:00"/>
    <x v="7"/>
    <s v="FAST"/>
    <s v="Standard Class"/>
    <s v="PK-19075"/>
    <s v="Pete Kriz"/>
    <x v="0"/>
    <s v="United States"/>
    <s v="Madison"/>
    <x v="6"/>
    <n v="53711"/>
    <x v="2"/>
    <s v="OFF-ST-10004186"/>
    <x v="1"/>
    <x v="4"/>
    <x v="16"/>
    <n v="665.88"/>
  </r>
  <r>
    <n v="18"/>
    <s v="CA-2015-167164"/>
    <d v="2015-05-13T00:00:00"/>
    <x v="8"/>
    <s v="SLOW"/>
    <s v="Second Class"/>
    <s v="AG-10270"/>
    <s v="Alejandro Grove"/>
    <x v="0"/>
    <s v="United States"/>
    <s v="West Jordan"/>
    <x v="7"/>
    <n v="84084"/>
    <x v="1"/>
    <s v="OFF-ST-10000107"/>
    <x v="1"/>
    <x v="4"/>
    <x v="17"/>
    <n v="55.5"/>
  </r>
  <r>
    <n v="19"/>
    <s v="CA-2015-143336"/>
    <d v="2015-08-27T00:00:00"/>
    <x v="9"/>
    <s v="SLOW"/>
    <s v="Second Class"/>
    <s v="ZD-21925"/>
    <s v="Zuschuss Donatelli"/>
    <x v="0"/>
    <s v="United States"/>
    <s v="San Francisco"/>
    <x v="1"/>
    <n v="94109"/>
    <x v="1"/>
    <s v="OFF-AR-10003056"/>
    <x v="1"/>
    <x v="6"/>
    <x v="18"/>
    <n v="8.56"/>
  </r>
  <r>
    <n v="20"/>
    <s v="CA-2015-143336"/>
    <d v="2015-08-27T00:00:00"/>
    <x v="9"/>
    <s v="SLOW"/>
    <s v="Second Class"/>
    <s v="ZD-21925"/>
    <s v="Zuschuss Donatelli"/>
    <x v="0"/>
    <s v="United States"/>
    <s v="San Francisco"/>
    <x v="1"/>
    <n v="94109"/>
    <x v="1"/>
    <s v="TEC-PH-10001949"/>
    <x v="2"/>
    <x v="7"/>
    <x v="19"/>
    <n v="213.48"/>
  </r>
  <r>
    <n v="21"/>
    <s v="CA-2015-143336"/>
    <d v="2015-08-27T00:00:00"/>
    <x v="9"/>
    <s v="SLOW"/>
    <s v="Second Class"/>
    <s v="ZD-21925"/>
    <s v="Zuschuss Donatelli"/>
    <x v="0"/>
    <s v="United States"/>
    <s v="San Francisco"/>
    <x v="1"/>
    <n v="94109"/>
    <x v="1"/>
    <s v="OFF-BI-10002215"/>
    <x v="1"/>
    <x v="8"/>
    <x v="20"/>
    <n v="22.72"/>
  </r>
  <r>
    <n v="22"/>
    <s v="CA-2017-137330"/>
    <d v="2017-12-09T00:00:00"/>
    <x v="10"/>
    <s v="FAST"/>
    <s v="Standard Class"/>
    <s v="KB-16585"/>
    <s v="Ken Black"/>
    <x v="1"/>
    <s v="United States"/>
    <s v="Fremont"/>
    <x v="8"/>
    <n v="68025"/>
    <x v="2"/>
    <s v="OFF-AR-10000246"/>
    <x v="1"/>
    <x v="6"/>
    <x v="21"/>
    <n v="19.46"/>
  </r>
  <r>
    <n v="23"/>
    <s v="CA-2017-137330"/>
    <d v="2017-12-09T00:00:00"/>
    <x v="10"/>
    <s v="FAST"/>
    <s v="Standard Class"/>
    <s v="KB-16585"/>
    <s v="Ken Black"/>
    <x v="1"/>
    <s v="United States"/>
    <s v="Fremont"/>
    <x v="8"/>
    <n v="68025"/>
    <x v="2"/>
    <s v="OFF-AP-10001492"/>
    <x v="1"/>
    <x v="9"/>
    <x v="22"/>
    <n v="60.34"/>
  </r>
  <r>
    <n v="24"/>
    <s v="US-2018-156909"/>
    <d v="2018-07-16T00:00:00"/>
    <x v="11"/>
    <s v="SLOW"/>
    <s v="Second Class"/>
    <s v="SF-20065"/>
    <s v="Sandra Flanagan"/>
    <x v="0"/>
    <s v="United States"/>
    <s v="Philadelphia"/>
    <x v="9"/>
    <n v="19140"/>
    <x v="3"/>
    <s v="FUR-CH-10002774"/>
    <x v="0"/>
    <x v="1"/>
    <x v="23"/>
    <n v="71.372"/>
  </r>
  <r>
    <n v="25"/>
    <s v="CA-2016-106320"/>
    <d v="2016-09-25T00:00:00"/>
    <x v="12"/>
    <s v="FAST"/>
    <s v="Standard Class"/>
    <s v="EB-13870"/>
    <s v="Emily Burns"/>
    <x v="0"/>
    <s v="United States"/>
    <s v="Orem"/>
    <x v="7"/>
    <n v="84057"/>
    <x v="1"/>
    <s v="FUR-TA-10000577"/>
    <x v="0"/>
    <x v="3"/>
    <x v="3"/>
    <n v="1044.6300000000001"/>
  </r>
  <r>
    <n v="26"/>
    <s v="CA-2017-121755"/>
    <d v="2017-01-16T00:00:00"/>
    <x v="13"/>
    <s v="SLOW"/>
    <s v="Second Class"/>
    <s v="EH-13945"/>
    <s v="Eric Hoffmann"/>
    <x v="0"/>
    <s v="United States"/>
    <s v="Los Angeles"/>
    <x v="1"/>
    <n v="90049"/>
    <x v="1"/>
    <s v="OFF-BI-10001634"/>
    <x v="1"/>
    <x v="8"/>
    <x v="24"/>
    <n v="11.648"/>
  </r>
  <r>
    <n v="27"/>
    <s v="CA-2017-121755"/>
    <d v="2017-01-16T00:00:00"/>
    <x v="13"/>
    <s v="SLOW"/>
    <s v="Second Class"/>
    <s v="EH-13945"/>
    <s v="Eric Hoffmann"/>
    <x v="0"/>
    <s v="United States"/>
    <s v="Los Angeles"/>
    <x v="1"/>
    <n v="90049"/>
    <x v="1"/>
    <s v="TEC-AC-10003027"/>
    <x v="2"/>
    <x v="11"/>
    <x v="25"/>
    <n v="90.57"/>
  </r>
  <r>
    <n v="28"/>
    <s v="US-2016-150630"/>
    <d v="2016-09-17T00:00:00"/>
    <x v="14"/>
    <s v="FAST"/>
    <s v="Standard Class"/>
    <s v="TB-21520"/>
    <s v="Tracy Blumstein"/>
    <x v="0"/>
    <s v="United States"/>
    <s v="Philadelphia"/>
    <x v="9"/>
    <n v="19140"/>
    <x v="3"/>
    <s v="FUR-BO-10004834"/>
    <x v="0"/>
    <x v="0"/>
    <x v="26"/>
    <n v="3083.43"/>
  </r>
  <r>
    <n v="29"/>
    <s v="US-2016-150630"/>
    <d v="2016-09-17T00:00:00"/>
    <x v="14"/>
    <s v="FAST"/>
    <s v="Standard Class"/>
    <s v="TB-21520"/>
    <s v="Tracy Blumstein"/>
    <x v="0"/>
    <s v="United States"/>
    <s v="Philadelphia"/>
    <x v="9"/>
    <n v="19140"/>
    <x v="3"/>
    <s v="OFF-BI-10000474"/>
    <x v="1"/>
    <x v="8"/>
    <x v="27"/>
    <n v="9.6180000000000003"/>
  </r>
  <r>
    <n v="30"/>
    <s v="US-2016-150630"/>
    <d v="2016-09-17T00:00:00"/>
    <x v="14"/>
    <s v="FAST"/>
    <s v="Standard Class"/>
    <s v="TB-21520"/>
    <s v="Tracy Blumstein"/>
    <x v="0"/>
    <s v="United States"/>
    <s v="Philadelphia"/>
    <x v="9"/>
    <n v="19140"/>
    <x v="3"/>
    <s v="FUR-FU-10004848"/>
    <x v="0"/>
    <x v="5"/>
    <x v="28"/>
    <n v="124.2"/>
  </r>
  <r>
    <n v="31"/>
    <s v="US-2016-150630"/>
    <d v="2016-09-17T00:00:00"/>
    <x v="14"/>
    <s v="FAST"/>
    <s v="Standard Class"/>
    <s v="TB-21520"/>
    <s v="Tracy Blumstein"/>
    <x v="0"/>
    <s v="United States"/>
    <s v="Philadelphia"/>
    <x v="9"/>
    <n v="19140"/>
    <x v="3"/>
    <s v="OFF-EN-10001509"/>
    <x v="1"/>
    <x v="12"/>
    <x v="29"/>
    <n v="3.2639999999999998"/>
  </r>
  <r>
    <n v="32"/>
    <s v="US-2016-150630"/>
    <d v="2016-09-17T00:00:00"/>
    <x v="14"/>
    <s v="FAST"/>
    <s v="Standard Class"/>
    <s v="TB-21520"/>
    <s v="Tracy Blumstein"/>
    <x v="0"/>
    <s v="United States"/>
    <s v="Philadelphia"/>
    <x v="9"/>
    <n v="19140"/>
    <x v="3"/>
    <s v="OFF-AR-10004042"/>
    <x v="1"/>
    <x v="6"/>
    <x v="30"/>
    <n v="86.304000000000002"/>
  </r>
  <r>
    <n v="33"/>
    <s v="US-2016-150630"/>
    <d v="2016-09-17T00:00:00"/>
    <x v="14"/>
    <s v="FAST"/>
    <s v="Standard Class"/>
    <s v="TB-21520"/>
    <s v="Tracy Blumstein"/>
    <x v="0"/>
    <s v="United States"/>
    <s v="Philadelphia"/>
    <x v="9"/>
    <n v="19140"/>
    <x v="3"/>
    <s v="OFF-BI-10001525"/>
    <x v="1"/>
    <x v="8"/>
    <x v="31"/>
    <n v="6.8579999999999997"/>
  </r>
  <r>
    <n v="34"/>
    <s v="US-2016-150630"/>
    <d v="2016-09-17T00:00:00"/>
    <x v="14"/>
    <s v="FAST"/>
    <s v="Standard Class"/>
    <s v="TB-21520"/>
    <s v="Tracy Blumstein"/>
    <x v="0"/>
    <s v="United States"/>
    <s v="Philadelphia"/>
    <x v="9"/>
    <n v="19140"/>
    <x v="3"/>
    <s v="OFF-AR-10001683"/>
    <x v="1"/>
    <x v="6"/>
    <x v="32"/>
    <n v="15.76"/>
  </r>
  <r>
    <n v="35"/>
    <s v="CA-2018-107727"/>
    <d v="2018-10-19T00:00:00"/>
    <x v="15"/>
    <s v="SLOW"/>
    <s v="Second Class"/>
    <s v="MA-17560"/>
    <s v="Matt Abelman"/>
    <x v="2"/>
    <s v="United States"/>
    <s v="Houston"/>
    <x v="5"/>
    <n v="77095"/>
    <x v="2"/>
    <s v="OFF-PA-10000249"/>
    <x v="1"/>
    <x v="10"/>
    <x v="33"/>
    <n v="29.472000000000001"/>
  </r>
  <r>
    <n v="36"/>
    <s v="CA-2017-117590"/>
    <d v="2017-12-08T00:00:00"/>
    <x v="5"/>
    <s v="MODERATE"/>
    <s v="First Class"/>
    <s v="GH-14485"/>
    <s v="Gene Hale"/>
    <x v="1"/>
    <s v="United States"/>
    <s v="Richardson"/>
    <x v="5"/>
    <n v="75080"/>
    <x v="2"/>
    <s v="TEC-PH-10004977"/>
    <x v="2"/>
    <x v="7"/>
    <x v="34"/>
    <n v="1097.5440000000001"/>
  </r>
  <r>
    <n v="37"/>
    <s v="CA-2017-117590"/>
    <d v="2017-12-08T00:00:00"/>
    <x v="5"/>
    <s v="MODERATE"/>
    <s v="First Class"/>
    <s v="GH-14485"/>
    <s v="Gene Hale"/>
    <x v="1"/>
    <s v="United States"/>
    <s v="Richardson"/>
    <x v="5"/>
    <n v="75080"/>
    <x v="2"/>
    <s v="FUR-FU-10003664"/>
    <x v="0"/>
    <x v="5"/>
    <x v="35"/>
    <n v="190.92"/>
  </r>
  <r>
    <n v="39"/>
    <s v="CA-2016-117415"/>
    <d v="2016-12-27T00:00:00"/>
    <x v="16"/>
    <s v="FAST"/>
    <s v="Standard Class"/>
    <s v="SN-20710"/>
    <s v="Steve Nguyen"/>
    <x v="2"/>
    <s v="United States"/>
    <s v="Houston"/>
    <x v="5"/>
    <n v="77041"/>
    <x v="2"/>
    <s v="FUR-BO-10002545"/>
    <x v="0"/>
    <x v="0"/>
    <x v="36"/>
    <n v="532.39919999999995"/>
  </r>
  <r>
    <n v="40"/>
    <s v="CA-2016-117415"/>
    <d v="2016-12-27T00:00:00"/>
    <x v="16"/>
    <s v="FAST"/>
    <s v="Standard Class"/>
    <s v="SN-20710"/>
    <s v="Steve Nguyen"/>
    <x v="2"/>
    <s v="United States"/>
    <s v="Houston"/>
    <x v="5"/>
    <n v="77041"/>
    <x v="2"/>
    <s v="FUR-CH-10004218"/>
    <x v="0"/>
    <x v="1"/>
    <x v="37"/>
    <n v="212.05799999999999"/>
  </r>
  <r>
    <n v="41"/>
    <s v="CA-2016-117415"/>
    <d v="2016-12-27T00:00:00"/>
    <x v="16"/>
    <s v="FAST"/>
    <s v="Standard Class"/>
    <s v="SN-20710"/>
    <s v="Steve Nguyen"/>
    <x v="2"/>
    <s v="United States"/>
    <s v="Houston"/>
    <x v="5"/>
    <n v="77041"/>
    <x v="2"/>
    <s v="TEC-PH-10000486"/>
    <x v="2"/>
    <x v="7"/>
    <x v="38"/>
    <n v="371.16800000000001"/>
  </r>
  <r>
    <n v="42"/>
    <s v="CA-2018-120999"/>
    <d v="2018-09-10T00:00:00"/>
    <x v="17"/>
    <s v="FAST"/>
    <s v="Standard Class"/>
    <s v="LC-16930"/>
    <s v="Linda Cazamias"/>
    <x v="1"/>
    <s v="United States"/>
    <s v="Naperville"/>
    <x v="10"/>
    <n v="60540"/>
    <x v="2"/>
    <s v="TEC-PH-10004093"/>
    <x v="2"/>
    <x v="7"/>
    <x v="39"/>
    <n v="147.16800000000001"/>
  </r>
  <r>
    <n v="43"/>
    <s v="CA-2017-101343"/>
    <d v="2017-07-17T00:00:00"/>
    <x v="18"/>
    <s v="FAST"/>
    <s v="Standard Class"/>
    <s v="RA-19885"/>
    <s v="Ruben Ausman"/>
    <x v="1"/>
    <s v="United States"/>
    <s v="Los Angeles"/>
    <x v="1"/>
    <n v="90049"/>
    <x v="1"/>
    <s v="OFF-ST-10003479"/>
    <x v="1"/>
    <x v="4"/>
    <x v="40"/>
    <n v="77.88"/>
  </r>
  <r>
    <n v="44"/>
    <s v="CA-2018-139619"/>
    <d v="2018-09-19T00:00:00"/>
    <x v="19"/>
    <s v="FAST"/>
    <s v="Standard Class"/>
    <s v="ES-14080"/>
    <s v="Erin Smith"/>
    <x v="1"/>
    <s v="United States"/>
    <s v="Melbourne"/>
    <x v="2"/>
    <n v="32935"/>
    <x v="0"/>
    <s v="OFF-ST-10003282"/>
    <x v="1"/>
    <x v="4"/>
    <x v="41"/>
    <n v="95.616"/>
  </r>
  <r>
    <n v="45"/>
    <s v="CA-2017-118255"/>
    <d v="2017-03-11T00:00:00"/>
    <x v="20"/>
    <s v="MODERATE"/>
    <s v="First Class"/>
    <s v="ON-18715"/>
    <s v="Odella Nelson"/>
    <x v="1"/>
    <s v="United States"/>
    <s v="Eagan"/>
    <x v="11"/>
    <n v="55122"/>
    <x v="2"/>
    <s v="TEC-AC-10000171"/>
    <x v="2"/>
    <x v="11"/>
    <x v="42"/>
    <n v="45.98"/>
  </r>
  <r>
    <n v="46"/>
    <s v="CA-2017-118255"/>
    <d v="2017-03-11T00:00:00"/>
    <x v="20"/>
    <s v="MODERATE"/>
    <s v="First Class"/>
    <s v="ON-18715"/>
    <s v="Odella Nelson"/>
    <x v="1"/>
    <s v="United States"/>
    <s v="Eagan"/>
    <x v="11"/>
    <n v="55122"/>
    <x v="2"/>
    <s v="OFF-BI-10003291"/>
    <x v="1"/>
    <x v="8"/>
    <x v="43"/>
    <n v="17.46"/>
  </r>
  <r>
    <n v="47"/>
    <s v="CA-2015-146703"/>
    <d v="2015-10-20T00:00:00"/>
    <x v="21"/>
    <s v="SLOW"/>
    <s v="Second Class"/>
    <s v="PO-18865"/>
    <s v="Patrick O'Donnell"/>
    <x v="0"/>
    <s v="United States"/>
    <s v="Westland"/>
    <x v="12"/>
    <n v="48185"/>
    <x v="2"/>
    <s v="OFF-ST-10001713"/>
    <x v="1"/>
    <x v="4"/>
    <x v="44"/>
    <n v="211.96"/>
  </r>
  <r>
    <n v="48"/>
    <s v="CA-2017-169194"/>
    <d v="2017-06-20T00:00:00"/>
    <x v="22"/>
    <s v="FAST"/>
    <s v="Standard Class"/>
    <s v="LH-16900"/>
    <s v="Lena Hernandez"/>
    <x v="0"/>
    <s v="United States"/>
    <s v="Dover"/>
    <x v="13"/>
    <n v="19901"/>
    <x v="3"/>
    <s v="TEC-AC-10002167"/>
    <x v="2"/>
    <x v="11"/>
    <x v="45"/>
    <n v="45"/>
  </r>
  <r>
    <n v="49"/>
    <s v="CA-2017-169194"/>
    <d v="2017-06-20T00:00:00"/>
    <x v="22"/>
    <s v="FAST"/>
    <s v="Standard Class"/>
    <s v="LH-16900"/>
    <s v="Lena Hernandez"/>
    <x v="0"/>
    <s v="United States"/>
    <s v="Dover"/>
    <x v="13"/>
    <n v="19901"/>
    <x v="3"/>
    <s v="TEC-PH-10003988"/>
    <x v="2"/>
    <x v="7"/>
    <x v="46"/>
    <n v="21.8"/>
  </r>
  <r>
    <n v="50"/>
    <s v="CA-2016-115742"/>
    <d v="2016-04-18T00:00:00"/>
    <x v="23"/>
    <s v="FAST"/>
    <s v="Standard Class"/>
    <s v="DP-13000"/>
    <s v="Darren Powers"/>
    <x v="0"/>
    <s v="United States"/>
    <s v="New Albany"/>
    <x v="14"/>
    <n v="47150"/>
    <x v="2"/>
    <s v="OFF-BI-10004410"/>
    <x v="1"/>
    <x v="8"/>
    <x v="47"/>
    <n v="38.22"/>
  </r>
  <r>
    <n v="51"/>
    <s v="CA-2016-115742"/>
    <d v="2016-04-18T00:00:00"/>
    <x v="23"/>
    <s v="FAST"/>
    <s v="Standard Class"/>
    <s v="DP-13000"/>
    <s v="Darren Powers"/>
    <x v="0"/>
    <s v="United States"/>
    <s v="New Albany"/>
    <x v="14"/>
    <n v="47150"/>
    <x v="2"/>
    <s v="OFF-LA-10002762"/>
    <x v="1"/>
    <x v="2"/>
    <x v="48"/>
    <n v="75.180000000000007"/>
  </r>
  <r>
    <n v="52"/>
    <s v="CA-2016-115742"/>
    <d v="2016-04-18T00:00:00"/>
    <x v="23"/>
    <s v="FAST"/>
    <s v="Standard Class"/>
    <s v="DP-13000"/>
    <s v="Darren Powers"/>
    <x v="0"/>
    <s v="United States"/>
    <s v="New Albany"/>
    <x v="14"/>
    <n v="47150"/>
    <x v="2"/>
    <s v="FUR-FU-10001706"/>
    <x v="0"/>
    <x v="5"/>
    <x v="49"/>
    <n v="6.16"/>
  </r>
  <r>
    <n v="53"/>
    <s v="CA-2016-115742"/>
    <d v="2016-04-18T00:00:00"/>
    <x v="23"/>
    <s v="FAST"/>
    <s v="Standard Class"/>
    <s v="DP-13000"/>
    <s v="Darren Powers"/>
    <x v="0"/>
    <s v="United States"/>
    <s v="New Albany"/>
    <x v="14"/>
    <n v="47150"/>
    <x v="2"/>
    <s v="FUR-CH-10003061"/>
    <x v="0"/>
    <x v="1"/>
    <x v="50"/>
    <n v="89.99"/>
  </r>
  <r>
    <n v="54"/>
    <s v="CA-2017-105816"/>
    <d v="2017-12-11T00:00:00"/>
    <x v="24"/>
    <s v="FAST"/>
    <s v="Standard Class"/>
    <s v="JM-15265"/>
    <s v="Janet Molinari"/>
    <x v="1"/>
    <s v="United States"/>
    <s v="New York City"/>
    <x v="15"/>
    <n v="10024"/>
    <x v="3"/>
    <s v="OFF-FA-10000304"/>
    <x v="1"/>
    <x v="13"/>
    <x v="51"/>
    <n v="15.26"/>
  </r>
  <r>
    <n v="55"/>
    <s v="CA-2017-105816"/>
    <d v="2017-12-11T00:00:00"/>
    <x v="24"/>
    <s v="FAST"/>
    <s v="Standard Class"/>
    <s v="JM-15265"/>
    <s v="Janet Molinari"/>
    <x v="1"/>
    <s v="United States"/>
    <s v="New York City"/>
    <x v="15"/>
    <n v="10024"/>
    <x v="3"/>
    <s v="TEC-PH-10002447"/>
    <x v="2"/>
    <x v="7"/>
    <x v="52"/>
    <n v="1029.95"/>
  </r>
  <r>
    <n v="56"/>
    <s v="CA-2017-111682"/>
    <d v="2017-06-17T00:00:00"/>
    <x v="25"/>
    <s v="MODERATE"/>
    <s v="First Class"/>
    <s v="TB-21055"/>
    <s v="Ted Butterfield"/>
    <x v="0"/>
    <s v="United States"/>
    <s v="Troy"/>
    <x v="15"/>
    <n v="12180"/>
    <x v="3"/>
    <s v="OFF-ST-10000604"/>
    <x v="1"/>
    <x v="4"/>
    <x v="53"/>
    <n v="208.56"/>
  </r>
  <r>
    <n v="57"/>
    <s v="CA-2017-111682"/>
    <d v="2017-06-17T00:00:00"/>
    <x v="25"/>
    <s v="MODERATE"/>
    <s v="First Class"/>
    <s v="TB-21055"/>
    <s v="Ted Butterfield"/>
    <x v="0"/>
    <s v="United States"/>
    <s v="Troy"/>
    <x v="15"/>
    <n v="12180"/>
    <x v="3"/>
    <s v="OFF-PA-10001569"/>
    <x v="1"/>
    <x v="10"/>
    <x v="54"/>
    <n v="32.4"/>
  </r>
  <r>
    <n v="58"/>
    <s v="CA-2017-111682"/>
    <d v="2017-06-17T00:00:00"/>
    <x v="25"/>
    <s v="MODERATE"/>
    <s v="First Class"/>
    <s v="TB-21055"/>
    <s v="Ted Butterfield"/>
    <x v="0"/>
    <s v="United States"/>
    <s v="Troy"/>
    <x v="15"/>
    <n v="12180"/>
    <x v="3"/>
    <s v="FUR-CH-10003968"/>
    <x v="0"/>
    <x v="1"/>
    <x v="55"/>
    <n v="319.41000000000003"/>
  </r>
  <r>
    <n v="59"/>
    <s v="CA-2017-111682"/>
    <d v="2017-06-17T00:00:00"/>
    <x v="25"/>
    <s v="MODERATE"/>
    <s v="First Class"/>
    <s v="TB-21055"/>
    <s v="Ted Butterfield"/>
    <x v="0"/>
    <s v="United States"/>
    <s v="Troy"/>
    <x v="15"/>
    <n v="12180"/>
    <x v="3"/>
    <s v="OFF-PA-10000587"/>
    <x v="1"/>
    <x v="10"/>
    <x v="56"/>
    <n v="14.56"/>
  </r>
  <r>
    <n v="60"/>
    <s v="CA-2017-111682"/>
    <d v="2017-06-17T00:00:00"/>
    <x v="25"/>
    <s v="MODERATE"/>
    <s v="First Class"/>
    <s v="TB-21055"/>
    <s v="Ted Butterfield"/>
    <x v="0"/>
    <s v="United States"/>
    <s v="Troy"/>
    <x v="15"/>
    <n v="12180"/>
    <x v="3"/>
    <s v="TEC-AC-10002167"/>
    <x v="2"/>
    <x v="11"/>
    <x v="45"/>
    <n v="30"/>
  </r>
  <r>
    <n v="61"/>
    <s v="CA-2017-111682"/>
    <d v="2017-06-17T00:00:00"/>
    <x v="25"/>
    <s v="MODERATE"/>
    <s v="First Class"/>
    <s v="TB-21055"/>
    <s v="Ted Butterfield"/>
    <x v="0"/>
    <s v="United States"/>
    <s v="Troy"/>
    <x v="15"/>
    <n v="12180"/>
    <x v="3"/>
    <s v="OFF-BI-10001460"/>
    <x v="1"/>
    <x v="8"/>
    <x v="57"/>
    <n v="48.48"/>
  </r>
  <r>
    <n v="62"/>
    <s v="CA-2017-111682"/>
    <d v="2017-06-17T00:00:00"/>
    <x v="25"/>
    <s v="MODERATE"/>
    <s v="First Class"/>
    <s v="TB-21055"/>
    <s v="Ted Butterfield"/>
    <x v="0"/>
    <s v="United States"/>
    <s v="Troy"/>
    <x v="15"/>
    <n v="12180"/>
    <x v="3"/>
    <s v="OFF-AR-10001868"/>
    <x v="1"/>
    <x v="6"/>
    <x v="58"/>
    <n v="1.68"/>
  </r>
  <r>
    <n v="63"/>
    <s v="CA-2016-135545"/>
    <d v="2016-11-24T00:00:00"/>
    <x v="26"/>
    <s v="FAST"/>
    <s v="Standard Class"/>
    <s v="KM-16720"/>
    <s v="Kunst Miller"/>
    <x v="0"/>
    <s v="United States"/>
    <s v="Los Angeles"/>
    <x v="1"/>
    <n v="90004"/>
    <x v="1"/>
    <s v="TEC-AC-10004633"/>
    <x v="2"/>
    <x v="11"/>
    <x v="59"/>
    <n v="13.98"/>
  </r>
  <r>
    <n v="64"/>
    <s v="CA-2016-135545"/>
    <d v="2016-11-24T00:00:00"/>
    <x v="26"/>
    <s v="FAST"/>
    <s v="Standard Class"/>
    <s v="KM-16720"/>
    <s v="Kunst Miller"/>
    <x v="0"/>
    <s v="United States"/>
    <s v="Los Angeles"/>
    <x v="1"/>
    <n v="90004"/>
    <x v="1"/>
    <s v="OFF-BI-10001078"/>
    <x v="1"/>
    <x v="8"/>
    <x v="60"/>
    <n v="25.824000000000002"/>
  </r>
  <r>
    <n v="65"/>
    <s v="CA-2016-135545"/>
    <d v="2016-11-24T00:00:00"/>
    <x v="26"/>
    <s v="FAST"/>
    <s v="Standard Class"/>
    <s v="KM-16720"/>
    <s v="Kunst Miller"/>
    <x v="0"/>
    <s v="United States"/>
    <s v="Los Angeles"/>
    <x v="1"/>
    <n v="90004"/>
    <x v="1"/>
    <s v="OFF-PA-10003892"/>
    <x v="1"/>
    <x v="10"/>
    <x v="61"/>
    <n v="146.72999999999999"/>
  </r>
  <r>
    <n v="66"/>
    <s v="CA-2016-135545"/>
    <d v="2016-11-24T00:00:00"/>
    <x v="26"/>
    <s v="FAST"/>
    <s v="Standard Class"/>
    <s v="KM-16720"/>
    <s v="Kunst Miller"/>
    <x v="0"/>
    <s v="United States"/>
    <s v="Los Angeles"/>
    <x v="1"/>
    <n v="90004"/>
    <x v="1"/>
    <s v="FUR-FU-10000397"/>
    <x v="0"/>
    <x v="5"/>
    <x v="62"/>
    <n v="79.760000000000005"/>
  </r>
  <r>
    <n v="67"/>
    <s v="US-2016-164175"/>
    <d v="2016-04-30T00:00:00"/>
    <x v="27"/>
    <s v="FAST"/>
    <s v="Standard Class"/>
    <s v="PS-18970"/>
    <s v="Paul Stevenson"/>
    <x v="2"/>
    <s v="United States"/>
    <s v="Chicago"/>
    <x v="10"/>
    <n v="60610"/>
    <x v="2"/>
    <s v="FUR-CH-10001146"/>
    <x v="0"/>
    <x v="1"/>
    <x v="63"/>
    <n v="213.11500000000001"/>
  </r>
  <r>
    <n v="68"/>
    <s v="CA-2015-106376"/>
    <d v="2015-12-05T00:00:00"/>
    <x v="28"/>
    <s v="FAST"/>
    <s v="Standard Class"/>
    <s v="BS-11590"/>
    <s v="Brendan Sweed"/>
    <x v="1"/>
    <s v="United States"/>
    <s v="Gilbert"/>
    <x v="16"/>
    <n v="85234"/>
    <x v="1"/>
    <s v="OFF-AR-10002671"/>
    <x v="1"/>
    <x v="6"/>
    <x v="64"/>
    <n v="1113.0239999999999"/>
  </r>
  <r>
    <n v="69"/>
    <s v="CA-2015-106376"/>
    <d v="2015-12-05T00:00:00"/>
    <x v="28"/>
    <s v="FAST"/>
    <s v="Standard Class"/>
    <s v="BS-11590"/>
    <s v="Brendan Sweed"/>
    <x v="1"/>
    <s v="United States"/>
    <s v="Gilbert"/>
    <x v="16"/>
    <n v="85234"/>
    <x v="1"/>
    <s v="TEC-PH-10002726"/>
    <x v="2"/>
    <x v="7"/>
    <x v="65"/>
    <n v="167.96799999999999"/>
  </r>
  <r>
    <n v="70"/>
    <s v="CA-2017-119823"/>
    <d v="2017-06-04T00:00:00"/>
    <x v="29"/>
    <s v="MODERATE"/>
    <s v="First Class"/>
    <s v="KD-16270"/>
    <s v="Karen Daniels"/>
    <x v="0"/>
    <s v="United States"/>
    <s v="Springfield"/>
    <x v="17"/>
    <n v="22153"/>
    <x v="0"/>
    <s v="OFF-PA-10000482"/>
    <x v="1"/>
    <x v="10"/>
    <x v="66"/>
    <n v="75.88"/>
  </r>
  <r>
    <n v="71"/>
    <s v="CA-2017-106075"/>
    <d v="2017-09-18T00:00:00"/>
    <x v="30"/>
    <s v="FAST"/>
    <s v="Standard Class"/>
    <s v="HM-14980"/>
    <s v="Henry MacAllister"/>
    <x v="0"/>
    <s v="United States"/>
    <s v="New York City"/>
    <x v="15"/>
    <n v="10009"/>
    <x v="3"/>
    <s v="OFF-BI-10004654"/>
    <x v="1"/>
    <x v="8"/>
    <x v="67"/>
    <n v="4.6159999999999997"/>
  </r>
  <r>
    <n v="72"/>
    <s v="CA-2018-114440"/>
    <d v="2018-09-14T00:00:00"/>
    <x v="31"/>
    <s v="SLOW"/>
    <s v="Second Class"/>
    <s v="TB-21520"/>
    <s v="Tracy Blumstein"/>
    <x v="0"/>
    <s v="United States"/>
    <s v="Jackson"/>
    <x v="12"/>
    <n v="49201"/>
    <x v="2"/>
    <s v="OFF-PA-10004675"/>
    <x v="1"/>
    <x v="10"/>
    <x v="68"/>
    <n v="19.05"/>
  </r>
  <r>
    <n v="73"/>
    <s v="US-2016-134026"/>
    <d v="2016-04-26T00:00:00"/>
    <x v="32"/>
    <s v="FAST"/>
    <s v="Standard Class"/>
    <s v="JE-15745"/>
    <s v="Joel Eaton"/>
    <x v="0"/>
    <s v="United States"/>
    <s v="Memphis"/>
    <x v="18"/>
    <n v="38109"/>
    <x v="0"/>
    <s v="FUR-CH-10000513"/>
    <x v="0"/>
    <x v="1"/>
    <x v="69"/>
    <n v="831.93600000000004"/>
  </r>
  <r>
    <n v="74"/>
    <s v="US-2016-134026"/>
    <d v="2016-04-26T00:00:00"/>
    <x v="32"/>
    <s v="FAST"/>
    <s v="Standard Class"/>
    <s v="JE-15745"/>
    <s v="Joel Eaton"/>
    <x v="0"/>
    <s v="United States"/>
    <s v="Memphis"/>
    <x v="18"/>
    <n v="38109"/>
    <x v="0"/>
    <s v="FUR-FU-10003708"/>
    <x v="0"/>
    <x v="5"/>
    <x v="70"/>
    <n v="97.04"/>
  </r>
  <r>
    <n v="75"/>
    <s v="US-2016-134026"/>
    <d v="2016-04-26T00:00:00"/>
    <x v="32"/>
    <s v="FAST"/>
    <s v="Standard Class"/>
    <s v="JE-15745"/>
    <s v="Joel Eaton"/>
    <x v="0"/>
    <s v="United States"/>
    <s v="Memphis"/>
    <x v="18"/>
    <n v="38109"/>
    <x v="0"/>
    <s v="OFF-ST-10004123"/>
    <x v="1"/>
    <x v="4"/>
    <x v="71"/>
    <n v="72.784000000000006"/>
  </r>
  <r>
    <n v="76"/>
    <s v="US-2018-118038"/>
    <d v="2018-12-09T00:00:00"/>
    <x v="33"/>
    <s v="MODERATE"/>
    <s v="First Class"/>
    <s v="KB-16600"/>
    <s v="Ken Brennan"/>
    <x v="1"/>
    <s v="United States"/>
    <s v="Houston"/>
    <x v="5"/>
    <n v="77041"/>
    <x v="2"/>
    <s v="OFF-BI-10004182"/>
    <x v="1"/>
    <x v="8"/>
    <x v="72"/>
    <n v="1.248"/>
  </r>
  <r>
    <n v="78"/>
    <s v="US-2018-118038"/>
    <d v="2018-12-09T00:00:00"/>
    <x v="33"/>
    <s v="MODERATE"/>
    <s v="First Class"/>
    <s v="KB-16600"/>
    <s v="Ken Brennan"/>
    <x v="1"/>
    <s v="United States"/>
    <s v="Houston"/>
    <x v="5"/>
    <n v="77041"/>
    <x v="2"/>
    <s v="OFF-ST-10000615"/>
    <x v="1"/>
    <x v="4"/>
    <x v="73"/>
    <n v="27.24"/>
  </r>
  <r>
    <n v="79"/>
    <s v="US-2015-147606"/>
    <d v="2015-11-26T00:00:00"/>
    <x v="34"/>
    <s v="SLOW"/>
    <s v="Second Class"/>
    <s v="JE-15745"/>
    <s v="Joel Eaton"/>
    <x v="0"/>
    <s v="United States"/>
    <s v="Houston"/>
    <x v="5"/>
    <n v="77070"/>
    <x v="2"/>
    <s v="FUR-FU-10003194"/>
    <x v="0"/>
    <x v="5"/>
    <x v="74"/>
    <n v="19.3"/>
  </r>
  <r>
    <n v="81"/>
    <s v="CA-2017-127208"/>
    <d v="2017-06-12T00:00:00"/>
    <x v="35"/>
    <s v="MODERATE"/>
    <s v="First Class"/>
    <s v="SC-20770"/>
    <s v="Stewart Carmichael"/>
    <x v="1"/>
    <s v="United States"/>
    <s v="Decatur"/>
    <x v="19"/>
    <n v="35601"/>
    <x v="0"/>
    <s v="OFF-BI-10002309"/>
    <x v="1"/>
    <x v="8"/>
    <x v="75"/>
    <n v="16.739999999999998"/>
  </r>
  <r>
    <n v="82"/>
    <s v="CA-2015-139451"/>
    <d v="2015-10-12T00:00:00"/>
    <x v="36"/>
    <s v="FAST"/>
    <s v="Standard Class"/>
    <s v="DN-13690"/>
    <s v="Duane Noonan"/>
    <x v="0"/>
    <s v="United States"/>
    <s v="San Francisco"/>
    <x v="1"/>
    <n v="94122"/>
    <x v="1"/>
    <s v="OFF-AR-10002053"/>
    <x v="1"/>
    <x v="6"/>
    <x v="76"/>
    <n v="14.9"/>
  </r>
  <r>
    <n v="83"/>
    <s v="CA-2015-139451"/>
    <d v="2015-10-12T00:00:00"/>
    <x v="36"/>
    <s v="FAST"/>
    <s v="Standard Class"/>
    <s v="DN-13690"/>
    <s v="Duane Noonan"/>
    <x v="0"/>
    <s v="United States"/>
    <s v="San Francisco"/>
    <x v="1"/>
    <n v="94122"/>
    <x v="1"/>
    <s v="OFF-ST-10002370"/>
    <x v="1"/>
    <x v="4"/>
    <x v="77"/>
    <n v="21.39"/>
  </r>
  <r>
    <n v="84"/>
    <s v="CA-2016-149734"/>
    <d v="2016-09-03T00:00:00"/>
    <x v="37"/>
    <s v="FAST"/>
    <s v="Standard Class"/>
    <s v="JC-16105"/>
    <s v="Julie Creighton"/>
    <x v="1"/>
    <s v="United States"/>
    <s v="Durham"/>
    <x v="3"/>
    <n v="27707"/>
    <x v="0"/>
    <s v="OFF-EN-10000927"/>
    <x v="1"/>
    <x v="12"/>
    <x v="78"/>
    <n v="200.98400000000001"/>
  </r>
  <r>
    <n v="85"/>
    <s v="US-2018-119662"/>
    <d v="2018-11-13T00:00:00"/>
    <x v="38"/>
    <s v="MODERATE"/>
    <s v="First Class"/>
    <s v="CS-12400"/>
    <s v="Christopher Schild"/>
    <x v="2"/>
    <s v="United States"/>
    <s v="Chicago"/>
    <x v="10"/>
    <n v="60623"/>
    <x v="2"/>
    <s v="OFF-ST-10003656"/>
    <x v="1"/>
    <x v="4"/>
    <x v="79"/>
    <n v="230.376"/>
  </r>
  <r>
    <n v="86"/>
    <s v="CA-2018-140088"/>
    <d v="2018-05-28T00:00:00"/>
    <x v="39"/>
    <s v="SLOW"/>
    <s v="Second Class"/>
    <s v="PO-18865"/>
    <s v="Patrick O'Donnell"/>
    <x v="0"/>
    <s v="United States"/>
    <s v="Columbia"/>
    <x v="20"/>
    <n v="29203"/>
    <x v="0"/>
    <s v="FUR-CH-10000863"/>
    <x v="0"/>
    <x v="1"/>
    <x v="80"/>
    <n v="301.95999999999998"/>
  </r>
  <r>
    <n v="87"/>
    <s v="CA-2018-155558"/>
    <d v="2018-10-26T00:00:00"/>
    <x v="40"/>
    <s v="FAST"/>
    <s v="Standard Class"/>
    <s v="PG-18895"/>
    <s v="Paul Gonzalez"/>
    <x v="0"/>
    <s v="United States"/>
    <s v="Rochester"/>
    <x v="11"/>
    <n v="55901"/>
    <x v="2"/>
    <s v="TEC-AC-10001998"/>
    <x v="2"/>
    <x v="11"/>
    <x v="81"/>
    <n v="19.989999999999998"/>
  </r>
  <r>
    <n v="88"/>
    <s v="CA-2018-155558"/>
    <d v="2018-10-26T00:00:00"/>
    <x v="40"/>
    <s v="FAST"/>
    <s v="Standard Class"/>
    <s v="PG-18895"/>
    <s v="Paul Gonzalez"/>
    <x v="0"/>
    <s v="United States"/>
    <s v="Rochester"/>
    <x v="11"/>
    <n v="55901"/>
    <x v="2"/>
    <s v="OFF-LA-10000134"/>
    <x v="1"/>
    <x v="2"/>
    <x v="82"/>
    <n v="6.16"/>
  </r>
  <r>
    <n v="89"/>
    <s v="CA-2017-159695"/>
    <d v="2017-04-05T00:00:00"/>
    <x v="41"/>
    <s v="SLOW"/>
    <s v="Second Class"/>
    <s v="GM-14455"/>
    <s v="Gary Mitchum"/>
    <x v="2"/>
    <s v="United States"/>
    <s v="Houston"/>
    <x v="5"/>
    <n v="77095"/>
    <x v="2"/>
    <s v="OFF-ST-10003442"/>
    <x v="1"/>
    <x v="4"/>
    <x v="83"/>
    <n v="158.36799999999999"/>
  </r>
  <r>
    <n v="90"/>
    <s v="CA-2017-109806"/>
    <d v="2017-09-17T00:00:00"/>
    <x v="42"/>
    <s v="FAST"/>
    <s v="Standard Class"/>
    <s v="JS-15685"/>
    <s v="Jim Sink"/>
    <x v="1"/>
    <s v="United States"/>
    <s v="Los Angeles"/>
    <x v="1"/>
    <n v="90036"/>
    <x v="1"/>
    <s v="OFF-AR-10004930"/>
    <x v="1"/>
    <x v="6"/>
    <x v="84"/>
    <n v="20.100000000000001"/>
  </r>
  <r>
    <n v="91"/>
    <s v="CA-2017-109806"/>
    <d v="2017-09-17T00:00:00"/>
    <x v="42"/>
    <s v="FAST"/>
    <s v="Standard Class"/>
    <s v="JS-15685"/>
    <s v="Jim Sink"/>
    <x v="1"/>
    <s v="United States"/>
    <s v="Los Angeles"/>
    <x v="1"/>
    <n v="90036"/>
    <x v="1"/>
    <s v="TEC-PH-10004093"/>
    <x v="2"/>
    <x v="7"/>
    <x v="39"/>
    <n v="73.584000000000003"/>
  </r>
  <r>
    <n v="92"/>
    <s v="CA-2017-109806"/>
    <d v="2017-09-17T00:00:00"/>
    <x v="42"/>
    <s v="FAST"/>
    <s v="Standard Class"/>
    <s v="JS-15685"/>
    <s v="Jim Sink"/>
    <x v="1"/>
    <s v="United States"/>
    <s v="Los Angeles"/>
    <x v="1"/>
    <n v="90036"/>
    <x v="1"/>
    <s v="OFF-PA-10000304"/>
    <x v="1"/>
    <x v="10"/>
    <x v="85"/>
    <n v="6.48"/>
  </r>
  <r>
    <n v="93"/>
    <s v="CA-2016-149587"/>
    <d v="2016-01-31T00:00:00"/>
    <x v="43"/>
    <s v="SLOW"/>
    <s v="Second Class"/>
    <s v="KB-16315"/>
    <s v="Karl Braun"/>
    <x v="0"/>
    <s v="United States"/>
    <s v="Minneapolis"/>
    <x v="11"/>
    <n v="55407"/>
    <x v="2"/>
    <s v="OFF-PA-10003177"/>
    <x v="1"/>
    <x v="10"/>
    <x v="86"/>
    <n v="12.96"/>
  </r>
  <r>
    <n v="94"/>
    <s v="CA-2016-149587"/>
    <d v="2016-01-31T00:00:00"/>
    <x v="43"/>
    <s v="SLOW"/>
    <s v="Second Class"/>
    <s v="KB-16315"/>
    <s v="Karl Braun"/>
    <x v="0"/>
    <s v="United States"/>
    <s v="Minneapolis"/>
    <x v="11"/>
    <n v="55407"/>
    <x v="2"/>
    <s v="FUR-FU-10003799"/>
    <x v="0"/>
    <x v="5"/>
    <x v="87"/>
    <n v="53.34"/>
  </r>
  <r>
    <n v="95"/>
    <s v="CA-2016-149587"/>
    <d v="2016-01-31T00:00:00"/>
    <x v="43"/>
    <s v="SLOW"/>
    <s v="Second Class"/>
    <s v="KB-16315"/>
    <s v="Karl Braun"/>
    <x v="0"/>
    <s v="United States"/>
    <s v="Minneapolis"/>
    <x v="11"/>
    <n v="55407"/>
    <x v="2"/>
    <s v="OFF-BI-10002852"/>
    <x v="1"/>
    <x v="8"/>
    <x v="88"/>
    <n v="32.96"/>
  </r>
  <r>
    <n v="96"/>
    <s v="US-2018-109484"/>
    <d v="2018-11-06T00:00:00"/>
    <x v="44"/>
    <s v="FAST"/>
    <s v="Standard Class"/>
    <s v="RB-19705"/>
    <s v="Roger Barcio"/>
    <x v="2"/>
    <s v="United States"/>
    <s v="Portland"/>
    <x v="21"/>
    <n v="97206"/>
    <x v="1"/>
    <s v="OFF-BI-10004738"/>
    <x v="1"/>
    <x v="8"/>
    <x v="89"/>
    <n v="5.6820000000000004"/>
  </r>
  <r>
    <n v="98"/>
    <s v="CA-2018-157833"/>
    <d v="2018-06-17T00:00:00"/>
    <x v="45"/>
    <s v="MODERATE"/>
    <s v="First Class"/>
    <s v="KD-16345"/>
    <s v="Katherine Ducich"/>
    <x v="0"/>
    <s v="United States"/>
    <s v="San Francisco"/>
    <x v="1"/>
    <n v="94122"/>
    <x v="1"/>
    <s v="OFF-BI-10001721"/>
    <x v="1"/>
    <x v="8"/>
    <x v="90"/>
    <n v="51.311999999999998"/>
  </r>
  <r>
    <n v="99"/>
    <s v="CA-2017-149223"/>
    <d v="2017-09-06T00:00:00"/>
    <x v="46"/>
    <s v="FAST"/>
    <s v="Standard Class"/>
    <s v="ER-13855"/>
    <s v="Elpida Rittenbach"/>
    <x v="1"/>
    <s v="United States"/>
    <s v="Saint Paul"/>
    <x v="11"/>
    <n v="55106"/>
    <x v="2"/>
    <s v="OFF-AP-10000358"/>
    <x v="1"/>
    <x v="9"/>
    <x v="91"/>
    <n v="77.88"/>
  </r>
  <r>
    <n v="100"/>
    <s v="CA-2017-158568"/>
    <d v="2017-08-29T00:00:00"/>
    <x v="47"/>
    <s v="FAST"/>
    <s v="Standard Class"/>
    <s v="RB-19465"/>
    <s v="Rick Bensley"/>
    <x v="2"/>
    <s v="United States"/>
    <s v="Chicago"/>
    <x v="10"/>
    <n v="60610"/>
    <x v="2"/>
    <s v="OFF-PA-10003256"/>
    <x v="1"/>
    <x v="10"/>
    <x v="92"/>
    <n v="64.623999999999995"/>
  </r>
  <r>
    <n v="101"/>
    <s v="CA-2017-158568"/>
    <d v="2017-08-29T00:00:00"/>
    <x v="47"/>
    <s v="FAST"/>
    <s v="Standard Class"/>
    <s v="RB-19465"/>
    <s v="Rick Bensley"/>
    <x v="2"/>
    <s v="United States"/>
    <s v="Chicago"/>
    <x v="10"/>
    <n v="60610"/>
    <x v="2"/>
    <s v="TEC-AC-10001767"/>
    <x v="2"/>
    <x v="11"/>
    <x v="93"/>
    <n v="95.975999999999999"/>
  </r>
  <r>
    <n v="102"/>
    <s v="CA-2017-158568"/>
    <d v="2017-08-29T00:00:00"/>
    <x v="47"/>
    <s v="FAST"/>
    <s v="Standard Class"/>
    <s v="RB-19465"/>
    <s v="Rick Bensley"/>
    <x v="2"/>
    <s v="United States"/>
    <s v="Chicago"/>
    <x v="10"/>
    <n v="60610"/>
    <x v="2"/>
    <s v="OFF-BI-10002609"/>
    <x v="1"/>
    <x v="8"/>
    <x v="94"/>
    <n v="1.788"/>
  </r>
  <r>
    <n v="103"/>
    <s v="CA-2017-129903"/>
    <d v="2017-12-01T00:00:00"/>
    <x v="48"/>
    <s v="SLOW"/>
    <s v="Second Class"/>
    <s v="GZ-14470"/>
    <s v="Gary Zandusky"/>
    <x v="0"/>
    <s v="United States"/>
    <s v="Rochester"/>
    <x v="11"/>
    <n v="55901"/>
    <x v="2"/>
    <s v="OFF-PA-10004040"/>
    <x v="1"/>
    <x v="10"/>
    <x v="95"/>
    <n v="23.92"/>
  </r>
  <r>
    <n v="104"/>
    <s v="US-2016-156867"/>
    <d v="2016-11-13T00:00:00"/>
    <x v="49"/>
    <s v="FAST"/>
    <s v="Standard Class"/>
    <s v="LC-16870"/>
    <s v="Lena Cacioppo"/>
    <x v="0"/>
    <s v="United States"/>
    <s v="Aurora"/>
    <x v="22"/>
    <n v="80013"/>
    <x v="1"/>
    <s v="TEC-AC-10001552"/>
    <x v="2"/>
    <x v="11"/>
    <x v="96"/>
    <n v="238.89599999999999"/>
  </r>
  <r>
    <n v="105"/>
    <s v="US-2016-156867"/>
    <d v="2016-11-13T00:00:00"/>
    <x v="49"/>
    <s v="FAST"/>
    <s v="Standard Class"/>
    <s v="LC-16870"/>
    <s v="Lena Cacioppo"/>
    <x v="0"/>
    <s v="United States"/>
    <s v="Aurora"/>
    <x v="22"/>
    <n v="80013"/>
    <x v="1"/>
    <s v="FUR-FU-10004006"/>
    <x v="0"/>
    <x v="5"/>
    <x v="97"/>
    <n v="102.36"/>
  </r>
  <r>
    <n v="106"/>
    <s v="US-2016-156867"/>
    <d v="2016-11-13T00:00:00"/>
    <x v="49"/>
    <s v="FAST"/>
    <s v="Standard Class"/>
    <s v="LC-16870"/>
    <s v="Lena Cacioppo"/>
    <x v="0"/>
    <s v="United States"/>
    <s v="Aurora"/>
    <x v="22"/>
    <n v="80013"/>
    <x v="1"/>
    <s v="OFF-BI-10002794"/>
    <x v="1"/>
    <x v="8"/>
    <x v="98"/>
    <n v="36.881999999999998"/>
  </r>
  <r>
    <n v="107"/>
    <s v="CA-2018-119004"/>
    <d v="2018-11-23T00:00:00"/>
    <x v="50"/>
    <s v="FAST"/>
    <s v="Standard Class"/>
    <s v="JM-15250"/>
    <s v="Janet Martin"/>
    <x v="0"/>
    <s v="United States"/>
    <s v="Charlotte"/>
    <x v="3"/>
    <n v="28205"/>
    <x v="0"/>
    <s v="TEC-AC-10003499"/>
    <x v="2"/>
    <x v="11"/>
    <x v="99"/>
    <n v="74.111999999999995"/>
  </r>
  <r>
    <n v="108"/>
    <s v="CA-2018-119004"/>
    <d v="2018-11-23T00:00:00"/>
    <x v="50"/>
    <s v="FAST"/>
    <s v="Standard Class"/>
    <s v="JM-15250"/>
    <s v="Janet Martin"/>
    <x v="0"/>
    <s v="United States"/>
    <s v="Charlotte"/>
    <x v="3"/>
    <n v="28205"/>
    <x v="0"/>
    <s v="TEC-PH-10002844"/>
    <x v="2"/>
    <x v="7"/>
    <x v="100"/>
    <n v="27.992000000000001"/>
  </r>
  <r>
    <n v="109"/>
    <s v="CA-2018-119004"/>
    <d v="2018-11-23T00:00:00"/>
    <x v="50"/>
    <s v="FAST"/>
    <s v="Standard Class"/>
    <s v="JM-15250"/>
    <s v="Janet Martin"/>
    <x v="0"/>
    <s v="United States"/>
    <s v="Charlotte"/>
    <x v="3"/>
    <n v="28205"/>
    <x v="0"/>
    <s v="OFF-AR-10000390"/>
    <x v="1"/>
    <x v="6"/>
    <x v="101"/>
    <n v="3.3039999999999998"/>
  </r>
  <r>
    <n v="110"/>
    <s v="CA-2016-129476"/>
    <d v="2016-10-15T00:00:00"/>
    <x v="51"/>
    <s v="FAST"/>
    <s v="Standard Class"/>
    <s v="PA-19060"/>
    <s v="Pete Armstrong"/>
    <x v="2"/>
    <s v="United States"/>
    <s v="Orland Park"/>
    <x v="10"/>
    <n v="60462"/>
    <x v="2"/>
    <s v="TEC-AC-10000844"/>
    <x v="2"/>
    <x v="11"/>
    <x v="102"/>
    <n v="339.96"/>
  </r>
  <r>
    <n v="111"/>
    <s v="CA-2018-146780"/>
    <d v="2018-12-25T00:00:00"/>
    <x v="52"/>
    <s v="FAST"/>
    <s v="Standard Class"/>
    <s v="CV-12805"/>
    <s v="Cynthia Voltz"/>
    <x v="1"/>
    <s v="United States"/>
    <s v="New York City"/>
    <x v="15"/>
    <n v="10035"/>
    <x v="3"/>
    <s v="FUR-FU-10001934"/>
    <x v="0"/>
    <x v="5"/>
    <x v="103"/>
    <n v="41.96"/>
  </r>
  <r>
    <n v="112"/>
    <s v="CA-2017-128867"/>
    <d v="2017-11-03T00:00:00"/>
    <x v="53"/>
    <s v="FAST"/>
    <s v="Standard Class"/>
    <s v="CL-12565"/>
    <s v="Clay Ludtke"/>
    <x v="0"/>
    <s v="United States"/>
    <s v="Urbandale"/>
    <x v="23"/>
    <n v="50322"/>
    <x v="2"/>
    <s v="OFF-AR-10000380"/>
    <x v="1"/>
    <x v="6"/>
    <x v="104"/>
    <n v="75.959999999999994"/>
  </r>
  <r>
    <n v="113"/>
    <s v="CA-2017-128867"/>
    <d v="2017-11-03T00:00:00"/>
    <x v="53"/>
    <s v="FAST"/>
    <s v="Standard Class"/>
    <s v="CL-12565"/>
    <s v="Clay Ludtke"/>
    <x v="0"/>
    <s v="United States"/>
    <s v="Urbandale"/>
    <x v="23"/>
    <n v="50322"/>
    <x v="2"/>
    <s v="OFF-BI-10003981"/>
    <x v="1"/>
    <x v="8"/>
    <x v="105"/>
    <n v="27.24"/>
  </r>
  <r>
    <n v="114"/>
    <s v="CA-2015-115259"/>
    <d v="2015-08-25T00:00:00"/>
    <x v="54"/>
    <s v="SLOW"/>
    <s v="Second Class"/>
    <s v="RC-19960"/>
    <s v="Ryan Crowe"/>
    <x v="0"/>
    <s v="United States"/>
    <s v="Columbus"/>
    <x v="24"/>
    <n v="43229"/>
    <x v="3"/>
    <s v="OFF-FA-10000621"/>
    <x v="1"/>
    <x v="13"/>
    <x v="106"/>
    <n v="40.095999999999997"/>
  </r>
  <r>
    <n v="115"/>
    <s v="CA-2015-115259"/>
    <d v="2015-08-25T00:00:00"/>
    <x v="54"/>
    <s v="SLOW"/>
    <s v="Second Class"/>
    <s v="RC-19960"/>
    <s v="Ryan Crowe"/>
    <x v="0"/>
    <s v="United States"/>
    <s v="Columbus"/>
    <x v="24"/>
    <n v="43229"/>
    <x v="3"/>
    <s v="OFF-EN-10002600"/>
    <x v="1"/>
    <x v="12"/>
    <x v="107"/>
    <n v="4.72"/>
  </r>
  <r>
    <n v="116"/>
    <s v="CA-2015-115259"/>
    <d v="2015-08-25T00:00:00"/>
    <x v="54"/>
    <s v="SLOW"/>
    <s v="Second Class"/>
    <s v="RC-19960"/>
    <s v="Ryan Crowe"/>
    <x v="0"/>
    <s v="United States"/>
    <s v="Columbus"/>
    <x v="24"/>
    <n v="43229"/>
    <x v="3"/>
    <s v="OFF-PA-10004965"/>
    <x v="1"/>
    <x v="10"/>
    <x v="108"/>
    <n v="23.975999999999999"/>
  </r>
  <r>
    <n v="117"/>
    <s v="CA-2015-115259"/>
    <d v="2015-08-25T00:00:00"/>
    <x v="54"/>
    <s v="SLOW"/>
    <s v="Second Class"/>
    <s v="RC-19960"/>
    <s v="Ryan Crowe"/>
    <x v="0"/>
    <s v="United States"/>
    <s v="Columbus"/>
    <x v="24"/>
    <n v="43229"/>
    <x v="3"/>
    <s v="OFF-EN-10002504"/>
    <x v="1"/>
    <x v="12"/>
    <x v="109"/>
    <n v="130.464"/>
  </r>
  <r>
    <n v="118"/>
    <s v="CA-2016-110457"/>
    <d v="2016-03-02T00:00:00"/>
    <x v="55"/>
    <s v="FAST"/>
    <s v="Standard Class"/>
    <s v="DK-13090"/>
    <s v="Dave Kipp"/>
    <x v="0"/>
    <s v="United States"/>
    <s v="Seattle"/>
    <x v="4"/>
    <n v="98103"/>
    <x v="1"/>
    <s v="FUR-TA-10001768"/>
    <x v="0"/>
    <x v="3"/>
    <x v="110"/>
    <n v="787.53"/>
  </r>
  <r>
    <n v="119"/>
    <s v="US-2016-136476"/>
    <d v="2016-04-05T00:00:00"/>
    <x v="56"/>
    <s v="FAST"/>
    <s v="Standard Class"/>
    <s v="GG-14650"/>
    <s v="Greg Guthrie"/>
    <x v="1"/>
    <s v="United States"/>
    <s v="Bristol"/>
    <x v="18"/>
    <n v="37620"/>
    <x v="0"/>
    <s v="OFF-BI-10003650"/>
    <x v="1"/>
    <x v="8"/>
    <x v="111"/>
    <n v="157.79400000000001"/>
  </r>
  <r>
    <n v="120"/>
    <s v="CA-2017-103730"/>
    <d v="2017-06-12T00:00:00"/>
    <x v="35"/>
    <s v="MODERATE"/>
    <s v="First Class"/>
    <s v="SC-20725"/>
    <s v="Steven Cartwright"/>
    <x v="0"/>
    <s v="United States"/>
    <s v="Wilmington"/>
    <x v="13"/>
    <n v="19805"/>
    <x v="3"/>
    <s v="FUR-FU-10002157"/>
    <x v="0"/>
    <x v="5"/>
    <x v="112"/>
    <n v="47.04"/>
  </r>
  <r>
    <n v="121"/>
    <s v="CA-2017-103730"/>
    <d v="2017-06-12T00:00:00"/>
    <x v="35"/>
    <s v="MODERATE"/>
    <s v="First Class"/>
    <s v="SC-20725"/>
    <s v="Steven Cartwright"/>
    <x v="0"/>
    <s v="United States"/>
    <s v="Wilmington"/>
    <x v="13"/>
    <n v="19805"/>
    <x v="3"/>
    <s v="OFF-BI-10003910"/>
    <x v="1"/>
    <x v="8"/>
    <x v="8"/>
    <n v="30.84"/>
  </r>
  <r>
    <n v="122"/>
    <s v="CA-2017-103730"/>
    <d v="2017-06-12T00:00:00"/>
    <x v="35"/>
    <s v="MODERATE"/>
    <s v="First Class"/>
    <s v="SC-20725"/>
    <s v="Steven Cartwright"/>
    <x v="0"/>
    <s v="United States"/>
    <s v="Wilmington"/>
    <x v="13"/>
    <n v="19805"/>
    <x v="3"/>
    <s v="OFF-ST-10000777"/>
    <x v="1"/>
    <x v="4"/>
    <x v="113"/>
    <n v="226.56"/>
  </r>
  <r>
    <n v="123"/>
    <s v="CA-2017-103730"/>
    <d v="2017-06-12T00:00:00"/>
    <x v="35"/>
    <s v="MODERATE"/>
    <s v="First Class"/>
    <s v="SC-20725"/>
    <s v="Steven Cartwright"/>
    <x v="0"/>
    <s v="United States"/>
    <s v="Wilmington"/>
    <x v="13"/>
    <n v="19805"/>
    <x v="3"/>
    <s v="OFF-EN-10002500"/>
    <x v="1"/>
    <x v="12"/>
    <x v="114"/>
    <n v="115.02"/>
  </r>
  <r>
    <n v="124"/>
    <s v="CA-2017-103730"/>
    <d v="2017-06-12T00:00:00"/>
    <x v="35"/>
    <s v="MODERATE"/>
    <s v="First Class"/>
    <s v="SC-20725"/>
    <s v="Steven Cartwright"/>
    <x v="0"/>
    <s v="United States"/>
    <s v="Wilmington"/>
    <x v="13"/>
    <n v="19805"/>
    <x v="3"/>
    <s v="TEC-PH-10003875"/>
    <x v="2"/>
    <x v="7"/>
    <x v="115"/>
    <n v="68.040000000000006"/>
  </r>
  <r>
    <n v="125"/>
    <s v="US-2015-152030"/>
    <d v="2015-12-26T00:00:00"/>
    <x v="57"/>
    <s v="SLOW"/>
    <s v="Second Class"/>
    <s v="AD-10180"/>
    <s v="Alan Dominguez"/>
    <x v="2"/>
    <s v="United States"/>
    <s v="Houston"/>
    <x v="5"/>
    <n v="77041"/>
    <x v="2"/>
    <s v="FUR-CH-10004063"/>
    <x v="0"/>
    <x v="1"/>
    <x v="116"/>
    <n v="600.55799999999999"/>
  </r>
  <r>
    <n v="126"/>
    <s v="US-2015-134614"/>
    <d v="2015-09-20T00:00:00"/>
    <x v="58"/>
    <s v="FAST"/>
    <s v="Standard Class"/>
    <s v="PF-19165"/>
    <s v="Philip Fox"/>
    <x v="0"/>
    <s v="United States"/>
    <s v="Bloomington"/>
    <x v="10"/>
    <n v="61701"/>
    <x v="2"/>
    <s v="FUR-TA-10004534"/>
    <x v="0"/>
    <x v="3"/>
    <x v="117"/>
    <n v="617.70000000000005"/>
  </r>
  <r>
    <n v="127"/>
    <s v="US-2018-107272"/>
    <d v="2018-11-05T00:00:00"/>
    <x v="44"/>
    <s v="FAST"/>
    <s v="Standard Class"/>
    <s v="TS-21610"/>
    <s v="Troy Staebel"/>
    <x v="0"/>
    <s v="United States"/>
    <s v="Phoenix"/>
    <x v="16"/>
    <n v="85023"/>
    <x v="1"/>
    <s v="OFF-BI-10003274"/>
    <x v="1"/>
    <x v="8"/>
    <x v="118"/>
    <n v="2.3879999999999999"/>
  </r>
  <r>
    <n v="128"/>
    <s v="US-2018-107272"/>
    <d v="2018-11-05T00:00:00"/>
    <x v="44"/>
    <s v="FAST"/>
    <s v="Standard Class"/>
    <s v="TS-21610"/>
    <s v="Troy Staebel"/>
    <x v="0"/>
    <s v="United States"/>
    <s v="Phoenix"/>
    <x v="16"/>
    <n v="85023"/>
    <x v="1"/>
    <s v="OFF-ST-10002974"/>
    <x v="1"/>
    <x v="4"/>
    <x v="119"/>
    <n v="243.99199999999999"/>
  </r>
  <r>
    <n v="129"/>
    <s v="US-2017-125969"/>
    <d v="2017-11-06T00:00:00"/>
    <x v="53"/>
    <s v="SLOW"/>
    <s v="Second Class"/>
    <s v="LS-16975"/>
    <s v="Lindsay Shagiari"/>
    <x v="2"/>
    <s v="United States"/>
    <s v="Los Angeles"/>
    <x v="1"/>
    <n v="90004"/>
    <x v="1"/>
    <s v="FUR-CH-10001146"/>
    <x v="0"/>
    <x v="1"/>
    <x v="120"/>
    <n v="81.424000000000007"/>
  </r>
  <r>
    <n v="130"/>
    <s v="US-2017-125969"/>
    <d v="2017-11-06T00:00:00"/>
    <x v="53"/>
    <s v="SLOW"/>
    <s v="Second Class"/>
    <s v="LS-16975"/>
    <s v="Lindsay Shagiari"/>
    <x v="2"/>
    <s v="United States"/>
    <s v="Los Angeles"/>
    <x v="1"/>
    <n v="90004"/>
    <x v="1"/>
    <s v="FUR-FU-10003773"/>
    <x v="0"/>
    <x v="5"/>
    <x v="121"/>
    <n v="238.56"/>
  </r>
  <r>
    <n v="131"/>
    <s v="US-2018-164147"/>
    <d v="2018-02-02T00:00:00"/>
    <x v="59"/>
    <s v="MODERATE"/>
    <s v="First Class"/>
    <s v="DW-13585"/>
    <s v="Dorothy Wardle"/>
    <x v="1"/>
    <s v="United States"/>
    <s v="Columbus"/>
    <x v="24"/>
    <n v="43229"/>
    <x v="3"/>
    <s v="TEC-PH-10002293"/>
    <x v="2"/>
    <x v="7"/>
    <x v="122"/>
    <n v="59.97"/>
  </r>
  <r>
    <n v="132"/>
    <s v="US-2018-164147"/>
    <d v="2018-02-02T00:00:00"/>
    <x v="59"/>
    <s v="MODERATE"/>
    <s v="First Class"/>
    <s v="DW-13585"/>
    <s v="Dorothy Wardle"/>
    <x v="1"/>
    <s v="United States"/>
    <s v="Columbus"/>
    <x v="24"/>
    <n v="43229"/>
    <x v="3"/>
    <s v="OFF-PA-10002377"/>
    <x v="1"/>
    <x v="10"/>
    <x v="123"/>
    <n v="78.304000000000002"/>
  </r>
  <r>
    <n v="133"/>
    <s v="US-2018-164147"/>
    <d v="2018-02-02T00:00:00"/>
    <x v="59"/>
    <s v="MODERATE"/>
    <s v="First Class"/>
    <s v="DW-13585"/>
    <s v="Dorothy Wardle"/>
    <x v="1"/>
    <s v="United States"/>
    <s v="Columbus"/>
    <x v="24"/>
    <n v="43229"/>
    <x v="3"/>
    <s v="OFF-FA-10002780"/>
    <x v="1"/>
    <x v="13"/>
    <x v="124"/>
    <n v="21.456"/>
  </r>
  <r>
    <n v="134"/>
    <s v="CA-2017-145583"/>
    <d v="2017-10-13T00:00:00"/>
    <x v="60"/>
    <s v="FAST"/>
    <s v="Standard Class"/>
    <s v="LC-16885"/>
    <s v="Lena Creighton"/>
    <x v="0"/>
    <s v="United States"/>
    <s v="Roseville"/>
    <x v="1"/>
    <n v="95661"/>
    <x v="1"/>
    <s v="OFF-PA-10001804"/>
    <x v="1"/>
    <x v="10"/>
    <x v="125"/>
    <n v="20.04"/>
  </r>
  <r>
    <n v="135"/>
    <s v="CA-2017-145583"/>
    <d v="2017-10-13T00:00:00"/>
    <x v="60"/>
    <s v="FAST"/>
    <s v="Standard Class"/>
    <s v="LC-16885"/>
    <s v="Lena Creighton"/>
    <x v="0"/>
    <s v="United States"/>
    <s v="Roseville"/>
    <x v="1"/>
    <n v="95661"/>
    <x v="1"/>
    <s v="OFF-PA-10001736"/>
    <x v="1"/>
    <x v="10"/>
    <x v="126"/>
    <n v="35.44"/>
  </r>
  <r>
    <n v="136"/>
    <s v="CA-2017-145583"/>
    <d v="2017-10-13T00:00:00"/>
    <x v="60"/>
    <s v="FAST"/>
    <s v="Standard Class"/>
    <s v="LC-16885"/>
    <s v="Lena Creighton"/>
    <x v="0"/>
    <s v="United States"/>
    <s v="Roseville"/>
    <x v="1"/>
    <n v="95661"/>
    <x v="1"/>
    <s v="OFF-AR-10001149"/>
    <x v="1"/>
    <x v="6"/>
    <x v="127"/>
    <n v="11.52"/>
  </r>
  <r>
    <n v="137"/>
    <s v="CA-2017-145583"/>
    <d v="2017-10-13T00:00:00"/>
    <x v="60"/>
    <s v="FAST"/>
    <s v="Standard Class"/>
    <s v="LC-16885"/>
    <s v="Lena Creighton"/>
    <x v="0"/>
    <s v="United States"/>
    <s v="Roseville"/>
    <x v="1"/>
    <n v="95661"/>
    <x v="1"/>
    <s v="OFF-FA-10002988"/>
    <x v="1"/>
    <x v="13"/>
    <x v="128"/>
    <n v="4.0199999999999996"/>
  </r>
  <r>
    <n v="138"/>
    <s v="CA-2017-145583"/>
    <d v="2017-10-13T00:00:00"/>
    <x v="60"/>
    <s v="FAST"/>
    <s v="Standard Class"/>
    <s v="LC-16885"/>
    <s v="Lena Creighton"/>
    <x v="0"/>
    <s v="United States"/>
    <s v="Roseville"/>
    <x v="1"/>
    <n v="95661"/>
    <x v="1"/>
    <s v="OFF-BI-10004781"/>
    <x v="1"/>
    <x v="8"/>
    <x v="129"/>
    <n v="76.176000000000002"/>
  </r>
  <r>
    <n v="139"/>
    <s v="CA-2017-145583"/>
    <d v="2017-10-13T00:00:00"/>
    <x v="60"/>
    <s v="FAST"/>
    <s v="Standard Class"/>
    <s v="LC-16885"/>
    <s v="Lena Creighton"/>
    <x v="0"/>
    <s v="United States"/>
    <s v="Roseville"/>
    <x v="1"/>
    <n v="95661"/>
    <x v="1"/>
    <s v="OFF-SU-10001218"/>
    <x v="1"/>
    <x v="14"/>
    <x v="130"/>
    <n v="65.88"/>
  </r>
  <r>
    <n v="140"/>
    <s v="CA-2017-145583"/>
    <d v="2017-10-13T00:00:00"/>
    <x v="60"/>
    <s v="FAST"/>
    <s v="Standard Class"/>
    <s v="LC-16885"/>
    <s v="Lena Creighton"/>
    <x v="0"/>
    <s v="United States"/>
    <s v="Roseville"/>
    <x v="1"/>
    <n v="95661"/>
    <x v="1"/>
    <s v="FUR-FU-10001706"/>
    <x v="0"/>
    <x v="5"/>
    <x v="49"/>
    <n v="43.12"/>
  </r>
  <r>
    <n v="141"/>
    <s v="CA-2017-110366"/>
    <d v="2017-09-05T00:00:00"/>
    <x v="61"/>
    <s v="SLOW"/>
    <s v="Second Class"/>
    <s v="JD-15895"/>
    <s v="Jonathan Doherty"/>
    <x v="1"/>
    <s v="United States"/>
    <s v="Philadelphia"/>
    <x v="9"/>
    <n v="19140"/>
    <x v="3"/>
    <s v="FUR-FU-10004848"/>
    <x v="0"/>
    <x v="5"/>
    <x v="28"/>
    <n v="82.8"/>
  </r>
  <r>
    <n v="142"/>
    <s v="CA-2018-106180"/>
    <d v="2018-09-18T00:00:00"/>
    <x v="19"/>
    <s v="FAST"/>
    <s v="Standard Class"/>
    <s v="SH-19975"/>
    <s v="Sally Hughsby"/>
    <x v="1"/>
    <s v="United States"/>
    <s v="San Francisco"/>
    <x v="1"/>
    <n v="94122"/>
    <x v="1"/>
    <s v="OFF-AR-10000940"/>
    <x v="1"/>
    <x v="6"/>
    <x v="131"/>
    <n v="8.82"/>
  </r>
  <r>
    <n v="143"/>
    <s v="CA-2018-106180"/>
    <d v="2018-09-18T00:00:00"/>
    <x v="19"/>
    <s v="FAST"/>
    <s v="Standard Class"/>
    <s v="SH-19975"/>
    <s v="Sally Hughsby"/>
    <x v="1"/>
    <s v="United States"/>
    <s v="San Francisco"/>
    <x v="1"/>
    <n v="94122"/>
    <x v="1"/>
    <s v="OFF-EN-10004030"/>
    <x v="1"/>
    <x v="12"/>
    <x v="132"/>
    <n v="10.86"/>
  </r>
  <r>
    <n v="144"/>
    <s v="CA-2018-106180"/>
    <d v="2018-09-18T00:00:00"/>
    <x v="19"/>
    <s v="FAST"/>
    <s v="Standard Class"/>
    <s v="SH-19975"/>
    <s v="Sally Hughsby"/>
    <x v="1"/>
    <s v="United States"/>
    <s v="San Francisco"/>
    <x v="1"/>
    <n v="94122"/>
    <x v="1"/>
    <s v="OFF-PA-10004327"/>
    <x v="1"/>
    <x v="10"/>
    <x v="133"/>
    <n v="143.69999999999999"/>
  </r>
  <r>
    <n v="145"/>
    <s v="CA-2018-155376"/>
    <d v="2018-12-22T00:00:00"/>
    <x v="62"/>
    <s v="FAST"/>
    <s v="Standard Class"/>
    <s v="SG-20080"/>
    <s v="Sandra Glassco"/>
    <x v="0"/>
    <s v="United States"/>
    <s v="Independence"/>
    <x v="25"/>
    <n v="64055"/>
    <x v="2"/>
    <s v="OFF-AP-10001058"/>
    <x v="1"/>
    <x v="9"/>
    <x v="134"/>
    <n v="839.43"/>
  </r>
  <r>
    <n v="146"/>
    <s v="CA-2016-110744"/>
    <d v="2016-09-07T00:00:00"/>
    <x v="63"/>
    <s v="FAST"/>
    <s v="Standard Class"/>
    <s v="HA-14920"/>
    <s v="Helen Andreada"/>
    <x v="0"/>
    <s v="United States"/>
    <s v="Pasadena"/>
    <x v="1"/>
    <n v="91104"/>
    <x v="1"/>
    <s v="OFF-ST-10003656"/>
    <x v="1"/>
    <x v="4"/>
    <x v="79"/>
    <n v="671.93"/>
  </r>
  <r>
    <n v="147"/>
    <s v="CA-2015-110072"/>
    <d v="2015-10-22T00:00:00"/>
    <x v="64"/>
    <s v="FAST"/>
    <s v="Standard Class"/>
    <s v="MG-17680"/>
    <s v="Maureen Gastineau"/>
    <x v="2"/>
    <s v="United States"/>
    <s v="Newark"/>
    <x v="24"/>
    <n v="43055"/>
    <x v="3"/>
    <s v="FUR-FU-10000521"/>
    <x v="0"/>
    <x v="5"/>
    <x v="135"/>
    <n v="93.888000000000005"/>
  </r>
  <r>
    <n v="148"/>
    <s v="CA-2017-114489"/>
    <d v="2017-12-05T00:00:00"/>
    <x v="65"/>
    <s v="FAST"/>
    <s v="Standard Class"/>
    <s v="JE-16165"/>
    <s v="Justin Ellison"/>
    <x v="1"/>
    <s v="United States"/>
    <s v="Franklin"/>
    <x v="6"/>
    <n v="53132"/>
    <x v="2"/>
    <s v="TEC-PH-10000215"/>
    <x v="2"/>
    <x v="7"/>
    <x v="136"/>
    <n v="384.45"/>
  </r>
  <r>
    <n v="149"/>
    <s v="CA-2017-114489"/>
    <d v="2017-12-05T00:00:00"/>
    <x v="65"/>
    <s v="FAST"/>
    <s v="Standard Class"/>
    <s v="JE-16165"/>
    <s v="Justin Ellison"/>
    <x v="1"/>
    <s v="United States"/>
    <s v="Franklin"/>
    <x v="6"/>
    <n v="53132"/>
    <x v="2"/>
    <s v="TEC-PH-10001448"/>
    <x v="2"/>
    <x v="7"/>
    <x v="137"/>
    <n v="149.97"/>
  </r>
  <r>
    <n v="150"/>
    <s v="CA-2017-114489"/>
    <d v="2017-12-05T00:00:00"/>
    <x v="65"/>
    <s v="FAST"/>
    <s v="Standard Class"/>
    <s v="JE-16165"/>
    <s v="Justin Ellison"/>
    <x v="1"/>
    <s v="United States"/>
    <s v="Franklin"/>
    <x v="6"/>
    <n v="53132"/>
    <x v="2"/>
    <s v="FUR-CH-10000454"/>
    <x v="0"/>
    <x v="1"/>
    <x v="1"/>
    <n v="1951.84"/>
  </r>
  <r>
    <n v="151"/>
    <s v="CA-2017-114489"/>
    <d v="2017-12-05T00:00:00"/>
    <x v="65"/>
    <s v="FAST"/>
    <s v="Standard Class"/>
    <s v="JE-16165"/>
    <s v="Justin Ellison"/>
    <x v="1"/>
    <s v="United States"/>
    <s v="Franklin"/>
    <x v="6"/>
    <n v="53132"/>
    <x v="2"/>
    <s v="OFF-BI-10002735"/>
    <x v="1"/>
    <x v="8"/>
    <x v="138"/>
    <n v="171.55"/>
  </r>
  <r>
    <n v="152"/>
    <s v="CA-2017-158834"/>
    <d v="2017-03-13T00:00:00"/>
    <x v="66"/>
    <s v="MODERATE"/>
    <s v="First Class"/>
    <s v="TW-21025"/>
    <s v="Tamara Willingham"/>
    <x v="2"/>
    <s v="United States"/>
    <s v="Scottsdale"/>
    <x v="16"/>
    <n v="85254"/>
    <x v="1"/>
    <s v="OFF-AP-10000326"/>
    <x v="1"/>
    <x v="9"/>
    <x v="139"/>
    <n v="157.91999999999999"/>
  </r>
  <r>
    <n v="153"/>
    <s v="CA-2017-158834"/>
    <d v="2017-03-13T00:00:00"/>
    <x v="66"/>
    <s v="MODERATE"/>
    <s v="First Class"/>
    <s v="TW-21025"/>
    <s v="Tamara Willingham"/>
    <x v="2"/>
    <s v="United States"/>
    <s v="Scottsdale"/>
    <x v="16"/>
    <n v="85254"/>
    <x v="1"/>
    <s v="TEC-PH-10001254"/>
    <x v="2"/>
    <x v="7"/>
    <x v="140"/>
    <n v="203.184"/>
  </r>
  <r>
    <n v="154"/>
    <s v="CA-2016-124919"/>
    <d v="2016-05-31T00:00:00"/>
    <x v="67"/>
    <s v="MODERATE"/>
    <s v="First Class"/>
    <s v="SP-20650"/>
    <s v="Stephanie Phelps"/>
    <x v="1"/>
    <s v="United States"/>
    <s v="San Jose"/>
    <x v="1"/>
    <n v="95123"/>
    <x v="1"/>
    <s v="OFF-PA-10001950"/>
    <x v="1"/>
    <x v="10"/>
    <x v="141"/>
    <n v="58.38"/>
  </r>
  <r>
    <n v="155"/>
    <s v="CA-2016-124919"/>
    <d v="2016-05-31T00:00:00"/>
    <x v="67"/>
    <s v="MODERATE"/>
    <s v="First Class"/>
    <s v="SP-20650"/>
    <s v="Stephanie Phelps"/>
    <x v="1"/>
    <s v="United States"/>
    <s v="San Jose"/>
    <x v="1"/>
    <n v="95123"/>
    <x v="1"/>
    <s v="OFF-PA-10002254"/>
    <x v="1"/>
    <x v="10"/>
    <x v="142"/>
    <n v="105.52"/>
  </r>
  <r>
    <n v="156"/>
    <s v="CA-2016-124919"/>
    <d v="2016-05-31T00:00:00"/>
    <x v="67"/>
    <s v="MODERATE"/>
    <s v="First Class"/>
    <s v="SP-20650"/>
    <s v="Stephanie Phelps"/>
    <x v="1"/>
    <s v="United States"/>
    <s v="San Jose"/>
    <x v="1"/>
    <n v="95123"/>
    <x v="1"/>
    <s v="OFF-ST-10001590"/>
    <x v="1"/>
    <x v="4"/>
    <x v="143"/>
    <n v="80.88"/>
  </r>
  <r>
    <n v="157"/>
    <s v="CA-2016-118948"/>
    <d v="2016-05-28T00:00:00"/>
    <x v="68"/>
    <s v="FAST"/>
    <s v="Standard Class"/>
    <s v="NK-18490"/>
    <s v="Neil Knudson"/>
    <x v="2"/>
    <s v="United States"/>
    <s v="Seattle"/>
    <x v="4"/>
    <n v="98105"/>
    <x v="1"/>
    <s v="OFF-AR-10001547"/>
    <x v="1"/>
    <x v="6"/>
    <x v="144"/>
    <n v="6.63"/>
  </r>
  <r>
    <n v="158"/>
    <s v="CA-2015-104269"/>
    <d v="2015-03-01T00:00:00"/>
    <x v="69"/>
    <s v="SLOW"/>
    <s v="Second Class"/>
    <s v="DB-13060"/>
    <s v="Dave Brooks"/>
    <x v="0"/>
    <s v="United States"/>
    <s v="Seattle"/>
    <x v="4"/>
    <n v="98115"/>
    <x v="1"/>
    <s v="FUR-CH-10004063"/>
    <x v="0"/>
    <x v="1"/>
    <x v="116"/>
    <n v="457.56799999999998"/>
  </r>
  <r>
    <n v="159"/>
    <s v="CA-2017-114104"/>
    <d v="2017-11-20T00:00:00"/>
    <x v="70"/>
    <s v="FAST"/>
    <s v="Standard Class"/>
    <s v="NP-18670"/>
    <s v="Nora Paige"/>
    <x v="0"/>
    <s v="United States"/>
    <s v="Edmond"/>
    <x v="26"/>
    <n v="73034"/>
    <x v="2"/>
    <s v="OFF-LA-10002475"/>
    <x v="1"/>
    <x v="2"/>
    <x v="145"/>
    <n v="14.62"/>
  </r>
  <r>
    <n v="160"/>
    <s v="CA-2017-114104"/>
    <d v="2017-11-20T00:00:00"/>
    <x v="70"/>
    <s v="FAST"/>
    <s v="Standard Class"/>
    <s v="NP-18670"/>
    <s v="Nora Paige"/>
    <x v="0"/>
    <s v="United States"/>
    <s v="Edmond"/>
    <x v="26"/>
    <n v="73034"/>
    <x v="2"/>
    <s v="TEC-PH-10004536"/>
    <x v="2"/>
    <x v="7"/>
    <x v="146"/>
    <n v="944.93"/>
  </r>
  <r>
    <n v="161"/>
    <s v="CA-2017-162733"/>
    <d v="2017-05-11T00:00:00"/>
    <x v="71"/>
    <s v="MODERATE"/>
    <s v="First Class"/>
    <s v="TT-21070"/>
    <s v="Ted Trevino"/>
    <x v="0"/>
    <s v="United States"/>
    <s v="Los Angeles"/>
    <x v="1"/>
    <n v="90045"/>
    <x v="1"/>
    <s v="OFF-PA-10002751"/>
    <x v="1"/>
    <x v="10"/>
    <x v="147"/>
    <n v="5.98"/>
  </r>
  <r>
    <n v="162"/>
    <s v="CA-2016-119697"/>
    <d v="2016-12-28T00:00:00"/>
    <x v="16"/>
    <s v="SLOW"/>
    <s v="Second Class"/>
    <s v="EM-13960"/>
    <s v="Eric Murdock"/>
    <x v="0"/>
    <s v="United States"/>
    <s v="Philadelphia"/>
    <x v="9"/>
    <n v="19134"/>
    <x v="3"/>
    <s v="TEC-AC-10003657"/>
    <x v="2"/>
    <x v="11"/>
    <x v="148"/>
    <n v="54.384"/>
  </r>
  <r>
    <n v="163"/>
    <s v="CA-2017-154508"/>
    <d v="2017-11-16T00:00:00"/>
    <x v="72"/>
    <s v="FAST"/>
    <s v="Standard Class"/>
    <s v="RD-19900"/>
    <s v="Ruben Dartt"/>
    <x v="0"/>
    <s v="United States"/>
    <s v="Carlsbad"/>
    <x v="27"/>
    <n v="88220"/>
    <x v="1"/>
    <s v="OFF-EN-10001990"/>
    <x v="1"/>
    <x v="12"/>
    <x v="149"/>
    <n v="28.4"/>
  </r>
  <r>
    <n v="164"/>
    <s v="CA-2017-113817"/>
    <d v="2017-11-07T00:00:00"/>
    <x v="0"/>
    <s v="FAST"/>
    <s v="Standard Class"/>
    <s v="MJ-17740"/>
    <s v="Max Jones"/>
    <x v="0"/>
    <s v="United States"/>
    <s v="Seattle"/>
    <x v="4"/>
    <n v="98115"/>
    <x v="1"/>
    <s v="OFF-BI-10004002"/>
    <x v="1"/>
    <x v="8"/>
    <x v="150"/>
    <n v="27.68"/>
  </r>
  <r>
    <n v="165"/>
    <s v="CA-2015-139892"/>
    <d v="2015-09-08T00:00:00"/>
    <x v="73"/>
    <s v="FAST"/>
    <s v="Standard Class"/>
    <s v="BM-11140"/>
    <s v="Becky Martin"/>
    <x v="0"/>
    <s v="United States"/>
    <s v="San Antonio"/>
    <x v="5"/>
    <n v="78207"/>
    <x v="2"/>
    <s v="OFF-AR-10004441"/>
    <x v="1"/>
    <x v="6"/>
    <x v="151"/>
    <n v="9.9359999999999999"/>
  </r>
  <r>
    <n v="166"/>
    <s v="CA-2015-139892"/>
    <d v="2015-09-08T00:00:00"/>
    <x v="73"/>
    <s v="FAST"/>
    <s v="Standard Class"/>
    <s v="BM-11140"/>
    <s v="Becky Martin"/>
    <x v="0"/>
    <s v="United States"/>
    <s v="San Antonio"/>
    <x v="5"/>
    <n v="78207"/>
    <x v="2"/>
    <s v="TEC-MA-10000822"/>
    <x v="2"/>
    <x v="15"/>
    <x v="152"/>
    <n v="8159.9520000000002"/>
  </r>
  <r>
    <n v="167"/>
    <s v="CA-2015-139892"/>
    <d v="2015-09-08T00:00:00"/>
    <x v="73"/>
    <s v="FAST"/>
    <s v="Standard Class"/>
    <s v="BM-11140"/>
    <s v="Becky Martin"/>
    <x v="0"/>
    <s v="United States"/>
    <s v="San Antonio"/>
    <x v="5"/>
    <n v="78207"/>
    <x v="2"/>
    <s v="OFF-ST-10000991"/>
    <x v="1"/>
    <x v="4"/>
    <x v="153"/>
    <n v="275.928"/>
  </r>
  <r>
    <n v="168"/>
    <s v="CA-2015-139892"/>
    <d v="2015-09-08T00:00:00"/>
    <x v="73"/>
    <s v="FAST"/>
    <s v="Standard Class"/>
    <s v="BM-11140"/>
    <s v="Becky Martin"/>
    <x v="0"/>
    <s v="United States"/>
    <s v="San Antonio"/>
    <x v="5"/>
    <n v="78207"/>
    <x v="2"/>
    <s v="FUR-CH-10004287"/>
    <x v="0"/>
    <x v="1"/>
    <x v="154"/>
    <n v="1740.06"/>
  </r>
  <r>
    <n v="169"/>
    <s v="CA-2015-139892"/>
    <d v="2015-09-08T00:00:00"/>
    <x v="73"/>
    <s v="FAST"/>
    <s v="Standard Class"/>
    <s v="BM-11140"/>
    <s v="Becky Martin"/>
    <x v="0"/>
    <s v="United States"/>
    <s v="San Antonio"/>
    <x v="5"/>
    <n v="78207"/>
    <x v="2"/>
    <s v="OFF-AR-10002656"/>
    <x v="1"/>
    <x v="6"/>
    <x v="155"/>
    <n v="32.064"/>
  </r>
  <r>
    <n v="170"/>
    <s v="CA-2015-139892"/>
    <d v="2015-09-08T00:00:00"/>
    <x v="73"/>
    <s v="FAST"/>
    <s v="Standard Class"/>
    <s v="BM-11140"/>
    <s v="Becky Martin"/>
    <x v="0"/>
    <s v="United States"/>
    <s v="San Antonio"/>
    <x v="5"/>
    <n v="78207"/>
    <x v="2"/>
    <s v="OFF-AP-10002518"/>
    <x v="1"/>
    <x v="9"/>
    <x v="156"/>
    <n v="177.98"/>
  </r>
  <r>
    <n v="171"/>
    <s v="CA-2015-139892"/>
    <d v="2015-09-08T00:00:00"/>
    <x v="73"/>
    <s v="FAST"/>
    <s v="Standard Class"/>
    <s v="BM-11140"/>
    <s v="Becky Martin"/>
    <x v="0"/>
    <s v="United States"/>
    <s v="San Antonio"/>
    <x v="5"/>
    <n v="78207"/>
    <x v="2"/>
    <s v="TEC-PH-10003931"/>
    <x v="2"/>
    <x v="7"/>
    <x v="157"/>
    <n v="143.976"/>
  </r>
  <r>
    <n v="172"/>
    <s v="CA-2015-118962"/>
    <d v="2015-08-05T00:00:00"/>
    <x v="74"/>
    <s v="FAST"/>
    <s v="Standard Class"/>
    <s v="CS-12130"/>
    <s v="Chad Sievert"/>
    <x v="0"/>
    <s v="United States"/>
    <s v="Los Angeles"/>
    <x v="1"/>
    <n v="90004"/>
    <x v="1"/>
    <s v="OFF-PA-10000659"/>
    <x v="1"/>
    <x v="10"/>
    <x v="158"/>
    <n v="20.94"/>
  </r>
  <r>
    <n v="173"/>
    <s v="CA-2015-118962"/>
    <d v="2015-08-05T00:00:00"/>
    <x v="74"/>
    <s v="FAST"/>
    <s v="Standard Class"/>
    <s v="CS-12130"/>
    <s v="Chad Sievert"/>
    <x v="0"/>
    <s v="United States"/>
    <s v="Los Angeles"/>
    <x v="1"/>
    <n v="90004"/>
    <x v="1"/>
    <s v="OFF-PA-10001144"/>
    <x v="1"/>
    <x v="10"/>
    <x v="159"/>
    <n v="110.96"/>
  </r>
  <r>
    <n v="174"/>
    <s v="CA-2015-118962"/>
    <d v="2015-08-05T00:00:00"/>
    <x v="74"/>
    <s v="FAST"/>
    <s v="Standard Class"/>
    <s v="CS-12130"/>
    <s v="Chad Sievert"/>
    <x v="0"/>
    <s v="United States"/>
    <s v="Los Angeles"/>
    <x v="1"/>
    <n v="90004"/>
    <x v="1"/>
    <s v="FUR-CH-10003817"/>
    <x v="0"/>
    <x v="1"/>
    <x v="160"/>
    <n v="340.14400000000001"/>
  </r>
  <r>
    <n v="175"/>
    <s v="US-2015-100853"/>
    <d v="2015-09-14T00:00:00"/>
    <x v="75"/>
    <s v="FAST"/>
    <s v="Standard Class"/>
    <s v="JB-15400"/>
    <s v="Jennifer Braxton"/>
    <x v="1"/>
    <s v="United States"/>
    <s v="Chicago"/>
    <x v="10"/>
    <n v="60623"/>
    <x v="2"/>
    <s v="OFF-AP-10000891"/>
    <x v="1"/>
    <x v="9"/>
    <x v="161"/>
    <n v="52.448"/>
  </r>
  <r>
    <n v="176"/>
    <s v="US-2015-100853"/>
    <d v="2015-09-14T00:00:00"/>
    <x v="75"/>
    <s v="FAST"/>
    <s v="Standard Class"/>
    <s v="JB-15400"/>
    <s v="Jennifer Braxton"/>
    <x v="1"/>
    <s v="United States"/>
    <s v="Chicago"/>
    <x v="10"/>
    <n v="60623"/>
    <x v="2"/>
    <s v="OFF-LA-10003148"/>
    <x v="1"/>
    <x v="2"/>
    <x v="162"/>
    <n v="20.16"/>
  </r>
  <r>
    <n v="177"/>
    <s v="US-2018-152366"/>
    <d v="2018-04-21T00:00:00"/>
    <x v="76"/>
    <s v="SLOW"/>
    <s v="Second Class"/>
    <s v="SJ-20500"/>
    <s v="Shirley Jackson"/>
    <x v="0"/>
    <s v="United States"/>
    <s v="Houston"/>
    <x v="5"/>
    <n v="77036"/>
    <x v="2"/>
    <s v="OFF-AP-10002684"/>
    <x v="1"/>
    <x v="9"/>
    <x v="163"/>
    <n v="97.263999999999996"/>
  </r>
  <r>
    <n v="178"/>
    <s v="US-2016-101511"/>
    <d v="2016-11-21T00:00:00"/>
    <x v="77"/>
    <s v="SLOW"/>
    <s v="Second Class"/>
    <s v="JE-15745"/>
    <s v="Joel Eaton"/>
    <x v="0"/>
    <s v="United States"/>
    <s v="Newark"/>
    <x v="24"/>
    <n v="43055"/>
    <x v="3"/>
    <s v="FUR-CH-10004698"/>
    <x v="0"/>
    <x v="1"/>
    <x v="164"/>
    <n v="396.80200000000002"/>
  </r>
  <r>
    <n v="179"/>
    <s v="US-2016-101511"/>
    <d v="2016-11-21T00:00:00"/>
    <x v="77"/>
    <s v="SLOW"/>
    <s v="Second Class"/>
    <s v="JE-15745"/>
    <s v="Joel Eaton"/>
    <x v="0"/>
    <s v="United States"/>
    <s v="Newark"/>
    <x v="24"/>
    <n v="43055"/>
    <x v="3"/>
    <s v="OFF-SU-10002189"/>
    <x v="1"/>
    <x v="14"/>
    <x v="165"/>
    <n v="15.88"/>
  </r>
  <r>
    <n v="180"/>
    <s v="CA-2016-137225"/>
    <d v="2016-12-15T00:00:00"/>
    <x v="78"/>
    <s v="FAST"/>
    <s v="Standard Class"/>
    <s v="JK-15640"/>
    <s v="Jim Kriz"/>
    <x v="2"/>
    <s v="United States"/>
    <s v="New York City"/>
    <x v="15"/>
    <n v="10009"/>
    <x v="3"/>
    <s v="OFF-AR-10001940"/>
    <x v="1"/>
    <x v="6"/>
    <x v="166"/>
    <n v="3.28"/>
  </r>
  <r>
    <n v="181"/>
    <s v="CA-2015-166191"/>
    <d v="2015-12-05T00:00:00"/>
    <x v="79"/>
    <s v="SLOW"/>
    <s v="Second Class"/>
    <s v="DK-13150"/>
    <s v="David Kendrick"/>
    <x v="1"/>
    <s v="United States"/>
    <s v="Decatur"/>
    <x v="10"/>
    <n v="62521"/>
    <x v="2"/>
    <s v="OFF-ST-10003455"/>
    <x v="1"/>
    <x v="4"/>
    <x v="167"/>
    <n v="24.815999999999999"/>
  </r>
  <r>
    <n v="182"/>
    <s v="CA-2015-166191"/>
    <d v="2015-12-05T00:00:00"/>
    <x v="79"/>
    <s v="SLOW"/>
    <s v="Second Class"/>
    <s v="DK-13150"/>
    <s v="David Kendrick"/>
    <x v="1"/>
    <s v="United States"/>
    <s v="Decatur"/>
    <x v="10"/>
    <n v="62521"/>
    <x v="2"/>
    <s v="TEC-AC-10004659"/>
    <x v="2"/>
    <x v="11"/>
    <x v="168"/>
    <n v="408.74400000000003"/>
  </r>
  <r>
    <n v="183"/>
    <s v="CA-2015-158274"/>
    <d v="2015-11-19T00:00:00"/>
    <x v="80"/>
    <s v="SLOW"/>
    <s v="Second Class"/>
    <s v="RM-19675"/>
    <s v="Robert Marley"/>
    <x v="2"/>
    <s v="United States"/>
    <s v="Monroe"/>
    <x v="28"/>
    <n v="71203"/>
    <x v="0"/>
    <s v="TEC-PH-10003273"/>
    <x v="2"/>
    <x v="7"/>
    <x v="169"/>
    <n v="503.96"/>
  </r>
  <r>
    <n v="184"/>
    <s v="CA-2015-158274"/>
    <d v="2015-11-19T00:00:00"/>
    <x v="80"/>
    <s v="SLOW"/>
    <s v="Second Class"/>
    <s v="RM-19675"/>
    <s v="Robert Marley"/>
    <x v="2"/>
    <s v="United States"/>
    <s v="Monroe"/>
    <x v="28"/>
    <n v="71203"/>
    <x v="0"/>
    <s v="TEC-PH-10004896"/>
    <x v="2"/>
    <x v="7"/>
    <x v="170"/>
    <n v="149.94999999999999"/>
  </r>
  <r>
    <n v="185"/>
    <s v="CA-2015-158274"/>
    <d v="2015-11-19T00:00:00"/>
    <x v="80"/>
    <s v="SLOW"/>
    <s v="Second Class"/>
    <s v="RM-19675"/>
    <s v="Robert Marley"/>
    <x v="2"/>
    <s v="United States"/>
    <s v="Monroe"/>
    <x v="28"/>
    <n v="71203"/>
    <x v="0"/>
    <s v="TEC-AC-10002345"/>
    <x v="2"/>
    <x v="11"/>
    <x v="171"/>
    <n v="29"/>
  </r>
  <r>
    <n v="186"/>
    <s v="CA-2017-105018"/>
    <d v="2017-11-28T00:00:00"/>
    <x v="81"/>
    <s v="FAST"/>
    <s v="Standard Class"/>
    <s v="SK-19990"/>
    <s v="Sally Knutson"/>
    <x v="0"/>
    <s v="United States"/>
    <s v="Fairfield"/>
    <x v="29"/>
    <n v="6824"/>
    <x v="3"/>
    <s v="OFF-BI-10001890"/>
    <x v="1"/>
    <x v="8"/>
    <x v="172"/>
    <n v="7.16"/>
  </r>
  <r>
    <n v="187"/>
    <s v="CA-2015-123260"/>
    <d v="2015-08-26T00:00:00"/>
    <x v="82"/>
    <s v="FAST"/>
    <s v="Standard Class"/>
    <s v="FM-14290"/>
    <s v="Frank Merwin"/>
    <x v="2"/>
    <s v="United States"/>
    <s v="Los Angeles"/>
    <x v="1"/>
    <n v="90032"/>
    <x v="1"/>
    <s v="TEC-AC-10002323"/>
    <x v="2"/>
    <x v="11"/>
    <x v="173"/>
    <n v="176.8"/>
  </r>
  <r>
    <n v="188"/>
    <s v="CA-2017-157000"/>
    <d v="2017-07-16T00:00:00"/>
    <x v="18"/>
    <s v="FAST"/>
    <s v="Standard Class"/>
    <s v="AM-10360"/>
    <s v="Alice McCarthy"/>
    <x v="1"/>
    <s v="United States"/>
    <s v="Grand Prairie"/>
    <x v="5"/>
    <n v="75051"/>
    <x v="2"/>
    <s v="OFF-ST-10001328"/>
    <x v="1"/>
    <x v="4"/>
    <x v="174"/>
    <n v="37.223999999999997"/>
  </r>
  <r>
    <n v="189"/>
    <s v="CA-2017-157000"/>
    <d v="2017-07-16T00:00:00"/>
    <x v="18"/>
    <s v="FAST"/>
    <s v="Standard Class"/>
    <s v="AM-10360"/>
    <s v="Alice McCarthy"/>
    <x v="1"/>
    <s v="United States"/>
    <s v="Grand Prairie"/>
    <x v="5"/>
    <n v="75051"/>
    <x v="2"/>
    <s v="OFF-PA-10001950"/>
    <x v="1"/>
    <x v="10"/>
    <x v="141"/>
    <n v="20.015999999999998"/>
  </r>
  <r>
    <n v="190"/>
    <s v="CA-2016-102281"/>
    <d v="2016-10-12T00:00:00"/>
    <x v="83"/>
    <s v="MODERATE"/>
    <s v="First Class"/>
    <s v="MP-17470"/>
    <s v="Mark Packer"/>
    <x v="2"/>
    <s v="United States"/>
    <s v="New York City"/>
    <x v="15"/>
    <n v="10035"/>
    <x v="3"/>
    <s v="FUR-BO-10002613"/>
    <x v="0"/>
    <x v="0"/>
    <x v="175"/>
    <n v="899.13599999999997"/>
  </r>
  <r>
    <n v="191"/>
    <s v="CA-2016-102281"/>
    <d v="2016-10-12T00:00:00"/>
    <x v="83"/>
    <s v="MODERATE"/>
    <s v="First Class"/>
    <s v="MP-17470"/>
    <s v="Mark Packer"/>
    <x v="2"/>
    <s v="United States"/>
    <s v="New York City"/>
    <x v="15"/>
    <n v="10035"/>
    <x v="3"/>
    <s v="TEC-PH-10001552"/>
    <x v="2"/>
    <x v="7"/>
    <x v="176"/>
    <n v="71.760000000000005"/>
  </r>
  <r>
    <n v="192"/>
    <s v="CA-2016-102281"/>
    <d v="2016-10-12T00:00:00"/>
    <x v="83"/>
    <s v="MODERATE"/>
    <s v="First Class"/>
    <s v="MP-17470"/>
    <s v="Mark Packer"/>
    <x v="2"/>
    <s v="United States"/>
    <s v="New York City"/>
    <x v="15"/>
    <n v="10035"/>
    <x v="3"/>
    <s v="OFF-PA-10000061"/>
    <x v="1"/>
    <x v="10"/>
    <x v="177"/>
    <n v="51.84"/>
  </r>
  <r>
    <n v="193"/>
    <s v="CA-2016-102281"/>
    <d v="2016-10-12T00:00:00"/>
    <x v="83"/>
    <s v="MODERATE"/>
    <s v="First Class"/>
    <s v="MP-17470"/>
    <s v="Mark Packer"/>
    <x v="2"/>
    <s v="United States"/>
    <s v="New York City"/>
    <x v="15"/>
    <n v="10035"/>
    <x v="3"/>
    <s v="FUR-BO-10002545"/>
    <x v="0"/>
    <x v="0"/>
    <x v="36"/>
    <n v="626.35199999999998"/>
  </r>
  <r>
    <n v="195"/>
    <s v="CA-2016-131457"/>
    <d v="2016-10-31T00:00:00"/>
    <x v="84"/>
    <s v="FAST"/>
    <s v="Standard Class"/>
    <s v="MZ-17515"/>
    <s v="Mary Zewe"/>
    <x v="1"/>
    <s v="United States"/>
    <s v="Redlands"/>
    <x v="1"/>
    <n v="92374"/>
    <x v="1"/>
    <s v="OFF-EN-10001509"/>
    <x v="1"/>
    <x v="12"/>
    <x v="29"/>
    <n v="14.28"/>
  </r>
  <r>
    <n v="196"/>
    <s v="CA-2015-140004"/>
    <d v="2015-03-21T00:00:00"/>
    <x v="85"/>
    <s v="FAST"/>
    <s v="Standard Class"/>
    <s v="CB-12025"/>
    <s v="Cassandra Brandow"/>
    <x v="0"/>
    <s v="United States"/>
    <s v="Hamilton"/>
    <x v="24"/>
    <n v="45011"/>
    <x v="3"/>
    <s v="OFF-AR-10004685"/>
    <x v="1"/>
    <x v="6"/>
    <x v="178"/>
    <n v="7.4080000000000004"/>
  </r>
  <r>
    <n v="197"/>
    <s v="CA-2015-140004"/>
    <d v="2015-03-21T00:00:00"/>
    <x v="85"/>
    <s v="FAST"/>
    <s v="Standard Class"/>
    <s v="CB-12025"/>
    <s v="Cassandra Brandow"/>
    <x v="0"/>
    <s v="United States"/>
    <s v="Hamilton"/>
    <x v="24"/>
    <n v="45011"/>
    <x v="3"/>
    <s v="OFF-AR-10004027"/>
    <x v="1"/>
    <x v="6"/>
    <x v="179"/>
    <n v="6.048"/>
  </r>
  <r>
    <n v="198"/>
    <s v="CA-2018-107720"/>
    <d v="2018-11-06T00:00:00"/>
    <x v="86"/>
    <s v="FAST"/>
    <s v="Standard Class"/>
    <s v="VM-21685"/>
    <s v="Valerie Mitchum"/>
    <x v="2"/>
    <s v="United States"/>
    <s v="Westfield"/>
    <x v="30"/>
    <n v="7090"/>
    <x v="3"/>
    <s v="OFF-ST-10001414"/>
    <x v="1"/>
    <x v="4"/>
    <x v="180"/>
    <n v="46.26"/>
  </r>
  <r>
    <n v="199"/>
    <s v="US-2018-124303"/>
    <d v="2018-07-06T00:00:00"/>
    <x v="87"/>
    <s v="FAST"/>
    <s v="Standard Class"/>
    <s v="FH-14365"/>
    <s v="Fred Hopkins"/>
    <x v="1"/>
    <s v="United States"/>
    <s v="Philadelphia"/>
    <x v="9"/>
    <n v="19120"/>
    <x v="3"/>
    <s v="OFF-BI-10000343"/>
    <x v="1"/>
    <x v="8"/>
    <x v="181"/>
    <n v="2.9460000000000002"/>
  </r>
  <r>
    <n v="200"/>
    <s v="US-2018-124303"/>
    <d v="2018-07-06T00:00:00"/>
    <x v="87"/>
    <s v="FAST"/>
    <s v="Standard Class"/>
    <s v="FH-14365"/>
    <s v="Fred Hopkins"/>
    <x v="1"/>
    <s v="United States"/>
    <s v="Philadelphia"/>
    <x v="9"/>
    <n v="19120"/>
    <x v="3"/>
    <s v="OFF-PA-10002749"/>
    <x v="1"/>
    <x v="10"/>
    <x v="182"/>
    <n v="16.056000000000001"/>
  </r>
  <r>
    <n v="201"/>
    <s v="CA-2018-105074"/>
    <d v="2018-06-24T00:00:00"/>
    <x v="88"/>
    <s v="FAST"/>
    <s v="Standard Class"/>
    <s v="MB-17305"/>
    <s v="Maria Bertelson"/>
    <x v="0"/>
    <s v="United States"/>
    <s v="Akron"/>
    <x v="24"/>
    <n v="44312"/>
    <x v="3"/>
    <s v="OFF-PA-10002666"/>
    <x v="1"/>
    <x v="10"/>
    <x v="183"/>
    <n v="21.744"/>
  </r>
  <r>
    <n v="202"/>
    <s v="CA-2015-133690"/>
    <d v="2015-08-03T00:00:00"/>
    <x v="89"/>
    <s v="MODERATE"/>
    <s v="First Class"/>
    <s v="BS-11755"/>
    <s v="Bruce Stewart"/>
    <x v="0"/>
    <s v="United States"/>
    <s v="Denver"/>
    <x v="22"/>
    <n v="80219"/>
    <x v="1"/>
    <s v="FUR-TA-10004289"/>
    <x v="0"/>
    <x v="3"/>
    <x v="184"/>
    <n v="218.75"/>
  </r>
  <r>
    <n v="203"/>
    <s v="CA-2015-133690"/>
    <d v="2015-08-03T00:00:00"/>
    <x v="89"/>
    <s v="MODERATE"/>
    <s v="First Class"/>
    <s v="BS-11755"/>
    <s v="Bruce Stewart"/>
    <x v="0"/>
    <s v="United States"/>
    <s v="Denver"/>
    <x v="22"/>
    <n v="80219"/>
    <x v="1"/>
    <s v="OFF-AP-10003622"/>
    <x v="1"/>
    <x v="9"/>
    <x v="185"/>
    <n v="2.6"/>
  </r>
  <r>
    <n v="204"/>
    <s v="US-2018-116701"/>
    <d v="2018-12-17T00:00:00"/>
    <x v="90"/>
    <s v="SLOW"/>
    <s v="Second Class"/>
    <s v="LC-17140"/>
    <s v="Logan Currie"/>
    <x v="0"/>
    <s v="United States"/>
    <s v="Dallas"/>
    <x v="5"/>
    <n v="75220"/>
    <x v="2"/>
    <s v="OFF-AP-10003217"/>
    <x v="1"/>
    <x v="9"/>
    <x v="186"/>
    <n v="66.284000000000006"/>
  </r>
  <r>
    <n v="205"/>
    <s v="CA-2018-126382"/>
    <d v="2018-06-03T00:00:00"/>
    <x v="91"/>
    <s v="FAST"/>
    <s v="Standard Class"/>
    <s v="HK-14890"/>
    <s v="Heather Kirkland"/>
    <x v="1"/>
    <s v="United States"/>
    <s v="Franklin"/>
    <x v="18"/>
    <n v="37064"/>
    <x v="0"/>
    <s v="FUR-FU-10002960"/>
    <x v="0"/>
    <x v="5"/>
    <x v="187"/>
    <n v="35.167999999999999"/>
  </r>
  <r>
    <n v="206"/>
    <s v="CA-2018-108329"/>
    <d v="2018-12-09T00:00:00"/>
    <x v="92"/>
    <s v="FAST"/>
    <s v="Standard Class"/>
    <s v="LE-16810"/>
    <s v="Laurel Elliston"/>
    <x v="0"/>
    <s v="United States"/>
    <s v="Whittier"/>
    <x v="1"/>
    <n v="90604"/>
    <x v="1"/>
    <s v="TEC-PH-10001918"/>
    <x v="2"/>
    <x v="7"/>
    <x v="188"/>
    <n v="444.76799999999997"/>
  </r>
  <r>
    <n v="207"/>
    <s v="CA-2018-135860"/>
    <d v="2018-12-01T00:00:00"/>
    <x v="93"/>
    <s v="FAST"/>
    <s v="Standard Class"/>
    <s v="JH-15985"/>
    <s v="Joseph Holt"/>
    <x v="0"/>
    <s v="United States"/>
    <s v="Saginaw"/>
    <x v="12"/>
    <n v="48601"/>
    <x v="2"/>
    <s v="OFF-ST-10000642"/>
    <x v="1"/>
    <x v="4"/>
    <x v="189"/>
    <n v="83.92"/>
  </r>
  <r>
    <n v="208"/>
    <s v="CA-2018-135860"/>
    <d v="2018-12-01T00:00:00"/>
    <x v="93"/>
    <s v="FAST"/>
    <s v="Standard Class"/>
    <s v="JH-15985"/>
    <s v="Joseph Holt"/>
    <x v="0"/>
    <s v="United States"/>
    <s v="Saginaw"/>
    <x v="12"/>
    <n v="48601"/>
    <x v="2"/>
    <s v="TEC-PH-10001700"/>
    <x v="2"/>
    <x v="7"/>
    <x v="190"/>
    <n v="131.97999999999999"/>
  </r>
  <r>
    <n v="209"/>
    <s v="CA-2018-135860"/>
    <d v="2018-12-01T00:00:00"/>
    <x v="93"/>
    <s v="FAST"/>
    <s v="Standard Class"/>
    <s v="JH-15985"/>
    <s v="Joseph Holt"/>
    <x v="0"/>
    <s v="United States"/>
    <s v="Saginaw"/>
    <x v="12"/>
    <n v="48601"/>
    <x v="2"/>
    <s v="OFF-BI-10003274"/>
    <x v="1"/>
    <x v="8"/>
    <x v="118"/>
    <n v="15.92"/>
  </r>
  <r>
    <n v="210"/>
    <s v="CA-2018-135860"/>
    <d v="2018-12-01T00:00:00"/>
    <x v="93"/>
    <s v="FAST"/>
    <s v="Standard Class"/>
    <s v="JH-15985"/>
    <s v="Joseph Holt"/>
    <x v="0"/>
    <s v="United States"/>
    <s v="Saginaw"/>
    <x v="12"/>
    <n v="48601"/>
    <x v="2"/>
    <s v="OFF-FA-10000134"/>
    <x v="1"/>
    <x v="13"/>
    <x v="191"/>
    <n v="52.29"/>
  </r>
  <r>
    <n v="211"/>
    <s v="CA-2018-135860"/>
    <d v="2018-12-01T00:00:00"/>
    <x v="93"/>
    <s v="FAST"/>
    <s v="Standard Class"/>
    <s v="JH-15985"/>
    <s v="Joseph Holt"/>
    <x v="0"/>
    <s v="United States"/>
    <s v="Saginaw"/>
    <x v="12"/>
    <n v="48601"/>
    <x v="2"/>
    <s v="OFF-ST-10001522"/>
    <x v="1"/>
    <x v="4"/>
    <x v="192"/>
    <n v="91.99"/>
  </r>
  <r>
    <n v="212"/>
    <s v="CA-2016-101007"/>
    <d v="2016-02-09T00:00:00"/>
    <x v="94"/>
    <s v="SLOW"/>
    <s v="Second Class"/>
    <s v="MS-17980"/>
    <s v="Michael Stewart"/>
    <x v="1"/>
    <s v="United States"/>
    <s v="Dallas"/>
    <x v="5"/>
    <n v="75220"/>
    <x v="2"/>
    <s v="TEC-AC-10001266"/>
    <x v="2"/>
    <x v="11"/>
    <x v="193"/>
    <n v="20.8"/>
  </r>
  <r>
    <n v="213"/>
    <s v="CA-2016-146262"/>
    <d v="2016-01-02T00:00:00"/>
    <x v="95"/>
    <s v="FAST"/>
    <s v="Standard Class"/>
    <s v="VW-21775"/>
    <s v="Victoria Wilson"/>
    <x v="1"/>
    <s v="United States"/>
    <s v="Medina"/>
    <x v="24"/>
    <n v="44256"/>
    <x v="3"/>
    <s v="OFF-LA-10004544"/>
    <x v="1"/>
    <x v="2"/>
    <x v="194"/>
    <n v="23.68"/>
  </r>
  <r>
    <n v="214"/>
    <s v="CA-2016-146262"/>
    <d v="2016-01-02T00:00:00"/>
    <x v="95"/>
    <s v="FAST"/>
    <s v="Standard Class"/>
    <s v="VW-21775"/>
    <s v="Victoria Wilson"/>
    <x v="1"/>
    <s v="United States"/>
    <s v="Medina"/>
    <x v="24"/>
    <n v="44256"/>
    <x v="3"/>
    <s v="FUR-BO-10004695"/>
    <x v="0"/>
    <x v="0"/>
    <x v="195"/>
    <n v="452.45"/>
  </r>
  <r>
    <n v="215"/>
    <s v="CA-2016-146262"/>
    <d v="2016-01-02T00:00:00"/>
    <x v="95"/>
    <s v="FAST"/>
    <s v="Standard Class"/>
    <s v="VW-21775"/>
    <s v="Victoria Wilson"/>
    <x v="1"/>
    <s v="United States"/>
    <s v="Medina"/>
    <x v="24"/>
    <n v="44256"/>
    <x v="3"/>
    <s v="TEC-PH-10002844"/>
    <x v="2"/>
    <x v="7"/>
    <x v="100"/>
    <n v="62.981999999999999"/>
  </r>
  <r>
    <n v="216"/>
    <s v="CA-2016-146262"/>
    <d v="2016-01-02T00:00:00"/>
    <x v="95"/>
    <s v="FAST"/>
    <s v="Standard Class"/>
    <s v="VW-21775"/>
    <s v="Victoria Wilson"/>
    <x v="1"/>
    <s v="United States"/>
    <s v="Medina"/>
    <x v="24"/>
    <n v="44256"/>
    <x v="3"/>
    <s v="TEC-MA-10000864"/>
    <x v="2"/>
    <x v="15"/>
    <x v="196"/>
    <n v="1188"/>
  </r>
  <r>
    <n v="217"/>
    <s v="CA-2016-146262"/>
    <d v="2016-01-02T00:00:00"/>
    <x v="95"/>
    <s v="FAST"/>
    <s v="Standard Class"/>
    <s v="VW-21775"/>
    <s v="Victoria Wilson"/>
    <x v="1"/>
    <s v="United States"/>
    <s v="Medina"/>
    <x v="24"/>
    <n v="44256"/>
    <x v="3"/>
    <s v="TEC-AC-10000109"/>
    <x v="2"/>
    <x v="11"/>
    <x v="197"/>
    <n v="89.584000000000003"/>
  </r>
  <r>
    <n v="218"/>
    <s v="CA-2017-130162"/>
    <d v="2017-10-28T00:00:00"/>
    <x v="96"/>
    <s v="FAST"/>
    <s v="Standard Class"/>
    <s v="JH-15910"/>
    <s v="Jonathan Howell"/>
    <x v="0"/>
    <s v="United States"/>
    <s v="Los Angeles"/>
    <x v="1"/>
    <n v="90032"/>
    <x v="1"/>
    <s v="OFF-ST-10001328"/>
    <x v="1"/>
    <x v="4"/>
    <x v="174"/>
    <n v="93.06"/>
  </r>
  <r>
    <n v="219"/>
    <s v="CA-2017-130162"/>
    <d v="2017-10-28T00:00:00"/>
    <x v="96"/>
    <s v="FAST"/>
    <s v="Standard Class"/>
    <s v="JH-15910"/>
    <s v="Jonathan Howell"/>
    <x v="0"/>
    <s v="United States"/>
    <s v="Los Angeles"/>
    <x v="1"/>
    <n v="90032"/>
    <x v="1"/>
    <s v="TEC-PH-10002563"/>
    <x v="2"/>
    <x v="7"/>
    <x v="198"/>
    <n v="302.37599999999998"/>
  </r>
  <r>
    <n v="220"/>
    <s v="CA-2016-169397"/>
    <d v="2016-12-24T00:00:00"/>
    <x v="97"/>
    <s v="MODERATE"/>
    <s v="First Class"/>
    <s v="JB-15925"/>
    <s v="Joni Blumstein"/>
    <x v="0"/>
    <s v="United States"/>
    <s v="Dublin"/>
    <x v="24"/>
    <n v="43017"/>
    <x v="3"/>
    <s v="OFF-FA-10000585"/>
    <x v="1"/>
    <x v="13"/>
    <x v="199"/>
    <n v="5.5839999999999996"/>
  </r>
  <r>
    <n v="221"/>
    <s v="CA-2016-169397"/>
    <d v="2016-12-24T00:00:00"/>
    <x v="97"/>
    <s v="MODERATE"/>
    <s v="First Class"/>
    <s v="JB-15925"/>
    <s v="Joni Blumstein"/>
    <x v="0"/>
    <s v="United States"/>
    <s v="Dublin"/>
    <x v="24"/>
    <n v="43017"/>
    <x v="3"/>
    <s v="OFF-PA-10004000"/>
    <x v="1"/>
    <x v="10"/>
    <x v="200"/>
    <n v="22.704000000000001"/>
  </r>
  <r>
    <n v="222"/>
    <s v="CA-2016-169397"/>
    <d v="2016-12-24T00:00:00"/>
    <x v="97"/>
    <s v="MODERATE"/>
    <s v="First Class"/>
    <s v="JB-15925"/>
    <s v="Joni Blumstein"/>
    <x v="0"/>
    <s v="United States"/>
    <s v="Dublin"/>
    <x v="24"/>
    <n v="43017"/>
    <x v="3"/>
    <s v="OFF-BI-10002852"/>
    <x v="1"/>
    <x v="8"/>
    <x v="88"/>
    <n v="19.776"/>
  </r>
  <r>
    <n v="223"/>
    <s v="CA-2016-169397"/>
    <d v="2016-12-24T00:00:00"/>
    <x v="97"/>
    <s v="MODERATE"/>
    <s v="First Class"/>
    <s v="JB-15925"/>
    <s v="Joni Blumstein"/>
    <x v="0"/>
    <s v="United States"/>
    <s v="Dublin"/>
    <x v="24"/>
    <n v="43017"/>
    <x v="3"/>
    <s v="FUR-FU-10000087"/>
    <x v="0"/>
    <x v="5"/>
    <x v="201"/>
    <n v="72.703999999999994"/>
  </r>
  <r>
    <n v="224"/>
    <s v="CA-2016-169397"/>
    <d v="2016-12-24T00:00:00"/>
    <x v="97"/>
    <s v="MODERATE"/>
    <s v="First Class"/>
    <s v="JB-15925"/>
    <s v="Joni Blumstein"/>
    <x v="0"/>
    <s v="United States"/>
    <s v="Dublin"/>
    <x v="24"/>
    <n v="43017"/>
    <x v="3"/>
    <s v="TEC-MA-10001148"/>
    <x v="2"/>
    <x v="15"/>
    <x v="202"/>
    <n v="479.988"/>
  </r>
  <r>
    <n v="225"/>
    <s v="CA-2016-169397"/>
    <d v="2016-12-24T00:00:00"/>
    <x v="97"/>
    <s v="MODERATE"/>
    <s v="First Class"/>
    <s v="JB-15925"/>
    <s v="Joni Blumstein"/>
    <x v="0"/>
    <s v="United States"/>
    <s v="Dublin"/>
    <x v="24"/>
    <n v="43017"/>
    <x v="3"/>
    <s v="OFF-AR-10001958"/>
    <x v="1"/>
    <x v="6"/>
    <x v="203"/>
    <n v="27.167999999999999"/>
  </r>
  <r>
    <n v="226"/>
    <s v="CA-2016-163055"/>
    <d v="2016-08-09T00:00:00"/>
    <x v="98"/>
    <s v="FAST"/>
    <s v="Standard Class"/>
    <s v="DS-13180"/>
    <s v="David Smith"/>
    <x v="1"/>
    <s v="United States"/>
    <s v="Detroit"/>
    <x v="12"/>
    <n v="48227"/>
    <x v="2"/>
    <s v="OFF-AR-10001026"/>
    <x v="1"/>
    <x v="6"/>
    <x v="204"/>
    <n v="2.2000000000000002"/>
  </r>
  <r>
    <n v="227"/>
    <s v="CA-2016-163055"/>
    <d v="2016-08-09T00:00:00"/>
    <x v="98"/>
    <s v="FAST"/>
    <s v="Standard Class"/>
    <s v="DS-13180"/>
    <s v="David Smith"/>
    <x v="1"/>
    <s v="United States"/>
    <s v="Detroit"/>
    <x v="12"/>
    <n v="48227"/>
    <x v="2"/>
    <s v="FUR-TA-10003748"/>
    <x v="0"/>
    <x v="3"/>
    <x v="205"/>
    <n v="622.45000000000005"/>
  </r>
  <r>
    <n v="228"/>
    <s v="CA-2016-163055"/>
    <d v="2016-08-09T00:00:00"/>
    <x v="98"/>
    <s v="FAST"/>
    <s v="Standard Class"/>
    <s v="DS-13180"/>
    <s v="David Smith"/>
    <x v="1"/>
    <s v="United States"/>
    <s v="Detroit"/>
    <x v="12"/>
    <n v="48227"/>
    <x v="2"/>
    <s v="OFF-ST-10002485"/>
    <x v="1"/>
    <x v="4"/>
    <x v="206"/>
    <n v="21.98"/>
  </r>
  <r>
    <n v="229"/>
    <s v="US-2016-145436"/>
    <d v="2016-02-28T00:00:00"/>
    <x v="99"/>
    <s v="FAST"/>
    <s v="Standard Class"/>
    <s v="VD-21670"/>
    <s v="Valerie Dominguez"/>
    <x v="0"/>
    <s v="United States"/>
    <s v="Columbia"/>
    <x v="18"/>
    <n v="38401"/>
    <x v="0"/>
    <s v="FUR-CH-10004860"/>
    <x v="0"/>
    <x v="1"/>
    <x v="207"/>
    <n v="161.56800000000001"/>
  </r>
  <r>
    <n v="230"/>
    <s v="US-2016-145436"/>
    <d v="2016-02-28T00:00:00"/>
    <x v="99"/>
    <s v="FAST"/>
    <s v="Standard Class"/>
    <s v="VD-21670"/>
    <s v="Valerie Dominguez"/>
    <x v="0"/>
    <s v="United States"/>
    <s v="Columbia"/>
    <x v="18"/>
    <n v="38401"/>
    <x v="0"/>
    <s v="FUR-CH-10004477"/>
    <x v="0"/>
    <x v="1"/>
    <x v="208"/>
    <n v="389.69600000000003"/>
  </r>
  <r>
    <n v="231"/>
    <s v="US-2015-156216"/>
    <d v="2015-09-13T00:00:00"/>
    <x v="100"/>
    <s v="FAST"/>
    <s v="Standard Class"/>
    <s v="EA-14035"/>
    <s v="Erin Ashbrook"/>
    <x v="1"/>
    <s v="United States"/>
    <s v="Charlotte"/>
    <x v="3"/>
    <n v="28205"/>
    <x v="0"/>
    <s v="OFF-BI-10001679"/>
    <x v="1"/>
    <x v="8"/>
    <x v="209"/>
    <n v="18.648"/>
  </r>
  <r>
    <n v="232"/>
    <s v="US-2018-100930"/>
    <d v="2018-04-07T00:00:00"/>
    <x v="101"/>
    <s v="FAST"/>
    <s v="Standard Class"/>
    <s v="CS-12400"/>
    <s v="Christopher Schild"/>
    <x v="2"/>
    <s v="United States"/>
    <s v="Tampa"/>
    <x v="2"/>
    <n v="33614"/>
    <x v="0"/>
    <s v="FUR-TA-10001705"/>
    <x v="0"/>
    <x v="3"/>
    <x v="210"/>
    <n v="233.86"/>
  </r>
  <r>
    <n v="233"/>
    <s v="US-2018-100930"/>
    <d v="2018-04-07T00:00:00"/>
    <x v="101"/>
    <s v="FAST"/>
    <s v="Standard Class"/>
    <s v="CS-12400"/>
    <s v="Christopher Schild"/>
    <x v="2"/>
    <s v="United States"/>
    <s v="Tampa"/>
    <x v="2"/>
    <n v="33614"/>
    <x v="0"/>
    <s v="FUR-TA-10003473"/>
    <x v="0"/>
    <x v="3"/>
    <x v="211"/>
    <n v="620.61450000000002"/>
  </r>
  <r>
    <n v="234"/>
    <s v="US-2018-100930"/>
    <d v="2018-04-07T00:00:00"/>
    <x v="101"/>
    <s v="FAST"/>
    <s v="Standard Class"/>
    <s v="CS-12400"/>
    <s v="Christopher Schild"/>
    <x v="2"/>
    <s v="United States"/>
    <s v="Tampa"/>
    <x v="2"/>
    <n v="33614"/>
    <x v="0"/>
    <s v="OFF-BI-10001679"/>
    <x v="1"/>
    <x v="8"/>
    <x v="209"/>
    <n v="5.3280000000000003"/>
  </r>
  <r>
    <n v="235"/>
    <s v="US-2018-100930"/>
    <d v="2018-04-07T00:00:00"/>
    <x v="101"/>
    <s v="FAST"/>
    <s v="Standard Class"/>
    <s v="CS-12400"/>
    <s v="Christopher Schild"/>
    <x v="2"/>
    <s v="United States"/>
    <s v="Tampa"/>
    <x v="2"/>
    <n v="33614"/>
    <x v="0"/>
    <s v="FUR-FU-10004017"/>
    <x v="0"/>
    <x v="5"/>
    <x v="212"/>
    <n v="258.072"/>
  </r>
  <r>
    <n v="236"/>
    <s v="US-2018-100930"/>
    <d v="2018-04-07T00:00:00"/>
    <x v="101"/>
    <s v="FAST"/>
    <s v="Standard Class"/>
    <s v="CS-12400"/>
    <s v="Christopher Schild"/>
    <x v="2"/>
    <s v="United States"/>
    <s v="Tampa"/>
    <x v="2"/>
    <n v="33614"/>
    <x v="0"/>
    <s v="TEC-AC-10003832"/>
    <x v="2"/>
    <x v="11"/>
    <x v="213"/>
    <n v="617.976"/>
  </r>
  <r>
    <n v="237"/>
    <s v="CA-2018-160514"/>
    <d v="2018-11-12T00:00:00"/>
    <x v="38"/>
    <s v="FAST"/>
    <s v="Standard Class"/>
    <s v="DB-13120"/>
    <s v="David Bremer"/>
    <x v="1"/>
    <s v="United States"/>
    <s v="Santa Clara"/>
    <x v="1"/>
    <n v="95051"/>
    <x v="1"/>
    <s v="OFF-PA-10002479"/>
    <x v="1"/>
    <x v="10"/>
    <x v="214"/>
    <n v="10.56"/>
  </r>
  <r>
    <n v="238"/>
    <s v="CA-2017-157749"/>
    <d v="2017-06-04T00:00:00"/>
    <x v="102"/>
    <s v="SLOW"/>
    <s v="Second Class"/>
    <s v="KL-16645"/>
    <s v="Ken Lonsdale"/>
    <x v="0"/>
    <s v="United States"/>
    <s v="Chicago"/>
    <x v="10"/>
    <n v="60610"/>
    <x v="2"/>
    <s v="OFF-PA-10003349"/>
    <x v="1"/>
    <x v="10"/>
    <x v="215"/>
    <n v="25.92"/>
  </r>
  <r>
    <n v="239"/>
    <s v="CA-2017-157749"/>
    <d v="2017-06-04T00:00:00"/>
    <x v="102"/>
    <s v="SLOW"/>
    <s v="Second Class"/>
    <s v="KL-16645"/>
    <s v="Ken Lonsdale"/>
    <x v="0"/>
    <s v="United States"/>
    <s v="Chicago"/>
    <x v="10"/>
    <n v="60610"/>
    <x v="2"/>
    <s v="FUR-FU-10000576"/>
    <x v="0"/>
    <x v="5"/>
    <x v="216"/>
    <n v="419.68"/>
  </r>
  <r>
    <n v="240"/>
    <s v="CA-2017-157749"/>
    <d v="2017-06-04T00:00:00"/>
    <x v="102"/>
    <s v="SLOW"/>
    <s v="Second Class"/>
    <s v="KL-16645"/>
    <s v="Ken Lonsdale"/>
    <x v="0"/>
    <s v="United States"/>
    <s v="Chicago"/>
    <x v="10"/>
    <n v="60610"/>
    <x v="2"/>
    <s v="FUR-FU-10004351"/>
    <x v="0"/>
    <x v="5"/>
    <x v="217"/>
    <n v="11.688000000000001"/>
  </r>
  <r>
    <n v="241"/>
    <s v="CA-2017-157749"/>
    <d v="2017-06-04T00:00:00"/>
    <x v="102"/>
    <s v="SLOW"/>
    <s v="Second Class"/>
    <s v="KL-16645"/>
    <s v="Ken Lonsdale"/>
    <x v="0"/>
    <s v="United States"/>
    <s v="Chicago"/>
    <x v="10"/>
    <n v="60610"/>
    <x v="2"/>
    <s v="TEC-PH-10000011"/>
    <x v="2"/>
    <x v="7"/>
    <x v="218"/>
    <n v="31.984000000000002"/>
  </r>
  <r>
    <n v="242"/>
    <s v="CA-2017-157749"/>
    <d v="2017-06-04T00:00:00"/>
    <x v="102"/>
    <s v="SLOW"/>
    <s v="Second Class"/>
    <s v="KL-16645"/>
    <s v="Ken Lonsdale"/>
    <x v="0"/>
    <s v="United States"/>
    <s v="Chicago"/>
    <x v="10"/>
    <n v="60610"/>
    <x v="2"/>
    <s v="FUR-TA-10002607"/>
    <x v="0"/>
    <x v="3"/>
    <x v="219"/>
    <n v="177.22499999999999"/>
  </r>
  <r>
    <n v="243"/>
    <s v="CA-2017-157749"/>
    <d v="2017-06-04T00:00:00"/>
    <x v="102"/>
    <s v="SLOW"/>
    <s v="Second Class"/>
    <s v="KL-16645"/>
    <s v="Ken Lonsdale"/>
    <x v="0"/>
    <s v="United States"/>
    <s v="Chicago"/>
    <x v="10"/>
    <n v="60610"/>
    <x v="2"/>
    <s v="FUR-FU-10002505"/>
    <x v="0"/>
    <x v="5"/>
    <x v="220"/>
    <n v="4.0439999999999996"/>
  </r>
  <r>
    <n v="244"/>
    <s v="CA-2017-157749"/>
    <d v="2017-06-04T00:00:00"/>
    <x v="102"/>
    <s v="SLOW"/>
    <s v="Second Class"/>
    <s v="KL-16645"/>
    <s v="Ken Lonsdale"/>
    <x v="0"/>
    <s v="United States"/>
    <s v="Chicago"/>
    <x v="10"/>
    <n v="60610"/>
    <x v="2"/>
    <s v="OFF-AR-10004685"/>
    <x v="1"/>
    <x v="6"/>
    <x v="178"/>
    <n v="7.4080000000000004"/>
  </r>
  <r>
    <n v="245"/>
    <s v="CA-2015-131926"/>
    <d v="2015-06-01T00:00:00"/>
    <x v="103"/>
    <s v="SLOW"/>
    <s v="Second Class"/>
    <s v="DW-13480"/>
    <s v="Dianna Wilson"/>
    <x v="2"/>
    <s v="United States"/>
    <s v="Lakeville"/>
    <x v="11"/>
    <n v="55044"/>
    <x v="2"/>
    <s v="FUR-CH-10004063"/>
    <x v="0"/>
    <x v="1"/>
    <x v="116"/>
    <n v="2001.86"/>
  </r>
  <r>
    <n v="246"/>
    <s v="CA-2015-131926"/>
    <d v="2015-06-01T00:00:00"/>
    <x v="103"/>
    <s v="SLOW"/>
    <s v="Second Class"/>
    <s v="DW-13480"/>
    <s v="Dianna Wilson"/>
    <x v="2"/>
    <s v="United States"/>
    <s v="Lakeville"/>
    <x v="11"/>
    <n v="55044"/>
    <x v="2"/>
    <s v="OFF-ST-10002276"/>
    <x v="1"/>
    <x v="4"/>
    <x v="221"/>
    <n v="166.72"/>
  </r>
  <r>
    <n v="247"/>
    <s v="CA-2015-131926"/>
    <d v="2015-06-01T00:00:00"/>
    <x v="103"/>
    <s v="SLOW"/>
    <s v="Second Class"/>
    <s v="DW-13480"/>
    <s v="Dianna Wilson"/>
    <x v="2"/>
    <s v="United States"/>
    <s v="Lakeville"/>
    <x v="11"/>
    <n v="55044"/>
    <x v="2"/>
    <s v="OFF-PA-10004082"/>
    <x v="1"/>
    <x v="10"/>
    <x v="222"/>
    <n v="47.88"/>
  </r>
  <r>
    <n v="248"/>
    <s v="CA-2015-131926"/>
    <d v="2015-06-01T00:00:00"/>
    <x v="103"/>
    <s v="SLOW"/>
    <s v="Second Class"/>
    <s v="DW-13480"/>
    <s v="Dianna Wilson"/>
    <x v="2"/>
    <s v="United States"/>
    <s v="Lakeville"/>
    <x v="11"/>
    <n v="55044"/>
    <x v="2"/>
    <s v="OFF-AP-10002945"/>
    <x v="1"/>
    <x v="9"/>
    <x v="223"/>
    <n v="1503.25"/>
  </r>
  <r>
    <n v="249"/>
    <s v="CA-2015-131926"/>
    <d v="2015-06-01T00:00:00"/>
    <x v="103"/>
    <s v="SLOW"/>
    <s v="Second Class"/>
    <s v="DW-13480"/>
    <s v="Dianna Wilson"/>
    <x v="2"/>
    <s v="United States"/>
    <s v="Lakeville"/>
    <x v="11"/>
    <n v="55044"/>
    <x v="2"/>
    <s v="OFF-PA-10000061"/>
    <x v="1"/>
    <x v="10"/>
    <x v="177"/>
    <n v="25.92"/>
  </r>
  <r>
    <n v="250"/>
    <s v="CA-2017-154739"/>
    <d v="2017-12-10T00:00:00"/>
    <x v="104"/>
    <s v="SLOW"/>
    <s v="Second Class"/>
    <s v="LH-17155"/>
    <s v="Logan Haushalter"/>
    <x v="0"/>
    <s v="United States"/>
    <s v="San Francisco"/>
    <x v="1"/>
    <n v="94109"/>
    <x v="1"/>
    <s v="FUR-CH-10002965"/>
    <x v="0"/>
    <x v="1"/>
    <x v="224"/>
    <n v="321.56799999999998"/>
  </r>
  <r>
    <n v="251"/>
    <s v="CA-2017-145625"/>
    <d v="2017-09-11T00:00:00"/>
    <x v="105"/>
    <s v="FAST"/>
    <s v="Standard Class"/>
    <s v="KC-16540"/>
    <s v="Kelly Collister"/>
    <x v="0"/>
    <s v="United States"/>
    <s v="San Diego"/>
    <x v="1"/>
    <n v="92037"/>
    <x v="1"/>
    <s v="OFF-PA-10004569"/>
    <x v="1"/>
    <x v="10"/>
    <x v="225"/>
    <n v="7.61"/>
  </r>
  <r>
    <n v="252"/>
    <s v="CA-2017-145625"/>
    <d v="2017-09-11T00:00:00"/>
    <x v="105"/>
    <s v="FAST"/>
    <s v="Standard Class"/>
    <s v="KC-16540"/>
    <s v="Kelly Collister"/>
    <x v="0"/>
    <s v="United States"/>
    <s v="San Diego"/>
    <x v="1"/>
    <n v="92037"/>
    <x v="1"/>
    <s v="TEC-AC-10003832"/>
    <x v="2"/>
    <x v="11"/>
    <x v="213"/>
    <n v="3347.37"/>
  </r>
  <r>
    <n v="253"/>
    <s v="CA-2017-146941"/>
    <d v="2017-12-10T00:00:00"/>
    <x v="10"/>
    <s v="MODERATE"/>
    <s v="First Class"/>
    <s v="DL-13315"/>
    <s v="Delfina Latchford"/>
    <x v="0"/>
    <s v="United States"/>
    <s v="New York City"/>
    <x v="15"/>
    <n v="10024"/>
    <x v="3"/>
    <s v="OFF-ST-10001228"/>
    <x v="1"/>
    <x v="4"/>
    <x v="226"/>
    <n v="80.58"/>
  </r>
  <r>
    <n v="254"/>
    <s v="CA-2017-146941"/>
    <d v="2017-12-10T00:00:00"/>
    <x v="10"/>
    <s v="MODERATE"/>
    <s v="First Class"/>
    <s v="DL-13315"/>
    <s v="Delfina Latchford"/>
    <x v="0"/>
    <s v="United States"/>
    <s v="New York City"/>
    <x v="15"/>
    <n v="10024"/>
    <x v="3"/>
    <s v="OFF-EN-10003296"/>
    <x v="1"/>
    <x v="12"/>
    <x v="227"/>
    <n v="361.92"/>
  </r>
  <r>
    <n v="255"/>
    <s v="US-2016-159982"/>
    <d v="2016-11-28T00:00:00"/>
    <x v="106"/>
    <s v="FAST"/>
    <s v="Standard Class"/>
    <s v="DR-12880"/>
    <s v="Dan Reichenbach"/>
    <x v="1"/>
    <s v="United States"/>
    <s v="Chicago"/>
    <x v="10"/>
    <n v="60623"/>
    <x v="2"/>
    <s v="FUR-FU-10002505"/>
    <x v="0"/>
    <x v="5"/>
    <x v="220"/>
    <n v="12.132"/>
  </r>
  <r>
    <n v="256"/>
    <s v="US-2016-159982"/>
    <d v="2016-11-28T00:00:00"/>
    <x v="106"/>
    <s v="FAST"/>
    <s v="Standard Class"/>
    <s v="DR-12880"/>
    <s v="Dan Reichenbach"/>
    <x v="1"/>
    <s v="United States"/>
    <s v="Chicago"/>
    <x v="10"/>
    <n v="60623"/>
    <x v="2"/>
    <s v="OFF-ST-10004804"/>
    <x v="1"/>
    <x v="4"/>
    <x v="228"/>
    <n v="82.367999999999995"/>
  </r>
  <r>
    <n v="257"/>
    <s v="US-2016-159982"/>
    <d v="2016-11-28T00:00:00"/>
    <x v="106"/>
    <s v="FAST"/>
    <s v="Standard Class"/>
    <s v="DR-12880"/>
    <s v="Dan Reichenbach"/>
    <x v="1"/>
    <s v="United States"/>
    <s v="Chicago"/>
    <x v="10"/>
    <n v="60623"/>
    <x v="2"/>
    <s v="OFF-ST-10001590"/>
    <x v="1"/>
    <x v="4"/>
    <x v="143"/>
    <n v="53.92"/>
  </r>
  <r>
    <n v="258"/>
    <s v="US-2016-159982"/>
    <d v="2016-11-28T00:00:00"/>
    <x v="106"/>
    <s v="FAST"/>
    <s v="Standard Class"/>
    <s v="DR-12880"/>
    <s v="Dan Reichenbach"/>
    <x v="1"/>
    <s v="United States"/>
    <s v="Chicago"/>
    <x v="10"/>
    <n v="60623"/>
    <x v="2"/>
    <s v="TEC-PH-10001580"/>
    <x v="2"/>
    <x v="7"/>
    <x v="229"/>
    <n v="647.904"/>
  </r>
  <r>
    <n v="259"/>
    <s v="CA-2018-163139"/>
    <d v="2018-12-01T00:00:00"/>
    <x v="107"/>
    <s v="SLOW"/>
    <s v="Second Class"/>
    <s v="CC-12670"/>
    <s v="Craig Carreira"/>
    <x v="0"/>
    <s v="United States"/>
    <s v="New York City"/>
    <x v="15"/>
    <n v="10009"/>
    <x v="3"/>
    <s v="TEC-AC-10000290"/>
    <x v="2"/>
    <x v="11"/>
    <x v="230"/>
    <n v="20.37"/>
  </r>
  <r>
    <n v="260"/>
    <s v="CA-2018-163139"/>
    <d v="2018-12-01T00:00:00"/>
    <x v="107"/>
    <s v="SLOW"/>
    <s v="Second Class"/>
    <s v="CC-12670"/>
    <s v="Craig Carreira"/>
    <x v="0"/>
    <s v="United States"/>
    <s v="New York City"/>
    <x v="15"/>
    <n v="10009"/>
    <x v="3"/>
    <s v="OFF-ST-10002790"/>
    <x v="1"/>
    <x v="4"/>
    <x v="231"/>
    <n v="221.55"/>
  </r>
  <r>
    <n v="261"/>
    <s v="CA-2018-163139"/>
    <d v="2018-12-01T00:00:00"/>
    <x v="107"/>
    <s v="SLOW"/>
    <s v="Second Class"/>
    <s v="CC-12670"/>
    <s v="Craig Carreira"/>
    <x v="0"/>
    <s v="United States"/>
    <s v="New York City"/>
    <x v="15"/>
    <n v="10009"/>
    <x v="3"/>
    <s v="OFF-BI-10003460"/>
    <x v="1"/>
    <x v="8"/>
    <x v="232"/>
    <n v="17.52"/>
  </r>
  <r>
    <n v="262"/>
    <s v="US-2018-155299"/>
    <d v="2018-06-08T00:00:00"/>
    <x v="108"/>
    <s v="FAST"/>
    <s v="Standard Class"/>
    <s v="Dl-13600"/>
    <s v="Dorris liebe"/>
    <x v="1"/>
    <s v="United States"/>
    <s v="Pasadena"/>
    <x v="5"/>
    <n v="77506"/>
    <x v="2"/>
    <s v="OFF-AP-10002203"/>
    <x v="1"/>
    <x v="9"/>
    <x v="233"/>
    <n v="1.6240000000000001"/>
  </r>
  <r>
    <n v="263"/>
    <s v="US-2015-106992"/>
    <d v="2015-09-19T00:00:00"/>
    <x v="109"/>
    <s v="SLOW"/>
    <s v="Second Class"/>
    <s v="SB-20290"/>
    <s v="Sean Braxton"/>
    <x v="1"/>
    <s v="United States"/>
    <s v="Houston"/>
    <x v="5"/>
    <n v="77036"/>
    <x v="2"/>
    <s v="TEC-MA-10000822"/>
    <x v="2"/>
    <x v="15"/>
    <x v="152"/>
    <n v="3059.982"/>
  </r>
  <r>
    <n v="264"/>
    <s v="US-2015-106992"/>
    <d v="2015-09-19T00:00:00"/>
    <x v="109"/>
    <s v="SLOW"/>
    <s v="Second Class"/>
    <s v="SB-20290"/>
    <s v="Sean Braxton"/>
    <x v="1"/>
    <s v="United States"/>
    <s v="Houston"/>
    <x v="5"/>
    <n v="77036"/>
    <x v="2"/>
    <s v="TEC-MA-10003353"/>
    <x v="2"/>
    <x v="15"/>
    <x v="234"/>
    <n v="2519.9580000000001"/>
  </r>
  <r>
    <n v="265"/>
    <s v="CA-2017-125318"/>
    <d v="2017-06-06T00:00:00"/>
    <x v="110"/>
    <s v="FAST"/>
    <s v="Standard Class"/>
    <s v="RC-19825"/>
    <s v="Roy Collins"/>
    <x v="0"/>
    <s v="United States"/>
    <s v="Chicago"/>
    <x v="10"/>
    <n v="60610"/>
    <x v="2"/>
    <s v="TEC-PH-10001433"/>
    <x v="2"/>
    <x v="7"/>
    <x v="235"/>
    <n v="328.22399999999999"/>
  </r>
  <r>
    <n v="266"/>
    <s v="CA-2016-155040"/>
    <d v="2016-11-10T00:00:00"/>
    <x v="111"/>
    <s v="FAST"/>
    <s v="Standard Class"/>
    <s v="AH-10210"/>
    <s v="Alan Hwang"/>
    <x v="0"/>
    <s v="United States"/>
    <s v="Brentwood"/>
    <x v="1"/>
    <n v="94513"/>
    <x v="1"/>
    <s v="TEC-AC-10004469"/>
    <x v="2"/>
    <x v="11"/>
    <x v="236"/>
    <n v="79.900000000000006"/>
  </r>
  <r>
    <n v="267"/>
    <s v="CA-2018-136826"/>
    <d v="2018-06-16T00:00:00"/>
    <x v="45"/>
    <s v="FAST"/>
    <s v="Standard Class"/>
    <s v="CB-12535"/>
    <s v="Claudia Bergmann"/>
    <x v="1"/>
    <s v="United States"/>
    <s v="Chapel Hill"/>
    <x v="3"/>
    <n v="27514"/>
    <x v="0"/>
    <s v="OFF-AR-10003602"/>
    <x v="1"/>
    <x v="6"/>
    <x v="237"/>
    <n v="14.016"/>
  </r>
  <r>
    <n v="268"/>
    <s v="CA-2017-111010"/>
    <d v="2017-01-22T00:00:00"/>
    <x v="112"/>
    <s v="FAST"/>
    <s v="Standard Class"/>
    <s v="PG-18895"/>
    <s v="Paul Gonzalez"/>
    <x v="0"/>
    <s v="United States"/>
    <s v="Morristown"/>
    <x v="30"/>
    <n v="7960"/>
    <x v="3"/>
    <s v="OFF-FA-10003472"/>
    <x v="1"/>
    <x v="13"/>
    <x v="238"/>
    <n v="7.56"/>
  </r>
  <r>
    <n v="269"/>
    <s v="US-2018-145366"/>
    <d v="2018-12-09T00:00:00"/>
    <x v="113"/>
    <s v="FAST"/>
    <s v="Standard Class"/>
    <s v="CA-12310"/>
    <s v="Christine Abelman"/>
    <x v="1"/>
    <s v="United States"/>
    <s v="Cincinnati"/>
    <x v="24"/>
    <n v="45231"/>
    <x v="3"/>
    <s v="OFF-ST-10004180"/>
    <x v="1"/>
    <x v="4"/>
    <x v="239"/>
    <n v="37.207999999999998"/>
  </r>
  <r>
    <n v="270"/>
    <s v="US-2018-145366"/>
    <d v="2018-12-09T00:00:00"/>
    <x v="113"/>
    <s v="FAST"/>
    <s v="Standard Class"/>
    <s v="CA-12310"/>
    <s v="Christine Abelman"/>
    <x v="1"/>
    <s v="United States"/>
    <s v="Cincinnati"/>
    <x v="24"/>
    <n v="45231"/>
    <x v="3"/>
    <s v="OFF-EN-10004386"/>
    <x v="1"/>
    <x v="12"/>
    <x v="240"/>
    <n v="57.576000000000001"/>
  </r>
  <r>
    <n v="271"/>
    <s v="CA-2018-163979"/>
    <d v="2018-12-28T00:00:00"/>
    <x v="114"/>
    <s v="SLOW"/>
    <s v="Second Class"/>
    <s v="KH-16690"/>
    <s v="Kristen Hastings"/>
    <x v="1"/>
    <s v="United States"/>
    <s v="San Francisco"/>
    <x v="1"/>
    <n v="94110"/>
    <x v="1"/>
    <s v="OFF-ST-10003208"/>
    <x v="1"/>
    <x v="4"/>
    <x v="241"/>
    <n v="725.84"/>
  </r>
  <r>
    <n v="272"/>
    <s v="CA-2016-155334"/>
    <d v="2016-07-30T00:00:00"/>
    <x v="115"/>
    <s v="MODERATE"/>
    <s v="First Class"/>
    <s v="HA-14920"/>
    <s v="Helen Andreada"/>
    <x v="0"/>
    <s v="United States"/>
    <s v="San Francisco"/>
    <x v="1"/>
    <n v="94109"/>
    <x v="1"/>
    <s v="TEC-AC-10003628"/>
    <x v="2"/>
    <x v="11"/>
    <x v="242"/>
    <n v="209.93"/>
  </r>
  <r>
    <n v="273"/>
    <s v="CA-2016-155334"/>
    <d v="2016-07-30T00:00:00"/>
    <x v="115"/>
    <s v="MODERATE"/>
    <s v="First Class"/>
    <s v="HA-14920"/>
    <s v="Helen Andreada"/>
    <x v="0"/>
    <s v="United States"/>
    <s v="San Francisco"/>
    <x v="1"/>
    <n v="94109"/>
    <x v="1"/>
    <s v="FUR-FU-10003274"/>
    <x v="0"/>
    <x v="5"/>
    <x v="243"/>
    <n v="5.28"/>
  </r>
  <r>
    <n v="274"/>
    <s v="CA-2016-155334"/>
    <d v="2016-07-30T00:00:00"/>
    <x v="115"/>
    <s v="MODERATE"/>
    <s v="First Class"/>
    <s v="HA-14920"/>
    <s v="Helen Andreada"/>
    <x v="0"/>
    <s v="United States"/>
    <s v="San Francisco"/>
    <x v="1"/>
    <n v="94109"/>
    <x v="1"/>
    <s v="OFF-BI-10002557"/>
    <x v="1"/>
    <x v="8"/>
    <x v="244"/>
    <n v="10.92"/>
  </r>
  <r>
    <n v="275"/>
    <s v="CA-2018-118136"/>
    <d v="2018-09-16T00:00:00"/>
    <x v="31"/>
    <s v="MODERATE"/>
    <s v="First Class"/>
    <s v="BB-10990"/>
    <s v="Barry Blumstein"/>
    <x v="1"/>
    <s v="United States"/>
    <s v="Inglewood"/>
    <x v="1"/>
    <n v="90301"/>
    <x v="1"/>
    <s v="OFF-PA-10002615"/>
    <x v="1"/>
    <x v="10"/>
    <x v="245"/>
    <n v="8.82"/>
  </r>
  <r>
    <n v="276"/>
    <s v="CA-2018-118136"/>
    <d v="2018-09-16T00:00:00"/>
    <x v="31"/>
    <s v="MODERATE"/>
    <s v="First Class"/>
    <s v="BB-10990"/>
    <s v="Barry Blumstein"/>
    <x v="1"/>
    <s v="United States"/>
    <s v="Inglewood"/>
    <x v="1"/>
    <n v="90301"/>
    <x v="1"/>
    <s v="OFF-AR-10001427"/>
    <x v="1"/>
    <x v="6"/>
    <x v="246"/>
    <n v="5.98"/>
  </r>
  <r>
    <n v="277"/>
    <s v="CA-2018-132976"/>
    <d v="2018-10-13T00:00:00"/>
    <x v="116"/>
    <s v="FAST"/>
    <s v="Standard Class"/>
    <s v="AG-10495"/>
    <s v="Andrew Gjertsen"/>
    <x v="1"/>
    <s v="United States"/>
    <s v="Philadelphia"/>
    <x v="9"/>
    <n v="19140"/>
    <x v="3"/>
    <s v="OFF-PA-10000673"/>
    <x v="1"/>
    <x v="10"/>
    <x v="247"/>
    <n v="11.648"/>
  </r>
  <r>
    <n v="278"/>
    <s v="CA-2018-132976"/>
    <d v="2018-10-13T00:00:00"/>
    <x v="116"/>
    <s v="FAST"/>
    <s v="Standard Class"/>
    <s v="AG-10495"/>
    <s v="Andrew Gjertsen"/>
    <x v="1"/>
    <s v="United States"/>
    <s v="Philadelphia"/>
    <x v="9"/>
    <n v="19140"/>
    <x v="3"/>
    <s v="OFF-PA-10004470"/>
    <x v="1"/>
    <x v="10"/>
    <x v="248"/>
    <n v="18.175999999999998"/>
  </r>
  <r>
    <n v="279"/>
    <s v="CA-2018-132976"/>
    <d v="2018-10-13T00:00:00"/>
    <x v="116"/>
    <s v="FAST"/>
    <s v="Standard Class"/>
    <s v="AG-10495"/>
    <s v="Andrew Gjertsen"/>
    <x v="1"/>
    <s v="United States"/>
    <s v="Philadelphia"/>
    <x v="9"/>
    <n v="19140"/>
    <x v="3"/>
    <s v="OFF-ST-10000876"/>
    <x v="1"/>
    <x v="4"/>
    <x v="249"/>
    <n v="59.712000000000003"/>
  </r>
  <r>
    <n v="280"/>
    <s v="CA-2018-132976"/>
    <d v="2018-10-13T00:00:00"/>
    <x v="116"/>
    <s v="FAST"/>
    <s v="Standard Class"/>
    <s v="AG-10495"/>
    <s v="Andrew Gjertsen"/>
    <x v="1"/>
    <s v="United States"/>
    <s v="Philadelphia"/>
    <x v="9"/>
    <n v="19140"/>
    <x v="3"/>
    <s v="OFF-LA-10002043"/>
    <x v="1"/>
    <x v="2"/>
    <x v="250"/>
    <n v="24.84"/>
  </r>
  <r>
    <n v="281"/>
    <s v="US-2016-161991"/>
    <d v="2016-09-26T00:00:00"/>
    <x v="117"/>
    <s v="SLOW"/>
    <s v="Second Class"/>
    <s v="SC-20725"/>
    <s v="Steven Cartwright"/>
    <x v="0"/>
    <s v="United States"/>
    <s v="Houston"/>
    <x v="5"/>
    <n v="77070"/>
    <x v="2"/>
    <s v="OFF-BI-10004967"/>
    <x v="1"/>
    <x v="8"/>
    <x v="251"/>
    <n v="2.08"/>
  </r>
  <r>
    <n v="282"/>
    <s v="US-2016-161991"/>
    <d v="2016-09-26T00:00:00"/>
    <x v="117"/>
    <s v="SLOW"/>
    <s v="Second Class"/>
    <s v="SC-20725"/>
    <s v="Steven Cartwright"/>
    <x v="0"/>
    <s v="United States"/>
    <s v="Houston"/>
    <x v="5"/>
    <n v="77070"/>
    <x v="2"/>
    <s v="TEC-PH-10001760"/>
    <x v="2"/>
    <x v="7"/>
    <x v="252"/>
    <n v="1114.4000000000001"/>
  </r>
  <r>
    <n v="283"/>
    <s v="CA-2016-130890"/>
    <d v="2016-11-02T00:00:00"/>
    <x v="84"/>
    <s v="FAST"/>
    <s v="Standard Class"/>
    <s v="JO-15280"/>
    <s v="Jas O'Carroll"/>
    <x v="0"/>
    <s v="United States"/>
    <s v="Los Angeles"/>
    <x v="1"/>
    <n v="90004"/>
    <x v="1"/>
    <s v="FUR-TA-10002903"/>
    <x v="0"/>
    <x v="3"/>
    <x v="253"/>
    <n v="1038.8399999999999"/>
  </r>
  <r>
    <n v="284"/>
    <s v="CA-2016-130883"/>
    <d v="2016-09-26T00:00:00"/>
    <x v="118"/>
    <s v="FAST"/>
    <s v="Standard Class"/>
    <s v="TB-21520"/>
    <s v="Tracy Blumstein"/>
    <x v="0"/>
    <s v="United States"/>
    <s v="Portland"/>
    <x v="21"/>
    <n v="97206"/>
    <x v="1"/>
    <s v="OFF-PA-10000474"/>
    <x v="1"/>
    <x v="10"/>
    <x v="33"/>
    <n v="141.76"/>
  </r>
  <r>
    <n v="285"/>
    <s v="CA-2016-130883"/>
    <d v="2016-09-26T00:00:00"/>
    <x v="118"/>
    <s v="FAST"/>
    <s v="Standard Class"/>
    <s v="TB-21520"/>
    <s v="Tracy Blumstein"/>
    <x v="0"/>
    <s v="United States"/>
    <s v="Portland"/>
    <x v="21"/>
    <n v="97206"/>
    <x v="1"/>
    <s v="TEC-AC-10001956"/>
    <x v="2"/>
    <x v="11"/>
    <x v="254"/>
    <n v="239.8"/>
  </r>
  <r>
    <n v="286"/>
    <s v="CA-2016-130883"/>
    <d v="2016-09-26T00:00:00"/>
    <x v="118"/>
    <s v="FAST"/>
    <s v="Standard Class"/>
    <s v="TB-21520"/>
    <s v="Tracy Blumstein"/>
    <x v="0"/>
    <s v="United States"/>
    <s v="Portland"/>
    <x v="21"/>
    <n v="97206"/>
    <x v="1"/>
    <s v="OFF-PA-10004100"/>
    <x v="1"/>
    <x v="10"/>
    <x v="255"/>
    <n v="31.103999999999999"/>
  </r>
  <r>
    <n v="287"/>
    <s v="CA-2017-112697"/>
    <d v="2017-12-18T00:00:00"/>
    <x v="119"/>
    <s v="SLOW"/>
    <s v="Second Class"/>
    <s v="AH-10195"/>
    <s v="Alan Haines"/>
    <x v="1"/>
    <s v="United States"/>
    <s v="Tamarac"/>
    <x v="2"/>
    <n v="33319"/>
    <x v="0"/>
    <s v="OFF-BI-10000778"/>
    <x v="1"/>
    <x v="8"/>
    <x v="256"/>
    <n v="254.05799999999999"/>
  </r>
  <r>
    <n v="288"/>
    <s v="CA-2017-112697"/>
    <d v="2017-12-18T00:00:00"/>
    <x v="119"/>
    <s v="SLOW"/>
    <s v="Second Class"/>
    <s v="AH-10195"/>
    <s v="Alan Haines"/>
    <x v="1"/>
    <s v="United States"/>
    <s v="Tamarac"/>
    <x v="2"/>
    <n v="33319"/>
    <x v="0"/>
    <s v="OFF-AP-10002684"/>
    <x v="1"/>
    <x v="9"/>
    <x v="163"/>
    <n v="194.52799999999999"/>
  </r>
  <r>
    <n v="289"/>
    <s v="CA-2017-112697"/>
    <d v="2017-12-18T00:00:00"/>
    <x v="119"/>
    <s v="SLOW"/>
    <s v="Second Class"/>
    <s v="AH-10195"/>
    <s v="Alan Haines"/>
    <x v="1"/>
    <s v="United States"/>
    <s v="Tamarac"/>
    <x v="2"/>
    <n v="33319"/>
    <x v="0"/>
    <s v="OFF-SU-10000646"/>
    <x v="1"/>
    <x v="14"/>
    <x v="257"/>
    <n v="961.48"/>
  </r>
  <r>
    <n v="290"/>
    <s v="CA-2017-110772"/>
    <d v="2017-11-20T00:00:00"/>
    <x v="70"/>
    <s v="SLOW"/>
    <s v="Second Class"/>
    <s v="NZ-18565"/>
    <s v="Nick Zandusky"/>
    <x v="2"/>
    <s v="United States"/>
    <s v="Columbus"/>
    <x v="24"/>
    <n v="43229"/>
    <x v="3"/>
    <s v="OFF-FA-10002983"/>
    <x v="1"/>
    <x v="13"/>
    <x v="258"/>
    <n v="19.096"/>
  </r>
  <r>
    <n v="291"/>
    <s v="CA-2017-110772"/>
    <d v="2017-11-20T00:00:00"/>
    <x v="70"/>
    <s v="SLOW"/>
    <s v="Second Class"/>
    <s v="NZ-18565"/>
    <s v="Nick Zandusky"/>
    <x v="2"/>
    <s v="United States"/>
    <s v="Columbus"/>
    <x v="24"/>
    <n v="43229"/>
    <x v="3"/>
    <s v="OFF-LA-10004689"/>
    <x v="1"/>
    <x v="2"/>
    <x v="259"/>
    <n v="18.495999999999999"/>
  </r>
  <r>
    <n v="292"/>
    <s v="CA-2017-110772"/>
    <d v="2017-11-20T00:00:00"/>
    <x v="70"/>
    <s v="SLOW"/>
    <s v="Second Class"/>
    <s v="NZ-18565"/>
    <s v="Nick Zandusky"/>
    <x v="2"/>
    <s v="United States"/>
    <s v="Columbus"/>
    <x v="24"/>
    <n v="43229"/>
    <x v="3"/>
    <s v="TEC-AC-10002001"/>
    <x v="2"/>
    <x v="11"/>
    <x v="260"/>
    <n v="255.98400000000001"/>
  </r>
  <r>
    <n v="293"/>
    <s v="CA-2017-110772"/>
    <d v="2017-11-20T00:00:00"/>
    <x v="70"/>
    <s v="SLOW"/>
    <s v="Second Class"/>
    <s v="NZ-18565"/>
    <s v="Nick Zandusky"/>
    <x v="2"/>
    <s v="United States"/>
    <s v="Columbus"/>
    <x v="24"/>
    <n v="43229"/>
    <x v="3"/>
    <s v="FUR-BO-10004709"/>
    <x v="0"/>
    <x v="0"/>
    <x v="261"/>
    <n v="86.97"/>
  </r>
  <r>
    <n v="294"/>
    <s v="CA-2015-111451"/>
    <d v="2015-12-26T00:00:00"/>
    <x v="57"/>
    <s v="MODERATE"/>
    <s v="First Class"/>
    <s v="KL-16555"/>
    <s v="Kelly Lampkin"/>
    <x v="1"/>
    <s v="United States"/>
    <s v="Colorado Springs"/>
    <x v="22"/>
    <n v="80906"/>
    <x v="1"/>
    <s v="FUR-FU-10004091"/>
    <x v="0"/>
    <x v="5"/>
    <x v="262"/>
    <n v="300.416"/>
  </r>
  <r>
    <n v="295"/>
    <s v="CA-2015-111451"/>
    <d v="2015-12-26T00:00:00"/>
    <x v="57"/>
    <s v="MODERATE"/>
    <s v="First Class"/>
    <s v="KL-16555"/>
    <s v="Kelly Lampkin"/>
    <x v="1"/>
    <s v="United States"/>
    <s v="Colorado Springs"/>
    <x v="22"/>
    <n v="80906"/>
    <x v="1"/>
    <s v="FUR-CH-10001891"/>
    <x v="0"/>
    <x v="1"/>
    <x v="263"/>
    <n v="230.352"/>
  </r>
  <r>
    <n v="296"/>
    <s v="CA-2015-111451"/>
    <d v="2015-12-26T00:00:00"/>
    <x v="57"/>
    <s v="MODERATE"/>
    <s v="First Class"/>
    <s v="KL-16555"/>
    <s v="Kelly Lampkin"/>
    <x v="1"/>
    <s v="United States"/>
    <s v="Colorado Springs"/>
    <x v="22"/>
    <n v="80906"/>
    <x v="1"/>
    <s v="FUR-FU-10002918"/>
    <x v="0"/>
    <x v="5"/>
    <x v="264"/>
    <n v="218.352"/>
  </r>
  <r>
    <n v="297"/>
    <s v="CA-2015-111451"/>
    <d v="2015-12-26T00:00:00"/>
    <x v="57"/>
    <s v="MODERATE"/>
    <s v="First Class"/>
    <s v="KL-16555"/>
    <s v="Kelly Lampkin"/>
    <x v="1"/>
    <s v="United States"/>
    <s v="Colorado Springs"/>
    <x v="22"/>
    <n v="80906"/>
    <x v="1"/>
    <s v="OFF-BI-10004593"/>
    <x v="1"/>
    <x v="8"/>
    <x v="265"/>
    <n v="78.599999999999994"/>
  </r>
  <r>
    <n v="298"/>
    <s v="CA-2015-111451"/>
    <d v="2015-12-26T00:00:00"/>
    <x v="57"/>
    <s v="MODERATE"/>
    <s v="First Class"/>
    <s v="KL-16555"/>
    <s v="Kelly Lampkin"/>
    <x v="1"/>
    <s v="United States"/>
    <s v="Colorado Springs"/>
    <x v="22"/>
    <n v="80906"/>
    <x v="1"/>
    <s v="OFF-FA-10004854"/>
    <x v="1"/>
    <x v="13"/>
    <x v="266"/>
    <n v="27.552"/>
  </r>
  <r>
    <n v="299"/>
    <s v="CA-2017-142545"/>
    <d v="2017-10-28T00:00:00"/>
    <x v="120"/>
    <s v="FAST"/>
    <s v="Standard Class"/>
    <s v="JD-15895"/>
    <s v="Jonathan Doherty"/>
    <x v="1"/>
    <s v="United States"/>
    <s v="Belleville"/>
    <x v="30"/>
    <n v="7109"/>
    <x v="3"/>
    <s v="OFF-PA-10002105"/>
    <x v="1"/>
    <x v="10"/>
    <x v="267"/>
    <n v="32.4"/>
  </r>
  <r>
    <n v="300"/>
    <s v="CA-2017-142545"/>
    <d v="2017-10-28T00:00:00"/>
    <x v="120"/>
    <s v="FAST"/>
    <s v="Standard Class"/>
    <s v="JD-15895"/>
    <s v="Jonathan Doherty"/>
    <x v="1"/>
    <s v="United States"/>
    <s v="Belleville"/>
    <x v="30"/>
    <n v="7109"/>
    <x v="3"/>
    <s v="OFF-ST-10002756"/>
    <x v="1"/>
    <x v="4"/>
    <x v="268"/>
    <n v="1082.48"/>
  </r>
  <r>
    <n v="301"/>
    <s v="CA-2017-142545"/>
    <d v="2017-10-28T00:00:00"/>
    <x v="120"/>
    <s v="FAST"/>
    <s v="Standard Class"/>
    <s v="JD-15895"/>
    <s v="Jonathan Doherty"/>
    <x v="1"/>
    <s v="United States"/>
    <s v="Belleville"/>
    <x v="30"/>
    <n v="7109"/>
    <x v="3"/>
    <s v="OFF-PA-10004243"/>
    <x v="1"/>
    <x v="10"/>
    <x v="269"/>
    <n v="56.91"/>
  </r>
  <r>
    <n v="302"/>
    <s v="CA-2017-142545"/>
    <d v="2017-10-28T00:00:00"/>
    <x v="120"/>
    <s v="FAST"/>
    <s v="Standard Class"/>
    <s v="JD-15895"/>
    <s v="Jonathan Doherty"/>
    <x v="1"/>
    <s v="United States"/>
    <s v="Belleville"/>
    <x v="30"/>
    <n v="7109"/>
    <x v="3"/>
    <s v="FUR-FU-10001861"/>
    <x v="0"/>
    <x v="5"/>
    <x v="270"/>
    <n v="77.599999999999994"/>
  </r>
  <r>
    <n v="303"/>
    <s v="CA-2017-142545"/>
    <d v="2017-10-28T00:00:00"/>
    <x v="120"/>
    <s v="FAST"/>
    <s v="Standard Class"/>
    <s v="JD-15895"/>
    <s v="Jonathan Doherty"/>
    <x v="1"/>
    <s v="United States"/>
    <s v="Belleville"/>
    <x v="30"/>
    <n v="7109"/>
    <x v="3"/>
    <s v="OFF-BI-10002706"/>
    <x v="1"/>
    <x v="8"/>
    <x v="271"/>
    <n v="14.28"/>
  </r>
  <r>
    <n v="304"/>
    <s v="US-2018-152380"/>
    <d v="2018-11-19T00:00:00"/>
    <x v="121"/>
    <s v="FAST"/>
    <s v="Standard Class"/>
    <s v="JH-15910"/>
    <s v="Jonathan Howell"/>
    <x v="0"/>
    <s v="United States"/>
    <s v="Chicago"/>
    <x v="10"/>
    <n v="60623"/>
    <x v="2"/>
    <s v="FUR-TA-10002533"/>
    <x v="0"/>
    <x v="3"/>
    <x v="272"/>
    <n v="219.07499999999999"/>
  </r>
  <r>
    <n v="305"/>
    <s v="CA-2016-144253"/>
    <d v="2016-05-04T00:00:00"/>
    <x v="122"/>
    <s v="SLOW"/>
    <s v="Second Class"/>
    <s v="AS-10225"/>
    <s v="Alan Schoenberger"/>
    <x v="1"/>
    <s v="United States"/>
    <s v="New York City"/>
    <x v="15"/>
    <n v="10024"/>
    <x v="3"/>
    <s v="FUR-FU-10002671"/>
    <x v="0"/>
    <x v="5"/>
    <x v="273"/>
    <n v="26.8"/>
  </r>
  <r>
    <n v="306"/>
    <s v="CA-2015-130960"/>
    <d v="2015-12-30T00:00:00"/>
    <x v="123"/>
    <s v="FAST"/>
    <s v="Standard Class"/>
    <s v="KB-16600"/>
    <s v="Ken Brennan"/>
    <x v="1"/>
    <s v="United States"/>
    <s v="Taylor"/>
    <x v="12"/>
    <n v="48180"/>
    <x v="2"/>
    <s v="OFF-AR-10003651"/>
    <x v="1"/>
    <x v="6"/>
    <x v="274"/>
    <n v="9.84"/>
  </r>
  <r>
    <n v="307"/>
    <s v="CA-2015-111003"/>
    <d v="2015-06-01T00:00:00"/>
    <x v="103"/>
    <s v="FAST"/>
    <s v="Standard Class"/>
    <s v="CR-12625"/>
    <s v="Corey Roper"/>
    <x v="2"/>
    <s v="United States"/>
    <s v="Lakewood"/>
    <x v="30"/>
    <n v="8701"/>
    <x v="3"/>
    <s v="OFF-BI-10001072"/>
    <x v="1"/>
    <x v="8"/>
    <x v="275"/>
    <n v="45.48"/>
  </r>
  <r>
    <n v="308"/>
    <s v="CA-2015-111003"/>
    <d v="2015-06-01T00:00:00"/>
    <x v="103"/>
    <s v="FAST"/>
    <s v="Standard Class"/>
    <s v="CR-12625"/>
    <s v="Corey Roper"/>
    <x v="2"/>
    <s v="United States"/>
    <s v="Lakewood"/>
    <x v="30"/>
    <n v="8701"/>
    <x v="3"/>
    <s v="OFF-AR-10002135"/>
    <x v="1"/>
    <x v="6"/>
    <x v="276"/>
    <n v="289.2"/>
  </r>
  <r>
    <n v="309"/>
    <s v="CA-2018-126774"/>
    <d v="2018-04-15T00:00:00"/>
    <x v="124"/>
    <s v="MODERATE"/>
    <s v="First Class"/>
    <s v="SH-20395"/>
    <s v="Shahid Hopkins"/>
    <x v="0"/>
    <s v="United States"/>
    <s v="Arlington"/>
    <x v="17"/>
    <n v="22204"/>
    <x v="0"/>
    <s v="OFF-AR-10002804"/>
    <x v="1"/>
    <x v="6"/>
    <x v="277"/>
    <n v="4.8899999999999997"/>
  </r>
  <r>
    <n v="310"/>
    <s v="CA-2017-142902"/>
    <d v="2017-09-12T00:00:00"/>
    <x v="125"/>
    <s v="SLOW"/>
    <s v="Second Class"/>
    <s v="BP-11185"/>
    <s v="Ben Peterman"/>
    <x v="1"/>
    <s v="United States"/>
    <s v="Arvada"/>
    <x v="22"/>
    <n v="80004"/>
    <x v="1"/>
    <s v="FUR-FU-10001918"/>
    <x v="0"/>
    <x v="5"/>
    <x v="278"/>
    <n v="15.135999999999999"/>
  </r>
  <r>
    <n v="311"/>
    <s v="CA-2017-142902"/>
    <d v="2017-09-12T00:00:00"/>
    <x v="125"/>
    <s v="SLOW"/>
    <s v="Second Class"/>
    <s v="BP-11185"/>
    <s v="Ben Peterman"/>
    <x v="1"/>
    <s v="United States"/>
    <s v="Arvada"/>
    <x v="22"/>
    <n v="80004"/>
    <x v="1"/>
    <s v="FUR-CH-10004086"/>
    <x v="0"/>
    <x v="1"/>
    <x v="279"/>
    <n v="466.76799999999997"/>
  </r>
  <r>
    <n v="312"/>
    <s v="CA-2017-142902"/>
    <d v="2017-09-12T00:00:00"/>
    <x v="125"/>
    <s v="SLOW"/>
    <s v="Second Class"/>
    <s v="BP-11185"/>
    <s v="Ben Peterman"/>
    <x v="1"/>
    <s v="United States"/>
    <s v="Arvada"/>
    <x v="22"/>
    <n v="80004"/>
    <x v="1"/>
    <s v="FUR-FU-10001756"/>
    <x v="0"/>
    <x v="5"/>
    <x v="280"/>
    <n v="15.231999999999999"/>
  </r>
  <r>
    <n v="313"/>
    <s v="CA-2017-142902"/>
    <d v="2017-09-12T00:00:00"/>
    <x v="125"/>
    <s v="SLOW"/>
    <s v="Second Class"/>
    <s v="BP-11185"/>
    <s v="Ben Peterman"/>
    <x v="1"/>
    <s v="United States"/>
    <s v="Arvada"/>
    <x v="22"/>
    <n v="80004"/>
    <x v="1"/>
    <s v="OFF-LA-10000634"/>
    <x v="1"/>
    <x v="2"/>
    <x v="281"/>
    <n v="6.2640000000000002"/>
  </r>
  <r>
    <n v="314"/>
    <s v="CA-2015-120887"/>
    <d v="2015-09-27T00:00:00"/>
    <x v="126"/>
    <s v="FAST"/>
    <s v="Standard Class"/>
    <s v="TS-21205"/>
    <s v="Thomas Seio"/>
    <x v="1"/>
    <s v="United States"/>
    <s v="Hackensack"/>
    <x v="30"/>
    <n v="7601"/>
    <x v="3"/>
    <s v="FUR-FU-10001588"/>
    <x v="0"/>
    <x v="5"/>
    <x v="282"/>
    <n v="87.54"/>
  </r>
  <r>
    <n v="315"/>
    <s v="CA-2015-167850"/>
    <d v="2015-08-09T00:00:00"/>
    <x v="127"/>
    <s v="FAST"/>
    <s v="Standard Class"/>
    <s v="AG-10525"/>
    <s v="Andy Gerbode"/>
    <x v="1"/>
    <s v="United States"/>
    <s v="Saint Petersburg"/>
    <x v="2"/>
    <n v="33710"/>
    <x v="0"/>
    <s v="TEC-PH-10002398"/>
    <x v="2"/>
    <x v="7"/>
    <x v="283"/>
    <n v="178.38399999999999"/>
  </r>
  <r>
    <n v="316"/>
    <s v="CA-2015-167850"/>
    <d v="2015-08-09T00:00:00"/>
    <x v="127"/>
    <s v="FAST"/>
    <s v="Standard Class"/>
    <s v="AG-10525"/>
    <s v="Andy Gerbode"/>
    <x v="1"/>
    <s v="United States"/>
    <s v="Saint Petersburg"/>
    <x v="2"/>
    <n v="33710"/>
    <x v="0"/>
    <s v="OFF-PA-10001937"/>
    <x v="1"/>
    <x v="10"/>
    <x v="284"/>
    <n v="15.552"/>
  </r>
  <r>
    <n v="317"/>
    <s v="CA-2015-164259"/>
    <d v="2015-12-28T00:00:00"/>
    <x v="128"/>
    <s v="MODERATE"/>
    <s v="First Class"/>
    <s v="SP-20860"/>
    <s v="Sung Pak"/>
    <x v="1"/>
    <s v="United States"/>
    <s v="Philadelphia"/>
    <x v="9"/>
    <n v="19143"/>
    <x v="3"/>
    <s v="OFF-AR-10003373"/>
    <x v="1"/>
    <x v="6"/>
    <x v="285"/>
    <n v="99.135999999999996"/>
  </r>
  <r>
    <n v="318"/>
    <s v="CA-2015-164973"/>
    <d v="2015-11-04T00:00:00"/>
    <x v="129"/>
    <s v="FAST"/>
    <s v="Standard Class"/>
    <s v="NM-18445"/>
    <s v="Nathan Mautz"/>
    <x v="2"/>
    <s v="United States"/>
    <s v="New York City"/>
    <x v="15"/>
    <n v="10024"/>
    <x v="3"/>
    <s v="FUR-CH-10002602"/>
    <x v="0"/>
    <x v="1"/>
    <x v="286"/>
    <n v="135.88200000000001"/>
  </r>
  <r>
    <n v="319"/>
    <s v="CA-2015-164973"/>
    <d v="2015-11-04T00:00:00"/>
    <x v="129"/>
    <s v="FAST"/>
    <s v="Standard Class"/>
    <s v="NM-18445"/>
    <s v="Nathan Mautz"/>
    <x v="2"/>
    <s v="United States"/>
    <s v="New York City"/>
    <x v="15"/>
    <n v="10024"/>
    <x v="3"/>
    <s v="TEC-MA-10002927"/>
    <x v="2"/>
    <x v="15"/>
    <x v="287"/>
    <n v="3991.98"/>
  </r>
  <r>
    <n v="320"/>
    <s v="CA-2015-164973"/>
    <d v="2015-11-04T00:00:00"/>
    <x v="129"/>
    <s v="FAST"/>
    <s v="Standard Class"/>
    <s v="NM-18445"/>
    <s v="Nathan Mautz"/>
    <x v="2"/>
    <s v="United States"/>
    <s v="New York City"/>
    <x v="15"/>
    <n v="10024"/>
    <x v="3"/>
    <s v="TEC-PH-10004093"/>
    <x v="2"/>
    <x v="7"/>
    <x v="39"/>
    <n v="275.94"/>
  </r>
  <r>
    <n v="321"/>
    <s v="CA-2015-164973"/>
    <d v="2015-11-04T00:00:00"/>
    <x v="129"/>
    <s v="FAST"/>
    <s v="Standard Class"/>
    <s v="NM-18445"/>
    <s v="Nathan Mautz"/>
    <x v="2"/>
    <s v="United States"/>
    <s v="New York City"/>
    <x v="15"/>
    <n v="10024"/>
    <x v="3"/>
    <s v="TEC-AC-10000892"/>
    <x v="2"/>
    <x v="11"/>
    <x v="288"/>
    <n v="360"/>
  </r>
  <r>
    <n v="322"/>
    <s v="CA-2015-164973"/>
    <d v="2015-11-04T00:00:00"/>
    <x v="129"/>
    <s v="FAST"/>
    <s v="Standard Class"/>
    <s v="NM-18445"/>
    <s v="Nathan Mautz"/>
    <x v="2"/>
    <s v="United States"/>
    <s v="New York City"/>
    <x v="15"/>
    <n v="10024"/>
    <x v="3"/>
    <s v="OFF-ST-10002974"/>
    <x v="1"/>
    <x v="4"/>
    <x v="119"/>
    <n v="43.57"/>
  </r>
  <r>
    <n v="323"/>
    <s v="CA-2015-156601"/>
    <d v="2015-09-19T00:00:00"/>
    <x v="130"/>
    <s v="FAST"/>
    <s v="Standard Class"/>
    <s v="FA-14230"/>
    <s v="Frank Atkinson"/>
    <x v="1"/>
    <s v="United States"/>
    <s v="Long Beach"/>
    <x v="1"/>
    <n v="90805"/>
    <x v="1"/>
    <s v="OFF-FA-10000624"/>
    <x v="1"/>
    <x v="13"/>
    <x v="289"/>
    <n v="7.16"/>
  </r>
  <r>
    <n v="324"/>
    <s v="CA-2017-162138"/>
    <d v="2017-04-23T00:00:00"/>
    <x v="131"/>
    <s v="FAST"/>
    <s v="Standard Class"/>
    <s v="GK-14620"/>
    <s v="Grace Kelly"/>
    <x v="1"/>
    <s v="United States"/>
    <s v="Hesperia"/>
    <x v="1"/>
    <n v="92345"/>
    <x v="1"/>
    <s v="OFF-BI-10004593"/>
    <x v="1"/>
    <x v="8"/>
    <x v="265"/>
    <n v="251.52"/>
  </r>
  <r>
    <n v="325"/>
    <s v="CA-2017-162138"/>
    <d v="2017-04-23T00:00:00"/>
    <x v="131"/>
    <s v="FAST"/>
    <s v="Standard Class"/>
    <s v="GK-14620"/>
    <s v="Grace Kelly"/>
    <x v="1"/>
    <s v="United States"/>
    <s v="Hesperia"/>
    <x v="1"/>
    <n v="92345"/>
    <x v="1"/>
    <s v="TEC-AC-10001908"/>
    <x v="2"/>
    <x v="11"/>
    <x v="290"/>
    <n v="99.99"/>
  </r>
  <r>
    <n v="326"/>
    <s v="CA-2018-153339"/>
    <d v="2018-11-03T00:00:00"/>
    <x v="132"/>
    <s v="SLOW"/>
    <s v="Second Class"/>
    <s v="DJ-13510"/>
    <s v="Don Jones"/>
    <x v="1"/>
    <s v="United States"/>
    <s v="Murfreesboro"/>
    <x v="18"/>
    <n v="37130"/>
    <x v="0"/>
    <s v="FUR-FU-10001967"/>
    <x v="0"/>
    <x v="5"/>
    <x v="291"/>
    <n v="15.992000000000001"/>
  </r>
  <r>
    <n v="327"/>
    <s v="US-2017-141544"/>
    <d v="2017-08-30T00:00:00"/>
    <x v="133"/>
    <s v="MODERATE"/>
    <s v="First Class"/>
    <s v="PO-18850"/>
    <s v="Patrick O'Brill"/>
    <x v="0"/>
    <s v="United States"/>
    <s v="Philadelphia"/>
    <x v="9"/>
    <n v="19143"/>
    <x v="3"/>
    <s v="TEC-PH-10003645"/>
    <x v="2"/>
    <x v="7"/>
    <x v="292"/>
    <n v="290.89800000000002"/>
  </r>
  <r>
    <n v="328"/>
    <s v="US-2017-141544"/>
    <d v="2017-08-30T00:00:00"/>
    <x v="133"/>
    <s v="MODERATE"/>
    <s v="First Class"/>
    <s v="PO-18850"/>
    <s v="Patrick O'Brill"/>
    <x v="0"/>
    <s v="United States"/>
    <s v="Philadelphia"/>
    <x v="9"/>
    <n v="19143"/>
    <x v="3"/>
    <s v="OFF-ST-10000675"/>
    <x v="1"/>
    <x v="4"/>
    <x v="293"/>
    <n v="54.223999999999997"/>
  </r>
  <r>
    <n v="329"/>
    <s v="US-2017-141544"/>
    <d v="2017-08-30T00:00:00"/>
    <x v="133"/>
    <s v="MODERATE"/>
    <s v="First Class"/>
    <s v="PO-18850"/>
    <s v="Patrick O'Brill"/>
    <x v="0"/>
    <s v="United States"/>
    <s v="Philadelphia"/>
    <x v="9"/>
    <n v="19143"/>
    <x v="3"/>
    <s v="FUR-CH-10003312"/>
    <x v="0"/>
    <x v="1"/>
    <x v="294"/>
    <n v="786.74400000000003"/>
  </r>
  <r>
    <n v="330"/>
    <s v="US-2017-141544"/>
    <d v="2017-08-30T00:00:00"/>
    <x v="133"/>
    <s v="MODERATE"/>
    <s v="First Class"/>
    <s v="PO-18850"/>
    <s v="Patrick O'Brill"/>
    <x v="0"/>
    <s v="United States"/>
    <s v="Philadelphia"/>
    <x v="9"/>
    <n v="19143"/>
    <x v="3"/>
    <s v="OFF-LA-10001074"/>
    <x v="1"/>
    <x v="2"/>
    <x v="295"/>
    <n v="100.24"/>
  </r>
  <r>
    <n v="331"/>
    <s v="US-2017-141544"/>
    <d v="2017-08-30T00:00:00"/>
    <x v="133"/>
    <s v="MODERATE"/>
    <s v="First Class"/>
    <s v="PO-18850"/>
    <s v="Patrick O'Brill"/>
    <x v="0"/>
    <s v="United States"/>
    <s v="Philadelphia"/>
    <x v="9"/>
    <n v="19143"/>
    <x v="3"/>
    <s v="OFF-BI-10001524"/>
    <x v="1"/>
    <x v="8"/>
    <x v="296"/>
    <n v="37.764000000000003"/>
  </r>
  <r>
    <n v="332"/>
    <s v="US-2017-150147"/>
    <d v="2017-04-25T00:00:00"/>
    <x v="134"/>
    <s v="SLOW"/>
    <s v="Second Class"/>
    <s v="JL-15850"/>
    <s v="John Lucas"/>
    <x v="0"/>
    <s v="United States"/>
    <s v="Philadelphia"/>
    <x v="9"/>
    <n v="19134"/>
    <x v="3"/>
    <s v="TEC-PH-10004614"/>
    <x v="2"/>
    <x v="7"/>
    <x v="297"/>
    <n v="82.8"/>
  </r>
  <r>
    <n v="333"/>
    <s v="US-2017-150147"/>
    <d v="2017-04-25T00:00:00"/>
    <x v="134"/>
    <s v="SLOW"/>
    <s v="Second Class"/>
    <s v="JL-15850"/>
    <s v="John Lucas"/>
    <x v="0"/>
    <s v="United States"/>
    <s v="Philadelphia"/>
    <x v="9"/>
    <n v="19134"/>
    <x v="3"/>
    <s v="OFF-BI-10001153"/>
    <x v="1"/>
    <x v="8"/>
    <x v="298"/>
    <n v="20.724"/>
  </r>
  <r>
    <n v="334"/>
    <s v="US-2017-150147"/>
    <d v="2017-04-25T00:00:00"/>
    <x v="134"/>
    <s v="SLOW"/>
    <s v="Second Class"/>
    <s v="JL-15850"/>
    <s v="John Lucas"/>
    <x v="0"/>
    <s v="United States"/>
    <s v="Philadelphia"/>
    <x v="9"/>
    <n v="19134"/>
    <x v="3"/>
    <s v="OFF-BI-10001982"/>
    <x v="1"/>
    <x v="8"/>
    <x v="299"/>
    <n v="4.8959999999999999"/>
  </r>
  <r>
    <n v="335"/>
    <s v="CA-2016-137946"/>
    <d v="2016-09-01T00:00:00"/>
    <x v="135"/>
    <s v="SLOW"/>
    <s v="Second Class"/>
    <s v="DB-13615"/>
    <s v="Doug Bickford"/>
    <x v="0"/>
    <s v="United States"/>
    <s v="Los Angeles"/>
    <x v="1"/>
    <n v="90045"/>
    <x v="1"/>
    <s v="OFF-BI-10001922"/>
    <x v="1"/>
    <x v="8"/>
    <x v="300"/>
    <n v="4.7519999999999998"/>
  </r>
  <r>
    <n v="336"/>
    <s v="CA-2016-137946"/>
    <d v="2016-09-01T00:00:00"/>
    <x v="135"/>
    <s v="SLOW"/>
    <s v="Second Class"/>
    <s v="DB-13615"/>
    <s v="Doug Bickford"/>
    <x v="0"/>
    <s v="United States"/>
    <s v="Los Angeles"/>
    <x v="1"/>
    <n v="90045"/>
    <x v="1"/>
    <s v="TEC-CO-10001449"/>
    <x v="2"/>
    <x v="16"/>
    <x v="301"/>
    <n v="959.98400000000004"/>
  </r>
  <r>
    <n v="337"/>
    <s v="CA-2016-137946"/>
    <d v="2016-09-01T00:00:00"/>
    <x v="135"/>
    <s v="SLOW"/>
    <s v="Second Class"/>
    <s v="DB-13615"/>
    <s v="Doug Bickford"/>
    <x v="0"/>
    <s v="United States"/>
    <s v="Los Angeles"/>
    <x v="1"/>
    <n v="90045"/>
    <x v="1"/>
    <s v="OFF-BI-10004140"/>
    <x v="1"/>
    <x v="8"/>
    <x v="302"/>
    <n v="14.368"/>
  </r>
  <r>
    <n v="338"/>
    <s v="CA-2015-129924"/>
    <d v="2015-07-12T00:00:00"/>
    <x v="136"/>
    <s v="FAST"/>
    <s v="Standard Class"/>
    <s v="AC-10420"/>
    <s v="Alyssa Crouse"/>
    <x v="1"/>
    <s v="United States"/>
    <s v="San Francisco"/>
    <x v="1"/>
    <n v="94122"/>
    <x v="1"/>
    <s v="OFF-BI-10003314"/>
    <x v="1"/>
    <x v="8"/>
    <x v="303"/>
    <n v="7.7119999999999997"/>
  </r>
  <r>
    <n v="339"/>
    <s v="CA-2015-129924"/>
    <d v="2015-07-12T00:00:00"/>
    <x v="136"/>
    <s v="FAST"/>
    <s v="Standard Class"/>
    <s v="AC-10420"/>
    <s v="Alyssa Crouse"/>
    <x v="1"/>
    <s v="United States"/>
    <s v="San Francisco"/>
    <x v="1"/>
    <n v="94122"/>
    <x v="1"/>
    <s v="FUR-TA-10004575"/>
    <x v="0"/>
    <x v="3"/>
    <x v="304"/>
    <n v="698.35199999999998"/>
  </r>
  <r>
    <n v="340"/>
    <s v="CA-2016-128167"/>
    <d v="2016-06-22T00:00:00"/>
    <x v="137"/>
    <s v="SLOW"/>
    <s v="Second Class"/>
    <s v="KL-16645"/>
    <s v="Ken Lonsdale"/>
    <x v="0"/>
    <s v="United States"/>
    <s v="Layton"/>
    <x v="7"/>
    <n v="84041"/>
    <x v="1"/>
    <s v="OFF-FA-10000490"/>
    <x v="1"/>
    <x v="13"/>
    <x v="305"/>
    <n v="4.96"/>
  </r>
  <r>
    <n v="341"/>
    <s v="CA-2015-122336"/>
    <d v="2015-04-13T00:00:00"/>
    <x v="138"/>
    <s v="SLOW"/>
    <s v="Second Class"/>
    <s v="JD-15895"/>
    <s v="Jonathan Doherty"/>
    <x v="1"/>
    <s v="United States"/>
    <s v="Philadelphia"/>
    <x v="9"/>
    <n v="19140"/>
    <x v="3"/>
    <s v="OFF-AR-10000122"/>
    <x v="1"/>
    <x v="6"/>
    <x v="306"/>
    <n v="17.856000000000002"/>
  </r>
  <r>
    <n v="342"/>
    <s v="CA-2015-122336"/>
    <d v="2015-04-13T00:00:00"/>
    <x v="138"/>
    <s v="SLOW"/>
    <s v="Second Class"/>
    <s v="JD-15895"/>
    <s v="Jonathan Doherty"/>
    <x v="1"/>
    <s v="United States"/>
    <s v="Philadelphia"/>
    <x v="9"/>
    <n v="19140"/>
    <x v="3"/>
    <s v="OFF-BI-10003656"/>
    <x v="1"/>
    <x v="8"/>
    <x v="13"/>
    <n v="509.97"/>
  </r>
  <r>
    <n v="343"/>
    <s v="CA-2015-122336"/>
    <d v="2015-04-13T00:00:00"/>
    <x v="138"/>
    <s v="SLOW"/>
    <s v="Second Class"/>
    <s v="JD-15895"/>
    <s v="Jonathan Doherty"/>
    <x v="1"/>
    <s v="United States"/>
    <s v="Philadelphia"/>
    <x v="9"/>
    <n v="19140"/>
    <x v="3"/>
    <s v="OFF-FA-10002780"/>
    <x v="1"/>
    <x v="13"/>
    <x v="124"/>
    <n v="30.992000000000001"/>
  </r>
  <r>
    <n v="344"/>
    <s v="CA-2015-122336"/>
    <d v="2015-04-13T00:00:00"/>
    <x v="138"/>
    <s v="SLOW"/>
    <s v="Second Class"/>
    <s v="JD-15895"/>
    <s v="Jonathan Doherty"/>
    <x v="1"/>
    <s v="United States"/>
    <s v="Philadelphia"/>
    <x v="9"/>
    <n v="19140"/>
    <x v="3"/>
    <s v="TEC-PH-10000702"/>
    <x v="2"/>
    <x v="7"/>
    <x v="307"/>
    <n v="71.927999999999997"/>
  </r>
  <r>
    <n v="345"/>
    <s v="US-2016-120712"/>
    <d v="2016-12-20T00:00:00"/>
    <x v="139"/>
    <s v="FAST"/>
    <s v="Standard Class"/>
    <s v="CS-12130"/>
    <s v="Chad Sievert"/>
    <x v="0"/>
    <s v="United States"/>
    <s v="Austin"/>
    <x v="5"/>
    <n v="78745"/>
    <x v="2"/>
    <s v="OFF-ST-10000107"/>
    <x v="1"/>
    <x v="4"/>
    <x v="17"/>
    <n v="88.8"/>
  </r>
  <r>
    <n v="346"/>
    <s v="CA-2018-169901"/>
    <d v="2018-06-15T00:00:00"/>
    <x v="140"/>
    <s v="FAST"/>
    <s v="Standard Class"/>
    <s v="CC-12550"/>
    <s v="Clay Cheatham"/>
    <x v="0"/>
    <s v="United States"/>
    <s v="San Francisco"/>
    <x v="1"/>
    <n v="94122"/>
    <x v="1"/>
    <s v="TEC-PH-10002293"/>
    <x v="2"/>
    <x v="7"/>
    <x v="122"/>
    <n v="47.975999999999999"/>
  </r>
  <r>
    <n v="347"/>
    <s v="CA-2018-134306"/>
    <d v="2018-07-08T00:00:00"/>
    <x v="141"/>
    <s v="FAST"/>
    <s v="Standard Class"/>
    <s v="TD-20995"/>
    <s v="Tamara Dahlen"/>
    <x v="0"/>
    <s v="United States"/>
    <s v="Lowell"/>
    <x v="31"/>
    <n v="1852"/>
    <x v="3"/>
    <s v="OFF-AR-10004027"/>
    <x v="1"/>
    <x v="6"/>
    <x v="179"/>
    <n v="7.56"/>
  </r>
  <r>
    <n v="348"/>
    <s v="CA-2018-134306"/>
    <d v="2018-07-08T00:00:00"/>
    <x v="141"/>
    <s v="FAST"/>
    <s v="Standard Class"/>
    <s v="TD-20995"/>
    <s v="Tamara Dahlen"/>
    <x v="0"/>
    <s v="United States"/>
    <s v="Lowell"/>
    <x v="31"/>
    <n v="1852"/>
    <x v="3"/>
    <s v="OFF-PA-10000249"/>
    <x v="1"/>
    <x v="10"/>
    <x v="33"/>
    <n v="24.56"/>
  </r>
  <r>
    <n v="349"/>
    <s v="CA-2018-134306"/>
    <d v="2018-07-08T00:00:00"/>
    <x v="141"/>
    <s v="FAST"/>
    <s v="Standard Class"/>
    <s v="TD-20995"/>
    <s v="Tamara Dahlen"/>
    <x v="0"/>
    <s v="United States"/>
    <s v="Lowell"/>
    <x v="31"/>
    <n v="1852"/>
    <x v="3"/>
    <s v="OFF-AR-10001374"/>
    <x v="1"/>
    <x v="6"/>
    <x v="308"/>
    <n v="12.96"/>
  </r>
  <r>
    <n v="350"/>
    <s v="CA-2017-129714"/>
    <d v="2017-09-01T00:00:00"/>
    <x v="142"/>
    <s v="MODERATE"/>
    <s v="First Class"/>
    <s v="AB-10060"/>
    <s v="Adam Bellavance"/>
    <x v="2"/>
    <s v="United States"/>
    <s v="New York City"/>
    <x v="15"/>
    <n v="10009"/>
    <x v="3"/>
    <s v="TEC-AC-10000290"/>
    <x v="2"/>
    <x v="11"/>
    <x v="230"/>
    <n v="6.79"/>
  </r>
  <r>
    <n v="351"/>
    <s v="CA-2017-129714"/>
    <d v="2017-09-01T00:00:00"/>
    <x v="142"/>
    <s v="MODERATE"/>
    <s v="First Class"/>
    <s v="AB-10060"/>
    <s v="Adam Bellavance"/>
    <x v="2"/>
    <s v="United States"/>
    <s v="New York City"/>
    <x v="15"/>
    <n v="10009"/>
    <x v="3"/>
    <s v="OFF-PA-10001970"/>
    <x v="1"/>
    <x v="10"/>
    <x v="309"/>
    <n v="24.56"/>
  </r>
  <r>
    <n v="352"/>
    <s v="CA-2017-129714"/>
    <d v="2017-09-01T00:00:00"/>
    <x v="142"/>
    <s v="MODERATE"/>
    <s v="First Class"/>
    <s v="AB-10060"/>
    <s v="Adam Bellavance"/>
    <x v="2"/>
    <s v="United States"/>
    <s v="New York City"/>
    <x v="15"/>
    <n v="10009"/>
    <x v="3"/>
    <s v="OFF-BI-10002160"/>
    <x v="1"/>
    <x v="8"/>
    <x v="310"/>
    <n v="3.048"/>
  </r>
  <r>
    <n v="353"/>
    <s v="CA-2017-129714"/>
    <d v="2017-09-01T00:00:00"/>
    <x v="142"/>
    <s v="MODERATE"/>
    <s v="First Class"/>
    <s v="AB-10060"/>
    <s v="Adam Bellavance"/>
    <x v="2"/>
    <s v="United States"/>
    <s v="New York City"/>
    <x v="15"/>
    <n v="10009"/>
    <x v="3"/>
    <s v="OFF-PA-10001970"/>
    <x v="1"/>
    <x v="10"/>
    <x v="309"/>
    <n v="49.12"/>
  </r>
  <r>
    <n v="354"/>
    <s v="CA-2017-129714"/>
    <d v="2017-09-01T00:00:00"/>
    <x v="142"/>
    <s v="MODERATE"/>
    <s v="First Class"/>
    <s v="AB-10060"/>
    <s v="Adam Bellavance"/>
    <x v="2"/>
    <s v="United States"/>
    <s v="New York City"/>
    <x v="15"/>
    <n v="10009"/>
    <x v="3"/>
    <s v="OFF-BI-10004995"/>
    <x v="1"/>
    <x v="8"/>
    <x v="311"/>
    <n v="4355.1679999999997"/>
  </r>
  <r>
    <n v="355"/>
    <s v="CA-2017-138520"/>
    <d v="2017-04-08T00:00:00"/>
    <x v="143"/>
    <s v="FAST"/>
    <s v="Standard Class"/>
    <s v="JL-15505"/>
    <s v="Jeremy Lonsdale"/>
    <x v="0"/>
    <s v="United States"/>
    <s v="New York City"/>
    <x v="15"/>
    <n v="10035"/>
    <x v="3"/>
    <s v="FUR-BO-10002268"/>
    <x v="0"/>
    <x v="0"/>
    <x v="312"/>
    <n v="388.70400000000001"/>
  </r>
  <r>
    <n v="357"/>
    <s v="CA-2017-138520"/>
    <d v="2017-04-08T00:00:00"/>
    <x v="143"/>
    <s v="FAST"/>
    <s v="Standard Class"/>
    <s v="JL-15505"/>
    <s v="Jeremy Lonsdale"/>
    <x v="0"/>
    <s v="United States"/>
    <s v="New York City"/>
    <x v="15"/>
    <n v="10035"/>
    <x v="3"/>
    <s v="OFF-AR-10002399"/>
    <x v="1"/>
    <x v="6"/>
    <x v="313"/>
    <n v="17.04"/>
  </r>
  <r>
    <n v="358"/>
    <s v="CA-2017-138520"/>
    <d v="2017-04-08T00:00:00"/>
    <x v="143"/>
    <s v="FAST"/>
    <s v="Standard Class"/>
    <s v="JL-15505"/>
    <s v="Jeremy Lonsdale"/>
    <x v="0"/>
    <s v="United States"/>
    <s v="New York City"/>
    <x v="15"/>
    <n v="10035"/>
    <x v="3"/>
    <s v="OFF-PA-10002713"/>
    <x v="1"/>
    <x v="10"/>
    <x v="314"/>
    <n v="34.4"/>
  </r>
  <r>
    <n v="359"/>
    <s v="CA-2017-130001"/>
    <d v="2017-04-23T00:00:00"/>
    <x v="144"/>
    <s v="FAST"/>
    <s v="Standard Class"/>
    <s v="HK-14890"/>
    <s v="Heather Kirkland"/>
    <x v="1"/>
    <s v="United States"/>
    <s v="Charlotte"/>
    <x v="3"/>
    <n v="28205"/>
    <x v="0"/>
    <s v="OFF-PA-10002666"/>
    <x v="1"/>
    <x v="10"/>
    <x v="183"/>
    <n v="36.24"/>
  </r>
  <r>
    <n v="360"/>
    <s v="CA-2018-155698"/>
    <d v="2018-03-08T00:00:00"/>
    <x v="145"/>
    <s v="MODERATE"/>
    <s v="First Class"/>
    <s v="VB-21745"/>
    <s v="Victoria Brennan"/>
    <x v="1"/>
    <s v="United States"/>
    <s v="Columbus"/>
    <x v="32"/>
    <n v="31907"/>
    <x v="0"/>
    <s v="OFF-AP-10001124"/>
    <x v="1"/>
    <x v="9"/>
    <x v="315"/>
    <n v="647.84"/>
  </r>
  <r>
    <n v="361"/>
    <s v="CA-2018-155698"/>
    <d v="2018-03-08T00:00:00"/>
    <x v="145"/>
    <s v="MODERATE"/>
    <s v="First Class"/>
    <s v="VB-21745"/>
    <s v="Victoria Brennan"/>
    <x v="1"/>
    <s v="United States"/>
    <s v="Columbus"/>
    <x v="32"/>
    <n v="31907"/>
    <x v="0"/>
    <s v="OFF-LA-10001158"/>
    <x v="1"/>
    <x v="2"/>
    <x v="316"/>
    <n v="20.7"/>
  </r>
  <r>
    <n v="362"/>
    <s v="CA-2018-144904"/>
    <d v="2018-09-25T00:00:00"/>
    <x v="146"/>
    <s v="FAST"/>
    <s v="Standard Class"/>
    <s v="KW-16435"/>
    <s v="Katrina Willman"/>
    <x v="0"/>
    <s v="United States"/>
    <s v="New York City"/>
    <x v="15"/>
    <n v="10009"/>
    <x v="3"/>
    <s v="OFF-LA-10001158"/>
    <x v="1"/>
    <x v="2"/>
    <x v="316"/>
    <n v="20.7"/>
  </r>
  <r>
    <n v="363"/>
    <s v="CA-2018-144904"/>
    <d v="2018-09-25T00:00:00"/>
    <x v="146"/>
    <s v="FAST"/>
    <s v="Standard Class"/>
    <s v="KW-16435"/>
    <s v="Katrina Willman"/>
    <x v="0"/>
    <s v="United States"/>
    <s v="New York City"/>
    <x v="15"/>
    <n v="10009"/>
    <x v="3"/>
    <s v="FUR-CH-10000785"/>
    <x v="0"/>
    <x v="1"/>
    <x v="317"/>
    <n v="488.64600000000002"/>
  </r>
  <r>
    <n v="364"/>
    <s v="CA-2018-144904"/>
    <d v="2018-09-25T00:00:00"/>
    <x v="146"/>
    <s v="FAST"/>
    <s v="Standard Class"/>
    <s v="KW-16435"/>
    <s v="Katrina Willman"/>
    <x v="0"/>
    <s v="United States"/>
    <s v="New York City"/>
    <x v="15"/>
    <n v="10009"/>
    <x v="3"/>
    <s v="OFF-AR-10003732"/>
    <x v="1"/>
    <x v="6"/>
    <x v="318"/>
    <n v="5.56"/>
  </r>
  <r>
    <n v="365"/>
    <s v="CA-2018-144904"/>
    <d v="2018-09-25T00:00:00"/>
    <x v="146"/>
    <s v="FAST"/>
    <s v="Standard Class"/>
    <s v="KW-16435"/>
    <s v="Katrina Willman"/>
    <x v="0"/>
    <s v="United States"/>
    <s v="New York City"/>
    <x v="15"/>
    <n v="10009"/>
    <x v="3"/>
    <s v="FUR-FU-10000023"/>
    <x v="0"/>
    <x v="5"/>
    <x v="319"/>
    <n v="47.12"/>
  </r>
  <r>
    <n v="366"/>
    <s v="CA-2015-123344"/>
    <d v="2015-09-24T00:00:00"/>
    <x v="147"/>
    <s v="FAST"/>
    <s v="Standard Class"/>
    <s v="JD-16060"/>
    <s v="Julia Dunbar"/>
    <x v="0"/>
    <s v="United States"/>
    <s v="San Francisco"/>
    <x v="1"/>
    <n v="94109"/>
    <x v="1"/>
    <s v="OFF-ST-10001713"/>
    <x v="1"/>
    <x v="4"/>
    <x v="44"/>
    <n v="211.96"/>
  </r>
  <r>
    <n v="367"/>
    <s v="CA-2017-155516"/>
    <d v="2017-10-21T00:00:00"/>
    <x v="148"/>
    <s v="MODERATE"/>
    <s v="Same Day"/>
    <s v="MK-17905"/>
    <s v="Michael Kennedy"/>
    <x v="1"/>
    <s v="United States"/>
    <s v="Manchester"/>
    <x v="29"/>
    <n v="6040"/>
    <x v="3"/>
    <s v="OFF-BI-10002412"/>
    <x v="1"/>
    <x v="8"/>
    <x v="320"/>
    <n v="23.2"/>
  </r>
  <r>
    <n v="368"/>
    <s v="CA-2017-155516"/>
    <d v="2017-10-21T00:00:00"/>
    <x v="148"/>
    <s v="MODERATE"/>
    <s v="Same Day"/>
    <s v="MK-17905"/>
    <s v="Michael Kennedy"/>
    <x v="1"/>
    <s v="United States"/>
    <s v="Manchester"/>
    <x v="29"/>
    <n v="6040"/>
    <x v="3"/>
    <s v="OFF-SU-10001225"/>
    <x v="1"/>
    <x v="14"/>
    <x v="321"/>
    <n v="7.36"/>
  </r>
  <r>
    <n v="369"/>
    <s v="CA-2017-155516"/>
    <d v="2017-10-21T00:00:00"/>
    <x v="148"/>
    <s v="MODERATE"/>
    <s v="Same Day"/>
    <s v="MK-17905"/>
    <s v="Michael Kennedy"/>
    <x v="1"/>
    <s v="United States"/>
    <s v="Manchester"/>
    <x v="29"/>
    <n v="6040"/>
    <x v="3"/>
    <s v="OFF-ST-10002406"/>
    <x v="1"/>
    <x v="4"/>
    <x v="322"/>
    <n v="104.79"/>
  </r>
  <r>
    <n v="370"/>
    <s v="CA-2017-155516"/>
    <d v="2017-10-21T00:00:00"/>
    <x v="148"/>
    <s v="MODERATE"/>
    <s v="Same Day"/>
    <s v="MK-17905"/>
    <s v="Michael Kennedy"/>
    <x v="1"/>
    <s v="United States"/>
    <s v="Manchester"/>
    <x v="29"/>
    <n v="6040"/>
    <x v="3"/>
    <s v="FUR-BO-10002545"/>
    <x v="0"/>
    <x v="0"/>
    <x v="36"/>
    <n v="1043.92"/>
  </r>
  <r>
    <n v="371"/>
    <s v="CA-2018-104745"/>
    <d v="2018-05-29T00:00:00"/>
    <x v="149"/>
    <s v="FAST"/>
    <s v="Standard Class"/>
    <s v="GT-14755"/>
    <s v="Guy Thornton"/>
    <x v="0"/>
    <s v="United States"/>
    <s v="Harlingen"/>
    <x v="5"/>
    <n v="78550"/>
    <x v="2"/>
    <s v="OFF-PA-10002036"/>
    <x v="1"/>
    <x v="10"/>
    <x v="323"/>
    <n v="25.92"/>
  </r>
  <r>
    <n v="372"/>
    <s v="CA-2018-104745"/>
    <d v="2018-05-29T00:00:00"/>
    <x v="149"/>
    <s v="FAST"/>
    <s v="Standard Class"/>
    <s v="GT-14755"/>
    <s v="Guy Thornton"/>
    <x v="0"/>
    <s v="United States"/>
    <s v="Harlingen"/>
    <x v="5"/>
    <n v="78550"/>
    <x v="2"/>
    <s v="OFF-ST-10002205"/>
    <x v="1"/>
    <x v="4"/>
    <x v="324"/>
    <n v="53.423999999999999"/>
  </r>
  <r>
    <n v="373"/>
    <s v="US-2015-119137"/>
    <d v="2015-07-23T00:00:00"/>
    <x v="150"/>
    <s v="FAST"/>
    <s v="Standard Class"/>
    <s v="AG-10900"/>
    <s v="Arthur Gainer"/>
    <x v="0"/>
    <s v="United States"/>
    <s v="Tucson"/>
    <x v="16"/>
    <n v="85705"/>
    <x v="1"/>
    <s v="OFF-BI-10001982"/>
    <x v="1"/>
    <x v="8"/>
    <x v="299"/>
    <n v="8.16"/>
  </r>
  <r>
    <n v="374"/>
    <s v="US-2015-119137"/>
    <d v="2015-07-23T00:00:00"/>
    <x v="150"/>
    <s v="FAST"/>
    <s v="Standard Class"/>
    <s v="AG-10900"/>
    <s v="Arthur Gainer"/>
    <x v="0"/>
    <s v="United States"/>
    <s v="Tucson"/>
    <x v="16"/>
    <n v="85705"/>
    <x v="1"/>
    <s v="TEC-AC-10003911"/>
    <x v="2"/>
    <x v="11"/>
    <x v="325"/>
    <n v="1023.936"/>
  </r>
  <r>
    <n v="375"/>
    <s v="US-2015-119137"/>
    <d v="2015-07-23T00:00:00"/>
    <x v="150"/>
    <s v="FAST"/>
    <s v="Standard Class"/>
    <s v="AG-10900"/>
    <s v="Arthur Gainer"/>
    <x v="0"/>
    <s v="United States"/>
    <s v="Tucson"/>
    <x v="16"/>
    <n v="85705"/>
    <x v="1"/>
    <s v="OFF-AR-10000658"/>
    <x v="1"/>
    <x v="6"/>
    <x v="326"/>
    <n v="9.24"/>
  </r>
  <r>
    <n v="376"/>
    <s v="US-2015-119137"/>
    <d v="2015-07-23T00:00:00"/>
    <x v="150"/>
    <s v="FAST"/>
    <s v="Standard Class"/>
    <s v="AG-10900"/>
    <s v="Arthur Gainer"/>
    <x v="0"/>
    <s v="United States"/>
    <s v="Tucson"/>
    <x v="16"/>
    <n v="85705"/>
    <x v="1"/>
    <s v="TEC-AC-10002076"/>
    <x v="2"/>
    <x v="11"/>
    <x v="327"/>
    <n v="479.04"/>
  </r>
  <r>
    <n v="377"/>
    <s v="US-2017-134656"/>
    <d v="2017-09-28T00:00:00"/>
    <x v="151"/>
    <s v="MODERATE"/>
    <s v="First Class"/>
    <s v="MM-18280"/>
    <s v="Muhammed MacIntyre"/>
    <x v="1"/>
    <s v="United States"/>
    <s v="Quincy"/>
    <x v="10"/>
    <n v="62301"/>
    <x v="2"/>
    <s v="OFF-PA-10003039"/>
    <x v="1"/>
    <x v="10"/>
    <x v="328"/>
    <n v="99.135999999999996"/>
  </r>
  <r>
    <n v="378"/>
    <s v="US-2018-134481"/>
    <d v="2018-08-27T00:00:00"/>
    <x v="152"/>
    <s v="FAST"/>
    <s v="Standard Class"/>
    <s v="AR-10405"/>
    <s v="Allen Rosenblatt"/>
    <x v="1"/>
    <s v="United States"/>
    <s v="Franklin"/>
    <x v="31"/>
    <n v="2038"/>
    <x v="3"/>
    <s v="FUR-TA-10004915"/>
    <x v="0"/>
    <x v="3"/>
    <x v="329"/>
    <n v="1488.424"/>
  </r>
  <r>
    <n v="379"/>
    <s v="CA-2016-130792"/>
    <d v="2016-04-28T00:00:00"/>
    <x v="27"/>
    <s v="FAST"/>
    <s v="Standard Class"/>
    <s v="RA-19915"/>
    <s v="Russell Applegate"/>
    <x v="0"/>
    <s v="United States"/>
    <s v="Houston"/>
    <x v="5"/>
    <n v="77095"/>
    <x v="2"/>
    <s v="OFF-AP-10000696"/>
    <x v="1"/>
    <x v="9"/>
    <x v="330"/>
    <n v="8.6519999999999992"/>
  </r>
  <r>
    <n v="380"/>
    <s v="CA-2016-130792"/>
    <d v="2016-04-28T00:00:00"/>
    <x v="27"/>
    <s v="FAST"/>
    <s v="Standard Class"/>
    <s v="RA-19915"/>
    <s v="Russell Applegate"/>
    <x v="0"/>
    <s v="United States"/>
    <s v="Houston"/>
    <x v="5"/>
    <n v="77095"/>
    <x v="2"/>
    <s v="OFF-ST-10003327"/>
    <x v="1"/>
    <x v="4"/>
    <x v="331"/>
    <n v="23.832000000000001"/>
  </r>
  <r>
    <n v="381"/>
    <s v="CA-2016-130792"/>
    <d v="2016-04-28T00:00:00"/>
    <x v="27"/>
    <s v="FAST"/>
    <s v="Standard Class"/>
    <s v="RA-19915"/>
    <s v="Russell Applegate"/>
    <x v="0"/>
    <s v="United States"/>
    <s v="Houston"/>
    <x v="5"/>
    <n v="77095"/>
    <x v="2"/>
    <s v="OFF-BI-10000309"/>
    <x v="1"/>
    <x v="8"/>
    <x v="332"/>
    <n v="12.176"/>
  </r>
  <r>
    <n v="382"/>
    <s v="CA-2017-134775"/>
    <d v="2017-10-28T00:00:00"/>
    <x v="153"/>
    <s v="MODERATE"/>
    <s v="First Class"/>
    <s v="AS-10285"/>
    <s v="Alejandro Savely"/>
    <x v="1"/>
    <s v="United States"/>
    <s v="San Francisco"/>
    <x v="1"/>
    <n v="94109"/>
    <x v="1"/>
    <s v="OFF-PA-10004734"/>
    <x v="1"/>
    <x v="10"/>
    <x v="333"/>
    <n v="50.96"/>
  </r>
  <r>
    <n v="383"/>
    <s v="CA-2017-134775"/>
    <d v="2017-10-28T00:00:00"/>
    <x v="153"/>
    <s v="MODERATE"/>
    <s v="First Class"/>
    <s v="AS-10285"/>
    <s v="Alejandro Savely"/>
    <x v="1"/>
    <s v="United States"/>
    <s v="San Francisco"/>
    <x v="1"/>
    <n v="94109"/>
    <x v="1"/>
    <s v="OFF-BI-10002225"/>
    <x v="1"/>
    <x v="8"/>
    <x v="334"/>
    <n v="49.536000000000001"/>
  </r>
  <r>
    <n v="384"/>
    <s v="CA-2016-125395"/>
    <d v="2016-06-26T00:00:00"/>
    <x v="154"/>
    <s v="SLOW"/>
    <s v="Second Class"/>
    <s v="LA-16780"/>
    <s v="Laura Armstrong"/>
    <x v="1"/>
    <s v="United States"/>
    <s v="Taylor"/>
    <x v="12"/>
    <n v="48180"/>
    <x v="2"/>
    <s v="TEC-AC-10004708"/>
    <x v="2"/>
    <x v="11"/>
    <x v="335"/>
    <n v="41.9"/>
  </r>
  <r>
    <n v="385"/>
    <s v="US-2016-168935"/>
    <d v="2016-11-27T00:00:00"/>
    <x v="155"/>
    <s v="FAST"/>
    <s v="Standard Class"/>
    <s v="DO-13435"/>
    <s v="Denny Ordway"/>
    <x v="0"/>
    <s v="United States"/>
    <s v="Pembroke Pines"/>
    <x v="2"/>
    <n v="33024"/>
    <x v="0"/>
    <s v="FUR-TA-10000617"/>
    <x v="0"/>
    <x v="3"/>
    <x v="336"/>
    <n v="375.45749999999998"/>
  </r>
  <r>
    <n v="386"/>
    <s v="US-2016-168935"/>
    <d v="2016-11-27T00:00:00"/>
    <x v="155"/>
    <s v="FAST"/>
    <s v="Standard Class"/>
    <s v="DO-13435"/>
    <s v="Denny Ordway"/>
    <x v="0"/>
    <s v="United States"/>
    <s v="Pembroke Pines"/>
    <x v="2"/>
    <n v="33024"/>
    <x v="0"/>
    <s v="TEC-AC-10002335"/>
    <x v="2"/>
    <x v="11"/>
    <x v="337"/>
    <n v="83.975999999999999"/>
  </r>
  <r>
    <n v="387"/>
    <s v="CA-2016-122756"/>
    <d v="2016-12-03T00:00:00"/>
    <x v="156"/>
    <s v="FAST"/>
    <s v="Standard Class"/>
    <s v="DK-13225"/>
    <s v="Dean Katz"/>
    <x v="1"/>
    <s v="United States"/>
    <s v="Philadelphia"/>
    <x v="9"/>
    <n v="19140"/>
    <x v="3"/>
    <s v="TEC-MA-10001681"/>
    <x v="2"/>
    <x v="15"/>
    <x v="338"/>
    <n v="482.34"/>
  </r>
  <r>
    <n v="389"/>
    <s v="CA-2015-115973"/>
    <d v="2015-11-24T00:00:00"/>
    <x v="157"/>
    <s v="MODERATE"/>
    <s v="First Class"/>
    <s v="NG-18430"/>
    <s v="Nathan Gelder"/>
    <x v="0"/>
    <s v="United States"/>
    <s v="Cincinnati"/>
    <x v="24"/>
    <n v="45231"/>
    <x v="3"/>
    <s v="OFF-AR-10004757"/>
    <x v="1"/>
    <x v="6"/>
    <x v="339"/>
    <n v="2.6240000000000001"/>
  </r>
  <r>
    <n v="390"/>
    <s v="CA-2018-101798"/>
    <d v="2018-12-11T00:00:00"/>
    <x v="158"/>
    <s v="FAST"/>
    <s v="Standard Class"/>
    <s v="MV-18190"/>
    <s v="Mike Vittorini"/>
    <x v="0"/>
    <s v="United States"/>
    <s v="New York City"/>
    <x v="15"/>
    <n v="10009"/>
    <x v="3"/>
    <s v="OFF-BI-10000050"/>
    <x v="1"/>
    <x v="8"/>
    <x v="340"/>
    <n v="23.36"/>
  </r>
  <r>
    <n v="391"/>
    <s v="CA-2018-101798"/>
    <d v="2018-12-11T00:00:00"/>
    <x v="158"/>
    <s v="FAST"/>
    <s v="Standard Class"/>
    <s v="MV-18190"/>
    <s v="Mike Vittorini"/>
    <x v="0"/>
    <s v="United States"/>
    <s v="New York City"/>
    <x v="15"/>
    <n v="10009"/>
    <x v="3"/>
    <s v="TEC-AC-10001998"/>
    <x v="2"/>
    <x v="11"/>
    <x v="81"/>
    <n v="39.979999999999997"/>
  </r>
  <r>
    <n v="392"/>
    <s v="US-2015-135972"/>
    <d v="2015-09-21T00:00:00"/>
    <x v="159"/>
    <s v="SLOW"/>
    <s v="Second Class"/>
    <s v="JG-15115"/>
    <s v="Jack Garza"/>
    <x v="0"/>
    <s v="United States"/>
    <s v="Des Moines"/>
    <x v="4"/>
    <n v="98198"/>
    <x v="1"/>
    <s v="TEC-PH-10003012"/>
    <x v="2"/>
    <x v="7"/>
    <x v="341"/>
    <n v="246.38399999999999"/>
  </r>
  <r>
    <n v="393"/>
    <s v="US-2015-135972"/>
    <d v="2015-09-21T00:00:00"/>
    <x v="159"/>
    <s v="SLOW"/>
    <s v="Second Class"/>
    <s v="JG-15115"/>
    <s v="Jack Garza"/>
    <x v="0"/>
    <s v="United States"/>
    <s v="Des Moines"/>
    <x v="4"/>
    <n v="98198"/>
    <x v="1"/>
    <s v="TEC-CO-10002313"/>
    <x v="2"/>
    <x v="16"/>
    <x v="342"/>
    <n v="1799.97"/>
  </r>
  <r>
    <n v="394"/>
    <s v="US-2015-134971"/>
    <d v="2015-06-07T00:00:00"/>
    <x v="160"/>
    <s v="SLOW"/>
    <s v="Second Class"/>
    <s v="BP-11095"/>
    <s v="Bart Pistole"/>
    <x v="1"/>
    <s v="United States"/>
    <s v="Peoria"/>
    <x v="10"/>
    <n v="61604"/>
    <x v="2"/>
    <s v="OFF-BI-10003982"/>
    <x v="1"/>
    <x v="8"/>
    <x v="343"/>
    <n v="12.462"/>
  </r>
  <r>
    <n v="395"/>
    <s v="CA-2018-102946"/>
    <d v="2018-06-30T00:00:00"/>
    <x v="161"/>
    <s v="FAST"/>
    <s v="Standard Class"/>
    <s v="VP-21730"/>
    <s v="Victor Preis"/>
    <x v="2"/>
    <s v="United States"/>
    <s v="Las Vegas"/>
    <x v="33"/>
    <n v="89115"/>
    <x v="1"/>
    <s v="OFF-BI-10004492"/>
    <x v="1"/>
    <x v="8"/>
    <x v="344"/>
    <n v="75.792000000000002"/>
  </r>
  <r>
    <n v="397"/>
    <s v="CA-2018-165603"/>
    <d v="2018-10-17T00:00:00"/>
    <x v="162"/>
    <s v="SLOW"/>
    <s v="Second Class"/>
    <s v="SS-20140"/>
    <s v="Saphhira Shifley"/>
    <x v="1"/>
    <s v="United States"/>
    <s v="Warwick"/>
    <x v="34"/>
    <n v="2886"/>
    <x v="3"/>
    <s v="OFF-PA-10002552"/>
    <x v="1"/>
    <x v="10"/>
    <x v="345"/>
    <n v="12.96"/>
  </r>
  <r>
    <n v="398"/>
    <s v="CA-2016-122259"/>
    <d v="2016-10-31T00:00:00"/>
    <x v="163"/>
    <s v="FAST"/>
    <s v="Standard Class"/>
    <s v="HP-14815"/>
    <s v="Harold Pawlan"/>
    <x v="2"/>
    <s v="United States"/>
    <s v="Jackson"/>
    <x v="12"/>
    <n v="49201"/>
    <x v="2"/>
    <s v="OFF-SU-10002573"/>
    <x v="1"/>
    <x v="14"/>
    <x v="346"/>
    <n v="70.12"/>
  </r>
  <r>
    <n v="399"/>
    <s v="CA-2017-108987"/>
    <d v="2017-09-08T00:00:00"/>
    <x v="164"/>
    <s v="SLOW"/>
    <s v="Second Class"/>
    <s v="AG-10675"/>
    <s v="Anna Gayman"/>
    <x v="0"/>
    <s v="United States"/>
    <s v="Houston"/>
    <x v="5"/>
    <n v="77036"/>
    <x v="2"/>
    <s v="OFF-ST-10001580"/>
    <x v="1"/>
    <x v="4"/>
    <x v="347"/>
    <n v="35.951999999999998"/>
  </r>
  <r>
    <n v="400"/>
    <s v="CA-2017-108987"/>
    <d v="2017-09-08T00:00:00"/>
    <x v="164"/>
    <s v="SLOW"/>
    <s v="Second Class"/>
    <s v="AG-10675"/>
    <s v="Anna Gayman"/>
    <x v="0"/>
    <s v="United States"/>
    <s v="Houston"/>
    <x v="5"/>
    <n v="77036"/>
    <x v="2"/>
    <s v="FUR-BO-10004834"/>
    <x v="0"/>
    <x v="0"/>
    <x v="26"/>
    <n v="2396.2656000000002"/>
  </r>
  <r>
    <n v="401"/>
    <s v="CA-2017-108987"/>
    <d v="2017-09-08T00:00:00"/>
    <x v="164"/>
    <s v="SLOW"/>
    <s v="Second Class"/>
    <s v="AG-10675"/>
    <s v="Anna Gayman"/>
    <x v="0"/>
    <s v="United States"/>
    <s v="Houston"/>
    <x v="5"/>
    <n v="77036"/>
    <x v="2"/>
    <s v="OFF-ST-10000934"/>
    <x v="1"/>
    <x v="4"/>
    <x v="348"/>
    <n v="131.136"/>
  </r>
  <r>
    <n v="402"/>
    <s v="CA-2017-108987"/>
    <d v="2017-09-08T00:00:00"/>
    <x v="164"/>
    <s v="SLOW"/>
    <s v="Second Class"/>
    <s v="AG-10675"/>
    <s v="Anna Gayman"/>
    <x v="0"/>
    <s v="United States"/>
    <s v="Houston"/>
    <x v="5"/>
    <n v="77036"/>
    <x v="2"/>
    <s v="TEC-AC-10000158"/>
    <x v="2"/>
    <x v="11"/>
    <x v="349"/>
    <n v="57.584000000000003"/>
  </r>
  <r>
    <n v="403"/>
    <s v="CA-2015-113166"/>
    <d v="2015-12-24T00:00:00"/>
    <x v="165"/>
    <s v="MODERATE"/>
    <s v="First Class"/>
    <s v="LF-17185"/>
    <s v="Luke Foster"/>
    <x v="0"/>
    <s v="United States"/>
    <s v="Miami"/>
    <x v="2"/>
    <n v="33180"/>
    <x v="0"/>
    <s v="OFF-PA-10001947"/>
    <x v="1"/>
    <x v="10"/>
    <x v="350"/>
    <n v="9.5679999999999996"/>
  </r>
  <r>
    <n v="404"/>
    <s v="CA-2015-155208"/>
    <d v="2015-04-16T00:00:00"/>
    <x v="166"/>
    <s v="FAST"/>
    <s v="Standard Class"/>
    <s v="SP-20650"/>
    <s v="Stephanie Phelps"/>
    <x v="1"/>
    <s v="United States"/>
    <s v="Wilmington"/>
    <x v="3"/>
    <n v="28403"/>
    <x v="0"/>
    <s v="OFF-AR-10003478"/>
    <x v="1"/>
    <x v="6"/>
    <x v="351"/>
    <n v="39.072000000000003"/>
  </r>
  <r>
    <n v="405"/>
    <s v="CA-2018-117933"/>
    <d v="2018-12-24T00:00:00"/>
    <x v="167"/>
    <s v="FAST"/>
    <s v="Standard Class"/>
    <s v="RF-19840"/>
    <s v="Roy FranzÃ¶sisch"/>
    <x v="0"/>
    <s v="United States"/>
    <s v="New York City"/>
    <x v="15"/>
    <n v="10024"/>
    <x v="3"/>
    <s v="OFF-AP-10004249"/>
    <x v="1"/>
    <x v="9"/>
    <x v="352"/>
    <n v="35.909999999999997"/>
  </r>
  <r>
    <n v="406"/>
    <s v="CA-2018-117457"/>
    <d v="2018-12-08T00:00:00"/>
    <x v="168"/>
    <s v="FAST"/>
    <s v="Standard Class"/>
    <s v="KH-16510"/>
    <s v="Keith Herrera"/>
    <x v="0"/>
    <s v="United States"/>
    <s v="San Francisco"/>
    <x v="1"/>
    <n v="94110"/>
    <x v="1"/>
    <s v="TEC-AC-10000158"/>
    <x v="2"/>
    <x v="11"/>
    <x v="349"/>
    <n v="179.95"/>
  </r>
  <r>
    <n v="407"/>
    <s v="CA-2018-117457"/>
    <d v="2018-12-08T00:00:00"/>
    <x v="168"/>
    <s v="FAST"/>
    <s v="Standard Class"/>
    <s v="KH-16510"/>
    <s v="Keith Herrera"/>
    <x v="0"/>
    <s v="United States"/>
    <s v="San Francisco"/>
    <x v="1"/>
    <n v="94110"/>
    <x v="1"/>
    <s v="TEC-CO-10004115"/>
    <x v="2"/>
    <x v="16"/>
    <x v="353"/>
    <n v="1199.9760000000001"/>
  </r>
  <r>
    <n v="408"/>
    <s v="CA-2018-117457"/>
    <d v="2018-12-08T00:00:00"/>
    <x v="168"/>
    <s v="FAST"/>
    <s v="Standard Class"/>
    <s v="KH-16510"/>
    <s v="Keith Herrera"/>
    <x v="0"/>
    <s v="United States"/>
    <s v="San Francisco"/>
    <x v="1"/>
    <n v="94110"/>
    <x v="1"/>
    <s v="OFF-PA-10003724"/>
    <x v="1"/>
    <x v="10"/>
    <x v="354"/>
    <n v="27.15"/>
  </r>
  <r>
    <n v="409"/>
    <s v="CA-2018-117457"/>
    <d v="2018-12-08T00:00:00"/>
    <x v="168"/>
    <s v="FAST"/>
    <s v="Standard Class"/>
    <s v="KH-16510"/>
    <s v="Keith Herrera"/>
    <x v="0"/>
    <s v="United States"/>
    <s v="San Francisco"/>
    <x v="1"/>
    <n v="94110"/>
    <x v="1"/>
    <s v="FUR-TA-10002041"/>
    <x v="0"/>
    <x v="3"/>
    <x v="355"/>
    <n v="1004.024"/>
  </r>
  <r>
    <n v="410"/>
    <s v="CA-2018-117457"/>
    <d v="2018-12-08T00:00:00"/>
    <x v="168"/>
    <s v="FAST"/>
    <s v="Standard Class"/>
    <s v="KH-16510"/>
    <s v="Keith Herrera"/>
    <x v="0"/>
    <s v="United States"/>
    <s v="San Francisco"/>
    <x v="1"/>
    <n v="94110"/>
    <x v="1"/>
    <s v="OFF-PA-10002893"/>
    <x v="1"/>
    <x v="10"/>
    <x v="356"/>
    <n v="9.68"/>
  </r>
  <r>
    <n v="411"/>
    <s v="CA-2018-117457"/>
    <d v="2018-12-08T00:00:00"/>
    <x v="168"/>
    <s v="FAST"/>
    <s v="Standard Class"/>
    <s v="KH-16510"/>
    <s v="Keith Herrera"/>
    <x v="0"/>
    <s v="United States"/>
    <s v="San Francisco"/>
    <x v="1"/>
    <n v="94110"/>
    <x v="1"/>
    <s v="OFF-LA-10003766"/>
    <x v="1"/>
    <x v="2"/>
    <x v="357"/>
    <n v="28.35"/>
  </r>
  <r>
    <n v="412"/>
    <s v="CA-2018-117457"/>
    <d v="2018-12-08T00:00:00"/>
    <x v="168"/>
    <s v="FAST"/>
    <s v="Standard Class"/>
    <s v="KH-16510"/>
    <s v="Keith Herrera"/>
    <x v="0"/>
    <s v="United States"/>
    <s v="San Francisco"/>
    <x v="1"/>
    <n v="94110"/>
    <x v="1"/>
    <s v="OFF-PA-10001970"/>
    <x v="1"/>
    <x v="10"/>
    <x v="358"/>
    <n v="55.98"/>
  </r>
  <r>
    <n v="413"/>
    <s v="CA-2018-117457"/>
    <d v="2018-12-08T00:00:00"/>
    <x v="168"/>
    <s v="FAST"/>
    <s v="Standard Class"/>
    <s v="KH-16510"/>
    <s v="Keith Herrera"/>
    <x v="0"/>
    <s v="United States"/>
    <s v="San Francisco"/>
    <x v="1"/>
    <n v="94110"/>
    <x v="1"/>
    <s v="FUR-BO-10001972"/>
    <x v="0"/>
    <x v="0"/>
    <x v="359"/>
    <n v="1336.829"/>
  </r>
  <r>
    <n v="414"/>
    <s v="CA-2018-117457"/>
    <d v="2018-12-08T00:00:00"/>
    <x v="168"/>
    <s v="FAST"/>
    <s v="Standard Class"/>
    <s v="KH-16510"/>
    <s v="Keith Herrera"/>
    <x v="0"/>
    <s v="United States"/>
    <s v="San Francisco"/>
    <x v="1"/>
    <n v="94110"/>
    <x v="1"/>
    <s v="FUR-CH-10003956"/>
    <x v="0"/>
    <x v="1"/>
    <x v="360"/>
    <n v="113.568"/>
  </r>
  <r>
    <n v="415"/>
    <s v="CA-2018-142636"/>
    <d v="2018-11-03T00:00:00"/>
    <x v="169"/>
    <s v="FAST"/>
    <s v="Standard Class"/>
    <s v="KC-16675"/>
    <s v="Kimberly Carter"/>
    <x v="1"/>
    <s v="United States"/>
    <s v="Seattle"/>
    <x v="4"/>
    <n v="98105"/>
    <x v="1"/>
    <s v="OFF-PA-10000157"/>
    <x v="1"/>
    <x v="10"/>
    <x v="361"/>
    <n v="139.86000000000001"/>
  </r>
  <r>
    <n v="416"/>
    <s v="CA-2018-142636"/>
    <d v="2018-11-03T00:00:00"/>
    <x v="169"/>
    <s v="FAST"/>
    <s v="Standard Class"/>
    <s v="KC-16675"/>
    <s v="Kimberly Carter"/>
    <x v="1"/>
    <s v="United States"/>
    <s v="Seattle"/>
    <x v="4"/>
    <n v="98105"/>
    <x v="1"/>
    <s v="FUR-CH-10001891"/>
    <x v="0"/>
    <x v="1"/>
    <x v="263"/>
    <n v="307.13600000000002"/>
  </r>
  <r>
    <n v="417"/>
    <s v="CA-2018-122105"/>
    <d v="2018-06-24T00:00:00"/>
    <x v="170"/>
    <s v="FAST"/>
    <s v="Standard Class"/>
    <s v="CJ-12010"/>
    <s v="Caroline Jumper"/>
    <x v="0"/>
    <s v="United States"/>
    <s v="Huntington Beach"/>
    <x v="1"/>
    <n v="92646"/>
    <x v="1"/>
    <s v="OFF-AR-10004344"/>
    <x v="1"/>
    <x v="6"/>
    <x v="362"/>
    <n v="95.92"/>
  </r>
  <r>
    <n v="418"/>
    <s v="CA-2017-148796"/>
    <d v="2017-04-14T00:00:00"/>
    <x v="171"/>
    <s v="FAST"/>
    <s v="Standard Class"/>
    <s v="PB-19150"/>
    <s v="Philip Brown"/>
    <x v="0"/>
    <s v="United States"/>
    <s v="Los Angeles"/>
    <x v="1"/>
    <n v="90004"/>
    <x v="1"/>
    <s v="FUR-CH-10004886"/>
    <x v="0"/>
    <x v="1"/>
    <x v="363"/>
    <n v="383.8"/>
  </r>
  <r>
    <n v="419"/>
    <s v="CA-2018-154816"/>
    <d v="2018-11-06T00:00:00"/>
    <x v="172"/>
    <s v="FAST"/>
    <s v="Standard Class"/>
    <s v="VB-21745"/>
    <s v="Victoria Brennan"/>
    <x v="1"/>
    <s v="United States"/>
    <s v="Richmond"/>
    <x v="0"/>
    <n v="40475"/>
    <x v="0"/>
    <s v="OFF-PA-10003845"/>
    <x v="1"/>
    <x v="10"/>
    <x v="364"/>
    <n v="5.78"/>
  </r>
  <r>
    <n v="420"/>
    <s v="CA-2018-110478"/>
    <d v="2018-03-04T00:00:00"/>
    <x v="173"/>
    <s v="FAST"/>
    <s v="Standard Class"/>
    <s v="SP-20860"/>
    <s v="Sung Pak"/>
    <x v="1"/>
    <s v="United States"/>
    <s v="Los Angeles"/>
    <x v="1"/>
    <n v="90045"/>
    <x v="1"/>
    <s v="OFF-AR-10001573"/>
    <x v="1"/>
    <x v="6"/>
    <x v="365"/>
    <n v="9.32"/>
  </r>
  <r>
    <n v="421"/>
    <s v="CA-2018-110478"/>
    <d v="2018-03-04T00:00:00"/>
    <x v="173"/>
    <s v="FAST"/>
    <s v="Standard Class"/>
    <s v="SP-20860"/>
    <s v="Sung Pak"/>
    <x v="1"/>
    <s v="United States"/>
    <s v="Los Angeles"/>
    <x v="1"/>
    <n v="90045"/>
    <x v="1"/>
    <s v="OFF-EN-10000483"/>
    <x v="1"/>
    <x v="12"/>
    <x v="366"/>
    <n v="15.25"/>
  </r>
  <r>
    <n v="422"/>
    <s v="CA-2015-142048"/>
    <d v="2015-06-22T00:00:00"/>
    <x v="174"/>
    <s v="MODERATE"/>
    <s v="First Class"/>
    <s v="JE-15745"/>
    <s v="Joel Eaton"/>
    <x v="0"/>
    <s v="United States"/>
    <s v="Louisville"/>
    <x v="22"/>
    <n v="80027"/>
    <x v="1"/>
    <s v="TEC-AC-10004114"/>
    <x v="2"/>
    <x v="11"/>
    <x v="367"/>
    <n v="196.75200000000001"/>
  </r>
  <r>
    <n v="423"/>
    <s v="CA-2018-125388"/>
    <d v="2018-10-19T00:00:00"/>
    <x v="15"/>
    <s v="FAST"/>
    <s v="Standard Class"/>
    <s v="MP-17965"/>
    <s v="Michael Paige"/>
    <x v="1"/>
    <s v="United States"/>
    <s v="Lawrence"/>
    <x v="31"/>
    <n v="1841"/>
    <x v="3"/>
    <s v="FUR-FU-10004712"/>
    <x v="0"/>
    <x v="5"/>
    <x v="368"/>
    <n v="56.56"/>
  </r>
  <r>
    <n v="424"/>
    <s v="CA-2018-125388"/>
    <d v="2018-10-19T00:00:00"/>
    <x v="15"/>
    <s v="FAST"/>
    <s v="Standard Class"/>
    <s v="MP-17965"/>
    <s v="Michael Paige"/>
    <x v="1"/>
    <s v="United States"/>
    <s v="Lawrence"/>
    <x v="31"/>
    <n v="1841"/>
    <x v="3"/>
    <s v="OFF-ST-10000918"/>
    <x v="1"/>
    <x v="4"/>
    <x v="369"/>
    <n v="32.700000000000003"/>
  </r>
  <r>
    <n v="425"/>
    <s v="CA-2018-155705"/>
    <d v="2018-08-21T00:00:00"/>
    <x v="175"/>
    <s v="SLOW"/>
    <s v="Second Class"/>
    <s v="NF-18385"/>
    <s v="Natalie Fritzler"/>
    <x v="0"/>
    <s v="United States"/>
    <s v="Jackson"/>
    <x v="35"/>
    <n v="39212"/>
    <x v="0"/>
    <s v="FUR-CH-10000015"/>
    <x v="0"/>
    <x v="1"/>
    <x v="370"/>
    <n v="866.4"/>
  </r>
  <r>
    <n v="426"/>
    <s v="CA-2018-149160"/>
    <d v="2018-11-23T00:00:00"/>
    <x v="176"/>
    <s v="SLOW"/>
    <s v="Second Class"/>
    <s v="JM-15265"/>
    <s v="Janet Molinari"/>
    <x v="1"/>
    <s v="United States"/>
    <s v="Canton"/>
    <x v="12"/>
    <n v="48187"/>
    <x v="2"/>
    <s v="FUR-FU-10003347"/>
    <x v="0"/>
    <x v="5"/>
    <x v="371"/>
    <n v="28.4"/>
  </r>
  <r>
    <n v="427"/>
    <s v="CA-2018-149160"/>
    <d v="2018-11-23T00:00:00"/>
    <x v="176"/>
    <s v="SLOW"/>
    <s v="Second Class"/>
    <s v="JM-15265"/>
    <s v="Janet Molinari"/>
    <x v="1"/>
    <s v="United States"/>
    <s v="Canton"/>
    <x v="12"/>
    <n v="48187"/>
    <x v="2"/>
    <s v="OFF-BI-10001543"/>
    <x v="1"/>
    <x v="8"/>
    <x v="372"/>
    <n v="287.92"/>
  </r>
  <r>
    <n v="428"/>
    <s v="CA-2015-101476"/>
    <d v="2015-09-12T00:00:00"/>
    <x v="177"/>
    <s v="MODERATE"/>
    <s v="First Class"/>
    <s v="SD-20485"/>
    <s v="Shirley Daniels"/>
    <x v="2"/>
    <s v="United States"/>
    <s v="New Rochelle"/>
    <x v="15"/>
    <n v="10801"/>
    <x v="3"/>
    <s v="TEC-MA-10000029"/>
    <x v="2"/>
    <x v="15"/>
    <x v="373"/>
    <n v="69.989999999999995"/>
  </r>
  <r>
    <n v="429"/>
    <s v="CA-2018-152275"/>
    <d v="2018-10-01T00:00:00"/>
    <x v="178"/>
    <s v="FAST"/>
    <s v="Standard Class"/>
    <s v="KH-16630"/>
    <s v="Ken Heidel"/>
    <x v="1"/>
    <s v="United States"/>
    <s v="San Antonio"/>
    <x v="5"/>
    <n v="78207"/>
    <x v="2"/>
    <s v="OFF-AR-10000369"/>
    <x v="1"/>
    <x v="6"/>
    <x v="374"/>
    <n v="6.6719999999999997"/>
  </r>
  <r>
    <n v="430"/>
    <s v="US-2017-123750"/>
    <d v="2017-04-15T00:00:00"/>
    <x v="179"/>
    <s v="FAST"/>
    <s v="Standard Class"/>
    <s v="RB-19795"/>
    <s v="Ross Baird"/>
    <x v="2"/>
    <s v="United States"/>
    <s v="Gastonia"/>
    <x v="3"/>
    <n v="28052"/>
    <x v="0"/>
    <s v="OFF-BI-10004584"/>
    <x v="1"/>
    <x v="8"/>
    <x v="375"/>
    <n v="189.58799999999999"/>
  </r>
  <r>
    <n v="431"/>
    <s v="US-2017-123750"/>
    <d v="2017-04-15T00:00:00"/>
    <x v="179"/>
    <s v="FAST"/>
    <s v="Standard Class"/>
    <s v="RB-19795"/>
    <s v="Ross Baird"/>
    <x v="2"/>
    <s v="United States"/>
    <s v="Gastonia"/>
    <x v="3"/>
    <n v="28052"/>
    <x v="0"/>
    <s v="TEC-AC-10004659"/>
    <x v="2"/>
    <x v="11"/>
    <x v="168"/>
    <n v="408.74400000000003"/>
  </r>
  <r>
    <n v="432"/>
    <s v="US-2017-123750"/>
    <d v="2017-04-15T00:00:00"/>
    <x v="179"/>
    <s v="FAST"/>
    <s v="Standard Class"/>
    <s v="RB-19795"/>
    <s v="Ross Baird"/>
    <x v="2"/>
    <s v="United States"/>
    <s v="Gastonia"/>
    <x v="3"/>
    <n v="28052"/>
    <x v="0"/>
    <s v="TEC-AC-10004659"/>
    <x v="2"/>
    <x v="11"/>
    <x v="168"/>
    <n v="291.95999999999998"/>
  </r>
  <r>
    <n v="433"/>
    <s v="US-2017-123750"/>
    <d v="2017-04-15T00:00:00"/>
    <x v="179"/>
    <s v="FAST"/>
    <s v="Standard Class"/>
    <s v="RB-19795"/>
    <s v="Ross Baird"/>
    <x v="2"/>
    <s v="United States"/>
    <s v="Gastonia"/>
    <x v="3"/>
    <n v="28052"/>
    <x v="0"/>
    <s v="OFF-ST-10000617"/>
    <x v="1"/>
    <x v="4"/>
    <x v="376"/>
    <n v="4.7679999999999998"/>
  </r>
  <r>
    <n v="434"/>
    <s v="CA-2017-127369"/>
    <d v="2017-06-06T00:00:00"/>
    <x v="180"/>
    <s v="MODERATE"/>
    <s v="First Class"/>
    <s v="DB-13060"/>
    <s v="Dave Brooks"/>
    <x v="0"/>
    <s v="United States"/>
    <s v="Lowell"/>
    <x v="31"/>
    <n v="1852"/>
    <x v="3"/>
    <s v="OFF-ST-10003306"/>
    <x v="1"/>
    <x v="4"/>
    <x v="377"/>
    <n v="714.3"/>
  </r>
  <r>
    <n v="435"/>
    <s v="US-2015-150574"/>
    <d v="2015-12-19T00:00:00"/>
    <x v="181"/>
    <s v="FAST"/>
    <s v="Standard Class"/>
    <s v="MK-18160"/>
    <s v="Mike Kennedy"/>
    <x v="0"/>
    <s v="United States"/>
    <s v="Jacksonville"/>
    <x v="2"/>
    <n v="32216"/>
    <x v="0"/>
    <s v="OFF-BI-10000773"/>
    <x v="1"/>
    <x v="8"/>
    <x v="378"/>
    <n v="4.8120000000000003"/>
  </r>
  <r>
    <n v="436"/>
    <s v="US-2015-150574"/>
    <d v="2015-12-19T00:00:00"/>
    <x v="181"/>
    <s v="FAST"/>
    <s v="Standard Class"/>
    <s v="MK-18160"/>
    <s v="Mike Kennedy"/>
    <x v="0"/>
    <s v="United States"/>
    <s v="Jacksonville"/>
    <x v="2"/>
    <n v="32216"/>
    <x v="0"/>
    <s v="TEC-AC-10002600"/>
    <x v="2"/>
    <x v="11"/>
    <x v="379"/>
    <n v="247.8"/>
  </r>
  <r>
    <n v="437"/>
    <s v="CA-2017-147375"/>
    <d v="2017-06-12T00:00:00"/>
    <x v="182"/>
    <s v="SLOW"/>
    <s v="Second Class"/>
    <s v="PO-19180"/>
    <s v="Philisse Overcash"/>
    <x v="2"/>
    <s v="United States"/>
    <s v="Chicago"/>
    <x v="10"/>
    <n v="60623"/>
    <x v="2"/>
    <s v="TEC-MA-10002937"/>
    <x v="2"/>
    <x v="15"/>
    <x v="380"/>
    <n v="1007.979"/>
  </r>
  <r>
    <n v="438"/>
    <s v="CA-2017-147375"/>
    <d v="2017-06-12T00:00:00"/>
    <x v="182"/>
    <s v="SLOW"/>
    <s v="Second Class"/>
    <s v="PO-19180"/>
    <s v="Philisse Overcash"/>
    <x v="2"/>
    <s v="United States"/>
    <s v="Chicago"/>
    <x v="10"/>
    <n v="60623"/>
    <x v="2"/>
    <s v="OFF-PA-10001970"/>
    <x v="1"/>
    <x v="10"/>
    <x v="358"/>
    <n v="313.488"/>
  </r>
  <r>
    <n v="439"/>
    <s v="CA-2018-130043"/>
    <d v="2018-09-15T00:00:00"/>
    <x v="183"/>
    <s v="FAST"/>
    <s v="Standard Class"/>
    <s v="BB-11545"/>
    <s v="Brenda Bowman"/>
    <x v="1"/>
    <s v="United States"/>
    <s v="Houston"/>
    <x v="5"/>
    <n v="77070"/>
    <x v="2"/>
    <s v="OFF-PA-10002230"/>
    <x v="1"/>
    <x v="10"/>
    <x v="381"/>
    <n v="31.872"/>
  </r>
  <r>
    <n v="440"/>
    <s v="CA-2018-157252"/>
    <d v="2018-01-20T00:00:00"/>
    <x v="184"/>
    <s v="SLOW"/>
    <s v="Second Class"/>
    <s v="CV-12805"/>
    <s v="Cynthia Voltz"/>
    <x v="1"/>
    <s v="United States"/>
    <s v="New York City"/>
    <x v="15"/>
    <n v="10024"/>
    <x v="3"/>
    <s v="FUR-CH-10003396"/>
    <x v="0"/>
    <x v="1"/>
    <x v="382"/>
    <n v="207.846"/>
  </r>
  <r>
    <n v="441"/>
    <s v="CA-2017-115756"/>
    <d v="2017-09-05T00:00:00"/>
    <x v="61"/>
    <s v="SLOW"/>
    <s v="Second Class"/>
    <s v="PK-19075"/>
    <s v="Pete Kriz"/>
    <x v="0"/>
    <s v="United States"/>
    <s v="Detroit"/>
    <x v="12"/>
    <n v="48227"/>
    <x v="2"/>
    <s v="FUR-FU-10000246"/>
    <x v="0"/>
    <x v="5"/>
    <x v="383"/>
    <n v="12.22"/>
  </r>
  <r>
    <n v="442"/>
    <s v="CA-2017-115756"/>
    <d v="2017-09-05T00:00:00"/>
    <x v="61"/>
    <s v="SLOW"/>
    <s v="Second Class"/>
    <s v="PK-19075"/>
    <s v="Pete Kriz"/>
    <x v="0"/>
    <s v="United States"/>
    <s v="Detroit"/>
    <x v="12"/>
    <n v="48227"/>
    <x v="2"/>
    <s v="OFF-ST-10000060"/>
    <x v="1"/>
    <x v="4"/>
    <x v="384"/>
    <n v="194.94"/>
  </r>
  <r>
    <n v="443"/>
    <s v="CA-2017-115756"/>
    <d v="2017-09-05T00:00:00"/>
    <x v="61"/>
    <s v="SLOW"/>
    <s v="Second Class"/>
    <s v="PK-19075"/>
    <s v="Pete Kriz"/>
    <x v="0"/>
    <s v="United States"/>
    <s v="Detroit"/>
    <x v="12"/>
    <n v="48227"/>
    <x v="2"/>
    <s v="OFF-ST-10003058"/>
    <x v="1"/>
    <x v="4"/>
    <x v="385"/>
    <n v="70.95"/>
  </r>
  <r>
    <n v="444"/>
    <s v="CA-2017-115756"/>
    <d v="2017-09-05T00:00:00"/>
    <x v="61"/>
    <s v="SLOW"/>
    <s v="Second Class"/>
    <s v="PK-19075"/>
    <s v="Pete Kriz"/>
    <x v="0"/>
    <s v="United States"/>
    <s v="Detroit"/>
    <x v="12"/>
    <n v="48227"/>
    <x v="2"/>
    <s v="OFF-PA-10002222"/>
    <x v="1"/>
    <x v="10"/>
    <x v="386"/>
    <n v="91.36"/>
  </r>
  <r>
    <n v="445"/>
    <s v="CA-2017-115756"/>
    <d v="2017-09-05T00:00:00"/>
    <x v="61"/>
    <s v="SLOW"/>
    <s v="Second Class"/>
    <s v="PK-19075"/>
    <s v="Pete Kriz"/>
    <x v="0"/>
    <s v="United States"/>
    <s v="Detroit"/>
    <x v="12"/>
    <n v="48227"/>
    <x v="2"/>
    <s v="FUR-CH-10002372"/>
    <x v="0"/>
    <x v="1"/>
    <x v="387"/>
    <n v="242.94"/>
  </r>
  <r>
    <n v="446"/>
    <s v="CA-2017-115756"/>
    <d v="2017-09-05T00:00:00"/>
    <x v="61"/>
    <s v="SLOW"/>
    <s v="Second Class"/>
    <s v="PK-19075"/>
    <s v="Pete Kriz"/>
    <x v="0"/>
    <s v="United States"/>
    <s v="Detroit"/>
    <x v="12"/>
    <n v="48227"/>
    <x v="2"/>
    <s v="OFF-LA-10001317"/>
    <x v="1"/>
    <x v="2"/>
    <x v="388"/>
    <n v="22.05"/>
  </r>
  <r>
    <n v="447"/>
    <s v="CA-2018-154214"/>
    <d v="2018-03-20T00:00:00"/>
    <x v="185"/>
    <s v="SLOW"/>
    <s v="Second Class"/>
    <s v="TB-21595"/>
    <s v="Troy Blackwell"/>
    <x v="0"/>
    <s v="United States"/>
    <s v="Columbus"/>
    <x v="14"/>
    <n v="47201"/>
    <x v="2"/>
    <s v="FUR-FU-10000206"/>
    <x v="0"/>
    <x v="5"/>
    <x v="389"/>
    <n v="2.91"/>
  </r>
  <r>
    <n v="448"/>
    <s v="CA-2017-166674"/>
    <d v="2017-04-01T00:00:00"/>
    <x v="186"/>
    <s v="SLOW"/>
    <s v="Second Class"/>
    <s v="RB-19360"/>
    <s v="Raymond Buch"/>
    <x v="0"/>
    <s v="United States"/>
    <s v="Auburn"/>
    <x v="15"/>
    <n v="13021"/>
    <x v="3"/>
    <s v="OFF-AR-10000588"/>
    <x v="1"/>
    <x v="6"/>
    <x v="390"/>
    <n v="59.52"/>
  </r>
  <r>
    <n v="449"/>
    <s v="CA-2017-166674"/>
    <d v="2017-04-01T00:00:00"/>
    <x v="186"/>
    <s v="SLOW"/>
    <s v="Second Class"/>
    <s v="RB-19360"/>
    <s v="Raymond Buch"/>
    <x v="0"/>
    <s v="United States"/>
    <s v="Auburn"/>
    <x v="15"/>
    <n v="13021"/>
    <x v="3"/>
    <s v="OFF-ST-10001469"/>
    <x v="1"/>
    <x v="4"/>
    <x v="391"/>
    <n v="161.94"/>
  </r>
  <r>
    <n v="450"/>
    <s v="CA-2017-166674"/>
    <d v="2017-04-01T00:00:00"/>
    <x v="186"/>
    <s v="SLOW"/>
    <s v="Second Class"/>
    <s v="RB-19360"/>
    <s v="Raymond Buch"/>
    <x v="0"/>
    <s v="United States"/>
    <s v="Auburn"/>
    <x v="15"/>
    <n v="13021"/>
    <x v="3"/>
    <s v="OFF-AR-10001953"/>
    <x v="1"/>
    <x v="6"/>
    <x v="392"/>
    <n v="263.88"/>
  </r>
  <r>
    <n v="452"/>
    <s v="CA-2017-166674"/>
    <d v="2017-04-01T00:00:00"/>
    <x v="186"/>
    <s v="SLOW"/>
    <s v="Second Class"/>
    <s v="RB-19360"/>
    <s v="Raymond Buch"/>
    <x v="0"/>
    <s v="United States"/>
    <s v="Auburn"/>
    <x v="15"/>
    <n v="13021"/>
    <x v="3"/>
    <s v="OFF-AR-10004974"/>
    <x v="1"/>
    <x v="6"/>
    <x v="393"/>
    <n v="9.84"/>
  </r>
  <r>
    <n v="453"/>
    <s v="CA-2017-166674"/>
    <d v="2017-04-01T00:00:00"/>
    <x v="186"/>
    <s v="SLOW"/>
    <s v="Second Class"/>
    <s v="RB-19360"/>
    <s v="Raymond Buch"/>
    <x v="0"/>
    <s v="United States"/>
    <s v="Auburn"/>
    <x v="15"/>
    <n v="13021"/>
    <x v="3"/>
    <s v="TEC-PH-10002365"/>
    <x v="2"/>
    <x v="7"/>
    <x v="394"/>
    <n v="35.119999999999997"/>
  </r>
  <r>
    <n v="454"/>
    <s v="CA-2018-147277"/>
    <d v="2018-10-20T00:00:00"/>
    <x v="187"/>
    <s v="FAST"/>
    <s v="Standard Class"/>
    <s v="EB-13705"/>
    <s v="Ed Braxton"/>
    <x v="1"/>
    <s v="United States"/>
    <s v="Akron"/>
    <x v="24"/>
    <n v="44312"/>
    <x v="3"/>
    <s v="FUR-TA-10001539"/>
    <x v="0"/>
    <x v="3"/>
    <x v="10"/>
    <n v="284.36399999999998"/>
  </r>
  <r>
    <n v="455"/>
    <s v="CA-2018-147277"/>
    <d v="2018-10-20T00:00:00"/>
    <x v="187"/>
    <s v="FAST"/>
    <s v="Standard Class"/>
    <s v="EB-13705"/>
    <s v="Ed Braxton"/>
    <x v="1"/>
    <s v="United States"/>
    <s v="Akron"/>
    <x v="24"/>
    <n v="44312"/>
    <x v="3"/>
    <s v="OFF-ST-10000142"/>
    <x v="1"/>
    <x v="4"/>
    <x v="395"/>
    <n v="665.40800000000002"/>
  </r>
  <r>
    <n v="456"/>
    <s v="CA-2017-100153"/>
    <d v="2017-12-13T00:00:00"/>
    <x v="24"/>
    <s v="FAST"/>
    <s v="Standard Class"/>
    <s v="KH-16630"/>
    <s v="Ken Heidel"/>
    <x v="1"/>
    <s v="United States"/>
    <s v="Norman"/>
    <x v="26"/>
    <n v="73071"/>
    <x v="2"/>
    <s v="TEC-AC-10001772"/>
    <x v="2"/>
    <x v="11"/>
    <x v="396"/>
    <n v="63.88"/>
  </r>
  <r>
    <n v="457"/>
    <s v="US-2015-110674"/>
    <d v="2015-02-12T00:00:00"/>
    <x v="188"/>
    <s v="FAST"/>
    <s v="Standard Class"/>
    <s v="SC-20095"/>
    <s v="Sanjit Chand"/>
    <x v="0"/>
    <s v="United States"/>
    <s v="Concord"/>
    <x v="1"/>
    <n v="94521"/>
    <x v="1"/>
    <s v="FUR-CH-10000225"/>
    <x v="0"/>
    <x v="1"/>
    <x v="397"/>
    <n v="129.56800000000001"/>
  </r>
  <r>
    <n v="458"/>
    <s v="US-2017-157945"/>
    <d v="2017-09-26T00:00:00"/>
    <x v="151"/>
    <s v="FAST"/>
    <s v="Standard Class"/>
    <s v="NF-18385"/>
    <s v="Natalie Fritzler"/>
    <x v="0"/>
    <s v="United States"/>
    <s v="Decatur"/>
    <x v="10"/>
    <n v="62521"/>
    <x v="2"/>
    <s v="FUR-CH-10002331"/>
    <x v="0"/>
    <x v="1"/>
    <x v="398"/>
    <n v="747.55799999999999"/>
  </r>
  <r>
    <n v="459"/>
    <s v="US-2017-157945"/>
    <d v="2017-09-26T00:00:00"/>
    <x v="151"/>
    <s v="FAST"/>
    <s v="Standard Class"/>
    <s v="NF-18385"/>
    <s v="Natalie Fritzler"/>
    <x v="0"/>
    <s v="United States"/>
    <s v="Decatur"/>
    <x v="10"/>
    <n v="62521"/>
    <x v="2"/>
    <s v="OFF-EN-10001415"/>
    <x v="1"/>
    <x v="12"/>
    <x v="149"/>
    <n v="8.9280000000000008"/>
  </r>
  <r>
    <n v="461"/>
    <s v="CA-2016-109638"/>
    <d v="2016-12-15T00:00:00"/>
    <x v="189"/>
    <s v="FAST"/>
    <s v="Standard Class"/>
    <s v="JH-15985"/>
    <s v="Joseph Holt"/>
    <x v="0"/>
    <s v="United States"/>
    <s v="Seattle"/>
    <x v="4"/>
    <n v="98115"/>
    <x v="1"/>
    <s v="TEC-AC-10004571"/>
    <x v="2"/>
    <x v="11"/>
    <x v="399"/>
    <n v="899.91"/>
  </r>
  <r>
    <n v="462"/>
    <s v="CA-2016-109638"/>
    <d v="2016-12-15T00:00:00"/>
    <x v="189"/>
    <s v="FAST"/>
    <s v="Standard Class"/>
    <s v="JH-15985"/>
    <s v="Joseph Holt"/>
    <x v="0"/>
    <s v="United States"/>
    <s v="Seattle"/>
    <x v="4"/>
    <n v="98115"/>
    <x v="1"/>
    <s v="OFF-BI-10001098"/>
    <x v="1"/>
    <x v="8"/>
    <x v="400"/>
    <n v="51.311999999999998"/>
  </r>
  <r>
    <n v="463"/>
    <s v="CA-2017-109869"/>
    <d v="2017-04-22T00:00:00"/>
    <x v="134"/>
    <s v="FAST"/>
    <s v="Standard Class"/>
    <s v="TN-21040"/>
    <s v="Tanja Norvell"/>
    <x v="2"/>
    <s v="United States"/>
    <s v="Phoenix"/>
    <x v="16"/>
    <n v="85023"/>
    <x v="1"/>
    <s v="FUR-FU-10000023"/>
    <x v="0"/>
    <x v="5"/>
    <x v="319"/>
    <n v="23.56"/>
  </r>
  <r>
    <n v="464"/>
    <s v="CA-2017-109869"/>
    <d v="2017-04-22T00:00:00"/>
    <x v="134"/>
    <s v="FAST"/>
    <s v="Standard Class"/>
    <s v="TN-21040"/>
    <s v="Tanja Norvell"/>
    <x v="2"/>
    <s v="United States"/>
    <s v="Phoenix"/>
    <x v="16"/>
    <n v="85023"/>
    <x v="1"/>
    <s v="FUR-TA-10001889"/>
    <x v="0"/>
    <x v="3"/>
    <x v="401"/>
    <n v="1272.6300000000001"/>
  </r>
  <r>
    <n v="465"/>
    <s v="CA-2017-109869"/>
    <d v="2017-04-22T00:00:00"/>
    <x v="134"/>
    <s v="FAST"/>
    <s v="Standard Class"/>
    <s v="TN-21040"/>
    <s v="Tanja Norvell"/>
    <x v="2"/>
    <s v="United States"/>
    <s v="Phoenix"/>
    <x v="16"/>
    <n v="85023"/>
    <x v="1"/>
    <s v="OFF-BI-10000315"/>
    <x v="1"/>
    <x v="8"/>
    <x v="402"/>
    <n v="28.484999999999999"/>
  </r>
  <r>
    <n v="466"/>
    <s v="CA-2017-109869"/>
    <d v="2017-04-22T00:00:00"/>
    <x v="134"/>
    <s v="FAST"/>
    <s v="Standard Class"/>
    <s v="TN-21040"/>
    <s v="Tanja Norvell"/>
    <x v="2"/>
    <s v="United States"/>
    <s v="Phoenix"/>
    <x v="16"/>
    <n v="85023"/>
    <x v="1"/>
    <s v="OFF-SU-10003505"/>
    <x v="1"/>
    <x v="14"/>
    <x v="403"/>
    <n v="185.376"/>
  </r>
  <r>
    <n v="467"/>
    <s v="CA-2017-109869"/>
    <d v="2017-04-22T00:00:00"/>
    <x v="134"/>
    <s v="FAST"/>
    <s v="Standard Class"/>
    <s v="TN-21040"/>
    <s v="Tanja Norvell"/>
    <x v="2"/>
    <s v="United States"/>
    <s v="Phoenix"/>
    <x v="16"/>
    <n v="85023"/>
    <x v="1"/>
    <s v="OFF-AP-10002578"/>
    <x v="1"/>
    <x v="9"/>
    <x v="404"/>
    <n v="78.272000000000006"/>
  </r>
  <r>
    <n v="468"/>
    <s v="US-2016-101399"/>
    <d v="2016-01-17T00:00:00"/>
    <x v="190"/>
    <s v="FAST"/>
    <s v="Standard Class"/>
    <s v="JS-15940"/>
    <s v="Joni Sundaresam"/>
    <x v="2"/>
    <s v="United States"/>
    <s v="Park Ridge"/>
    <x v="10"/>
    <n v="60068"/>
    <x v="2"/>
    <s v="FUR-FU-10002918"/>
    <x v="0"/>
    <x v="5"/>
    <x v="264"/>
    <n v="254.744"/>
  </r>
  <r>
    <n v="469"/>
    <s v="CA-2018-154907"/>
    <d v="2018-03-31T00:00:00"/>
    <x v="191"/>
    <s v="FAST"/>
    <s v="Standard Class"/>
    <s v="DS-13180"/>
    <s v="David Smith"/>
    <x v="1"/>
    <s v="United States"/>
    <s v="Amarillo"/>
    <x v="5"/>
    <n v="79109"/>
    <x v="2"/>
    <s v="FUR-BO-10002824"/>
    <x v="0"/>
    <x v="0"/>
    <x v="405"/>
    <n v="205.33279999999999"/>
  </r>
  <r>
    <n v="470"/>
    <s v="US-2017-100419"/>
    <d v="2017-12-16T00:00:00"/>
    <x v="119"/>
    <s v="SLOW"/>
    <s v="Second Class"/>
    <s v="CC-12670"/>
    <s v="Craig Carreira"/>
    <x v="0"/>
    <s v="United States"/>
    <s v="Chicago"/>
    <x v="10"/>
    <n v="60610"/>
    <x v="2"/>
    <s v="OFF-BI-10002194"/>
    <x v="1"/>
    <x v="8"/>
    <x v="406"/>
    <n v="4.7880000000000003"/>
  </r>
  <r>
    <n v="471"/>
    <s v="CA-2016-154144"/>
    <d v="2016-12-20T00:00:00"/>
    <x v="139"/>
    <s v="FAST"/>
    <s v="Standard Class"/>
    <s v="MH-17785"/>
    <s v="Maya Herman"/>
    <x v="1"/>
    <s v="United States"/>
    <s v="Lindenhurst"/>
    <x v="15"/>
    <n v="11757"/>
    <x v="3"/>
    <s v="OFF-PA-10004071"/>
    <x v="1"/>
    <x v="10"/>
    <x v="407"/>
    <n v="55.48"/>
  </r>
  <r>
    <n v="472"/>
    <s v="CA-2015-144666"/>
    <d v="2015-11-09T00:00:00"/>
    <x v="192"/>
    <s v="SLOW"/>
    <s v="Second Class"/>
    <s v="JP-15520"/>
    <s v="Jeremy Pistek"/>
    <x v="0"/>
    <s v="United States"/>
    <s v="San Francisco"/>
    <x v="1"/>
    <n v="94110"/>
    <x v="1"/>
    <s v="OFF-ST-10002743"/>
    <x v="1"/>
    <x v="4"/>
    <x v="408"/>
    <n v="340.92"/>
  </r>
  <r>
    <n v="473"/>
    <s v="CA-2015-144666"/>
    <d v="2015-11-09T00:00:00"/>
    <x v="192"/>
    <s v="SLOW"/>
    <s v="Second Class"/>
    <s v="JP-15520"/>
    <s v="Jeremy Pistek"/>
    <x v="0"/>
    <s v="United States"/>
    <s v="San Francisco"/>
    <x v="1"/>
    <n v="94110"/>
    <x v="1"/>
    <s v="FUR-BO-10001601"/>
    <x v="0"/>
    <x v="0"/>
    <x v="409"/>
    <n v="222.666"/>
  </r>
  <r>
    <n v="474"/>
    <s v="CA-2015-144666"/>
    <d v="2015-11-09T00:00:00"/>
    <x v="192"/>
    <s v="SLOW"/>
    <s v="Second Class"/>
    <s v="JP-15520"/>
    <s v="Jeremy Pistek"/>
    <x v="0"/>
    <s v="United States"/>
    <s v="San Francisco"/>
    <x v="1"/>
    <n v="94110"/>
    <x v="1"/>
    <s v="TEC-PH-10002680"/>
    <x v="2"/>
    <x v="7"/>
    <x v="410"/>
    <n v="703.96799999999996"/>
  </r>
  <r>
    <n v="475"/>
    <s v="CA-2015-144666"/>
    <d v="2015-11-09T00:00:00"/>
    <x v="192"/>
    <s v="SLOW"/>
    <s v="Second Class"/>
    <s v="JP-15520"/>
    <s v="Jeremy Pistek"/>
    <x v="0"/>
    <s v="United States"/>
    <s v="San Francisco"/>
    <x v="1"/>
    <n v="94110"/>
    <x v="1"/>
    <s v="OFF-ST-10001321"/>
    <x v="1"/>
    <x v="4"/>
    <x v="411"/>
    <n v="92.52"/>
  </r>
  <r>
    <n v="476"/>
    <s v="CA-2015-144666"/>
    <d v="2015-11-09T00:00:00"/>
    <x v="192"/>
    <s v="SLOW"/>
    <s v="Second Class"/>
    <s v="JP-15520"/>
    <s v="Jeremy Pistek"/>
    <x v="0"/>
    <s v="United States"/>
    <s v="San Francisco"/>
    <x v="1"/>
    <n v="94110"/>
    <x v="1"/>
    <s v="OFF-PA-10001509"/>
    <x v="1"/>
    <x v="10"/>
    <x v="412"/>
    <n v="62.65"/>
  </r>
  <r>
    <n v="477"/>
    <s v="CA-2015-144666"/>
    <d v="2015-11-09T00:00:00"/>
    <x v="192"/>
    <s v="SLOW"/>
    <s v="Second Class"/>
    <s v="JP-15520"/>
    <s v="Jeremy Pistek"/>
    <x v="0"/>
    <s v="United States"/>
    <s v="San Francisco"/>
    <x v="1"/>
    <n v="94110"/>
    <x v="1"/>
    <s v="OFF-PA-10003465"/>
    <x v="1"/>
    <x v="10"/>
    <x v="413"/>
    <n v="94.85"/>
  </r>
  <r>
    <n v="478"/>
    <s v="CA-2017-103891"/>
    <d v="2017-07-12T00:00:00"/>
    <x v="193"/>
    <s v="FAST"/>
    <s v="Standard Class"/>
    <s v="KH-16690"/>
    <s v="Kristen Hastings"/>
    <x v="1"/>
    <s v="United States"/>
    <s v="Los Angeles"/>
    <x v="1"/>
    <n v="90008"/>
    <x v="1"/>
    <s v="TEC-PH-10000149"/>
    <x v="2"/>
    <x v="7"/>
    <x v="414"/>
    <n v="95.76"/>
  </r>
  <r>
    <n v="479"/>
    <s v="CA-2017-152632"/>
    <d v="2017-10-27T00:00:00"/>
    <x v="194"/>
    <s v="FAST"/>
    <s v="Standard Class"/>
    <s v="JE-15475"/>
    <s v="Jeremy Ellison"/>
    <x v="0"/>
    <s v="United States"/>
    <s v="Troy"/>
    <x v="15"/>
    <n v="12180"/>
    <x v="3"/>
    <s v="FUR-FU-10002671"/>
    <x v="0"/>
    <x v="5"/>
    <x v="273"/>
    <n v="40.200000000000003"/>
  </r>
  <r>
    <n v="480"/>
    <s v="CA-2017-100790"/>
    <d v="2017-06-26T00:00:00"/>
    <x v="195"/>
    <s v="FAST"/>
    <s v="Standard Class"/>
    <s v="JG-15805"/>
    <s v="John Grady"/>
    <x v="1"/>
    <s v="United States"/>
    <s v="New York City"/>
    <x v="15"/>
    <n v="10024"/>
    <x v="3"/>
    <s v="OFF-AR-10003045"/>
    <x v="1"/>
    <x v="6"/>
    <x v="415"/>
    <n v="14.7"/>
  </r>
  <r>
    <n v="481"/>
    <s v="CA-2017-100790"/>
    <d v="2017-06-26T00:00:00"/>
    <x v="195"/>
    <s v="FAST"/>
    <s v="Standard Class"/>
    <s v="JG-15805"/>
    <s v="John Grady"/>
    <x v="1"/>
    <s v="United States"/>
    <s v="New York City"/>
    <x v="15"/>
    <n v="10024"/>
    <x v="3"/>
    <s v="OFF-ST-10000689"/>
    <x v="1"/>
    <x v="4"/>
    <x v="416"/>
    <n v="704.25"/>
  </r>
  <r>
    <n v="482"/>
    <s v="CA-2015-134677"/>
    <d v="2015-10-06T00:00:00"/>
    <x v="196"/>
    <s v="FAST"/>
    <s v="Standard Class"/>
    <s v="XP-21865"/>
    <s v="Xylona Preis"/>
    <x v="0"/>
    <s v="United States"/>
    <s v="San Diego"/>
    <x v="1"/>
    <n v="92024"/>
    <x v="1"/>
    <s v="TEC-AC-10001445"/>
    <x v="2"/>
    <x v="11"/>
    <x v="417"/>
    <n v="9.09"/>
  </r>
  <r>
    <n v="483"/>
    <s v="CA-2015-127691"/>
    <d v="2015-07-22T00:00:00"/>
    <x v="150"/>
    <s v="FAST"/>
    <s v="Standard Class"/>
    <s v="EM-14065"/>
    <s v="Erin Mull"/>
    <x v="0"/>
    <s v="United States"/>
    <s v="New York City"/>
    <x v="15"/>
    <n v="10024"/>
    <x v="3"/>
    <s v="OFF-AR-10002053"/>
    <x v="1"/>
    <x v="6"/>
    <x v="76"/>
    <n v="5.96"/>
  </r>
  <r>
    <n v="484"/>
    <s v="CA-2015-127691"/>
    <d v="2015-07-22T00:00:00"/>
    <x v="150"/>
    <s v="FAST"/>
    <s v="Standard Class"/>
    <s v="EM-14065"/>
    <s v="Erin Mull"/>
    <x v="0"/>
    <s v="United States"/>
    <s v="New York City"/>
    <x v="15"/>
    <n v="10024"/>
    <x v="3"/>
    <s v="TEC-AC-10002567"/>
    <x v="2"/>
    <x v="11"/>
    <x v="418"/>
    <n v="159.97999999999999"/>
  </r>
  <r>
    <n v="485"/>
    <s v="CA-2018-140963"/>
    <d v="2018-06-10T00:00:00"/>
    <x v="197"/>
    <s v="MODERATE"/>
    <s v="First Class"/>
    <s v="MT-18070"/>
    <s v="Michelle Tran"/>
    <x v="2"/>
    <s v="United States"/>
    <s v="Los Angeles"/>
    <x v="1"/>
    <n v="90045"/>
    <x v="1"/>
    <s v="OFF-LA-10003923"/>
    <x v="1"/>
    <x v="2"/>
    <x v="419"/>
    <n v="29.6"/>
  </r>
  <r>
    <n v="486"/>
    <s v="CA-2018-140963"/>
    <d v="2018-06-10T00:00:00"/>
    <x v="197"/>
    <s v="MODERATE"/>
    <s v="First Class"/>
    <s v="MT-18070"/>
    <s v="Michelle Tran"/>
    <x v="2"/>
    <s v="United States"/>
    <s v="Los Angeles"/>
    <x v="1"/>
    <n v="90045"/>
    <x v="1"/>
    <s v="FUR-BO-10001337"/>
    <x v="0"/>
    <x v="0"/>
    <x v="420"/>
    <n v="514.16499999999996"/>
  </r>
  <r>
    <n v="487"/>
    <s v="CA-2018-140963"/>
    <d v="2018-06-10T00:00:00"/>
    <x v="197"/>
    <s v="MODERATE"/>
    <s v="First Class"/>
    <s v="MT-18070"/>
    <s v="Michelle Tran"/>
    <x v="2"/>
    <s v="United States"/>
    <s v="Los Angeles"/>
    <x v="1"/>
    <n v="90045"/>
    <x v="1"/>
    <s v="TEC-PH-10001924"/>
    <x v="2"/>
    <x v="7"/>
    <x v="421"/>
    <n v="279.95999999999998"/>
  </r>
  <r>
    <n v="488"/>
    <s v="CA-2015-154627"/>
    <d v="2015-10-29T00:00:00"/>
    <x v="198"/>
    <s v="MODERATE"/>
    <s v="First Class"/>
    <s v="SA-20830"/>
    <s v="Sue Ann Reed"/>
    <x v="0"/>
    <s v="United States"/>
    <s v="Chicago"/>
    <x v="10"/>
    <n v="60610"/>
    <x v="2"/>
    <s v="TEC-PH-10001363"/>
    <x v="2"/>
    <x v="7"/>
    <x v="422"/>
    <n v="2735.9520000000002"/>
  </r>
  <r>
    <n v="489"/>
    <s v="CA-2015-133753"/>
    <d v="2015-06-09T00:00:00"/>
    <x v="199"/>
    <s v="SLOW"/>
    <s v="Second Class"/>
    <s v="CW-11905"/>
    <s v="Carl Weiss"/>
    <x v="2"/>
    <s v="United States"/>
    <s v="Huntsville"/>
    <x v="5"/>
    <n v="77340"/>
    <x v="2"/>
    <s v="TEC-PH-10000376"/>
    <x v="2"/>
    <x v="7"/>
    <x v="423"/>
    <n v="7.992"/>
  </r>
  <r>
    <n v="490"/>
    <s v="CA-2015-133753"/>
    <d v="2015-06-09T00:00:00"/>
    <x v="199"/>
    <s v="SLOW"/>
    <s v="Second Class"/>
    <s v="CW-11905"/>
    <s v="Carl Weiss"/>
    <x v="2"/>
    <s v="United States"/>
    <s v="Huntsville"/>
    <x v="5"/>
    <n v="77340"/>
    <x v="2"/>
    <s v="TEC-AC-10000303"/>
    <x v="2"/>
    <x v="11"/>
    <x v="424"/>
    <n v="63.984000000000002"/>
  </r>
  <r>
    <n v="491"/>
    <s v="CA-2015-133753"/>
    <d v="2015-06-09T00:00:00"/>
    <x v="199"/>
    <s v="SLOW"/>
    <s v="Second Class"/>
    <s v="CW-11905"/>
    <s v="Carl Weiss"/>
    <x v="2"/>
    <s v="United States"/>
    <s v="Huntsville"/>
    <x v="5"/>
    <n v="77340"/>
    <x v="2"/>
    <s v="OFF-AR-10001953"/>
    <x v="1"/>
    <x v="6"/>
    <x v="392"/>
    <n v="70.367999999999995"/>
  </r>
  <r>
    <n v="492"/>
    <s v="CA-2015-113362"/>
    <d v="2015-09-14T00:00:00"/>
    <x v="75"/>
    <s v="FAST"/>
    <s v="Standard Class"/>
    <s v="AJ-10960"/>
    <s v="Astrea Jones"/>
    <x v="0"/>
    <s v="United States"/>
    <s v="Rochester"/>
    <x v="15"/>
    <n v="14609"/>
    <x v="3"/>
    <s v="OFF-ST-10001809"/>
    <x v="1"/>
    <x v="4"/>
    <x v="425"/>
    <n v="449.15"/>
  </r>
  <r>
    <n v="493"/>
    <s v="CA-2015-113362"/>
    <d v="2015-09-14T00:00:00"/>
    <x v="75"/>
    <s v="FAST"/>
    <s v="Standard Class"/>
    <s v="AJ-10960"/>
    <s v="Astrea Jones"/>
    <x v="0"/>
    <s v="United States"/>
    <s v="Rochester"/>
    <x v="15"/>
    <n v="14609"/>
    <x v="3"/>
    <s v="OFF-EN-10003845"/>
    <x v="1"/>
    <x v="12"/>
    <x v="426"/>
    <n v="11.07"/>
  </r>
  <r>
    <n v="494"/>
    <s v="CA-2017-169166"/>
    <d v="2017-05-09T00:00:00"/>
    <x v="200"/>
    <s v="FAST"/>
    <s v="Standard Class"/>
    <s v="SS-20590"/>
    <s v="Sonia Sunley"/>
    <x v="0"/>
    <s v="United States"/>
    <s v="Seattle"/>
    <x v="4"/>
    <n v="98115"/>
    <x v="1"/>
    <s v="TEC-AC-10000991"/>
    <x v="2"/>
    <x v="11"/>
    <x v="427"/>
    <n v="93.98"/>
  </r>
  <r>
    <n v="495"/>
    <s v="US-2017-120929"/>
    <d v="2017-03-18T00:00:00"/>
    <x v="201"/>
    <s v="SLOW"/>
    <s v="Second Class"/>
    <s v="RO-19780"/>
    <s v="Rose O'Brian"/>
    <x v="0"/>
    <s v="United States"/>
    <s v="Memphis"/>
    <x v="18"/>
    <n v="38109"/>
    <x v="0"/>
    <s v="FUR-TA-10001857"/>
    <x v="0"/>
    <x v="3"/>
    <x v="428"/>
    <n v="189.88200000000001"/>
  </r>
  <r>
    <n v="496"/>
    <s v="CA-2016-134782"/>
    <d v="2016-12-27T00:00:00"/>
    <x v="16"/>
    <s v="FAST"/>
    <s v="Standard Class"/>
    <s v="MD-17350"/>
    <s v="Maribeth Dona"/>
    <x v="0"/>
    <s v="United States"/>
    <s v="Fayetteville"/>
    <x v="36"/>
    <n v="72701"/>
    <x v="0"/>
    <s v="OFF-EN-10001434"/>
    <x v="1"/>
    <x v="12"/>
    <x v="429"/>
    <n v="105.42"/>
  </r>
  <r>
    <n v="497"/>
    <s v="CA-2017-126158"/>
    <d v="2017-07-25T00:00:00"/>
    <x v="202"/>
    <s v="FAST"/>
    <s v="Standard Class"/>
    <s v="SC-20095"/>
    <s v="Sanjit Chand"/>
    <x v="0"/>
    <s v="United States"/>
    <s v="Costa Mesa"/>
    <x v="1"/>
    <n v="92627"/>
    <x v="1"/>
    <s v="OFF-BI-10002498"/>
    <x v="1"/>
    <x v="8"/>
    <x v="430"/>
    <n v="119.616"/>
  </r>
  <r>
    <n v="498"/>
    <s v="CA-2017-126158"/>
    <d v="2017-07-25T00:00:00"/>
    <x v="202"/>
    <s v="FAST"/>
    <s v="Standard Class"/>
    <s v="SC-20095"/>
    <s v="Sanjit Chand"/>
    <x v="0"/>
    <s v="United States"/>
    <s v="Costa Mesa"/>
    <x v="1"/>
    <n v="92627"/>
    <x v="1"/>
    <s v="FUR-FU-10004864"/>
    <x v="0"/>
    <x v="5"/>
    <x v="431"/>
    <n v="255.76"/>
  </r>
  <r>
    <n v="499"/>
    <s v="CA-2017-126158"/>
    <d v="2017-07-25T00:00:00"/>
    <x v="202"/>
    <s v="FAST"/>
    <s v="Standard Class"/>
    <s v="SC-20095"/>
    <s v="Sanjit Chand"/>
    <x v="0"/>
    <s v="United States"/>
    <s v="Costa Mesa"/>
    <x v="1"/>
    <n v="92627"/>
    <x v="1"/>
    <s v="FUR-CH-10002602"/>
    <x v="0"/>
    <x v="1"/>
    <x v="286"/>
    <n v="241.56800000000001"/>
  </r>
  <r>
    <n v="500"/>
    <s v="CA-2017-126158"/>
    <d v="2017-07-25T00:00:00"/>
    <x v="202"/>
    <s v="FAST"/>
    <s v="Standard Class"/>
    <s v="SC-20095"/>
    <s v="Sanjit Chand"/>
    <x v="0"/>
    <s v="United States"/>
    <s v="Costa Mesa"/>
    <x v="1"/>
    <n v="92627"/>
    <x v="1"/>
    <s v="FUR-FU-10000073"/>
    <x v="0"/>
    <x v="5"/>
    <x v="432"/>
    <n v="69.3"/>
  </r>
  <r>
    <n v="501"/>
    <s v="US-2017-105578"/>
    <d v="2017-05-30T00:00:00"/>
    <x v="203"/>
    <s v="FAST"/>
    <s v="Standard Class"/>
    <s v="MY-17380"/>
    <s v="Maribeth Yedwab"/>
    <x v="1"/>
    <s v="United States"/>
    <s v="Parker"/>
    <x v="22"/>
    <n v="80134"/>
    <x v="1"/>
    <s v="OFF-BI-10001670"/>
    <x v="1"/>
    <x v="8"/>
    <x v="433"/>
    <n v="22.62"/>
  </r>
  <r>
    <n v="502"/>
    <s v="US-2017-105578"/>
    <d v="2017-05-30T00:00:00"/>
    <x v="203"/>
    <s v="FAST"/>
    <s v="Standard Class"/>
    <s v="MY-17380"/>
    <s v="Maribeth Yedwab"/>
    <x v="1"/>
    <s v="United States"/>
    <s v="Parker"/>
    <x v="22"/>
    <n v="80134"/>
    <x v="1"/>
    <s v="OFF-BI-10001658"/>
    <x v="1"/>
    <x v="8"/>
    <x v="434"/>
    <n v="14.952"/>
  </r>
  <r>
    <n v="503"/>
    <s v="US-2017-105578"/>
    <d v="2017-05-30T00:00:00"/>
    <x v="203"/>
    <s v="FAST"/>
    <s v="Standard Class"/>
    <s v="MY-17380"/>
    <s v="Maribeth Yedwab"/>
    <x v="1"/>
    <s v="United States"/>
    <s v="Parker"/>
    <x v="22"/>
    <n v="80134"/>
    <x v="1"/>
    <s v="FUR-CH-10001215"/>
    <x v="0"/>
    <x v="1"/>
    <x v="435"/>
    <n v="801.56799999999998"/>
  </r>
  <r>
    <n v="504"/>
    <s v="US-2017-105578"/>
    <d v="2017-05-30T00:00:00"/>
    <x v="203"/>
    <s v="FAST"/>
    <s v="Standard Class"/>
    <s v="MY-17380"/>
    <s v="Maribeth Yedwab"/>
    <x v="1"/>
    <s v="United States"/>
    <s v="Parker"/>
    <x v="22"/>
    <n v="80134"/>
    <x v="1"/>
    <s v="OFF-BI-10000831"/>
    <x v="1"/>
    <x v="8"/>
    <x v="436"/>
    <n v="2.3759999999999999"/>
  </r>
  <r>
    <n v="505"/>
    <s v="US-2017-105578"/>
    <d v="2017-05-30T00:00:00"/>
    <x v="203"/>
    <s v="FAST"/>
    <s v="Standard Class"/>
    <s v="MY-17380"/>
    <s v="Maribeth Yedwab"/>
    <x v="1"/>
    <s v="United States"/>
    <s v="Parker"/>
    <x v="22"/>
    <n v="80134"/>
    <x v="1"/>
    <s v="OFF-PA-10000357"/>
    <x v="1"/>
    <x v="10"/>
    <x v="437"/>
    <n v="32.792000000000002"/>
  </r>
  <r>
    <n v="506"/>
    <s v="CA-2018-134978"/>
    <d v="2018-11-12T00:00:00"/>
    <x v="204"/>
    <s v="SLOW"/>
    <s v="Second Class"/>
    <s v="EB-13705"/>
    <s v="Ed Braxton"/>
    <x v="1"/>
    <s v="United States"/>
    <s v="New York City"/>
    <x v="15"/>
    <n v="10024"/>
    <x v="3"/>
    <s v="OFF-BI-10003274"/>
    <x v="1"/>
    <x v="8"/>
    <x v="118"/>
    <n v="15.92"/>
  </r>
  <r>
    <n v="507"/>
    <s v="CA-2016-145352"/>
    <d v="2016-03-16T00:00:00"/>
    <x v="205"/>
    <s v="FAST"/>
    <s v="Standard Class"/>
    <s v="CM-12385"/>
    <s v="Christopher Martinez"/>
    <x v="0"/>
    <s v="United States"/>
    <s v="Atlanta"/>
    <x v="32"/>
    <n v="30318"/>
    <x v="0"/>
    <s v="OFF-AR-10001662"/>
    <x v="1"/>
    <x v="6"/>
    <x v="438"/>
    <n v="2.74"/>
  </r>
  <r>
    <n v="508"/>
    <s v="CA-2016-145352"/>
    <d v="2016-03-16T00:00:00"/>
    <x v="205"/>
    <s v="FAST"/>
    <s v="Standard Class"/>
    <s v="CM-12385"/>
    <s v="Christopher Martinez"/>
    <x v="0"/>
    <s v="United States"/>
    <s v="Atlanta"/>
    <x v="32"/>
    <n v="30318"/>
    <x v="0"/>
    <s v="OFF-AR-10003856"/>
    <x v="1"/>
    <x v="6"/>
    <x v="439"/>
    <n v="8.34"/>
  </r>
  <r>
    <n v="509"/>
    <s v="CA-2016-145352"/>
    <d v="2016-03-16T00:00:00"/>
    <x v="205"/>
    <s v="FAST"/>
    <s v="Standard Class"/>
    <s v="CM-12385"/>
    <s v="Christopher Martinez"/>
    <x v="0"/>
    <s v="United States"/>
    <s v="Atlanta"/>
    <x v="32"/>
    <n v="30318"/>
    <x v="0"/>
    <s v="OFF-ST-10001228"/>
    <x v="1"/>
    <x v="4"/>
    <x v="440"/>
    <n v="46.74"/>
  </r>
  <r>
    <n v="510"/>
    <s v="CA-2016-145352"/>
    <d v="2016-03-16T00:00:00"/>
    <x v="205"/>
    <s v="FAST"/>
    <s v="Standard Class"/>
    <s v="CM-12385"/>
    <s v="Christopher Martinez"/>
    <x v="0"/>
    <s v="United States"/>
    <s v="Atlanta"/>
    <x v="32"/>
    <n v="30318"/>
    <x v="0"/>
    <s v="OFF-BI-10003527"/>
    <x v="1"/>
    <x v="8"/>
    <x v="441"/>
    <n v="6354.95"/>
  </r>
  <r>
    <n v="511"/>
    <s v="CA-2018-135307"/>
    <d v="2018-11-26T00:00:00"/>
    <x v="206"/>
    <s v="MODERATE"/>
    <s v="First Class"/>
    <s v="LS-17245"/>
    <s v="Lynn Smith"/>
    <x v="0"/>
    <s v="United States"/>
    <s v="Gladstone"/>
    <x v="25"/>
    <n v="64118"/>
    <x v="2"/>
    <s v="FUR-FU-10001290"/>
    <x v="0"/>
    <x v="5"/>
    <x v="442"/>
    <n v="126.3"/>
  </r>
  <r>
    <n v="512"/>
    <s v="CA-2018-135307"/>
    <d v="2018-11-26T00:00:00"/>
    <x v="206"/>
    <s v="MODERATE"/>
    <s v="First Class"/>
    <s v="LS-17245"/>
    <s v="Lynn Smith"/>
    <x v="0"/>
    <s v="United States"/>
    <s v="Gladstone"/>
    <x v="25"/>
    <n v="64118"/>
    <x v="2"/>
    <s v="TEC-AC-10002399"/>
    <x v="2"/>
    <x v="11"/>
    <x v="443"/>
    <n v="38.04"/>
  </r>
  <r>
    <n v="513"/>
    <s v="CA-2017-106341"/>
    <d v="2017-10-20T00:00:00"/>
    <x v="207"/>
    <s v="MODERATE"/>
    <s v="First Class"/>
    <s v="LF-17185"/>
    <s v="Luke Foster"/>
    <x v="0"/>
    <s v="United States"/>
    <s v="Newark"/>
    <x v="24"/>
    <n v="43055"/>
    <x v="3"/>
    <s v="OFF-AR-10002053"/>
    <x v="1"/>
    <x v="6"/>
    <x v="76"/>
    <n v="7.1520000000000001"/>
  </r>
  <r>
    <n v="514"/>
    <s v="CA-2018-163405"/>
    <d v="2018-12-21T00:00:00"/>
    <x v="208"/>
    <s v="FAST"/>
    <s v="Standard Class"/>
    <s v="BN-11515"/>
    <s v="Bradley Nguyen"/>
    <x v="0"/>
    <s v="United States"/>
    <s v="Los Angeles"/>
    <x v="1"/>
    <n v="90049"/>
    <x v="1"/>
    <s v="OFF-AR-10003811"/>
    <x v="1"/>
    <x v="6"/>
    <x v="444"/>
    <n v="6.63"/>
  </r>
  <r>
    <n v="515"/>
    <s v="CA-2018-163405"/>
    <d v="2018-12-21T00:00:00"/>
    <x v="208"/>
    <s v="FAST"/>
    <s v="Standard Class"/>
    <s v="BN-11515"/>
    <s v="Bradley Nguyen"/>
    <x v="0"/>
    <s v="United States"/>
    <s v="Los Angeles"/>
    <x v="1"/>
    <n v="90049"/>
    <x v="1"/>
    <s v="OFF-AR-10001246"/>
    <x v="1"/>
    <x v="6"/>
    <x v="445"/>
    <n v="5.88"/>
  </r>
  <r>
    <n v="516"/>
    <s v="CA-2018-127432"/>
    <d v="2018-01-22T00:00:00"/>
    <x v="209"/>
    <s v="FAST"/>
    <s v="Standard Class"/>
    <s v="AD-10180"/>
    <s v="Alan Dominguez"/>
    <x v="2"/>
    <s v="United States"/>
    <s v="Great Falls"/>
    <x v="37"/>
    <n v="59405"/>
    <x v="1"/>
    <s v="TEC-CO-10003236"/>
    <x v="2"/>
    <x v="16"/>
    <x v="446"/>
    <n v="2999.95"/>
  </r>
  <r>
    <n v="517"/>
    <s v="CA-2018-127432"/>
    <d v="2018-01-22T00:00:00"/>
    <x v="209"/>
    <s v="FAST"/>
    <s v="Standard Class"/>
    <s v="AD-10180"/>
    <s v="Alan Dominguez"/>
    <x v="2"/>
    <s v="United States"/>
    <s v="Great Falls"/>
    <x v="37"/>
    <n v="59405"/>
    <x v="1"/>
    <s v="OFF-ST-10004507"/>
    <x v="1"/>
    <x v="4"/>
    <x v="447"/>
    <n v="51.45"/>
  </r>
  <r>
    <n v="518"/>
    <s v="CA-2018-127432"/>
    <d v="2018-01-22T00:00:00"/>
    <x v="209"/>
    <s v="FAST"/>
    <s v="Standard Class"/>
    <s v="AD-10180"/>
    <s v="Alan Dominguez"/>
    <x v="2"/>
    <s v="United States"/>
    <s v="Great Falls"/>
    <x v="37"/>
    <n v="59405"/>
    <x v="1"/>
    <s v="OFF-PA-10001667"/>
    <x v="1"/>
    <x v="10"/>
    <x v="448"/>
    <n v="11.96"/>
  </r>
  <r>
    <n v="519"/>
    <s v="CA-2018-127432"/>
    <d v="2018-01-22T00:00:00"/>
    <x v="209"/>
    <s v="FAST"/>
    <s v="Standard Class"/>
    <s v="AD-10180"/>
    <s v="Alan Dominguez"/>
    <x v="2"/>
    <s v="United States"/>
    <s v="Great Falls"/>
    <x v="37"/>
    <n v="59405"/>
    <x v="1"/>
    <s v="OFF-ST-10004459"/>
    <x v="1"/>
    <x v="4"/>
    <x v="449"/>
    <n v="1126.02"/>
  </r>
  <r>
    <n v="520"/>
    <s v="CA-2016-157812"/>
    <d v="2016-03-22T00:00:00"/>
    <x v="210"/>
    <s v="FAST"/>
    <s v="Standard Class"/>
    <s v="DB-13210"/>
    <s v="Dean Braden"/>
    <x v="0"/>
    <s v="United States"/>
    <s v="Houston"/>
    <x v="5"/>
    <n v="77041"/>
    <x v="2"/>
    <s v="TEC-AC-10000171"/>
    <x v="2"/>
    <x v="11"/>
    <x v="42"/>
    <n v="18.391999999999999"/>
  </r>
  <r>
    <n v="521"/>
    <s v="CA-2016-157812"/>
    <d v="2016-03-22T00:00:00"/>
    <x v="210"/>
    <s v="FAST"/>
    <s v="Standard Class"/>
    <s v="DB-13210"/>
    <s v="Dean Braden"/>
    <x v="0"/>
    <s v="United States"/>
    <s v="Houston"/>
    <x v="5"/>
    <n v="77041"/>
    <x v="2"/>
    <s v="OFF-ST-10000736"/>
    <x v="1"/>
    <x v="4"/>
    <x v="450"/>
    <n v="129.56800000000001"/>
  </r>
  <r>
    <n v="522"/>
    <s v="CA-2016-157812"/>
    <d v="2016-03-22T00:00:00"/>
    <x v="210"/>
    <s v="FAST"/>
    <s v="Standard Class"/>
    <s v="DB-13210"/>
    <s v="Dean Braden"/>
    <x v="0"/>
    <s v="United States"/>
    <s v="Houston"/>
    <x v="5"/>
    <n v="77041"/>
    <x v="2"/>
    <s v="OFF-BI-10000285"/>
    <x v="1"/>
    <x v="8"/>
    <x v="451"/>
    <n v="14.112"/>
  </r>
  <r>
    <n v="523"/>
    <s v="CA-2018-145142"/>
    <d v="2018-01-23T00:00:00"/>
    <x v="211"/>
    <s v="MODERATE"/>
    <s v="First Class"/>
    <s v="MC-17605"/>
    <s v="Matt Connell"/>
    <x v="1"/>
    <s v="United States"/>
    <s v="Detroit"/>
    <x v="12"/>
    <n v="48234"/>
    <x v="2"/>
    <s v="FUR-TA-10001857"/>
    <x v="0"/>
    <x v="3"/>
    <x v="428"/>
    <n v="210.98"/>
  </r>
  <r>
    <n v="524"/>
    <s v="US-2017-139486"/>
    <d v="2017-05-21T00:00:00"/>
    <x v="212"/>
    <s v="MODERATE"/>
    <s v="First Class"/>
    <s v="LH-17155"/>
    <s v="Logan Haushalter"/>
    <x v="0"/>
    <s v="United States"/>
    <s v="Los Angeles"/>
    <x v="1"/>
    <n v="90032"/>
    <x v="1"/>
    <s v="TEC-PH-10003555"/>
    <x v="2"/>
    <x v="7"/>
    <x v="452"/>
    <n v="55.176000000000002"/>
  </r>
  <r>
    <n v="525"/>
    <s v="US-2017-139486"/>
    <d v="2017-05-21T00:00:00"/>
    <x v="212"/>
    <s v="MODERATE"/>
    <s v="First Class"/>
    <s v="LH-17155"/>
    <s v="Logan Haushalter"/>
    <x v="0"/>
    <s v="United States"/>
    <s v="Los Angeles"/>
    <x v="1"/>
    <n v="90032"/>
    <x v="1"/>
    <s v="TEC-AC-10003832"/>
    <x v="2"/>
    <x v="11"/>
    <x v="453"/>
    <n v="66.260000000000005"/>
  </r>
  <r>
    <n v="526"/>
    <s v="CA-2016-158792"/>
    <d v="2016-12-26T00:00:00"/>
    <x v="213"/>
    <s v="FAST"/>
    <s v="Standard Class"/>
    <s v="BD-11605"/>
    <s v="Brian Dahlen"/>
    <x v="0"/>
    <s v="United States"/>
    <s v="Lawrence"/>
    <x v="31"/>
    <n v="1841"/>
    <x v="3"/>
    <s v="OFF-FA-10002815"/>
    <x v="1"/>
    <x v="13"/>
    <x v="124"/>
    <n v="22.2"/>
  </r>
  <r>
    <n v="527"/>
    <s v="CA-2018-113558"/>
    <d v="2018-10-21T00:00:00"/>
    <x v="214"/>
    <s v="FAST"/>
    <s v="Standard Class"/>
    <s v="PH-18790"/>
    <s v="Patricia Hirasaki"/>
    <x v="2"/>
    <s v="United States"/>
    <s v="Lakeland"/>
    <x v="2"/>
    <n v="33801"/>
    <x v="0"/>
    <s v="FUR-CH-10003379"/>
    <x v="0"/>
    <x v="1"/>
    <x v="454"/>
    <n v="683.952"/>
  </r>
  <r>
    <n v="528"/>
    <s v="CA-2018-113558"/>
    <d v="2018-10-21T00:00:00"/>
    <x v="214"/>
    <s v="FAST"/>
    <s v="Standard Class"/>
    <s v="PH-18790"/>
    <s v="Patricia Hirasaki"/>
    <x v="2"/>
    <s v="United States"/>
    <s v="Lakeland"/>
    <x v="2"/>
    <n v="33801"/>
    <x v="0"/>
    <s v="FUR-FU-10001756"/>
    <x v="0"/>
    <x v="5"/>
    <x v="280"/>
    <n v="45.695999999999998"/>
  </r>
  <r>
    <n v="529"/>
    <s v="US-2016-138303"/>
    <d v="2016-09-03T00:00:00"/>
    <x v="215"/>
    <s v="FAST"/>
    <s v="Standard Class"/>
    <s v="MG-18145"/>
    <s v="Mike Gockenbach"/>
    <x v="0"/>
    <s v="United States"/>
    <s v="Philadelphia"/>
    <x v="9"/>
    <n v="19134"/>
    <x v="3"/>
    <s v="OFF-ST-10004963"/>
    <x v="1"/>
    <x v="4"/>
    <x v="455"/>
    <n v="36.335999999999999"/>
  </r>
  <r>
    <n v="530"/>
    <s v="US-2016-138303"/>
    <d v="2016-09-03T00:00:00"/>
    <x v="215"/>
    <s v="FAST"/>
    <s v="Standard Class"/>
    <s v="MG-18145"/>
    <s v="Mike Gockenbach"/>
    <x v="0"/>
    <s v="United States"/>
    <s v="Philadelphia"/>
    <x v="9"/>
    <n v="19134"/>
    <x v="3"/>
    <s v="OFF-SU-10002881"/>
    <x v="1"/>
    <x v="14"/>
    <x v="456"/>
    <n v="666.24800000000005"/>
  </r>
  <r>
    <n v="531"/>
    <s v="US-2016-138303"/>
    <d v="2016-09-03T00:00:00"/>
    <x v="215"/>
    <s v="FAST"/>
    <s v="Standard Class"/>
    <s v="MG-18145"/>
    <s v="Mike Gockenbach"/>
    <x v="0"/>
    <s v="United States"/>
    <s v="Philadelphia"/>
    <x v="9"/>
    <n v="19134"/>
    <x v="3"/>
    <s v="OFF-EN-10001335"/>
    <x v="1"/>
    <x v="12"/>
    <x v="457"/>
    <n v="52.512"/>
  </r>
  <r>
    <n v="532"/>
    <s v="CA-2016-102848"/>
    <d v="2016-11-07T00:00:00"/>
    <x v="216"/>
    <s v="SLOW"/>
    <s v="Second Class"/>
    <s v="KB-16240"/>
    <s v="Karen Bern"/>
    <x v="1"/>
    <s v="United States"/>
    <s v="Los Angeles"/>
    <x v="1"/>
    <n v="90036"/>
    <x v="1"/>
    <s v="FUR-CH-10000595"/>
    <x v="0"/>
    <x v="1"/>
    <x v="458"/>
    <n v="190.72"/>
  </r>
  <r>
    <n v="533"/>
    <s v="US-2018-129441"/>
    <d v="2018-09-07T00:00:00"/>
    <x v="217"/>
    <s v="FAST"/>
    <s v="Standard Class"/>
    <s v="JC-15340"/>
    <s v="Jasper Cacioppo"/>
    <x v="0"/>
    <s v="United States"/>
    <s v="Los Angeles"/>
    <x v="1"/>
    <n v="90032"/>
    <x v="1"/>
    <s v="FUR-FU-10000448"/>
    <x v="0"/>
    <x v="5"/>
    <x v="459"/>
    <n v="47.94"/>
  </r>
  <r>
    <n v="534"/>
    <s v="CA-2017-168753"/>
    <d v="2017-05-29T00:00:00"/>
    <x v="218"/>
    <s v="SLOW"/>
    <s v="Second Class"/>
    <s v="RL-19615"/>
    <s v="Rob Lucas"/>
    <x v="0"/>
    <s v="United States"/>
    <s v="Montgomery"/>
    <x v="19"/>
    <n v="36116"/>
    <x v="0"/>
    <s v="TEC-PH-10000984"/>
    <x v="2"/>
    <x v="7"/>
    <x v="460"/>
    <n v="979.95"/>
  </r>
  <r>
    <n v="535"/>
    <s v="CA-2017-168753"/>
    <d v="2017-05-29T00:00:00"/>
    <x v="218"/>
    <s v="SLOW"/>
    <s v="Second Class"/>
    <s v="RL-19615"/>
    <s v="Rob Lucas"/>
    <x v="0"/>
    <s v="United States"/>
    <s v="Montgomery"/>
    <x v="19"/>
    <n v="36116"/>
    <x v="0"/>
    <s v="OFF-BI-10002557"/>
    <x v="1"/>
    <x v="8"/>
    <x v="244"/>
    <n v="22.75"/>
  </r>
  <r>
    <n v="536"/>
    <s v="CA-2017-126613"/>
    <d v="2017-07-10T00:00:00"/>
    <x v="219"/>
    <s v="FAST"/>
    <s v="Standard Class"/>
    <s v="AA-10375"/>
    <s v="Allen Armold"/>
    <x v="0"/>
    <s v="United States"/>
    <s v="Mesa"/>
    <x v="16"/>
    <n v="85204"/>
    <x v="1"/>
    <s v="OFF-ST-10001325"/>
    <x v="1"/>
    <x v="4"/>
    <x v="461"/>
    <n v="16.768000000000001"/>
  </r>
  <r>
    <n v="537"/>
    <s v="US-2018-122637"/>
    <d v="2018-09-03T00:00:00"/>
    <x v="220"/>
    <s v="SLOW"/>
    <s v="Second Class"/>
    <s v="EP-13915"/>
    <s v="Emily Phan"/>
    <x v="0"/>
    <s v="United States"/>
    <s v="Chicago"/>
    <x v="10"/>
    <n v="60653"/>
    <x v="2"/>
    <s v="OFF-BI-10002429"/>
    <x v="1"/>
    <x v="8"/>
    <x v="462"/>
    <n v="42.616"/>
  </r>
  <r>
    <n v="538"/>
    <s v="CA-2016-147851"/>
    <d v="2016-12-03T00:00:00"/>
    <x v="221"/>
    <s v="FAST"/>
    <s v="Standard Class"/>
    <s v="MP-17470"/>
    <s v="Mark Packer"/>
    <x v="2"/>
    <s v="United States"/>
    <s v="New York City"/>
    <x v="15"/>
    <n v="10009"/>
    <x v="3"/>
    <s v="OFF-BI-10004528"/>
    <x v="1"/>
    <x v="8"/>
    <x v="463"/>
    <n v="10.752000000000001"/>
  </r>
  <r>
    <n v="539"/>
    <s v="CA-2016-134894"/>
    <d v="2016-12-07T00:00:00"/>
    <x v="222"/>
    <s v="FAST"/>
    <s v="Standard Class"/>
    <s v="DK-12985"/>
    <s v="Darren Koutras"/>
    <x v="0"/>
    <s v="United States"/>
    <s v="Henderson"/>
    <x v="0"/>
    <n v="42420"/>
    <x v="0"/>
    <s v="OFF-AP-10001271"/>
    <x v="1"/>
    <x v="9"/>
    <x v="464"/>
    <n v="152.94"/>
  </r>
  <r>
    <n v="540"/>
    <s v="CA-2016-134894"/>
    <d v="2016-12-07T00:00:00"/>
    <x v="222"/>
    <s v="FAST"/>
    <s v="Standard Class"/>
    <s v="DK-12985"/>
    <s v="Darren Koutras"/>
    <x v="0"/>
    <s v="United States"/>
    <s v="Henderson"/>
    <x v="0"/>
    <n v="42420"/>
    <x v="0"/>
    <s v="FUR-CH-10002647"/>
    <x v="0"/>
    <x v="1"/>
    <x v="465"/>
    <n v="283.92"/>
  </r>
  <r>
    <n v="541"/>
    <s v="CA-2015-140795"/>
    <d v="2015-02-01T00:00:00"/>
    <x v="223"/>
    <s v="MODERATE"/>
    <s v="First Class"/>
    <s v="BD-11500"/>
    <s v="Bradley Drucker"/>
    <x v="0"/>
    <s v="United States"/>
    <s v="Green Bay"/>
    <x v="6"/>
    <n v="54302"/>
    <x v="2"/>
    <s v="TEC-AC-10001432"/>
    <x v="2"/>
    <x v="11"/>
    <x v="466"/>
    <n v="468.9"/>
  </r>
  <r>
    <n v="542"/>
    <s v="CA-2017-136924"/>
    <d v="2017-07-14T00:00:00"/>
    <x v="224"/>
    <s v="MODERATE"/>
    <s v="First Class"/>
    <s v="ES-14080"/>
    <s v="Erin Smith"/>
    <x v="1"/>
    <s v="United States"/>
    <s v="Tucson"/>
    <x v="16"/>
    <n v="85705"/>
    <x v="1"/>
    <s v="TEC-PH-10002262"/>
    <x v="2"/>
    <x v="7"/>
    <x v="467"/>
    <n v="380.86399999999998"/>
  </r>
  <r>
    <n v="543"/>
    <s v="US-2016-120161"/>
    <d v="2016-12-18T00:00:00"/>
    <x v="225"/>
    <s v="FAST"/>
    <s v="Standard Class"/>
    <s v="LM-17065"/>
    <s v="Liz MacKendrick"/>
    <x v="0"/>
    <s v="United States"/>
    <s v="Springfield"/>
    <x v="24"/>
    <n v="45503"/>
    <x v="3"/>
    <s v="OFF-ST-10001809"/>
    <x v="1"/>
    <x v="4"/>
    <x v="425"/>
    <n v="646.77599999999995"/>
  </r>
  <r>
    <n v="544"/>
    <s v="CA-2015-103849"/>
    <d v="2015-05-11T00:00:00"/>
    <x v="226"/>
    <s v="FAST"/>
    <s v="Standard Class"/>
    <s v="PG-18895"/>
    <s v="Paul Gonzalez"/>
    <x v="0"/>
    <s v="United States"/>
    <s v="Fort Worth"/>
    <x v="5"/>
    <n v="76106"/>
    <x v="2"/>
    <s v="TEC-AC-10001465"/>
    <x v="2"/>
    <x v="11"/>
    <x v="468"/>
    <n v="58.112000000000002"/>
  </r>
  <r>
    <n v="545"/>
    <s v="CA-2015-103849"/>
    <d v="2015-05-11T00:00:00"/>
    <x v="226"/>
    <s v="FAST"/>
    <s v="Standard Class"/>
    <s v="PG-18895"/>
    <s v="Paul Gonzalez"/>
    <x v="0"/>
    <s v="United States"/>
    <s v="Fort Worth"/>
    <x v="5"/>
    <n v="76106"/>
    <x v="2"/>
    <s v="TEC-PH-10002597"/>
    <x v="2"/>
    <x v="7"/>
    <x v="469"/>
    <n v="100.792"/>
  </r>
  <r>
    <n v="546"/>
    <s v="CA-2015-103849"/>
    <d v="2015-05-11T00:00:00"/>
    <x v="226"/>
    <s v="FAST"/>
    <s v="Standard Class"/>
    <s v="PG-18895"/>
    <s v="Paul Gonzalez"/>
    <x v="0"/>
    <s v="United States"/>
    <s v="Fort Worth"/>
    <x v="5"/>
    <n v="76106"/>
    <x v="2"/>
    <s v="FUR-FU-10000723"/>
    <x v="0"/>
    <x v="5"/>
    <x v="470"/>
    <n v="66.111999999999995"/>
  </r>
  <r>
    <n v="547"/>
    <s v="CA-2018-162929"/>
    <d v="2018-11-19T00:00:00"/>
    <x v="227"/>
    <s v="MODERATE"/>
    <s v="First Class"/>
    <s v="AS-10135"/>
    <s v="Adrian Shami"/>
    <x v="2"/>
    <s v="United States"/>
    <s v="New York City"/>
    <x v="15"/>
    <n v="10035"/>
    <x v="3"/>
    <s v="OFF-BI-10000404"/>
    <x v="1"/>
    <x v="8"/>
    <x v="471"/>
    <n v="41.28"/>
  </r>
  <r>
    <n v="548"/>
    <s v="CA-2018-162929"/>
    <d v="2018-11-19T00:00:00"/>
    <x v="227"/>
    <s v="MODERATE"/>
    <s v="First Class"/>
    <s v="AS-10135"/>
    <s v="Adrian Shami"/>
    <x v="2"/>
    <s v="United States"/>
    <s v="New York City"/>
    <x v="15"/>
    <n v="10035"/>
    <x v="3"/>
    <s v="OFF-PA-10002986"/>
    <x v="1"/>
    <x v="10"/>
    <x v="472"/>
    <n v="13.36"/>
  </r>
  <r>
    <n v="549"/>
    <s v="CA-2016-113173"/>
    <d v="2016-11-15T00:00:00"/>
    <x v="49"/>
    <s v="SLOW"/>
    <s v="Second Class"/>
    <s v="DK-13225"/>
    <s v="Dean Katz"/>
    <x v="1"/>
    <s v="United States"/>
    <s v="Chicago"/>
    <x v="10"/>
    <n v="60653"/>
    <x v="2"/>
    <s v="OFF-ST-10000604"/>
    <x v="1"/>
    <x v="4"/>
    <x v="53"/>
    <n v="250.27199999999999"/>
  </r>
  <r>
    <n v="550"/>
    <s v="CA-2016-113173"/>
    <d v="2016-11-15T00:00:00"/>
    <x v="49"/>
    <s v="SLOW"/>
    <s v="Second Class"/>
    <s v="DK-13225"/>
    <s v="Dean Katz"/>
    <x v="1"/>
    <s v="United States"/>
    <s v="Chicago"/>
    <x v="10"/>
    <n v="60653"/>
    <x v="2"/>
    <s v="OFF-BI-10004738"/>
    <x v="1"/>
    <x v="8"/>
    <x v="89"/>
    <n v="11.364000000000001"/>
  </r>
  <r>
    <n v="551"/>
    <s v="CA-2016-113173"/>
    <d v="2016-11-15T00:00:00"/>
    <x v="49"/>
    <s v="SLOW"/>
    <s v="Second Class"/>
    <s v="DK-13225"/>
    <s v="Dean Katz"/>
    <x v="1"/>
    <s v="United States"/>
    <s v="Chicago"/>
    <x v="10"/>
    <n v="60653"/>
    <x v="2"/>
    <s v="OFF-SU-10001935"/>
    <x v="1"/>
    <x v="14"/>
    <x v="321"/>
    <n v="8.7200000000000006"/>
  </r>
  <r>
    <n v="552"/>
    <s v="CA-2017-136406"/>
    <d v="2017-04-15T00:00:00"/>
    <x v="228"/>
    <s v="SLOW"/>
    <s v="Second Class"/>
    <s v="BD-11320"/>
    <s v="Bill Donatelli"/>
    <x v="0"/>
    <s v="United States"/>
    <s v="San Francisco"/>
    <x v="1"/>
    <n v="94110"/>
    <x v="1"/>
    <s v="FUR-CH-10002024"/>
    <x v="0"/>
    <x v="1"/>
    <x v="473"/>
    <n v="1121.568"/>
  </r>
  <r>
    <n v="553"/>
    <s v="CA-2018-112774"/>
    <d v="2018-09-11T00:00:00"/>
    <x v="229"/>
    <s v="MODERATE"/>
    <s v="First Class"/>
    <s v="RC-19960"/>
    <s v="Ryan Crowe"/>
    <x v="0"/>
    <s v="United States"/>
    <s v="Jacksonville"/>
    <x v="2"/>
    <n v="32216"/>
    <x v="0"/>
    <s v="FUR-FU-10003039"/>
    <x v="0"/>
    <x v="5"/>
    <x v="474"/>
    <n v="34.503999999999998"/>
  </r>
  <r>
    <n v="554"/>
    <s v="CA-2018-101945"/>
    <d v="2018-11-24T00:00:00"/>
    <x v="50"/>
    <s v="FAST"/>
    <s v="Standard Class"/>
    <s v="GT-14710"/>
    <s v="Greg Tran"/>
    <x v="0"/>
    <s v="United States"/>
    <s v="Houston"/>
    <x v="5"/>
    <n v="77070"/>
    <x v="2"/>
    <s v="OFF-FA-10004248"/>
    <x v="1"/>
    <x v="13"/>
    <x v="475"/>
    <n v="10.824"/>
  </r>
  <r>
    <n v="555"/>
    <s v="CA-2018-100650"/>
    <d v="2018-06-29T00:00:00"/>
    <x v="230"/>
    <s v="SLOW"/>
    <s v="Second Class"/>
    <s v="DK-13225"/>
    <s v="Dean Katz"/>
    <x v="1"/>
    <s v="United States"/>
    <s v="Anaheim"/>
    <x v="1"/>
    <n v="92804"/>
    <x v="1"/>
    <s v="OFF-ST-10001780"/>
    <x v="1"/>
    <x v="4"/>
    <x v="476"/>
    <n v="1295.78"/>
  </r>
  <r>
    <n v="556"/>
    <s v="CA-2015-155852"/>
    <d v="2015-03-03T00:00:00"/>
    <x v="231"/>
    <s v="SLOW"/>
    <s v="Second Class"/>
    <s v="AJ-10945"/>
    <s v="Ashley Jarboe"/>
    <x v="0"/>
    <s v="United States"/>
    <s v="Wilmington"/>
    <x v="3"/>
    <n v="28403"/>
    <x v="0"/>
    <s v="OFF-AR-10003560"/>
    <x v="1"/>
    <x v="6"/>
    <x v="477"/>
    <n v="19.456"/>
  </r>
  <r>
    <n v="557"/>
    <s v="CA-2017-113243"/>
    <d v="2017-06-10T00:00:00"/>
    <x v="35"/>
    <s v="FAST"/>
    <s v="Standard Class"/>
    <s v="OT-18730"/>
    <s v="Olvera Toch"/>
    <x v="0"/>
    <s v="United States"/>
    <s v="Los Angeles"/>
    <x v="1"/>
    <n v="90045"/>
    <x v="1"/>
    <s v="OFF-LA-10001297"/>
    <x v="1"/>
    <x v="2"/>
    <x v="478"/>
    <n v="20.7"/>
  </r>
  <r>
    <n v="558"/>
    <s v="CA-2017-113243"/>
    <d v="2017-06-10T00:00:00"/>
    <x v="35"/>
    <s v="FAST"/>
    <s v="Standard Class"/>
    <s v="OT-18730"/>
    <s v="Olvera Toch"/>
    <x v="0"/>
    <s v="United States"/>
    <s v="Los Angeles"/>
    <x v="1"/>
    <n v="90045"/>
    <x v="1"/>
    <s v="FUR-TA-10004256"/>
    <x v="0"/>
    <x v="3"/>
    <x v="479"/>
    <n v="1335.68"/>
  </r>
  <r>
    <n v="559"/>
    <s v="CA-2017-113243"/>
    <d v="2017-06-10T00:00:00"/>
    <x v="35"/>
    <s v="FAST"/>
    <s v="Standard Class"/>
    <s v="OT-18730"/>
    <s v="Olvera Toch"/>
    <x v="0"/>
    <s v="United States"/>
    <s v="Los Angeles"/>
    <x v="1"/>
    <n v="90045"/>
    <x v="1"/>
    <s v="OFF-PA-10003441"/>
    <x v="1"/>
    <x v="10"/>
    <x v="480"/>
    <n v="32.4"/>
  </r>
  <r>
    <n v="560"/>
    <s v="CA-2018-118731"/>
    <d v="2018-11-20T00:00:00"/>
    <x v="227"/>
    <s v="SLOW"/>
    <s v="Second Class"/>
    <s v="LP-17080"/>
    <s v="Liz Pelletier"/>
    <x v="0"/>
    <s v="United States"/>
    <s v="San Francisco"/>
    <x v="1"/>
    <n v="94110"/>
    <x v="1"/>
    <s v="FUR-FU-10003347"/>
    <x v="0"/>
    <x v="5"/>
    <x v="371"/>
    <n v="42.6"/>
  </r>
  <r>
    <n v="561"/>
    <s v="CA-2018-118731"/>
    <d v="2018-11-20T00:00:00"/>
    <x v="227"/>
    <s v="SLOW"/>
    <s v="Second Class"/>
    <s v="LP-17080"/>
    <s v="Liz Pelletier"/>
    <x v="0"/>
    <s v="United States"/>
    <s v="San Francisco"/>
    <x v="1"/>
    <n v="94110"/>
    <x v="1"/>
    <s v="OFF-BI-10000069"/>
    <x v="1"/>
    <x v="8"/>
    <x v="481"/>
    <n v="84.055999999999997"/>
  </r>
  <r>
    <n v="562"/>
    <s v="CA-2015-145576"/>
    <d v="2015-09-14T00:00:00"/>
    <x v="232"/>
    <s v="SLOW"/>
    <s v="Second Class"/>
    <s v="CA-12775"/>
    <s v="Cynthia Arntzen"/>
    <x v="0"/>
    <s v="United States"/>
    <s v="Tampa"/>
    <x v="2"/>
    <n v="33614"/>
    <x v="0"/>
    <s v="OFF-AP-10003914"/>
    <x v="1"/>
    <x v="9"/>
    <x v="482"/>
    <n v="13"/>
  </r>
  <r>
    <n v="563"/>
    <s v="CA-2015-145576"/>
    <d v="2015-09-14T00:00:00"/>
    <x v="232"/>
    <s v="SLOW"/>
    <s v="Second Class"/>
    <s v="CA-12775"/>
    <s v="Cynthia Arntzen"/>
    <x v="0"/>
    <s v="United States"/>
    <s v="Tampa"/>
    <x v="2"/>
    <n v="33614"/>
    <x v="0"/>
    <s v="FUR-FU-10004020"/>
    <x v="0"/>
    <x v="5"/>
    <x v="483"/>
    <n v="13.128"/>
  </r>
  <r>
    <n v="564"/>
    <s v="CA-2016-130736"/>
    <d v="2016-12-07T00:00:00"/>
    <x v="233"/>
    <s v="MODERATE"/>
    <s v="First Class"/>
    <s v="JF-15490"/>
    <s v="Jeremy Farry"/>
    <x v="0"/>
    <s v="United States"/>
    <s v="Seattle"/>
    <x v="4"/>
    <n v="98105"/>
    <x v="1"/>
    <s v="OFF-FA-10003467"/>
    <x v="1"/>
    <x v="13"/>
    <x v="484"/>
    <n v="3.96"/>
  </r>
  <r>
    <n v="565"/>
    <s v="CA-2016-130736"/>
    <d v="2016-12-07T00:00:00"/>
    <x v="233"/>
    <s v="MODERATE"/>
    <s v="First Class"/>
    <s v="JF-15490"/>
    <s v="Jeremy Farry"/>
    <x v="0"/>
    <s v="United States"/>
    <s v="Seattle"/>
    <x v="4"/>
    <n v="98105"/>
    <x v="1"/>
    <s v="OFF-LA-10000634"/>
    <x v="1"/>
    <x v="2"/>
    <x v="281"/>
    <n v="2.61"/>
  </r>
  <r>
    <n v="566"/>
    <s v="CA-2018-137099"/>
    <d v="2018-12-07T00:00:00"/>
    <x v="234"/>
    <s v="MODERATE"/>
    <s v="First Class"/>
    <s v="FP-14320"/>
    <s v="Frank Preis"/>
    <x v="0"/>
    <s v="United States"/>
    <s v="Los Angeles"/>
    <x v="1"/>
    <n v="90008"/>
    <x v="1"/>
    <s v="TEC-PH-10002496"/>
    <x v="2"/>
    <x v="7"/>
    <x v="485"/>
    <n v="374.37599999999998"/>
  </r>
  <r>
    <n v="567"/>
    <s v="CA-2018-156951"/>
    <d v="2018-10-01T00:00:00"/>
    <x v="178"/>
    <s v="FAST"/>
    <s v="Standard Class"/>
    <s v="EB-13840"/>
    <s v="Ellis Ballard"/>
    <x v="1"/>
    <s v="United States"/>
    <s v="Seattle"/>
    <x v="4"/>
    <n v="98105"/>
    <x v="1"/>
    <s v="OFF-PA-10004530"/>
    <x v="1"/>
    <x v="10"/>
    <x v="486"/>
    <n v="91.84"/>
  </r>
  <r>
    <n v="568"/>
    <s v="CA-2018-156951"/>
    <d v="2018-10-01T00:00:00"/>
    <x v="178"/>
    <s v="FAST"/>
    <s v="Standard Class"/>
    <s v="EB-13840"/>
    <s v="Ellis Ballard"/>
    <x v="1"/>
    <s v="United States"/>
    <s v="Seattle"/>
    <x v="4"/>
    <n v="98105"/>
    <x v="1"/>
    <s v="OFF-BI-10001107"/>
    <x v="1"/>
    <x v="8"/>
    <x v="487"/>
    <n v="81.087999999999994"/>
  </r>
  <r>
    <n v="569"/>
    <s v="CA-2018-156951"/>
    <d v="2018-10-01T00:00:00"/>
    <x v="178"/>
    <s v="FAST"/>
    <s v="Standard Class"/>
    <s v="EB-13840"/>
    <s v="Ellis Ballard"/>
    <x v="1"/>
    <s v="United States"/>
    <s v="Seattle"/>
    <x v="4"/>
    <n v="98105"/>
    <x v="1"/>
    <s v="OFF-PA-10004451"/>
    <x v="1"/>
    <x v="10"/>
    <x v="488"/>
    <n v="19.440000000000001"/>
  </r>
  <r>
    <n v="570"/>
    <s v="CA-2018-156951"/>
    <d v="2018-10-01T00:00:00"/>
    <x v="178"/>
    <s v="FAST"/>
    <s v="Standard Class"/>
    <s v="EB-13840"/>
    <s v="Ellis Ballard"/>
    <x v="1"/>
    <s v="United States"/>
    <s v="Seattle"/>
    <x v="4"/>
    <n v="98105"/>
    <x v="1"/>
    <s v="FUR-CH-10004997"/>
    <x v="0"/>
    <x v="1"/>
    <x v="489"/>
    <n v="451.15199999999999"/>
  </r>
  <r>
    <n v="571"/>
    <s v="CA-2018-164826"/>
    <d v="2018-12-28T00:00:00"/>
    <x v="235"/>
    <s v="FAST"/>
    <s v="Standard Class"/>
    <s v="JF-15415"/>
    <s v="Jennifer Ferguson"/>
    <x v="0"/>
    <s v="United States"/>
    <s v="New York City"/>
    <x v="15"/>
    <n v="10024"/>
    <x v="3"/>
    <s v="OFF-LA-10001297"/>
    <x v="1"/>
    <x v="2"/>
    <x v="478"/>
    <n v="72.45"/>
  </r>
  <r>
    <n v="572"/>
    <s v="CA-2018-164826"/>
    <d v="2018-12-28T00:00:00"/>
    <x v="235"/>
    <s v="FAST"/>
    <s v="Standard Class"/>
    <s v="JF-15415"/>
    <s v="Jennifer Ferguson"/>
    <x v="0"/>
    <s v="United States"/>
    <s v="New York City"/>
    <x v="15"/>
    <n v="10024"/>
    <x v="3"/>
    <s v="OFF-FA-10000585"/>
    <x v="1"/>
    <x v="13"/>
    <x v="199"/>
    <n v="13.96"/>
  </r>
  <r>
    <n v="573"/>
    <s v="CA-2018-164826"/>
    <d v="2018-12-28T00:00:00"/>
    <x v="235"/>
    <s v="FAST"/>
    <s v="Standard Class"/>
    <s v="JF-15415"/>
    <s v="Jennifer Ferguson"/>
    <x v="0"/>
    <s v="United States"/>
    <s v="New York City"/>
    <x v="15"/>
    <n v="10024"/>
    <x v="3"/>
    <s v="OFF-BI-10001922"/>
    <x v="1"/>
    <x v="8"/>
    <x v="300"/>
    <n v="33.264000000000003"/>
  </r>
  <r>
    <n v="574"/>
    <s v="CA-2018-164826"/>
    <d v="2018-12-28T00:00:00"/>
    <x v="235"/>
    <s v="FAST"/>
    <s v="Standard Class"/>
    <s v="JF-15415"/>
    <s v="Jennifer Ferguson"/>
    <x v="0"/>
    <s v="United States"/>
    <s v="New York City"/>
    <x v="15"/>
    <n v="10024"/>
    <x v="3"/>
    <s v="TEC-PH-10000347"/>
    <x v="2"/>
    <x v="7"/>
    <x v="490"/>
    <n v="14.85"/>
  </r>
  <r>
    <n v="575"/>
    <s v="CA-2017-127250"/>
    <d v="2017-11-03T00:00:00"/>
    <x v="236"/>
    <s v="FAST"/>
    <s v="Standard Class"/>
    <s v="SF-20200"/>
    <s v="Sarah Foster"/>
    <x v="0"/>
    <s v="United States"/>
    <s v="Marysville"/>
    <x v="4"/>
    <n v="98270"/>
    <x v="1"/>
    <s v="OFF-AR-10003394"/>
    <x v="1"/>
    <x v="6"/>
    <x v="491"/>
    <n v="8.82"/>
  </r>
  <r>
    <n v="576"/>
    <s v="CA-2016-149713"/>
    <d v="2016-09-18T00:00:00"/>
    <x v="237"/>
    <s v="SLOW"/>
    <s v="Second Class"/>
    <s v="TG-21640"/>
    <s v="Trudy Glocke"/>
    <x v="0"/>
    <s v="United States"/>
    <s v="Long Beach"/>
    <x v="1"/>
    <n v="90805"/>
    <x v="1"/>
    <s v="OFF-PA-10004530"/>
    <x v="1"/>
    <x v="10"/>
    <x v="486"/>
    <n v="160.72"/>
  </r>
  <r>
    <n v="577"/>
    <s v="CA-2016-149713"/>
    <d v="2016-09-18T00:00:00"/>
    <x v="237"/>
    <s v="SLOW"/>
    <s v="Second Class"/>
    <s v="TG-21640"/>
    <s v="Trudy Glocke"/>
    <x v="0"/>
    <s v="United States"/>
    <s v="Long Beach"/>
    <x v="1"/>
    <n v="90805"/>
    <x v="1"/>
    <s v="OFF-PA-10001450"/>
    <x v="1"/>
    <x v="10"/>
    <x v="492"/>
    <n v="19.920000000000002"/>
  </r>
  <r>
    <n v="578"/>
    <s v="CA-2016-149713"/>
    <d v="2016-09-18T00:00:00"/>
    <x v="237"/>
    <s v="SLOW"/>
    <s v="Second Class"/>
    <s v="TG-21640"/>
    <s v="Trudy Glocke"/>
    <x v="0"/>
    <s v="United States"/>
    <s v="Long Beach"/>
    <x v="1"/>
    <n v="90805"/>
    <x v="1"/>
    <s v="OFF-SU-10001574"/>
    <x v="1"/>
    <x v="14"/>
    <x v="493"/>
    <n v="7.3"/>
  </r>
  <r>
    <n v="579"/>
    <s v="CA-2018-118640"/>
    <d v="2018-07-20T00:00:00"/>
    <x v="238"/>
    <s v="FAST"/>
    <s v="Standard Class"/>
    <s v="CS-11950"/>
    <s v="Carlos Soltero"/>
    <x v="0"/>
    <s v="United States"/>
    <s v="Chicago"/>
    <x v="10"/>
    <n v="60610"/>
    <x v="2"/>
    <s v="OFF-ST-10002974"/>
    <x v="1"/>
    <x v="4"/>
    <x v="119"/>
    <n v="69.712000000000003"/>
  </r>
  <r>
    <n v="580"/>
    <s v="CA-2018-118640"/>
    <d v="2018-07-20T00:00:00"/>
    <x v="238"/>
    <s v="FAST"/>
    <s v="Standard Class"/>
    <s v="CS-11950"/>
    <s v="Carlos Soltero"/>
    <x v="0"/>
    <s v="United States"/>
    <s v="Chicago"/>
    <x v="10"/>
    <n v="60610"/>
    <x v="2"/>
    <s v="FUR-FU-10001475"/>
    <x v="0"/>
    <x v="5"/>
    <x v="494"/>
    <n v="8.7919999999999998"/>
  </r>
  <r>
    <n v="581"/>
    <s v="CA-2016-132906"/>
    <d v="2016-09-10T00:00:00"/>
    <x v="239"/>
    <s v="FAST"/>
    <s v="Standard Class"/>
    <s v="CC-12145"/>
    <s v="Charles Crestani"/>
    <x v="0"/>
    <s v="United States"/>
    <s v="Los Angeles"/>
    <x v="1"/>
    <n v="90004"/>
    <x v="1"/>
    <s v="OFF-SU-10004498"/>
    <x v="1"/>
    <x v="14"/>
    <x v="495"/>
    <n v="51.52"/>
  </r>
  <r>
    <n v="582"/>
    <s v="CA-2018-145233"/>
    <d v="2018-12-01T00:00:00"/>
    <x v="240"/>
    <s v="FAST"/>
    <s v="Standard Class"/>
    <s v="DV-13465"/>
    <s v="Dianna Vittorini"/>
    <x v="0"/>
    <s v="United States"/>
    <s v="Denver"/>
    <x v="22"/>
    <n v="80219"/>
    <x v="1"/>
    <s v="TEC-PH-10004977"/>
    <x v="2"/>
    <x v="7"/>
    <x v="34"/>
    <n v="470.37599999999998"/>
  </r>
  <r>
    <n v="583"/>
    <s v="CA-2018-145233"/>
    <d v="2018-12-01T00:00:00"/>
    <x v="240"/>
    <s v="FAST"/>
    <s v="Standard Class"/>
    <s v="DV-13465"/>
    <s v="Dianna Vittorini"/>
    <x v="0"/>
    <s v="United States"/>
    <s v="Denver"/>
    <x v="22"/>
    <n v="80219"/>
    <x v="1"/>
    <s v="TEC-PH-10000586"/>
    <x v="2"/>
    <x v="7"/>
    <x v="496"/>
    <n v="105.584"/>
  </r>
  <r>
    <n v="584"/>
    <s v="CA-2018-145233"/>
    <d v="2018-12-01T00:00:00"/>
    <x v="240"/>
    <s v="FAST"/>
    <s v="Standard Class"/>
    <s v="DV-13465"/>
    <s v="Dianna Vittorini"/>
    <x v="0"/>
    <s v="United States"/>
    <s v="Denver"/>
    <x v="22"/>
    <n v="80219"/>
    <x v="1"/>
    <s v="OFF-AP-10000358"/>
    <x v="1"/>
    <x v="9"/>
    <x v="91"/>
    <n v="31.152000000000001"/>
  </r>
  <r>
    <n v="585"/>
    <s v="CA-2018-145233"/>
    <d v="2018-12-01T00:00:00"/>
    <x v="240"/>
    <s v="FAST"/>
    <s v="Standard Class"/>
    <s v="DV-13465"/>
    <s v="Dianna Vittorini"/>
    <x v="0"/>
    <s v="United States"/>
    <s v="Denver"/>
    <x v="22"/>
    <n v="80219"/>
    <x v="1"/>
    <s v="OFF-BI-10002764"/>
    <x v="1"/>
    <x v="8"/>
    <x v="497"/>
    <n v="6.7830000000000004"/>
  </r>
  <r>
    <n v="586"/>
    <s v="CA-2018-145233"/>
    <d v="2018-12-01T00:00:00"/>
    <x v="240"/>
    <s v="FAST"/>
    <s v="Standard Class"/>
    <s v="DV-13465"/>
    <s v="Dianna Vittorini"/>
    <x v="0"/>
    <s v="United States"/>
    <s v="Denver"/>
    <x v="22"/>
    <n v="80219"/>
    <x v="1"/>
    <s v="TEC-PH-10001254"/>
    <x v="2"/>
    <x v="7"/>
    <x v="140"/>
    <n v="406.36799999999999"/>
  </r>
  <r>
    <n v="587"/>
    <s v="CA-2016-128139"/>
    <d v="2016-07-03T00:00:00"/>
    <x v="241"/>
    <s v="FAST"/>
    <s v="Standard Class"/>
    <s v="BD-11725"/>
    <s v="Bruce Degenhardt"/>
    <x v="0"/>
    <s v="United States"/>
    <s v="Richmond"/>
    <x v="0"/>
    <n v="40475"/>
    <x v="0"/>
    <s v="FUR-CH-10003956"/>
    <x v="0"/>
    <x v="1"/>
    <x v="360"/>
    <n v="70.98"/>
  </r>
  <r>
    <n v="588"/>
    <s v="CA-2016-128139"/>
    <d v="2016-07-03T00:00:00"/>
    <x v="241"/>
    <s v="FAST"/>
    <s v="Standard Class"/>
    <s v="BD-11725"/>
    <s v="Bruce Degenhardt"/>
    <x v="0"/>
    <s v="United States"/>
    <s v="Richmond"/>
    <x v="0"/>
    <n v="40475"/>
    <x v="0"/>
    <s v="OFF-LA-10003930"/>
    <x v="1"/>
    <x v="2"/>
    <x v="498"/>
    <n v="294.93"/>
  </r>
  <r>
    <n v="589"/>
    <s v="US-2017-156986"/>
    <d v="2017-03-20T00:00:00"/>
    <x v="242"/>
    <s v="FAST"/>
    <s v="Standard Class"/>
    <s v="ZC-21910"/>
    <s v="Zuschuss Carroll"/>
    <x v="0"/>
    <s v="United States"/>
    <s v="Salem"/>
    <x v="21"/>
    <n v="97301"/>
    <x v="1"/>
    <s v="TEC-PH-10003800"/>
    <x v="2"/>
    <x v="7"/>
    <x v="499"/>
    <n v="84.784000000000006"/>
  </r>
  <r>
    <n v="590"/>
    <s v="US-2017-156986"/>
    <d v="2017-03-20T00:00:00"/>
    <x v="242"/>
    <s v="FAST"/>
    <s v="Standard Class"/>
    <s v="ZC-21910"/>
    <s v="Zuschuss Carroll"/>
    <x v="0"/>
    <s v="United States"/>
    <s v="Salem"/>
    <x v="21"/>
    <n v="97301"/>
    <x v="1"/>
    <s v="OFF-PA-10002005"/>
    <x v="1"/>
    <x v="10"/>
    <x v="500"/>
    <n v="20.736000000000001"/>
  </r>
  <r>
    <n v="591"/>
    <s v="US-2017-156986"/>
    <d v="2017-03-20T00:00:00"/>
    <x v="242"/>
    <s v="FAST"/>
    <s v="Standard Class"/>
    <s v="ZC-21910"/>
    <s v="Zuschuss Carroll"/>
    <x v="0"/>
    <s v="United States"/>
    <s v="Salem"/>
    <x v="21"/>
    <n v="97301"/>
    <x v="1"/>
    <s v="OFF-BI-10002498"/>
    <x v="1"/>
    <x v="8"/>
    <x v="430"/>
    <n v="16.821000000000002"/>
  </r>
  <r>
    <n v="592"/>
    <s v="US-2017-156986"/>
    <d v="2017-03-20T00:00:00"/>
    <x v="242"/>
    <s v="FAST"/>
    <s v="Standard Class"/>
    <s v="ZC-21910"/>
    <s v="Zuschuss Carroll"/>
    <x v="0"/>
    <s v="United States"/>
    <s v="Salem"/>
    <x v="21"/>
    <n v="97301"/>
    <x v="1"/>
    <s v="OFF-PA-10004101"/>
    <x v="1"/>
    <x v="10"/>
    <x v="501"/>
    <n v="10.368"/>
  </r>
  <r>
    <n v="593"/>
    <s v="CA-2015-135405"/>
    <d v="2015-01-09T00:00:00"/>
    <x v="243"/>
    <s v="FAST"/>
    <s v="Standard Class"/>
    <s v="MS-17830"/>
    <s v="Melanie Seite"/>
    <x v="0"/>
    <s v="United States"/>
    <s v="Laredo"/>
    <x v="5"/>
    <n v="78041"/>
    <x v="2"/>
    <s v="OFF-AR-10004078"/>
    <x v="1"/>
    <x v="6"/>
    <x v="502"/>
    <n v="9.3439999999999994"/>
  </r>
  <r>
    <n v="594"/>
    <s v="CA-2015-135405"/>
    <d v="2015-01-09T00:00:00"/>
    <x v="243"/>
    <s v="FAST"/>
    <s v="Standard Class"/>
    <s v="MS-17830"/>
    <s v="Melanie Seite"/>
    <x v="0"/>
    <s v="United States"/>
    <s v="Laredo"/>
    <x v="5"/>
    <n v="78041"/>
    <x v="2"/>
    <s v="TEC-AC-10001266"/>
    <x v="2"/>
    <x v="11"/>
    <x v="193"/>
    <n v="31.2"/>
  </r>
  <r>
    <n v="595"/>
    <s v="CA-2015-131450"/>
    <d v="2015-08-08T00:00:00"/>
    <x v="244"/>
    <s v="FAST"/>
    <s v="Standard Class"/>
    <s v="LR-16915"/>
    <s v="Lena Radford"/>
    <x v="0"/>
    <s v="United States"/>
    <s v="San Diego"/>
    <x v="1"/>
    <n v="92024"/>
    <x v="1"/>
    <s v="OFF-AP-10004708"/>
    <x v="1"/>
    <x v="9"/>
    <x v="503"/>
    <n v="76.12"/>
  </r>
  <r>
    <n v="596"/>
    <s v="CA-2015-131450"/>
    <d v="2015-08-08T00:00:00"/>
    <x v="244"/>
    <s v="FAST"/>
    <s v="Standard Class"/>
    <s v="LR-16915"/>
    <s v="Lena Radford"/>
    <x v="0"/>
    <s v="United States"/>
    <s v="San Diego"/>
    <x v="1"/>
    <n v="92024"/>
    <x v="1"/>
    <s v="TEC-CO-10004115"/>
    <x v="2"/>
    <x v="16"/>
    <x v="353"/>
    <n v="1199.9760000000001"/>
  </r>
  <r>
    <n v="597"/>
    <s v="CA-2015-131450"/>
    <d v="2015-08-08T00:00:00"/>
    <x v="244"/>
    <s v="FAST"/>
    <s v="Standard Class"/>
    <s v="LR-16915"/>
    <s v="Lena Radford"/>
    <x v="0"/>
    <s v="United States"/>
    <s v="San Diego"/>
    <x v="1"/>
    <n v="92024"/>
    <x v="1"/>
    <s v="TEC-PH-10002398"/>
    <x v="2"/>
    <x v="7"/>
    <x v="283"/>
    <n v="445.96"/>
  </r>
  <r>
    <n v="598"/>
    <s v="CA-2015-131450"/>
    <d v="2015-08-08T00:00:00"/>
    <x v="244"/>
    <s v="FAST"/>
    <s v="Standard Class"/>
    <s v="LR-16915"/>
    <s v="Lena Radford"/>
    <x v="0"/>
    <s v="United States"/>
    <s v="San Diego"/>
    <x v="1"/>
    <n v="92024"/>
    <x v="1"/>
    <s v="FUR-FU-10001979"/>
    <x v="0"/>
    <x v="5"/>
    <x v="504"/>
    <n v="327.76"/>
  </r>
  <r>
    <n v="599"/>
    <s v="CA-2017-120180"/>
    <d v="2017-07-14T00:00:00"/>
    <x v="219"/>
    <s v="MODERATE"/>
    <s v="First Class"/>
    <s v="TP-21130"/>
    <s v="Theone Pippenger"/>
    <x v="0"/>
    <s v="United States"/>
    <s v="Philadelphia"/>
    <x v="9"/>
    <n v="19134"/>
    <x v="3"/>
    <s v="OFF-SU-10004115"/>
    <x v="1"/>
    <x v="14"/>
    <x v="505"/>
    <n v="11.632"/>
  </r>
  <r>
    <n v="600"/>
    <s v="US-2017-100720"/>
    <d v="2017-07-16T00:00:00"/>
    <x v="245"/>
    <s v="FAST"/>
    <s v="Standard Class"/>
    <s v="CK-12205"/>
    <s v="Chloris Kastensmidt"/>
    <x v="0"/>
    <s v="United States"/>
    <s v="Philadelphia"/>
    <x v="9"/>
    <n v="19120"/>
    <x v="3"/>
    <s v="TEC-PH-10001425"/>
    <x v="2"/>
    <x v="7"/>
    <x v="506"/>
    <n v="143.982"/>
  </r>
  <r>
    <n v="601"/>
    <s v="US-2017-100720"/>
    <d v="2017-07-16T00:00:00"/>
    <x v="245"/>
    <s v="FAST"/>
    <s v="Standard Class"/>
    <s v="CK-12205"/>
    <s v="Chloris Kastensmidt"/>
    <x v="0"/>
    <s v="United States"/>
    <s v="Philadelphia"/>
    <x v="9"/>
    <n v="19120"/>
    <x v="3"/>
    <s v="TEC-PH-10003963"/>
    <x v="2"/>
    <x v="7"/>
    <x v="507"/>
    <n v="494.37599999999998"/>
  </r>
  <r>
    <n v="602"/>
    <s v="US-2017-100720"/>
    <d v="2017-07-16T00:00:00"/>
    <x v="245"/>
    <s v="FAST"/>
    <s v="Standard Class"/>
    <s v="CK-12205"/>
    <s v="Chloris Kastensmidt"/>
    <x v="0"/>
    <s v="United States"/>
    <s v="Philadelphia"/>
    <x v="9"/>
    <n v="19120"/>
    <x v="3"/>
    <s v="OFF-SU-10001574"/>
    <x v="1"/>
    <x v="14"/>
    <x v="493"/>
    <n v="5.84"/>
  </r>
  <r>
    <n v="603"/>
    <s v="CA-2015-149958"/>
    <d v="2015-03-15T00:00:00"/>
    <x v="246"/>
    <s v="FAST"/>
    <s v="Standard Class"/>
    <s v="AS-10240"/>
    <s v="Alan Shonely"/>
    <x v="0"/>
    <s v="United States"/>
    <s v="Tampa"/>
    <x v="2"/>
    <n v="33614"/>
    <x v="0"/>
    <s v="OFF-ST-10001490"/>
    <x v="1"/>
    <x v="4"/>
    <x v="508"/>
    <n v="142.77600000000001"/>
  </r>
  <r>
    <n v="604"/>
    <s v="CA-2015-149958"/>
    <d v="2015-03-15T00:00:00"/>
    <x v="246"/>
    <s v="FAST"/>
    <s v="Standard Class"/>
    <s v="AS-10240"/>
    <s v="Alan Shonely"/>
    <x v="0"/>
    <s v="United States"/>
    <s v="Tampa"/>
    <x v="2"/>
    <n v="33614"/>
    <x v="0"/>
    <s v="FUR-FU-10001756"/>
    <x v="0"/>
    <x v="5"/>
    <x v="280"/>
    <n v="45.695999999999998"/>
  </r>
  <r>
    <n v="605"/>
    <s v="CA-2015-149958"/>
    <d v="2015-03-15T00:00:00"/>
    <x v="246"/>
    <s v="FAST"/>
    <s v="Standard Class"/>
    <s v="AS-10240"/>
    <s v="Alan Shonely"/>
    <x v="0"/>
    <s v="United States"/>
    <s v="Tampa"/>
    <x v="2"/>
    <n v="33614"/>
    <x v="0"/>
    <s v="OFF-BI-10000773"/>
    <x v="1"/>
    <x v="8"/>
    <x v="378"/>
    <n v="7.218"/>
  </r>
  <r>
    <n v="606"/>
    <s v="CA-2015-149958"/>
    <d v="2015-03-15T00:00:00"/>
    <x v="246"/>
    <s v="FAST"/>
    <s v="Standard Class"/>
    <s v="AS-10240"/>
    <s v="Alan Shonely"/>
    <x v="0"/>
    <s v="United States"/>
    <s v="Tampa"/>
    <x v="2"/>
    <n v="33614"/>
    <x v="0"/>
    <s v="OFF-BI-10001543"/>
    <x v="1"/>
    <x v="8"/>
    <x v="372"/>
    <n v="43.188000000000002"/>
  </r>
  <r>
    <n v="607"/>
    <s v="CA-2015-149958"/>
    <d v="2015-03-15T00:00:00"/>
    <x v="246"/>
    <s v="FAST"/>
    <s v="Standard Class"/>
    <s v="AS-10240"/>
    <s v="Alan Shonely"/>
    <x v="0"/>
    <s v="United States"/>
    <s v="Tampa"/>
    <x v="2"/>
    <n v="33614"/>
    <x v="0"/>
    <s v="OFF-PA-10002120"/>
    <x v="1"/>
    <x v="10"/>
    <x v="509"/>
    <n v="131.904"/>
  </r>
  <r>
    <n v="608"/>
    <s v="US-2015-105767"/>
    <d v="2015-05-23T00:00:00"/>
    <x v="247"/>
    <s v="FAST"/>
    <s v="Standard Class"/>
    <s v="AR-10510"/>
    <s v="Andrew Roberts"/>
    <x v="0"/>
    <s v="United States"/>
    <s v="Philadelphia"/>
    <x v="9"/>
    <n v="19134"/>
    <x v="3"/>
    <s v="OFF-BI-10000848"/>
    <x v="1"/>
    <x v="8"/>
    <x v="510"/>
    <n v="3.282"/>
  </r>
  <r>
    <n v="609"/>
    <s v="US-2015-105767"/>
    <d v="2015-05-23T00:00:00"/>
    <x v="247"/>
    <s v="FAST"/>
    <s v="Standard Class"/>
    <s v="AR-10510"/>
    <s v="Andrew Roberts"/>
    <x v="0"/>
    <s v="United States"/>
    <s v="Philadelphia"/>
    <x v="9"/>
    <n v="19134"/>
    <x v="3"/>
    <s v="OFF-AR-10001246"/>
    <x v="1"/>
    <x v="6"/>
    <x v="445"/>
    <n v="21.167999999999999"/>
  </r>
  <r>
    <n v="610"/>
    <s v="US-2015-105767"/>
    <d v="2015-05-23T00:00:00"/>
    <x v="247"/>
    <s v="FAST"/>
    <s v="Standard Class"/>
    <s v="AR-10510"/>
    <s v="Andrew Roberts"/>
    <x v="0"/>
    <s v="United States"/>
    <s v="Philadelphia"/>
    <x v="9"/>
    <n v="19134"/>
    <x v="3"/>
    <s v="TEC-PH-10003092"/>
    <x v="2"/>
    <x v="7"/>
    <x v="511"/>
    <n v="55.188000000000002"/>
  </r>
  <r>
    <n v="611"/>
    <s v="CA-2017-161816"/>
    <d v="2017-04-28T00:00:00"/>
    <x v="248"/>
    <s v="MODERATE"/>
    <s v="First Class"/>
    <s v="NB-18655"/>
    <s v="Nona Balk"/>
    <x v="1"/>
    <s v="United States"/>
    <s v="Dallas"/>
    <x v="5"/>
    <n v="75217"/>
    <x v="2"/>
    <s v="TEC-PH-10003012"/>
    <x v="2"/>
    <x v="7"/>
    <x v="341"/>
    <n v="369.57600000000002"/>
  </r>
  <r>
    <n v="612"/>
    <s v="CA-2017-161816"/>
    <d v="2017-04-28T00:00:00"/>
    <x v="248"/>
    <s v="MODERATE"/>
    <s v="First Class"/>
    <s v="NB-18655"/>
    <s v="Nona Balk"/>
    <x v="1"/>
    <s v="United States"/>
    <s v="Dallas"/>
    <x v="5"/>
    <n v="75217"/>
    <x v="2"/>
    <s v="OFF-LA-10004345"/>
    <x v="1"/>
    <x v="2"/>
    <x v="512"/>
    <n v="15.712"/>
  </r>
  <r>
    <n v="613"/>
    <s v="CA-2017-121223"/>
    <d v="2017-09-11T00:00:00"/>
    <x v="249"/>
    <s v="SLOW"/>
    <s v="Second Class"/>
    <s v="GD-14590"/>
    <s v="Giulietta Dortch"/>
    <x v="1"/>
    <s v="United States"/>
    <s v="Philadelphia"/>
    <x v="9"/>
    <n v="19143"/>
    <x v="3"/>
    <s v="OFF-PA-10001204"/>
    <x v="1"/>
    <x v="10"/>
    <x v="513"/>
    <n v="8.4480000000000004"/>
  </r>
  <r>
    <n v="614"/>
    <s v="CA-2017-121223"/>
    <d v="2017-09-11T00:00:00"/>
    <x v="249"/>
    <s v="SLOW"/>
    <s v="Second Class"/>
    <s v="GD-14590"/>
    <s v="Giulietta Dortch"/>
    <x v="1"/>
    <s v="United States"/>
    <s v="Philadelphia"/>
    <x v="9"/>
    <n v="19143"/>
    <x v="3"/>
    <s v="TEC-PH-10004667"/>
    <x v="2"/>
    <x v="7"/>
    <x v="514"/>
    <n v="728.94600000000003"/>
  </r>
  <r>
    <n v="615"/>
    <s v="CA-2018-138611"/>
    <d v="2018-11-14T00:00:00"/>
    <x v="250"/>
    <s v="SLOW"/>
    <s v="Second Class"/>
    <s v="CK-12595"/>
    <s v="Clytie Kelty"/>
    <x v="0"/>
    <s v="United States"/>
    <s v="Grove City"/>
    <x v="24"/>
    <n v="43123"/>
    <x v="3"/>
    <s v="TEC-PH-10000011"/>
    <x v="2"/>
    <x v="7"/>
    <x v="218"/>
    <n v="119.94"/>
  </r>
  <r>
    <n v="616"/>
    <s v="CA-2018-138611"/>
    <d v="2018-11-14T00:00:00"/>
    <x v="250"/>
    <s v="SLOW"/>
    <s v="Second Class"/>
    <s v="CK-12595"/>
    <s v="Clytie Kelty"/>
    <x v="0"/>
    <s v="United States"/>
    <s v="Grove City"/>
    <x v="24"/>
    <n v="43123"/>
    <x v="3"/>
    <s v="OFF-BI-10002949"/>
    <x v="1"/>
    <x v="8"/>
    <x v="515"/>
    <n v="3.6480000000000001"/>
  </r>
  <r>
    <n v="617"/>
    <s v="CA-2018-117947"/>
    <d v="2018-08-18T00:00:00"/>
    <x v="175"/>
    <s v="SLOW"/>
    <s v="Second Class"/>
    <s v="NG-18355"/>
    <s v="Nat Gilpin"/>
    <x v="1"/>
    <s v="United States"/>
    <s v="New York City"/>
    <x v="15"/>
    <n v="10011"/>
    <x v="3"/>
    <s v="FUR-FU-10003849"/>
    <x v="0"/>
    <x v="5"/>
    <x v="516"/>
    <n v="40.479999999999997"/>
  </r>
  <r>
    <n v="618"/>
    <s v="CA-2018-117947"/>
    <d v="2018-08-18T00:00:00"/>
    <x v="175"/>
    <s v="SLOW"/>
    <s v="Second Class"/>
    <s v="NG-18355"/>
    <s v="Nat Gilpin"/>
    <x v="1"/>
    <s v="United States"/>
    <s v="New York City"/>
    <x v="15"/>
    <n v="10011"/>
    <x v="3"/>
    <s v="FUR-FU-10000010"/>
    <x v="0"/>
    <x v="5"/>
    <x v="517"/>
    <n v="9.94"/>
  </r>
  <r>
    <n v="619"/>
    <s v="CA-2018-117947"/>
    <d v="2018-08-18T00:00:00"/>
    <x v="175"/>
    <s v="SLOW"/>
    <s v="Second Class"/>
    <s v="NG-18355"/>
    <s v="Nat Gilpin"/>
    <x v="1"/>
    <s v="United States"/>
    <s v="New York City"/>
    <x v="15"/>
    <n v="10011"/>
    <x v="3"/>
    <s v="OFF-BI-10002824"/>
    <x v="1"/>
    <x v="8"/>
    <x v="518"/>
    <n v="107.42400000000001"/>
  </r>
  <r>
    <n v="620"/>
    <s v="CA-2018-117947"/>
    <d v="2018-08-18T00:00:00"/>
    <x v="175"/>
    <s v="SLOW"/>
    <s v="Second Class"/>
    <s v="NG-18355"/>
    <s v="Nat Gilpin"/>
    <x v="1"/>
    <s v="United States"/>
    <s v="New York City"/>
    <x v="15"/>
    <n v="10011"/>
    <x v="3"/>
    <s v="TEC-PH-10002538"/>
    <x v="2"/>
    <x v="7"/>
    <x v="519"/>
    <n v="37.909999999999997"/>
  </r>
  <r>
    <n v="621"/>
    <s v="CA-2018-117947"/>
    <d v="2018-08-18T00:00:00"/>
    <x v="175"/>
    <s v="SLOW"/>
    <s v="Second Class"/>
    <s v="NG-18355"/>
    <s v="Nat Gilpin"/>
    <x v="1"/>
    <s v="United States"/>
    <s v="New York City"/>
    <x v="15"/>
    <n v="10011"/>
    <x v="3"/>
    <s v="FUR-FU-10000521"/>
    <x v="0"/>
    <x v="5"/>
    <x v="135"/>
    <n v="88.02"/>
  </r>
  <r>
    <n v="622"/>
    <s v="US-2015-111171"/>
    <d v="2015-12-26T00:00:00"/>
    <x v="251"/>
    <s v="FAST"/>
    <s v="Standard Class"/>
    <s v="CA-12265"/>
    <s v="Christina Anderson"/>
    <x v="0"/>
    <s v="United States"/>
    <s v="Chicago"/>
    <x v="10"/>
    <n v="60610"/>
    <x v="2"/>
    <s v="OFF-BI-10002103"/>
    <x v="1"/>
    <x v="8"/>
    <x v="520"/>
    <n v="8.69"/>
  </r>
  <r>
    <n v="623"/>
    <s v="CA-2016-138009"/>
    <d v="2016-11-29T00:00:00"/>
    <x v="252"/>
    <s v="FAST"/>
    <s v="Standard Class"/>
    <s v="SF-20965"/>
    <s v="Sylvia Foulston"/>
    <x v="1"/>
    <s v="United States"/>
    <s v="Dearborn"/>
    <x v="12"/>
    <n v="48126"/>
    <x v="2"/>
    <s v="FUR-CH-10004853"/>
    <x v="0"/>
    <x v="1"/>
    <x v="521"/>
    <n v="301.95999999999998"/>
  </r>
  <r>
    <n v="624"/>
    <s v="CA-2016-138009"/>
    <d v="2016-11-29T00:00:00"/>
    <x v="252"/>
    <s v="FAST"/>
    <s v="Standard Class"/>
    <s v="SF-20965"/>
    <s v="Sylvia Foulston"/>
    <x v="1"/>
    <s v="United States"/>
    <s v="Dearborn"/>
    <x v="12"/>
    <n v="48126"/>
    <x v="2"/>
    <s v="OFF-AP-10000179"/>
    <x v="1"/>
    <x v="9"/>
    <x v="522"/>
    <n v="555.21"/>
  </r>
  <r>
    <n v="625"/>
    <s v="CA-2016-138009"/>
    <d v="2016-11-29T00:00:00"/>
    <x v="252"/>
    <s v="FAST"/>
    <s v="Standard Class"/>
    <s v="SF-20965"/>
    <s v="Sylvia Foulston"/>
    <x v="1"/>
    <s v="United States"/>
    <s v="Dearborn"/>
    <x v="12"/>
    <n v="48126"/>
    <x v="2"/>
    <s v="OFF-ST-10001272"/>
    <x v="1"/>
    <x v="4"/>
    <x v="523"/>
    <n v="523.48"/>
  </r>
  <r>
    <n v="626"/>
    <s v="CA-2016-138009"/>
    <d v="2016-11-29T00:00:00"/>
    <x v="252"/>
    <s v="FAST"/>
    <s v="Standard Class"/>
    <s v="SF-20965"/>
    <s v="Sylvia Foulston"/>
    <x v="1"/>
    <s v="United States"/>
    <s v="Dearborn"/>
    <x v="12"/>
    <n v="48126"/>
    <x v="2"/>
    <s v="OFF-AR-10004042"/>
    <x v="1"/>
    <x v="6"/>
    <x v="30"/>
    <n v="161.82"/>
  </r>
  <r>
    <n v="627"/>
    <s v="CA-2018-163020"/>
    <d v="2018-09-15T00:00:00"/>
    <x v="183"/>
    <s v="FAST"/>
    <s v="Standard Class"/>
    <s v="MO-17800"/>
    <s v="Meg O'Connel"/>
    <x v="2"/>
    <s v="United States"/>
    <s v="New York City"/>
    <x v="15"/>
    <n v="10009"/>
    <x v="3"/>
    <s v="FUR-FU-10000221"/>
    <x v="0"/>
    <x v="5"/>
    <x v="524"/>
    <n v="35.56"/>
  </r>
  <r>
    <n v="628"/>
    <s v="CA-2018-153787"/>
    <d v="2018-05-19T00:00:00"/>
    <x v="253"/>
    <s v="FAST"/>
    <s v="Standard Class"/>
    <s v="AT-10735"/>
    <s v="Annie Thurman"/>
    <x v="0"/>
    <s v="United States"/>
    <s v="Seattle"/>
    <x v="4"/>
    <n v="98115"/>
    <x v="1"/>
    <s v="OFF-AP-10001563"/>
    <x v="1"/>
    <x v="9"/>
    <x v="525"/>
    <n v="97.16"/>
  </r>
  <r>
    <n v="629"/>
    <s v="CA-2018-133431"/>
    <d v="2018-12-17T00:00:00"/>
    <x v="90"/>
    <s v="FAST"/>
    <s v="Standard Class"/>
    <s v="LC-17140"/>
    <s v="Logan Currie"/>
    <x v="0"/>
    <s v="United States"/>
    <s v="San Francisco"/>
    <x v="1"/>
    <n v="94122"/>
    <x v="1"/>
    <s v="OFF-BI-10000605"/>
    <x v="1"/>
    <x v="8"/>
    <x v="526"/>
    <n v="15.24"/>
  </r>
  <r>
    <n v="630"/>
    <s v="CA-2018-133431"/>
    <d v="2018-12-17T00:00:00"/>
    <x v="90"/>
    <s v="FAST"/>
    <s v="Standard Class"/>
    <s v="LC-17140"/>
    <s v="Logan Currie"/>
    <x v="0"/>
    <s v="United States"/>
    <s v="San Francisco"/>
    <x v="1"/>
    <n v="94122"/>
    <x v="1"/>
    <s v="OFF-PA-10002615"/>
    <x v="1"/>
    <x v="10"/>
    <x v="245"/>
    <n v="13.23"/>
  </r>
  <r>
    <n v="631"/>
    <s v="US-2017-135720"/>
    <d v="2017-12-11T00:00:00"/>
    <x v="10"/>
    <s v="SLOW"/>
    <s v="Second Class"/>
    <s v="FM-14380"/>
    <s v="Fred McMath"/>
    <x v="0"/>
    <s v="United States"/>
    <s v="Aurora"/>
    <x v="22"/>
    <n v="80013"/>
    <x v="1"/>
    <s v="OFF-ST-10001963"/>
    <x v="1"/>
    <x v="4"/>
    <x v="527"/>
    <n v="243.38399999999999"/>
  </r>
  <r>
    <n v="632"/>
    <s v="US-2017-135720"/>
    <d v="2017-12-11T00:00:00"/>
    <x v="10"/>
    <s v="SLOW"/>
    <s v="Second Class"/>
    <s v="FM-14380"/>
    <s v="Fred McMath"/>
    <x v="0"/>
    <s v="United States"/>
    <s v="Aurora"/>
    <x v="22"/>
    <n v="80013"/>
    <x v="1"/>
    <s v="TEC-AC-10001267"/>
    <x v="2"/>
    <x v="11"/>
    <x v="528"/>
    <n v="119.8"/>
  </r>
  <r>
    <n v="633"/>
    <s v="US-2017-135720"/>
    <d v="2017-12-11T00:00:00"/>
    <x v="10"/>
    <s v="SLOW"/>
    <s v="Second Class"/>
    <s v="FM-14380"/>
    <s v="Fred McMath"/>
    <x v="0"/>
    <s v="United States"/>
    <s v="Aurora"/>
    <x v="22"/>
    <n v="80013"/>
    <x v="1"/>
    <s v="TEC-PH-10002103"/>
    <x v="2"/>
    <x v="7"/>
    <x v="529"/>
    <n v="300.76799999999997"/>
  </r>
  <r>
    <n v="634"/>
    <s v="CA-2018-144694"/>
    <d v="2018-09-24T00:00:00"/>
    <x v="254"/>
    <s v="SLOW"/>
    <s v="Second Class"/>
    <s v="BD-11605"/>
    <s v="Brian Dahlen"/>
    <x v="0"/>
    <s v="United States"/>
    <s v="Miami"/>
    <x v="2"/>
    <n v="33180"/>
    <x v="0"/>
    <s v="TEC-AC-10002857"/>
    <x v="2"/>
    <x v="11"/>
    <x v="530"/>
    <n v="17.88"/>
  </r>
  <r>
    <n v="635"/>
    <s v="CA-2018-144694"/>
    <d v="2018-09-24T00:00:00"/>
    <x v="254"/>
    <s v="SLOW"/>
    <s v="Second Class"/>
    <s v="BD-11605"/>
    <s v="Brian Dahlen"/>
    <x v="0"/>
    <s v="United States"/>
    <s v="Miami"/>
    <x v="2"/>
    <n v="33180"/>
    <x v="0"/>
    <s v="OFF-LA-10003930"/>
    <x v="1"/>
    <x v="2"/>
    <x v="498"/>
    <n v="235.94399999999999"/>
  </r>
  <r>
    <n v="636"/>
    <s v="CA-2016-168004"/>
    <d v="2016-10-04T00:00:00"/>
    <x v="255"/>
    <s v="SLOW"/>
    <s v="Second Class"/>
    <s v="DJ-13420"/>
    <s v="Denny Joy"/>
    <x v="1"/>
    <s v="United States"/>
    <s v="Warner Robins"/>
    <x v="32"/>
    <n v="31088"/>
    <x v="0"/>
    <s v="FUR-CH-10001482"/>
    <x v="0"/>
    <x v="1"/>
    <x v="531"/>
    <n v="392.94"/>
  </r>
  <r>
    <n v="637"/>
    <s v="US-2017-123470"/>
    <d v="2017-08-15T00:00:00"/>
    <x v="256"/>
    <s v="FAST"/>
    <s v="Standard Class"/>
    <s v="ME-17725"/>
    <s v="Max Engle"/>
    <x v="0"/>
    <s v="United States"/>
    <s v="Aurora"/>
    <x v="22"/>
    <n v="80013"/>
    <x v="1"/>
    <s v="OFF-BI-10001989"/>
    <x v="1"/>
    <x v="8"/>
    <x v="532"/>
    <n v="18.882000000000001"/>
  </r>
  <r>
    <n v="638"/>
    <s v="US-2017-123470"/>
    <d v="2017-08-15T00:00:00"/>
    <x v="256"/>
    <s v="FAST"/>
    <s v="Standard Class"/>
    <s v="ME-17725"/>
    <s v="Max Engle"/>
    <x v="0"/>
    <s v="United States"/>
    <s v="Aurora"/>
    <x v="22"/>
    <n v="80013"/>
    <x v="1"/>
    <s v="OFF-AP-10003287"/>
    <x v="1"/>
    <x v="9"/>
    <x v="533"/>
    <n v="122.328"/>
  </r>
  <r>
    <n v="639"/>
    <s v="CA-2017-115917"/>
    <d v="2017-05-20T00:00:00"/>
    <x v="257"/>
    <s v="FAST"/>
    <s v="Standard Class"/>
    <s v="RB-19465"/>
    <s v="Rick Bensley"/>
    <x v="2"/>
    <s v="United States"/>
    <s v="Vallejo"/>
    <x v="1"/>
    <n v="94591"/>
    <x v="1"/>
    <s v="FUR-FU-10000576"/>
    <x v="0"/>
    <x v="5"/>
    <x v="216"/>
    <n v="1049.2"/>
  </r>
  <r>
    <n v="640"/>
    <s v="CA-2017-115917"/>
    <d v="2017-05-20T00:00:00"/>
    <x v="257"/>
    <s v="FAST"/>
    <s v="Standard Class"/>
    <s v="RB-19465"/>
    <s v="Rick Bensley"/>
    <x v="2"/>
    <s v="United States"/>
    <s v="Vallejo"/>
    <x v="1"/>
    <n v="94591"/>
    <x v="1"/>
    <s v="OFF-BI-10004728"/>
    <x v="1"/>
    <x v="8"/>
    <x v="534"/>
    <n v="15.423999999999999"/>
  </r>
  <r>
    <n v="641"/>
    <s v="CA-2017-147067"/>
    <d v="2017-12-18T00:00:00"/>
    <x v="258"/>
    <s v="FAST"/>
    <s v="Standard Class"/>
    <s v="JD-16150"/>
    <s v="Justin Deggeller"/>
    <x v="1"/>
    <s v="United States"/>
    <s v="Minneapolis"/>
    <x v="11"/>
    <n v="55407"/>
    <x v="2"/>
    <s v="FUR-FU-10000732"/>
    <x v="0"/>
    <x v="5"/>
    <x v="535"/>
    <n v="18.84"/>
  </r>
  <r>
    <n v="642"/>
    <s v="CA-2018-167913"/>
    <d v="2018-07-30T00:00:00"/>
    <x v="259"/>
    <s v="SLOW"/>
    <s v="Second Class"/>
    <s v="JL-15835"/>
    <s v="John Lee"/>
    <x v="0"/>
    <s v="United States"/>
    <s v="Mission Viejo"/>
    <x v="1"/>
    <n v="92691"/>
    <x v="1"/>
    <s v="OFF-ST-10000585"/>
    <x v="1"/>
    <x v="4"/>
    <x v="536"/>
    <n v="330.4"/>
  </r>
  <r>
    <n v="643"/>
    <s v="CA-2018-167913"/>
    <d v="2018-07-30T00:00:00"/>
    <x v="259"/>
    <s v="SLOW"/>
    <s v="Second Class"/>
    <s v="JL-15835"/>
    <s v="John Lee"/>
    <x v="0"/>
    <s v="United States"/>
    <s v="Mission Viejo"/>
    <x v="1"/>
    <n v="92691"/>
    <x v="1"/>
    <s v="OFF-LA-10002787"/>
    <x v="1"/>
    <x v="2"/>
    <x v="537"/>
    <n v="26.25"/>
  </r>
  <r>
    <n v="644"/>
    <s v="CA-2018-106103"/>
    <d v="2018-06-10T00:00:00"/>
    <x v="260"/>
    <s v="FAST"/>
    <s v="Standard Class"/>
    <s v="SC-20305"/>
    <s v="Sean Christensen"/>
    <x v="0"/>
    <s v="United States"/>
    <s v="Rochester Hills"/>
    <x v="12"/>
    <n v="48307"/>
    <x v="2"/>
    <s v="TEC-AC-10003832"/>
    <x v="2"/>
    <x v="11"/>
    <x v="453"/>
    <n v="132.52000000000001"/>
  </r>
  <r>
    <n v="645"/>
    <s v="US-2018-127719"/>
    <d v="2018-07-21T00:00:00"/>
    <x v="261"/>
    <s v="FAST"/>
    <s v="Standard Class"/>
    <s v="TW-21025"/>
    <s v="Tamara Willingham"/>
    <x v="2"/>
    <s v="United States"/>
    <s v="Plainfield"/>
    <x v="30"/>
    <n v="7060"/>
    <x v="3"/>
    <s v="OFF-PA-10001934"/>
    <x v="1"/>
    <x v="10"/>
    <x v="538"/>
    <n v="6.48"/>
  </r>
  <r>
    <n v="646"/>
    <s v="CA-2018-126221"/>
    <d v="2018-12-30T00:00:00"/>
    <x v="262"/>
    <s v="FAST"/>
    <s v="Standard Class"/>
    <s v="CC-12430"/>
    <s v="Chuck Clark"/>
    <x v="2"/>
    <s v="United States"/>
    <s v="Columbus"/>
    <x v="14"/>
    <n v="47201"/>
    <x v="2"/>
    <s v="OFF-AP-10002457"/>
    <x v="1"/>
    <x v="9"/>
    <x v="539"/>
    <n v="209.3"/>
  </r>
  <r>
    <n v="647"/>
    <s v="CA-2017-103947"/>
    <d v="2017-04-01T00:00:00"/>
    <x v="263"/>
    <s v="FAST"/>
    <s v="Standard Class"/>
    <s v="BB-10990"/>
    <s v="Barry Blumstein"/>
    <x v="1"/>
    <s v="United States"/>
    <s v="Sierra Vista"/>
    <x v="16"/>
    <n v="85635"/>
    <x v="1"/>
    <s v="OFF-FA-10003112"/>
    <x v="1"/>
    <x v="13"/>
    <x v="124"/>
    <n v="31.56"/>
  </r>
  <r>
    <n v="648"/>
    <s v="CA-2017-103947"/>
    <d v="2017-04-01T00:00:00"/>
    <x v="263"/>
    <s v="FAST"/>
    <s v="Standard Class"/>
    <s v="BB-10990"/>
    <s v="Barry Blumstein"/>
    <x v="1"/>
    <s v="United States"/>
    <s v="Sierra Vista"/>
    <x v="16"/>
    <n v="85635"/>
    <x v="1"/>
    <s v="OFF-AP-10002350"/>
    <x v="1"/>
    <x v="9"/>
    <x v="540"/>
    <n v="30.143999999999998"/>
  </r>
  <r>
    <n v="650"/>
    <s v="CA-2017-160745"/>
    <d v="2017-12-11T00:00:00"/>
    <x v="264"/>
    <s v="SLOW"/>
    <s v="Second Class"/>
    <s v="AR-10825"/>
    <s v="Anthony Rawles"/>
    <x v="1"/>
    <s v="United States"/>
    <s v="Vancouver"/>
    <x v="4"/>
    <n v="98661"/>
    <x v="1"/>
    <s v="TEC-PH-10003273"/>
    <x v="2"/>
    <x v="7"/>
    <x v="169"/>
    <n v="302.37599999999998"/>
  </r>
  <r>
    <n v="651"/>
    <s v="CA-2017-160745"/>
    <d v="2017-12-11T00:00:00"/>
    <x v="264"/>
    <s v="SLOW"/>
    <s v="Second Class"/>
    <s v="AR-10825"/>
    <s v="Anthony Rawles"/>
    <x v="1"/>
    <s v="United States"/>
    <s v="Vancouver"/>
    <x v="4"/>
    <n v="98661"/>
    <x v="1"/>
    <s v="TEC-AC-10001142"/>
    <x v="2"/>
    <x v="11"/>
    <x v="541"/>
    <n v="316"/>
  </r>
  <r>
    <n v="652"/>
    <s v="CA-2017-132661"/>
    <d v="2017-10-23T00:00:00"/>
    <x v="153"/>
    <s v="FAST"/>
    <s v="Standard Class"/>
    <s v="SR-20740"/>
    <s v="Steven Roelle"/>
    <x v="2"/>
    <s v="United States"/>
    <s v="New York City"/>
    <x v="15"/>
    <n v="10024"/>
    <x v="3"/>
    <s v="OFF-PA-10000482"/>
    <x v="1"/>
    <x v="10"/>
    <x v="66"/>
    <n v="379.4"/>
  </r>
  <r>
    <n v="653"/>
    <s v="CA-2018-140844"/>
    <d v="2018-06-19T00:00:00"/>
    <x v="265"/>
    <s v="FAST"/>
    <s v="Standard Class"/>
    <s v="AR-10405"/>
    <s v="Allen Rosenblatt"/>
    <x v="1"/>
    <s v="United States"/>
    <s v="New York City"/>
    <x v="15"/>
    <n v="10035"/>
    <x v="3"/>
    <s v="OFF-PA-10003892"/>
    <x v="1"/>
    <x v="10"/>
    <x v="61"/>
    <n v="97.82"/>
  </r>
  <r>
    <n v="654"/>
    <s v="CA-2018-140844"/>
    <d v="2018-06-19T00:00:00"/>
    <x v="265"/>
    <s v="FAST"/>
    <s v="Standard Class"/>
    <s v="AR-10405"/>
    <s v="Allen Rosenblatt"/>
    <x v="1"/>
    <s v="United States"/>
    <s v="New York City"/>
    <x v="15"/>
    <n v="10035"/>
    <x v="3"/>
    <s v="TEC-AC-10001101"/>
    <x v="2"/>
    <x v="11"/>
    <x v="542"/>
    <n v="103.12"/>
  </r>
  <r>
    <n v="655"/>
    <s v="CA-2017-137239"/>
    <d v="2017-08-22T00:00:00"/>
    <x v="266"/>
    <s v="FAST"/>
    <s v="Standard Class"/>
    <s v="CR-12730"/>
    <s v="Craig Reiter"/>
    <x v="0"/>
    <s v="United States"/>
    <s v="Columbus"/>
    <x v="24"/>
    <n v="43229"/>
    <x v="3"/>
    <s v="OFF-AP-10002439"/>
    <x v="1"/>
    <x v="9"/>
    <x v="543"/>
    <n v="113.55200000000001"/>
  </r>
  <r>
    <n v="656"/>
    <s v="CA-2017-137239"/>
    <d v="2017-08-22T00:00:00"/>
    <x v="266"/>
    <s v="FAST"/>
    <s v="Standard Class"/>
    <s v="CR-12730"/>
    <s v="Craig Reiter"/>
    <x v="0"/>
    <s v="United States"/>
    <s v="Columbus"/>
    <x v="24"/>
    <n v="43229"/>
    <x v="3"/>
    <s v="OFF-BI-10002827"/>
    <x v="1"/>
    <x v="8"/>
    <x v="544"/>
    <n v="3.3180000000000001"/>
  </r>
  <r>
    <n v="657"/>
    <s v="CA-2017-137239"/>
    <d v="2017-08-22T00:00:00"/>
    <x v="266"/>
    <s v="FAST"/>
    <s v="Standard Class"/>
    <s v="CR-12730"/>
    <s v="Craig Reiter"/>
    <x v="0"/>
    <s v="United States"/>
    <s v="Columbus"/>
    <x v="24"/>
    <n v="43229"/>
    <x v="3"/>
    <s v="OFF-EN-10002230"/>
    <x v="1"/>
    <x v="12"/>
    <x v="545"/>
    <n v="134.28800000000001"/>
  </r>
  <r>
    <n v="658"/>
    <s v="US-2017-156097"/>
    <d v="2017-09-19T00:00:00"/>
    <x v="267"/>
    <s v="MODERATE"/>
    <s v="Same Day"/>
    <s v="EH-14125"/>
    <s v="Eugene Hildebrand"/>
    <x v="2"/>
    <s v="United States"/>
    <s v="Aurora"/>
    <x v="10"/>
    <n v="60505"/>
    <x v="2"/>
    <s v="FUR-CH-10001215"/>
    <x v="0"/>
    <x v="1"/>
    <x v="435"/>
    <n v="701.37199999999996"/>
  </r>
  <r>
    <n v="659"/>
    <s v="US-2017-156097"/>
    <d v="2017-09-19T00:00:00"/>
    <x v="267"/>
    <s v="MODERATE"/>
    <s v="Same Day"/>
    <s v="EH-14125"/>
    <s v="Eugene Hildebrand"/>
    <x v="2"/>
    <s v="United States"/>
    <s v="Aurora"/>
    <x v="10"/>
    <n v="60505"/>
    <x v="2"/>
    <s v="OFF-BI-10004654"/>
    <x v="1"/>
    <x v="8"/>
    <x v="67"/>
    <n v="2.3079999999999998"/>
  </r>
  <r>
    <n v="660"/>
    <s v="CA-2016-146563"/>
    <d v="2016-08-24T00:00:00"/>
    <x v="268"/>
    <s v="FAST"/>
    <s v="Standard Class"/>
    <s v="CB-12025"/>
    <s v="Cassandra Brandow"/>
    <x v="0"/>
    <s v="United States"/>
    <s v="Arlington"/>
    <x v="5"/>
    <n v="76017"/>
    <x v="2"/>
    <s v="OFF-ST-10001490"/>
    <x v="1"/>
    <x v="4"/>
    <x v="508"/>
    <n v="999.43200000000002"/>
  </r>
  <r>
    <n v="661"/>
    <s v="CA-2016-146563"/>
    <d v="2016-08-24T00:00:00"/>
    <x v="268"/>
    <s v="FAST"/>
    <s v="Standard Class"/>
    <s v="CB-12025"/>
    <s v="Cassandra Brandow"/>
    <x v="0"/>
    <s v="United States"/>
    <s v="Arlington"/>
    <x v="5"/>
    <n v="76017"/>
    <x v="2"/>
    <s v="OFF-ST-10001511"/>
    <x v="1"/>
    <x v="4"/>
    <x v="546"/>
    <n v="724.08"/>
  </r>
  <r>
    <n v="662"/>
    <s v="CA-2016-146563"/>
    <d v="2016-08-24T00:00:00"/>
    <x v="268"/>
    <s v="FAST"/>
    <s v="Standard Class"/>
    <s v="CB-12025"/>
    <s v="Cassandra Brandow"/>
    <x v="0"/>
    <s v="United States"/>
    <s v="Arlington"/>
    <x v="5"/>
    <n v="76017"/>
    <x v="2"/>
    <s v="FUR-TA-10001768"/>
    <x v="0"/>
    <x v="3"/>
    <x v="110"/>
    <n v="918.78499999999997"/>
  </r>
  <r>
    <n v="663"/>
    <s v="CA-2016-146563"/>
    <d v="2016-08-24T00:00:00"/>
    <x v="268"/>
    <s v="FAST"/>
    <s v="Standard Class"/>
    <s v="CB-12025"/>
    <s v="Cassandra Brandow"/>
    <x v="0"/>
    <s v="United States"/>
    <s v="Arlington"/>
    <x v="5"/>
    <n v="76017"/>
    <x v="2"/>
    <s v="OFF-BI-10003981"/>
    <x v="1"/>
    <x v="8"/>
    <x v="105"/>
    <n v="2.7240000000000002"/>
  </r>
  <r>
    <n v="664"/>
    <s v="CA-2017-123666"/>
    <d v="2017-03-26T00:00:00"/>
    <x v="269"/>
    <s v="FAST"/>
    <s v="Standard Class"/>
    <s v="SP-20545"/>
    <s v="Sibella Parks"/>
    <x v="1"/>
    <s v="United States"/>
    <s v="New York City"/>
    <x v="15"/>
    <n v="10011"/>
    <x v="3"/>
    <s v="OFF-ST-10001522"/>
    <x v="1"/>
    <x v="4"/>
    <x v="192"/>
    <n v="459.95"/>
  </r>
  <r>
    <n v="665"/>
    <s v="CA-2017-143308"/>
    <d v="2017-11-04T00:00:00"/>
    <x v="270"/>
    <s v="MODERATE"/>
    <s v="Same Day"/>
    <s v="RC-19825"/>
    <s v="Roy Collins"/>
    <x v="0"/>
    <s v="United States"/>
    <s v="Louisville"/>
    <x v="0"/>
    <n v="40214"/>
    <x v="0"/>
    <s v="OFF-FA-10000621"/>
    <x v="1"/>
    <x v="13"/>
    <x v="106"/>
    <n v="10.74"/>
  </r>
  <r>
    <n v="666"/>
    <s v="CA-2018-132682"/>
    <d v="2018-06-08T00:00:00"/>
    <x v="271"/>
    <s v="SLOW"/>
    <s v="Second Class"/>
    <s v="TH-21235"/>
    <s v="Tiffany House"/>
    <x v="1"/>
    <s v="United States"/>
    <s v="Dallas"/>
    <x v="5"/>
    <n v="75081"/>
    <x v="2"/>
    <s v="OFF-SU-10004231"/>
    <x v="1"/>
    <x v="14"/>
    <x v="547"/>
    <n v="23.76"/>
  </r>
  <r>
    <n v="667"/>
    <s v="CA-2018-132682"/>
    <d v="2018-06-08T00:00:00"/>
    <x v="271"/>
    <s v="SLOW"/>
    <s v="Second Class"/>
    <s v="TH-21235"/>
    <s v="Tiffany House"/>
    <x v="1"/>
    <s v="United States"/>
    <s v="Dallas"/>
    <x v="5"/>
    <n v="75081"/>
    <x v="2"/>
    <s v="OFF-PA-10000474"/>
    <x v="1"/>
    <x v="10"/>
    <x v="33"/>
    <n v="85.055999999999997"/>
  </r>
  <r>
    <n v="668"/>
    <s v="CA-2018-132682"/>
    <d v="2018-06-08T00:00:00"/>
    <x v="271"/>
    <s v="SLOW"/>
    <s v="Second Class"/>
    <s v="TH-21235"/>
    <s v="Tiffany House"/>
    <x v="1"/>
    <s v="United States"/>
    <s v="Dallas"/>
    <x v="5"/>
    <n v="75081"/>
    <x v="2"/>
    <s v="TEC-PH-10004042"/>
    <x v="2"/>
    <x v="7"/>
    <x v="548"/>
    <n v="381.57600000000002"/>
  </r>
  <r>
    <n v="669"/>
    <s v="CA-2015-156314"/>
    <d v="2015-12-24T00:00:00"/>
    <x v="165"/>
    <s v="MODERATE"/>
    <s v="First Class"/>
    <s v="RP-19390"/>
    <s v="Resi PÃ¶lking"/>
    <x v="0"/>
    <s v="United States"/>
    <s v="Cleveland"/>
    <x v="24"/>
    <n v="44105"/>
    <x v="3"/>
    <s v="FUR-FU-10003096"/>
    <x v="0"/>
    <x v="5"/>
    <x v="549"/>
    <n v="30.36"/>
  </r>
  <r>
    <n v="671"/>
    <s v="US-2018-106663"/>
    <d v="2018-06-09T00:00:00"/>
    <x v="197"/>
    <s v="FAST"/>
    <s v="Standard Class"/>
    <s v="MO-17800"/>
    <s v="Meg O'Connel"/>
    <x v="2"/>
    <s v="United States"/>
    <s v="Chicago"/>
    <x v="10"/>
    <n v="60653"/>
    <x v="2"/>
    <s v="FUR-TA-10000688"/>
    <x v="0"/>
    <x v="3"/>
    <x v="550"/>
    <n v="108.925"/>
  </r>
  <r>
    <n v="672"/>
    <s v="US-2018-106663"/>
    <d v="2018-06-09T00:00:00"/>
    <x v="197"/>
    <s v="FAST"/>
    <s v="Standard Class"/>
    <s v="MO-17800"/>
    <s v="Meg O'Connel"/>
    <x v="2"/>
    <s v="United States"/>
    <s v="Chicago"/>
    <x v="10"/>
    <n v="60653"/>
    <x v="2"/>
    <s v="OFF-PA-10002377"/>
    <x v="1"/>
    <x v="10"/>
    <x v="551"/>
    <n v="36.351999999999997"/>
  </r>
  <r>
    <n v="673"/>
    <s v="CA-2018-111178"/>
    <d v="2018-06-15T00:00:00"/>
    <x v="272"/>
    <s v="FAST"/>
    <s v="Standard Class"/>
    <s v="TD-20995"/>
    <s v="Tamara Dahlen"/>
    <x v="0"/>
    <s v="United States"/>
    <s v="Quincy"/>
    <x v="10"/>
    <n v="62301"/>
    <x v="2"/>
    <s v="OFF-AR-10001954"/>
    <x v="1"/>
    <x v="6"/>
    <x v="552"/>
    <n v="19.559999999999999"/>
  </r>
  <r>
    <n v="674"/>
    <s v="CA-2018-130351"/>
    <d v="2018-12-05T00:00:00"/>
    <x v="273"/>
    <s v="MODERATE"/>
    <s v="First Class"/>
    <s v="RB-19570"/>
    <s v="Rob Beeghly"/>
    <x v="0"/>
    <s v="United States"/>
    <s v="Columbus"/>
    <x v="14"/>
    <n v="47201"/>
    <x v="2"/>
    <s v="OFF-AP-10004532"/>
    <x v="1"/>
    <x v="9"/>
    <x v="553"/>
    <n v="61.44"/>
  </r>
  <r>
    <n v="675"/>
    <s v="CA-2018-130351"/>
    <d v="2018-12-05T00:00:00"/>
    <x v="273"/>
    <s v="MODERATE"/>
    <s v="First Class"/>
    <s v="RB-19570"/>
    <s v="Rob Beeghly"/>
    <x v="0"/>
    <s v="United States"/>
    <s v="Columbus"/>
    <x v="14"/>
    <n v="47201"/>
    <x v="2"/>
    <s v="OFF-PA-10002137"/>
    <x v="1"/>
    <x v="10"/>
    <x v="554"/>
    <n v="38.9"/>
  </r>
  <r>
    <n v="676"/>
    <s v="CA-2018-130351"/>
    <d v="2018-12-05T00:00:00"/>
    <x v="273"/>
    <s v="MODERATE"/>
    <s v="First Class"/>
    <s v="RB-19570"/>
    <s v="Rob Beeghly"/>
    <x v="0"/>
    <s v="United States"/>
    <s v="Columbus"/>
    <x v="14"/>
    <n v="47201"/>
    <x v="2"/>
    <s v="TEC-AC-10003832"/>
    <x v="2"/>
    <x v="11"/>
    <x v="453"/>
    <n v="99.39"/>
  </r>
  <r>
    <n v="677"/>
    <s v="US-2018-119438"/>
    <d v="2018-03-18T00:00:00"/>
    <x v="274"/>
    <s v="FAST"/>
    <s v="Standard Class"/>
    <s v="CD-11980"/>
    <s v="Carol Darley"/>
    <x v="0"/>
    <s v="United States"/>
    <s v="Tyler"/>
    <x v="5"/>
    <n v="75701"/>
    <x v="2"/>
    <s v="OFF-AP-10000804"/>
    <x v="1"/>
    <x v="9"/>
    <x v="555"/>
    <n v="2.6880000000000002"/>
  </r>
  <r>
    <n v="678"/>
    <s v="US-2018-119438"/>
    <d v="2018-03-18T00:00:00"/>
    <x v="274"/>
    <s v="FAST"/>
    <s v="Standard Class"/>
    <s v="CD-11980"/>
    <s v="Carol Darley"/>
    <x v="0"/>
    <s v="United States"/>
    <s v="Tyler"/>
    <x v="5"/>
    <n v="75701"/>
    <x v="2"/>
    <s v="TEC-AC-10003614"/>
    <x v="2"/>
    <x v="11"/>
    <x v="556"/>
    <n v="27.815999999999999"/>
  </r>
  <r>
    <n v="679"/>
    <s v="US-2018-119438"/>
    <d v="2018-03-18T00:00:00"/>
    <x v="274"/>
    <s v="FAST"/>
    <s v="Standard Class"/>
    <s v="CD-11980"/>
    <s v="Carol Darley"/>
    <x v="0"/>
    <s v="United States"/>
    <s v="Tyler"/>
    <x v="5"/>
    <n v="75701"/>
    <x v="2"/>
    <s v="FUR-FU-10003553"/>
    <x v="0"/>
    <x v="5"/>
    <x v="557"/>
    <n v="82.524000000000001"/>
  </r>
  <r>
    <n v="680"/>
    <s v="US-2018-119438"/>
    <d v="2018-03-18T00:00:00"/>
    <x v="274"/>
    <s v="FAST"/>
    <s v="Standard Class"/>
    <s v="CD-11980"/>
    <s v="Carol Darley"/>
    <x v="0"/>
    <s v="United States"/>
    <s v="Tyler"/>
    <x v="5"/>
    <n v="75701"/>
    <x v="2"/>
    <s v="OFF-BI-10004632"/>
    <x v="1"/>
    <x v="8"/>
    <x v="558"/>
    <n v="182.994"/>
  </r>
  <r>
    <n v="681"/>
    <s v="CA-2017-164511"/>
    <d v="2017-11-19T00:00:00"/>
    <x v="70"/>
    <s v="FAST"/>
    <s v="Standard Class"/>
    <s v="DJ-13630"/>
    <s v="Doug Jacobs"/>
    <x v="0"/>
    <s v="United States"/>
    <s v="New York City"/>
    <x v="15"/>
    <n v="10024"/>
    <x v="3"/>
    <s v="OFF-BI-10003305"/>
    <x v="1"/>
    <x v="8"/>
    <x v="559"/>
    <n v="14.352"/>
  </r>
  <r>
    <n v="682"/>
    <s v="CA-2017-164511"/>
    <d v="2017-11-19T00:00:00"/>
    <x v="70"/>
    <s v="FAST"/>
    <s v="Standard Class"/>
    <s v="DJ-13630"/>
    <s v="Doug Jacobs"/>
    <x v="0"/>
    <s v="United States"/>
    <s v="New York City"/>
    <x v="15"/>
    <n v="10024"/>
    <x v="3"/>
    <s v="OFF-ST-10002583"/>
    <x v="1"/>
    <x v="4"/>
    <x v="560"/>
    <n v="64.959999999999994"/>
  </r>
  <r>
    <n v="683"/>
    <s v="CA-2017-164511"/>
    <d v="2017-11-19T00:00:00"/>
    <x v="70"/>
    <s v="FAST"/>
    <s v="Standard Class"/>
    <s v="DJ-13630"/>
    <s v="Doug Jacobs"/>
    <x v="0"/>
    <s v="United States"/>
    <s v="New York City"/>
    <x v="15"/>
    <n v="10024"/>
    <x v="3"/>
    <s v="OFF-ST-10004507"/>
    <x v="1"/>
    <x v="4"/>
    <x v="447"/>
    <n v="68.599999999999994"/>
  </r>
  <r>
    <n v="684"/>
    <s v="US-2018-168116"/>
    <d v="2018-11-04T00:00:00"/>
    <x v="275"/>
    <s v="MODERATE"/>
    <s v="Same Day"/>
    <s v="GT-14635"/>
    <s v="Grant Thornton"/>
    <x v="1"/>
    <s v="United States"/>
    <s v="Burlington"/>
    <x v="3"/>
    <n v="27217"/>
    <x v="0"/>
    <s v="TEC-MA-10004125"/>
    <x v="2"/>
    <x v="15"/>
    <x v="561"/>
    <n v="7999.98"/>
  </r>
  <r>
    <n v="685"/>
    <s v="US-2018-168116"/>
    <d v="2018-11-04T00:00:00"/>
    <x v="275"/>
    <s v="MODERATE"/>
    <s v="Same Day"/>
    <s v="GT-14635"/>
    <s v="Grant Thornton"/>
    <x v="1"/>
    <s v="United States"/>
    <s v="Burlington"/>
    <x v="3"/>
    <n v="27217"/>
    <x v="0"/>
    <s v="OFF-AP-10002457"/>
    <x v="1"/>
    <x v="9"/>
    <x v="539"/>
    <n v="167.44"/>
  </r>
  <r>
    <n v="686"/>
    <s v="CA-2015-157784"/>
    <d v="2015-07-05T00:00:00"/>
    <x v="276"/>
    <s v="MODERATE"/>
    <s v="First Class"/>
    <s v="MC-17845"/>
    <s v="Michael Chen"/>
    <x v="0"/>
    <s v="United States"/>
    <s v="Jackson"/>
    <x v="35"/>
    <n v="39212"/>
    <x v="0"/>
    <s v="TEC-AC-10003911"/>
    <x v="2"/>
    <x v="11"/>
    <x v="325"/>
    <n v="479.97"/>
  </r>
  <r>
    <n v="687"/>
    <s v="CA-2015-157784"/>
    <d v="2015-07-05T00:00:00"/>
    <x v="276"/>
    <s v="MODERATE"/>
    <s v="First Class"/>
    <s v="MC-17845"/>
    <s v="Michael Chen"/>
    <x v="0"/>
    <s v="United States"/>
    <s v="Jackson"/>
    <x v="35"/>
    <n v="39212"/>
    <x v="0"/>
    <s v="OFF-LA-10001934"/>
    <x v="1"/>
    <x v="2"/>
    <x v="562"/>
    <n v="14.62"/>
  </r>
  <r>
    <n v="688"/>
    <s v="CA-2015-157784"/>
    <d v="2015-07-05T00:00:00"/>
    <x v="276"/>
    <s v="MODERATE"/>
    <s v="First Class"/>
    <s v="MC-17845"/>
    <s v="Michael Chen"/>
    <x v="0"/>
    <s v="United States"/>
    <s v="Jackson"/>
    <x v="35"/>
    <n v="39212"/>
    <x v="0"/>
    <s v="OFF-PA-10000304"/>
    <x v="1"/>
    <x v="10"/>
    <x v="85"/>
    <n v="19.440000000000001"/>
  </r>
  <r>
    <n v="689"/>
    <s v="CA-2018-161480"/>
    <d v="2018-12-25T00:00:00"/>
    <x v="167"/>
    <s v="FAST"/>
    <s v="Standard Class"/>
    <s v="RA-19285"/>
    <s v="Ralph Arnett"/>
    <x v="0"/>
    <s v="United States"/>
    <s v="New York City"/>
    <x v="15"/>
    <n v="10035"/>
    <x v="3"/>
    <s v="FUR-BO-10004015"/>
    <x v="0"/>
    <x v="0"/>
    <x v="563"/>
    <n v="191.98400000000001"/>
  </r>
  <r>
    <n v="690"/>
    <s v="US-2015-117135"/>
    <d v="2015-06-21T00:00:00"/>
    <x v="277"/>
    <s v="SLOW"/>
    <s v="Second Class"/>
    <s v="NP-18325"/>
    <s v="Naresj Patel"/>
    <x v="0"/>
    <s v="United States"/>
    <s v="Waynesboro"/>
    <x v="17"/>
    <n v="22980"/>
    <x v="0"/>
    <s v="FUR-FU-10004071"/>
    <x v="0"/>
    <x v="5"/>
    <x v="564"/>
    <n v="104.01"/>
  </r>
  <r>
    <n v="691"/>
    <s v="US-2015-117135"/>
    <d v="2015-06-21T00:00:00"/>
    <x v="277"/>
    <s v="SLOW"/>
    <s v="Second Class"/>
    <s v="NP-18325"/>
    <s v="Naresj Patel"/>
    <x v="0"/>
    <s v="United States"/>
    <s v="Waynesboro"/>
    <x v="17"/>
    <n v="22980"/>
    <x v="0"/>
    <s v="TEC-PH-10002033"/>
    <x v="2"/>
    <x v="7"/>
    <x v="11"/>
    <n v="284.82"/>
  </r>
  <r>
    <n v="692"/>
    <s v="US-2015-117135"/>
    <d v="2015-06-21T00:00:00"/>
    <x v="277"/>
    <s v="SLOW"/>
    <s v="Second Class"/>
    <s v="NP-18325"/>
    <s v="Naresj Patel"/>
    <x v="0"/>
    <s v="United States"/>
    <s v="Waynesboro"/>
    <x v="17"/>
    <n v="22980"/>
    <x v="0"/>
    <s v="OFF-ST-10002444"/>
    <x v="1"/>
    <x v="4"/>
    <x v="565"/>
    <n v="36.840000000000003"/>
  </r>
  <r>
    <n v="693"/>
    <s v="CA-2016-131534"/>
    <d v="2016-03-28T00:00:00"/>
    <x v="278"/>
    <s v="FAST"/>
    <s v="Standard Class"/>
    <s v="AB-10165"/>
    <s v="Alan Barnes"/>
    <x v="0"/>
    <s v="United States"/>
    <s v="Los Angeles"/>
    <x v="1"/>
    <n v="90036"/>
    <x v="1"/>
    <s v="TEC-AC-10002253"/>
    <x v="2"/>
    <x v="11"/>
    <x v="566"/>
    <n v="166.24"/>
  </r>
  <r>
    <n v="694"/>
    <s v="CA-2016-131534"/>
    <d v="2016-03-28T00:00:00"/>
    <x v="278"/>
    <s v="FAST"/>
    <s v="Standard Class"/>
    <s v="AB-10165"/>
    <s v="Alan Barnes"/>
    <x v="0"/>
    <s v="United States"/>
    <s v="Los Angeles"/>
    <x v="1"/>
    <n v="90036"/>
    <x v="1"/>
    <s v="OFF-PA-10000743"/>
    <x v="1"/>
    <x v="10"/>
    <x v="567"/>
    <n v="33.4"/>
  </r>
  <r>
    <n v="695"/>
    <s v="CA-2016-119291"/>
    <d v="2016-05-14T00:00:00"/>
    <x v="279"/>
    <s v="MODERATE"/>
    <s v="First Class"/>
    <s v="JO-15550"/>
    <s v="Jesus Ocampo"/>
    <x v="2"/>
    <s v="United States"/>
    <s v="Chester"/>
    <x v="9"/>
    <n v="19013"/>
    <x v="3"/>
    <s v="OFF-AR-10003373"/>
    <x v="1"/>
    <x v="6"/>
    <x v="285"/>
    <n v="198.27199999999999"/>
  </r>
  <r>
    <n v="696"/>
    <s v="CA-2016-119291"/>
    <d v="2016-05-14T00:00:00"/>
    <x v="279"/>
    <s v="MODERATE"/>
    <s v="First Class"/>
    <s v="JO-15550"/>
    <s v="Jesus Ocampo"/>
    <x v="2"/>
    <s v="United States"/>
    <s v="Chester"/>
    <x v="9"/>
    <n v="19013"/>
    <x v="3"/>
    <s v="OFF-LA-10002312"/>
    <x v="1"/>
    <x v="2"/>
    <x v="568"/>
    <n v="47.36"/>
  </r>
  <r>
    <n v="697"/>
    <s v="CA-2016-119291"/>
    <d v="2016-05-14T00:00:00"/>
    <x v="279"/>
    <s v="MODERATE"/>
    <s v="First Class"/>
    <s v="JO-15550"/>
    <s v="Jesus Ocampo"/>
    <x v="2"/>
    <s v="United States"/>
    <s v="Chester"/>
    <x v="9"/>
    <n v="19013"/>
    <x v="3"/>
    <s v="OFF-EN-10000927"/>
    <x v="1"/>
    <x v="12"/>
    <x v="78"/>
    <n v="200.98400000000001"/>
  </r>
  <r>
    <n v="698"/>
    <s v="CA-2016-119291"/>
    <d v="2016-05-14T00:00:00"/>
    <x v="279"/>
    <s v="MODERATE"/>
    <s v="First Class"/>
    <s v="JO-15550"/>
    <s v="Jesus Ocampo"/>
    <x v="2"/>
    <s v="United States"/>
    <s v="Chester"/>
    <x v="9"/>
    <n v="19013"/>
    <x v="3"/>
    <s v="OFF-LA-10003510"/>
    <x v="1"/>
    <x v="2"/>
    <x v="569"/>
    <n v="97.695999999999998"/>
  </r>
  <r>
    <n v="699"/>
    <s v="CA-2016-119291"/>
    <d v="2016-05-14T00:00:00"/>
    <x v="279"/>
    <s v="MODERATE"/>
    <s v="First Class"/>
    <s v="JO-15550"/>
    <s v="Jesus Ocampo"/>
    <x v="2"/>
    <s v="United States"/>
    <s v="Chester"/>
    <x v="9"/>
    <n v="19013"/>
    <x v="3"/>
    <s v="OFF-AR-10001118"/>
    <x v="1"/>
    <x v="6"/>
    <x v="570"/>
    <n v="2.6960000000000002"/>
  </r>
  <r>
    <n v="700"/>
    <s v="CA-2016-119291"/>
    <d v="2016-05-14T00:00:00"/>
    <x v="279"/>
    <s v="MODERATE"/>
    <s v="First Class"/>
    <s v="JO-15550"/>
    <s v="Jesus Ocampo"/>
    <x v="2"/>
    <s v="United States"/>
    <s v="Chester"/>
    <x v="9"/>
    <n v="19013"/>
    <x v="3"/>
    <s v="OFF-BI-10001575"/>
    <x v="1"/>
    <x v="8"/>
    <x v="571"/>
    <n v="18.588000000000001"/>
  </r>
  <r>
    <n v="701"/>
    <s v="CA-2016-119291"/>
    <d v="2016-05-14T00:00:00"/>
    <x v="279"/>
    <s v="MODERATE"/>
    <s v="First Class"/>
    <s v="JO-15550"/>
    <s v="Jesus Ocampo"/>
    <x v="2"/>
    <s v="United States"/>
    <s v="Chester"/>
    <x v="9"/>
    <n v="19013"/>
    <x v="3"/>
    <s v="OFF-BI-10001982"/>
    <x v="1"/>
    <x v="8"/>
    <x v="299"/>
    <n v="4.8959999999999999"/>
  </r>
  <r>
    <n v="702"/>
    <s v="CA-2018-114552"/>
    <d v="2018-09-02T00:00:00"/>
    <x v="220"/>
    <s v="FAST"/>
    <s v="Standard Class"/>
    <s v="Dl-13600"/>
    <s v="Dorris liebe"/>
    <x v="1"/>
    <s v="United States"/>
    <s v="Cleveland"/>
    <x v="24"/>
    <n v="44105"/>
    <x v="3"/>
    <s v="FUR-FU-10002960"/>
    <x v="0"/>
    <x v="5"/>
    <x v="187"/>
    <n v="15.071999999999999"/>
  </r>
  <r>
    <n v="703"/>
    <s v="CA-2017-163755"/>
    <d v="2017-11-04T00:00:00"/>
    <x v="280"/>
    <s v="SLOW"/>
    <s v="Second Class"/>
    <s v="AS-10285"/>
    <s v="Alejandro Savely"/>
    <x v="1"/>
    <s v="United States"/>
    <s v="Seattle"/>
    <x v="4"/>
    <n v="98103"/>
    <x v="1"/>
    <s v="FUR-FU-10003394"/>
    <x v="0"/>
    <x v="5"/>
    <x v="572"/>
    <n v="209.88"/>
  </r>
  <r>
    <n v="704"/>
    <s v="CA-2016-142027"/>
    <d v="2016-04-09T00:00:00"/>
    <x v="281"/>
    <s v="FAST"/>
    <s v="Standard Class"/>
    <s v="JK-15370"/>
    <s v="Jay Kimmel"/>
    <x v="0"/>
    <s v="United States"/>
    <s v="Long Beach"/>
    <x v="1"/>
    <n v="90805"/>
    <x v="1"/>
    <s v="FUR-TA-10002774"/>
    <x v="0"/>
    <x v="3"/>
    <x v="573"/>
    <n v="369.91199999999998"/>
  </r>
  <r>
    <n v="705"/>
    <s v="CA-2015-138527"/>
    <d v="2015-09-12T00:00:00"/>
    <x v="100"/>
    <s v="FAST"/>
    <s v="Standard Class"/>
    <s v="BN-11470"/>
    <s v="Brad Norvell"/>
    <x v="1"/>
    <s v="United States"/>
    <s v="Cary"/>
    <x v="3"/>
    <n v="27511"/>
    <x v="0"/>
    <s v="OFF-PA-10001800"/>
    <x v="1"/>
    <x v="10"/>
    <x v="574"/>
    <n v="10.368"/>
  </r>
  <r>
    <n v="706"/>
    <s v="CA-2015-138527"/>
    <d v="2015-09-12T00:00:00"/>
    <x v="100"/>
    <s v="FAST"/>
    <s v="Standard Class"/>
    <s v="BN-11470"/>
    <s v="Brad Norvell"/>
    <x v="1"/>
    <s v="United States"/>
    <s v="Cary"/>
    <x v="3"/>
    <n v="27511"/>
    <x v="0"/>
    <s v="OFF-AP-10001469"/>
    <x v="1"/>
    <x v="9"/>
    <x v="575"/>
    <n v="166.84"/>
  </r>
  <r>
    <n v="707"/>
    <s v="CA-2015-138527"/>
    <d v="2015-09-12T00:00:00"/>
    <x v="100"/>
    <s v="FAST"/>
    <s v="Standard Class"/>
    <s v="BN-11470"/>
    <s v="Brad Norvell"/>
    <x v="1"/>
    <s v="United States"/>
    <s v="Cary"/>
    <x v="3"/>
    <n v="27511"/>
    <x v="0"/>
    <s v="TEC-AC-10002399"/>
    <x v="2"/>
    <x v="11"/>
    <x v="443"/>
    <n v="15.215999999999999"/>
  </r>
  <r>
    <n v="708"/>
    <s v="CA-2015-112158"/>
    <d v="2015-12-02T00:00:00"/>
    <x v="282"/>
    <s v="MODERATE"/>
    <s v="First Class"/>
    <s v="DP-13165"/>
    <s v="David Philippe"/>
    <x v="0"/>
    <s v="United States"/>
    <s v="New York City"/>
    <x v="15"/>
    <n v="10035"/>
    <x v="3"/>
    <s v="TEC-AC-10003628"/>
    <x v="2"/>
    <x v="11"/>
    <x v="242"/>
    <n v="119.96"/>
  </r>
  <r>
    <n v="709"/>
    <s v="CA-2015-112158"/>
    <d v="2015-12-02T00:00:00"/>
    <x v="282"/>
    <s v="MODERATE"/>
    <s v="First Class"/>
    <s v="DP-13165"/>
    <s v="David Philippe"/>
    <x v="0"/>
    <s v="United States"/>
    <s v="New York City"/>
    <x v="15"/>
    <n v="10035"/>
    <x v="3"/>
    <s v="FUR-BO-10003272"/>
    <x v="0"/>
    <x v="0"/>
    <x v="576"/>
    <n v="883.92"/>
  </r>
  <r>
    <n v="710"/>
    <s v="CA-2015-112158"/>
    <d v="2015-12-02T00:00:00"/>
    <x v="282"/>
    <s v="MODERATE"/>
    <s v="First Class"/>
    <s v="DP-13165"/>
    <s v="David Philippe"/>
    <x v="0"/>
    <s v="United States"/>
    <s v="New York City"/>
    <x v="15"/>
    <n v="10035"/>
    <x v="3"/>
    <s v="OFF-BI-10000050"/>
    <x v="1"/>
    <x v="8"/>
    <x v="340"/>
    <n v="46.72"/>
  </r>
  <r>
    <n v="711"/>
    <s v="CA-2015-113887"/>
    <d v="2015-04-05T00:00:00"/>
    <x v="283"/>
    <s v="MODERATE"/>
    <s v="First Class"/>
    <s v="TH-21550"/>
    <s v="Tracy Hopkins"/>
    <x v="2"/>
    <s v="United States"/>
    <s v="New York City"/>
    <x v="15"/>
    <n v="10035"/>
    <x v="3"/>
    <s v="OFF-PA-10004071"/>
    <x v="1"/>
    <x v="10"/>
    <x v="407"/>
    <n v="55.48"/>
  </r>
  <r>
    <n v="713"/>
    <s v="US-2018-100048"/>
    <d v="2018-05-19T00:00:00"/>
    <x v="284"/>
    <s v="FAST"/>
    <s v="Standard Class"/>
    <s v="RS-19765"/>
    <s v="Roland Schwarz"/>
    <x v="1"/>
    <s v="United States"/>
    <s v="Mount Vernon"/>
    <x v="15"/>
    <n v="10550"/>
    <x v="3"/>
    <s v="OFF-AP-10001154"/>
    <x v="1"/>
    <x v="9"/>
    <x v="577"/>
    <n v="281.33999999999997"/>
  </r>
  <r>
    <n v="714"/>
    <s v="US-2018-100048"/>
    <d v="2018-05-19T00:00:00"/>
    <x v="284"/>
    <s v="FAST"/>
    <s v="Standard Class"/>
    <s v="RS-19765"/>
    <s v="Roland Schwarz"/>
    <x v="1"/>
    <s v="United States"/>
    <s v="Mount Vernon"/>
    <x v="15"/>
    <n v="10550"/>
    <x v="3"/>
    <s v="TEC-PH-10003012"/>
    <x v="2"/>
    <x v="7"/>
    <x v="341"/>
    <n v="307.98"/>
  </r>
  <r>
    <n v="715"/>
    <s v="US-2018-100048"/>
    <d v="2018-05-19T00:00:00"/>
    <x v="284"/>
    <s v="FAST"/>
    <s v="Standard Class"/>
    <s v="RS-19765"/>
    <s v="Roland Schwarz"/>
    <x v="1"/>
    <s v="United States"/>
    <s v="Mount Vernon"/>
    <x v="15"/>
    <n v="10550"/>
    <x v="3"/>
    <s v="TEC-AC-10001606"/>
    <x v="2"/>
    <x v="11"/>
    <x v="578"/>
    <n v="299.97000000000003"/>
  </r>
  <r>
    <n v="716"/>
    <s v="CA-2015-153150"/>
    <d v="2015-07-01T00:00:00"/>
    <x v="285"/>
    <s v="SLOW"/>
    <s v="Second Class"/>
    <s v="Dl-13600"/>
    <s v="Dorris liebe"/>
    <x v="1"/>
    <s v="United States"/>
    <s v="Seattle"/>
    <x v="4"/>
    <n v="98105"/>
    <x v="1"/>
    <s v="OFF-BI-10003355"/>
    <x v="1"/>
    <x v="8"/>
    <x v="579"/>
    <n v="19.920000000000002"/>
  </r>
  <r>
    <n v="717"/>
    <s v="CA-2015-130092"/>
    <d v="2015-01-11T00:00:00"/>
    <x v="286"/>
    <s v="MODERATE"/>
    <s v="First Class"/>
    <s v="SV-20365"/>
    <s v="Seth Vernon"/>
    <x v="0"/>
    <s v="United States"/>
    <s v="Dover"/>
    <x v="13"/>
    <n v="19901"/>
    <x v="3"/>
    <s v="FUR-FU-10000010"/>
    <x v="0"/>
    <x v="5"/>
    <x v="517"/>
    <n v="9.94"/>
  </r>
  <r>
    <n v="718"/>
    <s v="CA-2018-108910"/>
    <d v="2018-09-24T00:00:00"/>
    <x v="287"/>
    <s v="FAST"/>
    <s v="Standard Class"/>
    <s v="KC-16540"/>
    <s v="Kelly Collister"/>
    <x v="0"/>
    <s v="United States"/>
    <s v="Newark"/>
    <x v="24"/>
    <n v="43055"/>
    <x v="3"/>
    <s v="FUR-FU-10002253"/>
    <x v="0"/>
    <x v="5"/>
    <x v="580"/>
    <n v="103.056"/>
  </r>
  <r>
    <n v="719"/>
    <s v="CA-2015-104472"/>
    <d v="2015-06-02T00:00:00"/>
    <x v="288"/>
    <s v="FAST"/>
    <s v="Standard Class"/>
    <s v="CK-12325"/>
    <s v="Christine Kargatis"/>
    <x v="2"/>
    <s v="United States"/>
    <s v="Orem"/>
    <x v="7"/>
    <n v="84057"/>
    <x v="1"/>
    <s v="OFF-BI-10001658"/>
    <x v="1"/>
    <x v="8"/>
    <x v="434"/>
    <n v="59.808"/>
  </r>
  <r>
    <n v="720"/>
    <s v="CA-2015-104472"/>
    <d v="2015-06-02T00:00:00"/>
    <x v="288"/>
    <s v="FAST"/>
    <s v="Standard Class"/>
    <s v="CK-12325"/>
    <s v="Christine Kargatis"/>
    <x v="2"/>
    <s v="United States"/>
    <s v="Orem"/>
    <x v="7"/>
    <n v="84057"/>
    <x v="1"/>
    <s v="FUR-FU-10000246"/>
    <x v="0"/>
    <x v="5"/>
    <x v="383"/>
    <n v="73.319999999999993"/>
  </r>
  <r>
    <n v="721"/>
    <s v="CA-2017-112942"/>
    <d v="2017-02-13T00:00:00"/>
    <x v="289"/>
    <s v="FAST"/>
    <s v="Standard Class"/>
    <s v="RD-19810"/>
    <s v="Ross DeVincentis"/>
    <x v="2"/>
    <s v="United States"/>
    <s v="Los Angeles"/>
    <x v="1"/>
    <n v="90045"/>
    <x v="1"/>
    <s v="OFF-PA-10004092"/>
    <x v="1"/>
    <x v="10"/>
    <x v="581"/>
    <n v="146.82"/>
  </r>
  <r>
    <n v="722"/>
    <s v="CA-2017-142335"/>
    <d v="2017-12-15T00:00:00"/>
    <x v="290"/>
    <s v="FAST"/>
    <s v="Standard Class"/>
    <s v="MP-17965"/>
    <s v="Michael Paige"/>
    <x v="1"/>
    <s v="United States"/>
    <s v="Detroit"/>
    <x v="12"/>
    <n v="48205"/>
    <x v="2"/>
    <s v="FUR-TA-10000198"/>
    <x v="0"/>
    <x v="3"/>
    <x v="582"/>
    <n v="1652.94"/>
  </r>
  <r>
    <n v="723"/>
    <s v="CA-2017-142335"/>
    <d v="2017-12-15T00:00:00"/>
    <x v="290"/>
    <s v="FAST"/>
    <s v="Standard Class"/>
    <s v="MP-17965"/>
    <s v="Michael Paige"/>
    <x v="1"/>
    <s v="United States"/>
    <s v="Detroit"/>
    <x v="12"/>
    <n v="48205"/>
    <x v="2"/>
    <s v="OFF-ST-10000036"/>
    <x v="1"/>
    <x v="4"/>
    <x v="583"/>
    <n v="296.37"/>
  </r>
  <r>
    <n v="724"/>
    <s v="CA-2015-117429"/>
    <d v="2015-10-07T00:00:00"/>
    <x v="291"/>
    <s v="FAST"/>
    <s v="Standard Class"/>
    <s v="MR-17545"/>
    <s v="Mathew Reese"/>
    <x v="2"/>
    <s v="United States"/>
    <s v="Philadelphia"/>
    <x v="9"/>
    <n v="19140"/>
    <x v="3"/>
    <s v="FUR-FU-10000222"/>
    <x v="0"/>
    <x v="5"/>
    <x v="584"/>
    <n v="129.91999999999999"/>
  </r>
  <r>
    <n v="725"/>
    <s v="CA-2017-114713"/>
    <d v="2017-07-07T00:00:00"/>
    <x v="292"/>
    <s v="FAST"/>
    <s v="Standard Class"/>
    <s v="SC-20695"/>
    <s v="Steve Chapman"/>
    <x v="1"/>
    <s v="United States"/>
    <s v="Hialeah"/>
    <x v="2"/>
    <n v="33012"/>
    <x v="0"/>
    <s v="OFF-SU-10004664"/>
    <x v="1"/>
    <x v="14"/>
    <x v="585"/>
    <n v="45.584000000000003"/>
  </r>
  <r>
    <n v="726"/>
    <s v="CA-2018-144113"/>
    <d v="2018-09-16T00:00:00"/>
    <x v="293"/>
    <s v="FAST"/>
    <s v="Standard Class"/>
    <s v="JF-15355"/>
    <s v="Jay Fein"/>
    <x v="0"/>
    <s v="United States"/>
    <s v="Austin"/>
    <x v="5"/>
    <n v="78745"/>
    <x v="2"/>
    <s v="OFF-EN-10001141"/>
    <x v="1"/>
    <x v="12"/>
    <x v="586"/>
    <n v="17.568000000000001"/>
  </r>
  <r>
    <n v="727"/>
    <s v="CA-2018-144113"/>
    <d v="2018-09-16T00:00:00"/>
    <x v="293"/>
    <s v="FAST"/>
    <s v="Standard Class"/>
    <s v="JF-15355"/>
    <s v="Jay Fein"/>
    <x v="0"/>
    <s v="United States"/>
    <s v="Austin"/>
    <x v="5"/>
    <n v="78745"/>
    <x v="2"/>
    <s v="TEC-PH-10002170"/>
    <x v="2"/>
    <x v="7"/>
    <x v="587"/>
    <n v="55.991999999999997"/>
  </r>
  <r>
    <n v="728"/>
    <s v="US-2017-150861"/>
    <d v="2017-12-03T00:00:00"/>
    <x v="294"/>
    <s v="MODERATE"/>
    <s v="First Class"/>
    <s v="EG-13900"/>
    <s v="Emily Grady"/>
    <x v="0"/>
    <s v="United States"/>
    <s v="Oceanside"/>
    <x v="15"/>
    <n v="11572"/>
    <x v="3"/>
    <s v="OFF-PA-10001954"/>
    <x v="1"/>
    <x v="10"/>
    <x v="588"/>
    <n v="182.72"/>
  </r>
  <r>
    <n v="729"/>
    <s v="US-2017-150861"/>
    <d v="2017-12-03T00:00:00"/>
    <x v="294"/>
    <s v="MODERATE"/>
    <s v="First Class"/>
    <s v="EG-13900"/>
    <s v="Emily Grady"/>
    <x v="0"/>
    <s v="United States"/>
    <s v="Oceanside"/>
    <x v="15"/>
    <n v="11572"/>
    <x v="3"/>
    <s v="FUR-TA-10002228"/>
    <x v="0"/>
    <x v="3"/>
    <x v="589"/>
    <n v="400.03199999999998"/>
  </r>
  <r>
    <n v="730"/>
    <s v="US-2017-150861"/>
    <d v="2017-12-03T00:00:00"/>
    <x v="294"/>
    <s v="MODERATE"/>
    <s v="First Class"/>
    <s v="EG-13900"/>
    <s v="Emily Grady"/>
    <x v="0"/>
    <s v="United States"/>
    <s v="Oceanside"/>
    <x v="15"/>
    <n v="11572"/>
    <x v="3"/>
    <s v="OFF-ST-10004634"/>
    <x v="1"/>
    <x v="4"/>
    <x v="590"/>
    <n v="33.630000000000003"/>
  </r>
  <r>
    <n v="731"/>
    <s v="US-2017-150861"/>
    <d v="2017-12-03T00:00:00"/>
    <x v="294"/>
    <s v="MODERATE"/>
    <s v="First Class"/>
    <s v="EG-13900"/>
    <s v="Emily Grady"/>
    <x v="0"/>
    <s v="United States"/>
    <s v="Oceanside"/>
    <x v="15"/>
    <n v="11572"/>
    <x v="3"/>
    <s v="FUR-CH-10002965"/>
    <x v="0"/>
    <x v="1"/>
    <x v="224"/>
    <n v="542.64599999999996"/>
  </r>
  <r>
    <n v="732"/>
    <s v="US-2017-150861"/>
    <d v="2017-12-03T00:00:00"/>
    <x v="294"/>
    <s v="MODERATE"/>
    <s v="First Class"/>
    <s v="EG-13900"/>
    <s v="Emily Grady"/>
    <x v="0"/>
    <s v="United States"/>
    <s v="Oceanside"/>
    <x v="15"/>
    <n v="11572"/>
    <x v="3"/>
    <s v="OFF-LA-10001317"/>
    <x v="1"/>
    <x v="2"/>
    <x v="388"/>
    <n v="6.3"/>
  </r>
  <r>
    <n v="733"/>
    <s v="CA-2018-131954"/>
    <d v="2018-01-21T00:00:00"/>
    <x v="211"/>
    <s v="FAST"/>
    <s v="Standard Class"/>
    <s v="DS-13030"/>
    <s v="Darrin Sayre"/>
    <x v="2"/>
    <s v="United States"/>
    <s v="Seattle"/>
    <x v="4"/>
    <n v="98115"/>
    <x v="1"/>
    <s v="OFF-ST-10000736"/>
    <x v="1"/>
    <x v="4"/>
    <x v="450"/>
    <n v="242.94"/>
  </r>
  <r>
    <n v="734"/>
    <s v="CA-2018-131954"/>
    <d v="2018-01-21T00:00:00"/>
    <x v="211"/>
    <s v="FAST"/>
    <s v="Standard Class"/>
    <s v="DS-13030"/>
    <s v="Darrin Sayre"/>
    <x v="2"/>
    <s v="United States"/>
    <s v="Seattle"/>
    <x v="4"/>
    <n v="98115"/>
    <x v="1"/>
    <s v="TEC-AC-10003610"/>
    <x v="2"/>
    <x v="11"/>
    <x v="591"/>
    <n v="179.97"/>
  </r>
  <r>
    <n v="735"/>
    <s v="CA-2018-131954"/>
    <d v="2018-01-21T00:00:00"/>
    <x v="211"/>
    <s v="FAST"/>
    <s v="Standard Class"/>
    <s v="DS-13030"/>
    <s v="Darrin Sayre"/>
    <x v="2"/>
    <s v="United States"/>
    <s v="Seattle"/>
    <x v="4"/>
    <n v="98115"/>
    <x v="1"/>
    <s v="OFF-BI-10003982"/>
    <x v="1"/>
    <x v="8"/>
    <x v="343"/>
    <n v="99.695999999999998"/>
  </r>
  <r>
    <n v="736"/>
    <s v="CA-2018-131954"/>
    <d v="2018-01-21T00:00:00"/>
    <x v="211"/>
    <s v="FAST"/>
    <s v="Standard Class"/>
    <s v="DS-13030"/>
    <s v="Darrin Sayre"/>
    <x v="2"/>
    <s v="United States"/>
    <s v="Seattle"/>
    <x v="4"/>
    <n v="98115"/>
    <x v="1"/>
    <s v="OFF-BI-10003291"/>
    <x v="1"/>
    <x v="8"/>
    <x v="43"/>
    <n v="27.936"/>
  </r>
  <r>
    <n v="737"/>
    <s v="CA-2018-131954"/>
    <d v="2018-01-21T00:00:00"/>
    <x v="211"/>
    <s v="FAST"/>
    <s v="Standard Class"/>
    <s v="DS-13030"/>
    <s v="Darrin Sayre"/>
    <x v="2"/>
    <s v="United States"/>
    <s v="Seattle"/>
    <x v="4"/>
    <n v="98115"/>
    <x v="1"/>
    <s v="FUR-BO-10001619"/>
    <x v="0"/>
    <x v="0"/>
    <x v="592"/>
    <n v="84.98"/>
  </r>
  <r>
    <n v="738"/>
    <s v="CA-2018-131954"/>
    <d v="2018-01-21T00:00:00"/>
    <x v="211"/>
    <s v="FAST"/>
    <s v="Standard Class"/>
    <s v="DS-13030"/>
    <s v="Darrin Sayre"/>
    <x v="2"/>
    <s v="United States"/>
    <s v="Seattle"/>
    <x v="4"/>
    <n v="98115"/>
    <x v="1"/>
    <s v="OFF-BI-10000138"/>
    <x v="1"/>
    <x v="8"/>
    <x v="593"/>
    <n v="18.72"/>
  </r>
  <r>
    <n v="739"/>
    <s v="CA-2015-132500"/>
    <d v="2015-09-08T00:00:00"/>
    <x v="73"/>
    <s v="FAST"/>
    <s v="Standard Class"/>
    <s v="GZ-14470"/>
    <s v="Gary Zandusky"/>
    <x v="0"/>
    <s v="United States"/>
    <s v="San Francisco"/>
    <x v="1"/>
    <n v="94110"/>
    <x v="1"/>
    <s v="TEC-AC-10001383"/>
    <x v="2"/>
    <x v="11"/>
    <x v="594"/>
    <n v="49.98"/>
  </r>
  <r>
    <n v="740"/>
    <s v="CA-2015-112326"/>
    <d v="2015-01-04T00:00:00"/>
    <x v="295"/>
    <s v="FAST"/>
    <s v="Standard Class"/>
    <s v="PO-19195"/>
    <s v="Phillina Ober"/>
    <x v="2"/>
    <s v="United States"/>
    <s v="Naperville"/>
    <x v="10"/>
    <n v="60540"/>
    <x v="2"/>
    <s v="OFF-LA-10003223"/>
    <x v="1"/>
    <x v="2"/>
    <x v="595"/>
    <n v="11.784000000000001"/>
  </r>
  <r>
    <n v="741"/>
    <s v="CA-2015-112326"/>
    <d v="2015-01-04T00:00:00"/>
    <x v="295"/>
    <s v="FAST"/>
    <s v="Standard Class"/>
    <s v="PO-19195"/>
    <s v="Phillina Ober"/>
    <x v="2"/>
    <s v="United States"/>
    <s v="Naperville"/>
    <x v="10"/>
    <n v="60540"/>
    <x v="2"/>
    <s v="OFF-ST-10002743"/>
    <x v="1"/>
    <x v="4"/>
    <x v="408"/>
    <n v="272.73599999999999"/>
  </r>
  <r>
    <n v="742"/>
    <s v="CA-2015-112326"/>
    <d v="2015-01-04T00:00:00"/>
    <x v="295"/>
    <s v="FAST"/>
    <s v="Standard Class"/>
    <s v="PO-19195"/>
    <s v="Phillina Ober"/>
    <x v="2"/>
    <s v="United States"/>
    <s v="Naperville"/>
    <x v="10"/>
    <n v="60540"/>
    <x v="2"/>
    <s v="OFF-BI-10004094"/>
    <x v="1"/>
    <x v="8"/>
    <x v="596"/>
    <n v="3.54"/>
  </r>
  <r>
    <n v="743"/>
    <s v="US-2017-146710"/>
    <d v="2017-08-27T00:00:00"/>
    <x v="133"/>
    <s v="FAST"/>
    <s v="Standard Class"/>
    <s v="SS-20875"/>
    <s v="Sung Shariari"/>
    <x v="0"/>
    <s v="United States"/>
    <s v="Dallas"/>
    <x v="5"/>
    <n v="75220"/>
    <x v="2"/>
    <s v="OFF-SU-10004498"/>
    <x v="1"/>
    <x v="14"/>
    <x v="495"/>
    <n v="51.52"/>
  </r>
  <r>
    <n v="744"/>
    <s v="US-2017-146710"/>
    <d v="2017-08-27T00:00:00"/>
    <x v="133"/>
    <s v="FAST"/>
    <s v="Standard Class"/>
    <s v="SS-20875"/>
    <s v="Sung Shariari"/>
    <x v="0"/>
    <s v="United States"/>
    <s v="Dallas"/>
    <x v="5"/>
    <n v="75220"/>
    <x v="2"/>
    <s v="OFF-PA-10002615"/>
    <x v="1"/>
    <x v="10"/>
    <x v="245"/>
    <n v="3.528"/>
  </r>
  <r>
    <n v="745"/>
    <s v="US-2017-146710"/>
    <d v="2017-08-27T00:00:00"/>
    <x v="133"/>
    <s v="FAST"/>
    <s v="Standard Class"/>
    <s v="SS-20875"/>
    <s v="Sung Shariari"/>
    <x v="0"/>
    <s v="United States"/>
    <s v="Dallas"/>
    <x v="5"/>
    <n v="75220"/>
    <x v="2"/>
    <s v="OFF-PA-10004971"/>
    <x v="1"/>
    <x v="10"/>
    <x v="597"/>
    <n v="4.6239999999999997"/>
  </r>
  <r>
    <n v="746"/>
    <s v="US-2017-146710"/>
    <d v="2017-08-27T00:00:00"/>
    <x v="133"/>
    <s v="FAST"/>
    <s v="Standard Class"/>
    <s v="SS-20875"/>
    <s v="Sung Shariari"/>
    <x v="0"/>
    <s v="United States"/>
    <s v="Dallas"/>
    <x v="5"/>
    <n v="75220"/>
    <x v="2"/>
    <s v="OFF-SU-10004261"/>
    <x v="1"/>
    <x v="14"/>
    <x v="598"/>
    <n v="55.167999999999999"/>
  </r>
  <r>
    <n v="747"/>
    <s v="CA-2015-124429"/>
    <d v="2015-05-27T00:00:00"/>
    <x v="247"/>
    <s v="MODERATE"/>
    <s v="Same Day"/>
    <s v="MH-17785"/>
    <s v="Maya Herman"/>
    <x v="1"/>
    <s v="United States"/>
    <s v="San Diego"/>
    <x v="1"/>
    <n v="92105"/>
    <x v="1"/>
    <s v="FUR-TA-10002607"/>
    <x v="0"/>
    <x v="3"/>
    <x v="219"/>
    <n v="567.12"/>
  </r>
  <r>
    <n v="748"/>
    <s v="CA-2015-124429"/>
    <d v="2015-05-27T00:00:00"/>
    <x v="247"/>
    <s v="MODERATE"/>
    <s v="Same Day"/>
    <s v="MH-17785"/>
    <s v="Maya Herman"/>
    <x v="1"/>
    <s v="United States"/>
    <s v="San Diego"/>
    <x v="1"/>
    <n v="92105"/>
    <x v="1"/>
    <s v="OFF-ST-10001809"/>
    <x v="1"/>
    <x v="4"/>
    <x v="425"/>
    <n v="359.32"/>
  </r>
  <r>
    <n v="749"/>
    <s v="CA-2017-150889"/>
    <d v="2017-03-20T00:00:00"/>
    <x v="296"/>
    <s v="SLOW"/>
    <s v="Second Class"/>
    <s v="PB-19105"/>
    <s v="Peter BÃ¼hler"/>
    <x v="0"/>
    <s v="United States"/>
    <s v="Evanston"/>
    <x v="10"/>
    <n v="60201"/>
    <x v="2"/>
    <s v="TEC-PH-10000004"/>
    <x v="2"/>
    <x v="7"/>
    <x v="599"/>
    <n v="11.992000000000001"/>
  </r>
  <r>
    <n v="750"/>
    <s v="CA-2018-126074"/>
    <d v="2018-10-02T00:00:00"/>
    <x v="297"/>
    <s v="FAST"/>
    <s v="Standard Class"/>
    <s v="RF-19735"/>
    <s v="Roland Fjeld"/>
    <x v="0"/>
    <s v="United States"/>
    <s v="Trenton"/>
    <x v="12"/>
    <n v="48183"/>
    <x v="2"/>
    <s v="OFF-BI-10003638"/>
    <x v="1"/>
    <x v="8"/>
    <x v="600"/>
    <n v="58.05"/>
  </r>
  <r>
    <n v="751"/>
    <s v="CA-2018-126074"/>
    <d v="2018-10-02T00:00:00"/>
    <x v="297"/>
    <s v="FAST"/>
    <s v="Standard Class"/>
    <s v="RF-19735"/>
    <s v="Roland Fjeld"/>
    <x v="0"/>
    <s v="United States"/>
    <s v="Trenton"/>
    <x v="12"/>
    <n v="48183"/>
    <x v="2"/>
    <s v="FUR-FU-10003577"/>
    <x v="0"/>
    <x v="5"/>
    <x v="601"/>
    <n v="157.74"/>
  </r>
  <r>
    <n v="752"/>
    <s v="CA-2018-126074"/>
    <d v="2018-10-02T00:00:00"/>
    <x v="297"/>
    <s v="FAST"/>
    <s v="Standard Class"/>
    <s v="RF-19735"/>
    <s v="Roland Fjeld"/>
    <x v="0"/>
    <s v="United States"/>
    <s v="Trenton"/>
    <x v="12"/>
    <n v="48183"/>
    <x v="2"/>
    <s v="OFF-AR-10003478"/>
    <x v="1"/>
    <x v="6"/>
    <x v="351"/>
    <n v="56.98"/>
  </r>
  <r>
    <n v="753"/>
    <s v="CA-2018-126074"/>
    <d v="2018-10-02T00:00:00"/>
    <x v="297"/>
    <s v="FAST"/>
    <s v="Standard Class"/>
    <s v="RF-19735"/>
    <s v="Roland Fjeld"/>
    <x v="0"/>
    <s v="United States"/>
    <s v="Trenton"/>
    <x v="12"/>
    <n v="48183"/>
    <x v="2"/>
    <s v="OFF-BI-10000546"/>
    <x v="1"/>
    <x v="8"/>
    <x v="602"/>
    <n v="2.88"/>
  </r>
  <r>
    <n v="754"/>
    <s v="CA-2017-110499"/>
    <d v="2017-04-07T00:00:00"/>
    <x v="298"/>
    <s v="MODERATE"/>
    <s v="First Class"/>
    <s v="YC-21895"/>
    <s v="Yoseph Carroll"/>
    <x v="1"/>
    <s v="United States"/>
    <s v="San Francisco"/>
    <x v="1"/>
    <n v="94110"/>
    <x v="1"/>
    <s v="TEC-CO-10002095"/>
    <x v="2"/>
    <x v="16"/>
    <x v="603"/>
    <n v="1199.9760000000001"/>
  </r>
  <r>
    <n v="756"/>
    <s v="CA-2017-140928"/>
    <d v="2017-09-18T00:00:00"/>
    <x v="42"/>
    <s v="FAST"/>
    <s v="Standard Class"/>
    <s v="NB-18655"/>
    <s v="Nona Balk"/>
    <x v="1"/>
    <s v="United States"/>
    <s v="Jacksonville"/>
    <x v="2"/>
    <n v="32216"/>
    <x v="0"/>
    <s v="FUR-TA-10001095"/>
    <x v="0"/>
    <x v="3"/>
    <x v="604"/>
    <n v="383.43799999999999"/>
  </r>
  <r>
    <n v="757"/>
    <s v="CA-2015-106803"/>
    <d v="2015-12-29T00:00:00"/>
    <x v="299"/>
    <s v="FAST"/>
    <s v="Standard Class"/>
    <s v="DC-13285"/>
    <s v="Debra Catini"/>
    <x v="0"/>
    <s v="United States"/>
    <s v="Cottage Grove"/>
    <x v="11"/>
    <n v="55016"/>
    <x v="2"/>
    <s v="OFF-ST-10002444"/>
    <x v="1"/>
    <x v="4"/>
    <x v="565"/>
    <n v="24.56"/>
  </r>
  <r>
    <n v="758"/>
    <s v="CA-2015-106803"/>
    <d v="2015-12-29T00:00:00"/>
    <x v="299"/>
    <s v="FAST"/>
    <s v="Standard Class"/>
    <s v="DC-13285"/>
    <s v="Debra Catini"/>
    <x v="0"/>
    <s v="United States"/>
    <s v="Cottage Grove"/>
    <x v="11"/>
    <n v="55016"/>
    <x v="2"/>
    <s v="TEC-AC-10001267"/>
    <x v="2"/>
    <x v="11"/>
    <x v="528"/>
    <n v="119.8"/>
  </r>
  <r>
    <n v="759"/>
    <s v="CA-2018-117240"/>
    <d v="2018-07-23T00:00:00"/>
    <x v="300"/>
    <s v="FAST"/>
    <s v="Standard Class"/>
    <s v="CP-12340"/>
    <s v="Christine Phan"/>
    <x v="1"/>
    <s v="United States"/>
    <s v="New York City"/>
    <x v="15"/>
    <n v="10009"/>
    <x v="3"/>
    <s v="OFF-BI-10000848"/>
    <x v="1"/>
    <x v="8"/>
    <x v="510"/>
    <n v="13.128"/>
  </r>
  <r>
    <n v="760"/>
    <s v="CA-2018-133333"/>
    <d v="2018-09-18T00:00:00"/>
    <x v="301"/>
    <s v="FAST"/>
    <s v="Standard Class"/>
    <s v="BF-11020"/>
    <s v="Barry FranzÃ¶sisch"/>
    <x v="1"/>
    <s v="United States"/>
    <s v="Green Bay"/>
    <x v="6"/>
    <n v="54302"/>
    <x v="2"/>
    <s v="OFF-PA-10002377"/>
    <x v="1"/>
    <x v="10"/>
    <x v="551"/>
    <n v="22.72"/>
  </r>
  <r>
    <n v="761"/>
    <s v="CA-2016-112319"/>
    <d v="2016-08-31T00:00:00"/>
    <x v="302"/>
    <s v="FAST"/>
    <s v="Standard Class"/>
    <s v="AR-10510"/>
    <s v="Andrew Roberts"/>
    <x v="0"/>
    <s v="United States"/>
    <s v="Los Angeles"/>
    <x v="1"/>
    <n v="90004"/>
    <x v="1"/>
    <s v="OFF-PA-10003441"/>
    <x v="1"/>
    <x v="10"/>
    <x v="480"/>
    <n v="58.32"/>
  </r>
  <r>
    <n v="762"/>
    <s v="CA-2018-126046"/>
    <d v="2018-11-03T00:00:00"/>
    <x v="169"/>
    <s v="FAST"/>
    <s v="Standard Class"/>
    <s v="JC-16105"/>
    <s v="Julie Creighton"/>
    <x v="1"/>
    <s v="United States"/>
    <s v="Atlanta"/>
    <x v="32"/>
    <n v="30318"/>
    <x v="0"/>
    <s v="OFF-LA-10004484"/>
    <x v="1"/>
    <x v="2"/>
    <x v="605"/>
    <n v="12.39"/>
  </r>
  <r>
    <n v="763"/>
    <s v="CA-2016-114923"/>
    <d v="2016-02-08T00:00:00"/>
    <x v="94"/>
    <s v="FAST"/>
    <s v="Standard Class"/>
    <s v="LH-17020"/>
    <s v="Lisa Hazard"/>
    <x v="0"/>
    <s v="United States"/>
    <s v="Columbus"/>
    <x v="24"/>
    <n v="43229"/>
    <x v="3"/>
    <s v="TEC-PH-10003931"/>
    <x v="2"/>
    <x v="7"/>
    <x v="157"/>
    <n v="107.982"/>
  </r>
  <r>
    <n v="764"/>
    <s v="CA-2015-162775"/>
    <d v="2015-01-13T00:00:00"/>
    <x v="303"/>
    <s v="SLOW"/>
    <s v="Second Class"/>
    <s v="CS-12250"/>
    <s v="Chris Selesnick"/>
    <x v="1"/>
    <s v="United States"/>
    <s v="Bossier City"/>
    <x v="28"/>
    <n v="71111"/>
    <x v="0"/>
    <s v="OFF-EN-10001990"/>
    <x v="1"/>
    <x v="12"/>
    <x v="149"/>
    <n v="11.36"/>
  </r>
  <r>
    <n v="765"/>
    <s v="CA-2015-162775"/>
    <d v="2015-01-13T00:00:00"/>
    <x v="303"/>
    <s v="SLOW"/>
    <s v="Second Class"/>
    <s v="CS-12250"/>
    <s v="Chris Selesnick"/>
    <x v="1"/>
    <s v="United States"/>
    <s v="Bossier City"/>
    <x v="28"/>
    <n v="71111"/>
    <x v="0"/>
    <s v="OFF-EN-10001532"/>
    <x v="1"/>
    <x v="12"/>
    <x v="606"/>
    <n v="50.94"/>
  </r>
  <r>
    <n v="766"/>
    <s v="CA-2015-162775"/>
    <d v="2015-01-13T00:00:00"/>
    <x v="303"/>
    <s v="SLOW"/>
    <s v="Second Class"/>
    <s v="CS-12250"/>
    <s v="Chris Selesnick"/>
    <x v="1"/>
    <s v="United States"/>
    <s v="Bossier City"/>
    <x v="28"/>
    <n v="71111"/>
    <x v="0"/>
    <s v="TEC-AC-10003174"/>
    <x v="2"/>
    <x v="11"/>
    <x v="607"/>
    <n v="646.74"/>
  </r>
  <r>
    <n v="768"/>
    <s v="CA-2015-162775"/>
    <d v="2015-01-13T00:00:00"/>
    <x v="303"/>
    <s v="SLOW"/>
    <s v="Second Class"/>
    <s v="CS-12250"/>
    <s v="Chris Selesnick"/>
    <x v="1"/>
    <s v="United States"/>
    <s v="Bossier City"/>
    <x v="28"/>
    <n v="71111"/>
    <x v="0"/>
    <s v="OFF-ST-10000025"/>
    <x v="1"/>
    <x v="4"/>
    <x v="608"/>
    <n v="572.58000000000004"/>
  </r>
  <r>
    <n v="769"/>
    <s v="CA-2015-106810"/>
    <d v="2015-05-14T00:00:00"/>
    <x v="304"/>
    <s v="FAST"/>
    <s v="Standard Class"/>
    <s v="AJ-10795"/>
    <s v="Anthony Johnson"/>
    <x v="1"/>
    <s v="United States"/>
    <s v="Saint Petersburg"/>
    <x v="2"/>
    <n v="33710"/>
    <x v="0"/>
    <s v="FUR-FU-10004306"/>
    <x v="0"/>
    <x v="5"/>
    <x v="609"/>
    <n v="310.88"/>
  </r>
  <r>
    <n v="770"/>
    <s v="CA-2017-157245"/>
    <d v="2017-05-19T00:00:00"/>
    <x v="305"/>
    <s v="FAST"/>
    <s v="Standard Class"/>
    <s v="LE-16810"/>
    <s v="Laurel Elliston"/>
    <x v="0"/>
    <s v="United States"/>
    <s v="Arlington"/>
    <x v="17"/>
    <n v="22204"/>
    <x v="0"/>
    <s v="FUR-CH-10003746"/>
    <x v="0"/>
    <x v="1"/>
    <x v="610"/>
    <n v="641.96"/>
  </r>
  <r>
    <n v="771"/>
    <s v="CA-2018-104220"/>
    <d v="2018-01-30T00:00:00"/>
    <x v="59"/>
    <s v="FAST"/>
    <s v="Standard Class"/>
    <s v="BV-11245"/>
    <s v="Benjamin Venier"/>
    <x v="1"/>
    <s v="United States"/>
    <s v="Des Moines"/>
    <x v="23"/>
    <n v="50315"/>
    <x v="2"/>
    <s v="OFF-BI-10001036"/>
    <x v="1"/>
    <x v="8"/>
    <x v="611"/>
    <n v="18.28"/>
  </r>
  <r>
    <n v="772"/>
    <s v="CA-2018-104220"/>
    <d v="2018-01-30T00:00:00"/>
    <x v="59"/>
    <s v="FAST"/>
    <s v="Standard Class"/>
    <s v="BV-11245"/>
    <s v="Benjamin Venier"/>
    <x v="1"/>
    <s v="United States"/>
    <s v="Des Moines"/>
    <x v="23"/>
    <n v="50315"/>
    <x v="2"/>
    <s v="TEC-PH-10004614"/>
    <x v="2"/>
    <x v="7"/>
    <x v="297"/>
    <n v="207"/>
  </r>
  <r>
    <n v="773"/>
    <s v="CA-2018-104220"/>
    <d v="2018-01-30T00:00:00"/>
    <x v="59"/>
    <s v="FAST"/>
    <s v="Standard Class"/>
    <s v="BV-11245"/>
    <s v="Benjamin Venier"/>
    <x v="1"/>
    <s v="United States"/>
    <s v="Des Moines"/>
    <x v="23"/>
    <n v="50315"/>
    <x v="2"/>
    <s v="OFF-BI-10000301"/>
    <x v="1"/>
    <x v="8"/>
    <x v="612"/>
    <n v="32.35"/>
  </r>
  <r>
    <n v="774"/>
    <s v="CA-2018-104220"/>
    <d v="2018-01-30T00:00:00"/>
    <x v="59"/>
    <s v="FAST"/>
    <s v="Standard Class"/>
    <s v="BV-11245"/>
    <s v="Benjamin Venier"/>
    <x v="1"/>
    <s v="United States"/>
    <s v="Des Moines"/>
    <x v="23"/>
    <n v="50315"/>
    <x v="2"/>
    <s v="OFF-BI-10003910"/>
    <x v="1"/>
    <x v="8"/>
    <x v="8"/>
    <n v="7.71"/>
  </r>
  <r>
    <n v="775"/>
    <s v="CA-2018-104220"/>
    <d v="2018-01-30T00:00:00"/>
    <x v="59"/>
    <s v="FAST"/>
    <s v="Standard Class"/>
    <s v="BV-11245"/>
    <s v="Benjamin Venier"/>
    <x v="1"/>
    <s v="United States"/>
    <s v="Des Moines"/>
    <x v="23"/>
    <n v="50315"/>
    <x v="2"/>
    <s v="OFF-AR-10004648"/>
    <x v="1"/>
    <x v="6"/>
    <x v="613"/>
    <n v="40.299999999999997"/>
  </r>
  <r>
    <n v="776"/>
    <s v="CA-2018-104220"/>
    <d v="2018-01-30T00:00:00"/>
    <x v="59"/>
    <s v="FAST"/>
    <s v="Standard Class"/>
    <s v="BV-11245"/>
    <s v="Benjamin Venier"/>
    <x v="1"/>
    <s v="United States"/>
    <s v="Des Moines"/>
    <x v="23"/>
    <n v="50315"/>
    <x v="2"/>
    <s v="FUR-FU-10002597"/>
    <x v="0"/>
    <x v="5"/>
    <x v="614"/>
    <n v="34.58"/>
  </r>
  <r>
    <n v="777"/>
    <s v="CA-2015-165974"/>
    <d v="2015-06-29T00:00:00"/>
    <x v="285"/>
    <s v="FAST"/>
    <s v="Standard Class"/>
    <s v="DL-12865"/>
    <s v="Dan Lawera"/>
    <x v="0"/>
    <s v="United States"/>
    <s v="Cincinnati"/>
    <x v="24"/>
    <n v="45231"/>
    <x v="3"/>
    <s v="OFF-AR-10003405"/>
    <x v="1"/>
    <x v="6"/>
    <x v="615"/>
    <n v="32.76"/>
  </r>
  <r>
    <n v="778"/>
    <s v="CA-2016-144267"/>
    <d v="2016-08-21T00:00:00"/>
    <x v="306"/>
    <s v="MODERATE"/>
    <s v="First Class"/>
    <s v="NZ-18565"/>
    <s v="Nick Zandusky"/>
    <x v="2"/>
    <s v="United States"/>
    <s v="San Francisco"/>
    <x v="1"/>
    <n v="94110"/>
    <x v="1"/>
    <s v="FUR-CH-10002335"/>
    <x v="0"/>
    <x v="1"/>
    <x v="616"/>
    <n v="544.00800000000004"/>
  </r>
  <r>
    <n v="779"/>
    <s v="CA-2016-144267"/>
    <d v="2016-08-21T00:00:00"/>
    <x v="306"/>
    <s v="MODERATE"/>
    <s v="First Class"/>
    <s v="NZ-18565"/>
    <s v="Nick Zandusky"/>
    <x v="2"/>
    <s v="United States"/>
    <s v="San Francisco"/>
    <x v="1"/>
    <n v="94110"/>
    <x v="1"/>
    <s v="OFF-PA-10000157"/>
    <x v="1"/>
    <x v="10"/>
    <x v="361"/>
    <n v="59.94"/>
  </r>
  <r>
    <n v="780"/>
    <s v="CA-2016-144267"/>
    <d v="2016-08-21T00:00:00"/>
    <x v="306"/>
    <s v="MODERATE"/>
    <s v="First Class"/>
    <s v="NZ-18565"/>
    <s v="Nick Zandusky"/>
    <x v="2"/>
    <s v="United States"/>
    <s v="San Francisco"/>
    <x v="1"/>
    <n v="94110"/>
    <x v="1"/>
    <s v="OFF-PA-10001947"/>
    <x v="1"/>
    <x v="10"/>
    <x v="350"/>
    <n v="23.92"/>
  </r>
  <r>
    <n v="781"/>
    <s v="CA-2016-144267"/>
    <d v="2016-08-21T00:00:00"/>
    <x v="306"/>
    <s v="MODERATE"/>
    <s v="First Class"/>
    <s v="NZ-18565"/>
    <s v="Nick Zandusky"/>
    <x v="2"/>
    <s v="United States"/>
    <s v="San Francisco"/>
    <x v="1"/>
    <n v="94110"/>
    <x v="1"/>
    <s v="OFF-PA-10003657"/>
    <x v="1"/>
    <x v="10"/>
    <x v="617"/>
    <n v="4.28"/>
  </r>
  <r>
    <n v="782"/>
    <s v="US-2016-157014"/>
    <d v="2016-10-03T00:00:00"/>
    <x v="307"/>
    <s v="SLOW"/>
    <s v="Second Class"/>
    <s v="BM-11785"/>
    <s v="Bryan Mills"/>
    <x v="0"/>
    <s v="United States"/>
    <s v="Columbus"/>
    <x v="24"/>
    <n v="43229"/>
    <x v="3"/>
    <s v="OFF-BI-10001098"/>
    <x v="1"/>
    <x v="8"/>
    <x v="400"/>
    <n v="32.07"/>
  </r>
  <r>
    <n v="783"/>
    <s v="US-2016-157014"/>
    <d v="2016-10-03T00:00:00"/>
    <x v="307"/>
    <s v="SLOW"/>
    <s v="Second Class"/>
    <s v="BM-11785"/>
    <s v="Bryan Mills"/>
    <x v="0"/>
    <s v="United States"/>
    <s v="Columbus"/>
    <x v="24"/>
    <n v="43229"/>
    <x v="3"/>
    <s v="TEC-AC-10002167"/>
    <x v="2"/>
    <x v="11"/>
    <x v="45"/>
    <n v="24"/>
  </r>
  <r>
    <n v="784"/>
    <s v="US-2016-157014"/>
    <d v="2016-10-03T00:00:00"/>
    <x v="307"/>
    <s v="SLOW"/>
    <s v="Second Class"/>
    <s v="BM-11785"/>
    <s v="Bryan Mills"/>
    <x v="0"/>
    <s v="United States"/>
    <s v="Columbus"/>
    <x v="24"/>
    <n v="43229"/>
    <x v="3"/>
    <s v="FUR-BO-10004409"/>
    <x v="0"/>
    <x v="0"/>
    <x v="618"/>
    <n v="35.49"/>
  </r>
  <r>
    <n v="785"/>
    <s v="US-2016-157014"/>
    <d v="2016-10-03T00:00:00"/>
    <x v="307"/>
    <s v="SLOW"/>
    <s v="Second Class"/>
    <s v="BM-11785"/>
    <s v="Bryan Mills"/>
    <x v="0"/>
    <s v="United States"/>
    <s v="Columbus"/>
    <x v="24"/>
    <n v="43229"/>
    <x v="3"/>
    <s v="TEC-AC-10000057"/>
    <x v="2"/>
    <x v="11"/>
    <x v="619"/>
    <n v="47.984000000000002"/>
  </r>
  <r>
    <n v="786"/>
    <s v="CA-2016-154921"/>
    <d v="2016-05-23T00:00:00"/>
    <x v="308"/>
    <s v="FAST"/>
    <s v="Standard Class"/>
    <s v="EA-14035"/>
    <s v="Erin Ashbrook"/>
    <x v="1"/>
    <s v="United States"/>
    <s v="Columbia"/>
    <x v="20"/>
    <n v="29203"/>
    <x v="0"/>
    <s v="OFF-EN-10000056"/>
    <x v="1"/>
    <x v="12"/>
    <x v="620"/>
    <n v="186.69"/>
  </r>
  <r>
    <n v="787"/>
    <s v="CA-2018-129567"/>
    <d v="2018-03-17T00:00:00"/>
    <x v="309"/>
    <s v="SLOW"/>
    <s v="Second Class"/>
    <s v="CL-12565"/>
    <s v="Clay Ludtke"/>
    <x v="0"/>
    <s v="United States"/>
    <s v="Lancaster"/>
    <x v="1"/>
    <n v="93534"/>
    <x v="1"/>
    <s v="OFF-BI-10000014"/>
    <x v="1"/>
    <x v="8"/>
    <x v="621"/>
    <n v="17.456"/>
  </r>
  <r>
    <n v="788"/>
    <s v="CA-2016-154620"/>
    <d v="2016-12-12T00:00:00"/>
    <x v="310"/>
    <s v="FAST"/>
    <s v="Standard Class"/>
    <s v="LT-17110"/>
    <s v="Liz Thompson"/>
    <x v="0"/>
    <s v="United States"/>
    <s v="Lancaster"/>
    <x v="1"/>
    <n v="93534"/>
    <x v="1"/>
    <s v="FUR-CH-10004675"/>
    <x v="0"/>
    <x v="1"/>
    <x v="622"/>
    <n v="348.928"/>
  </r>
  <r>
    <n v="789"/>
    <s v="CA-2016-115938"/>
    <d v="2016-06-26T00:00:00"/>
    <x v="311"/>
    <s v="FAST"/>
    <s v="Standard Class"/>
    <s v="SA-20830"/>
    <s v="Sue Ann Reed"/>
    <x v="0"/>
    <s v="United States"/>
    <s v="Richmond"/>
    <x v="17"/>
    <n v="23223"/>
    <x v="0"/>
    <s v="OFF-BI-10001543"/>
    <x v="1"/>
    <x v="8"/>
    <x v="372"/>
    <n v="143.96"/>
  </r>
  <r>
    <n v="790"/>
    <s v="CA-2016-115938"/>
    <d v="2016-06-26T00:00:00"/>
    <x v="311"/>
    <s v="FAST"/>
    <s v="Standard Class"/>
    <s v="SA-20830"/>
    <s v="Sue Ann Reed"/>
    <x v="0"/>
    <s v="United States"/>
    <s v="Richmond"/>
    <x v="17"/>
    <n v="23223"/>
    <x v="0"/>
    <s v="OFF-ST-10001321"/>
    <x v="1"/>
    <x v="4"/>
    <x v="411"/>
    <n v="15.42"/>
  </r>
  <r>
    <n v="791"/>
    <s v="CA-2016-115938"/>
    <d v="2016-06-26T00:00:00"/>
    <x v="311"/>
    <s v="FAST"/>
    <s v="Standard Class"/>
    <s v="SA-20830"/>
    <s v="Sue Ann Reed"/>
    <x v="0"/>
    <s v="United States"/>
    <s v="Richmond"/>
    <x v="17"/>
    <n v="23223"/>
    <x v="0"/>
    <s v="OFF-BI-10001132"/>
    <x v="1"/>
    <x v="8"/>
    <x v="623"/>
    <n v="43.04"/>
  </r>
  <r>
    <n v="792"/>
    <s v="CA-2016-115938"/>
    <d v="2016-06-26T00:00:00"/>
    <x v="311"/>
    <s v="FAST"/>
    <s v="Standard Class"/>
    <s v="SA-20830"/>
    <s v="Sue Ann Reed"/>
    <x v="0"/>
    <s v="United States"/>
    <s v="Richmond"/>
    <x v="17"/>
    <n v="23223"/>
    <x v="0"/>
    <s v="FUR-CH-10003199"/>
    <x v="0"/>
    <x v="1"/>
    <x v="624"/>
    <n v="332.94"/>
  </r>
  <r>
    <n v="793"/>
    <s v="CA-2017-105256"/>
    <d v="2017-05-20T00:00:00"/>
    <x v="312"/>
    <s v="MODERATE"/>
    <s v="Same Day"/>
    <s v="JK-15730"/>
    <s v="Joe Kamberova"/>
    <x v="0"/>
    <s v="United States"/>
    <s v="Asheville"/>
    <x v="3"/>
    <n v="28806"/>
    <x v="0"/>
    <s v="TEC-PH-10001530"/>
    <x v="2"/>
    <x v="7"/>
    <x v="625"/>
    <n v="1363.96"/>
  </r>
  <r>
    <n v="794"/>
    <s v="CA-2015-156433"/>
    <d v="2015-09-20T00:00:00"/>
    <x v="313"/>
    <s v="FAST"/>
    <s v="Standard Class"/>
    <s v="ES-14020"/>
    <s v="Erica Smith"/>
    <x v="0"/>
    <s v="United States"/>
    <s v="San Francisco"/>
    <x v="1"/>
    <n v="94110"/>
    <x v="1"/>
    <s v="OFF-LA-10001569"/>
    <x v="1"/>
    <x v="2"/>
    <x v="626"/>
    <n v="9.9600000000000009"/>
  </r>
  <r>
    <n v="795"/>
    <s v="CA-2015-156433"/>
    <d v="2015-09-20T00:00:00"/>
    <x v="313"/>
    <s v="FAST"/>
    <s v="Standard Class"/>
    <s v="ES-14020"/>
    <s v="Erica Smith"/>
    <x v="0"/>
    <s v="United States"/>
    <s v="San Francisco"/>
    <x v="1"/>
    <n v="94110"/>
    <x v="1"/>
    <s v="OFF-PA-10003724"/>
    <x v="1"/>
    <x v="10"/>
    <x v="354"/>
    <n v="21.72"/>
  </r>
  <r>
    <n v="796"/>
    <s v="CA-2018-151428"/>
    <d v="2018-09-21T00:00:00"/>
    <x v="254"/>
    <s v="FAST"/>
    <s v="Standard Class"/>
    <s v="RH-19495"/>
    <s v="Rick Hansen"/>
    <x v="0"/>
    <s v="United States"/>
    <s v="Rochester"/>
    <x v="11"/>
    <n v="55901"/>
    <x v="2"/>
    <s v="OFF-BI-10000546"/>
    <x v="1"/>
    <x v="8"/>
    <x v="602"/>
    <n v="20.16"/>
  </r>
  <r>
    <n v="797"/>
    <s v="CA-2016-124653"/>
    <d v="2016-12-24T00:00:00"/>
    <x v="314"/>
    <s v="MODERATE"/>
    <s v="First Class"/>
    <s v="DB-13120"/>
    <s v="David Bremer"/>
    <x v="1"/>
    <s v="United States"/>
    <s v="Rochester"/>
    <x v="15"/>
    <n v="14609"/>
    <x v="3"/>
    <s v="OFF-PA-10000176"/>
    <x v="1"/>
    <x v="10"/>
    <x v="627"/>
    <n v="132.79"/>
  </r>
  <r>
    <n v="798"/>
    <s v="CA-2016-124653"/>
    <d v="2016-12-24T00:00:00"/>
    <x v="314"/>
    <s v="MODERATE"/>
    <s v="First Class"/>
    <s v="DB-13120"/>
    <s v="David Bremer"/>
    <x v="1"/>
    <s v="United States"/>
    <s v="Rochester"/>
    <x v="15"/>
    <n v="14609"/>
    <x v="3"/>
    <s v="OFF-PA-10002365"/>
    <x v="1"/>
    <x v="10"/>
    <x v="12"/>
    <n v="12.96"/>
  </r>
  <r>
    <n v="799"/>
    <s v="CA-2016-124653"/>
    <d v="2016-12-24T00:00:00"/>
    <x v="314"/>
    <s v="MODERATE"/>
    <s v="First Class"/>
    <s v="DB-13120"/>
    <s v="David Bremer"/>
    <x v="1"/>
    <s v="United States"/>
    <s v="Rochester"/>
    <x v="15"/>
    <n v="14609"/>
    <x v="3"/>
    <s v="OFF-LA-10002271"/>
    <x v="1"/>
    <x v="2"/>
    <x v="628"/>
    <n v="21.56"/>
  </r>
  <r>
    <n v="800"/>
    <s v="CA-2016-101910"/>
    <d v="2016-11-27T00:00:00"/>
    <x v="252"/>
    <s v="FAST"/>
    <s v="Standard Class"/>
    <s v="CD-11920"/>
    <s v="Carlos Daly"/>
    <x v="0"/>
    <s v="United States"/>
    <s v="Lake Elsinore"/>
    <x v="1"/>
    <n v="92530"/>
    <x v="1"/>
    <s v="FUR-CH-10002647"/>
    <x v="0"/>
    <x v="1"/>
    <x v="465"/>
    <n v="283.92"/>
  </r>
  <r>
    <n v="801"/>
    <s v="CA-2018-105809"/>
    <d v="2018-02-20T00:00:00"/>
    <x v="315"/>
    <s v="MODERATE"/>
    <s v="First Class"/>
    <s v="HW-14935"/>
    <s v="Helen Wasserman"/>
    <x v="1"/>
    <s v="United States"/>
    <s v="San Diego"/>
    <x v="1"/>
    <n v="92105"/>
    <x v="1"/>
    <s v="FUR-FU-10004090"/>
    <x v="0"/>
    <x v="5"/>
    <x v="629"/>
    <n v="22.23"/>
  </r>
  <r>
    <n v="802"/>
    <s v="CA-2018-105809"/>
    <d v="2018-02-20T00:00:00"/>
    <x v="315"/>
    <s v="MODERATE"/>
    <s v="First Class"/>
    <s v="HW-14935"/>
    <s v="Helen Wasserman"/>
    <x v="1"/>
    <s v="United States"/>
    <s v="San Diego"/>
    <x v="1"/>
    <n v="92105"/>
    <x v="1"/>
    <s v="TEC-PH-10001580"/>
    <x v="2"/>
    <x v="7"/>
    <x v="229"/>
    <n v="215.96799999999999"/>
  </r>
  <r>
    <n v="803"/>
    <s v="CA-2017-136133"/>
    <d v="2017-08-18T00:00:00"/>
    <x v="316"/>
    <s v="SLOW"/>
    <s v="Second Class"/>
    <s v="HW-14935"/>
    <s v="Helen Wasserman"/>
    <x v="1"/>
    <s v="United States"/>
    <s v="New York City"/>
    <x v="15"/>
    <n v="10024"/>
    <x v="3"/>
    <s v="OFF-AP-10000576"/>
    <x v="1"/>
    <x v="9"/>
    <x v="630"/>
    <n v="355.32"/>
  </r>
  <r>
    <n v="804"/>
    <s v="CA-2017-115504"/>
    <d v="2017-03-12T00:00:00"/>
    <x v="317"/>
    <s v="FAST"/>
    <s v="Standard Class"/>
    <s v="MC-18130"/>
    <s v="Mike Caudle"/>
    <x v="1"/>
    <s v="United States"/>
    <s v="Monroe"/>
    <x v="28"/>
    <n v="71203"/>
    <x v="0"/>
    <s v="OFF-PA-10003953"/>
    <x v="1"/>
    <x v="10"/>
    <x v="631"/>
    <n v="12.96"/>
  </r>
  <r>
    <n v="805"/>
    <s v="CA-2018-135783"/>
    <d v="2018-04-22T00:00:00"/>
    <x v="318"/>
    <s v="MODERATE"/>
    <s v="First Class"/>
    <s v="GM-14440"/>
    <s v="Gary McGarr"/>
    <x v="0"/>
    <s v="United States"/>
    <s v="San Francisco"/>
    <x v="1"/>
    <n v="94122"/>
    <x v="1"/>
    <s v="FUR-FU-10000794"/>
    <x v="0"/>
    <x v="5"/>
    <x v="632"/>
    <n v="18.28"/>
  </r>
  <r>
    <n v="806"/>
    <s v="CA-2015-134313"/>
    <d v="2015-11-01T00:00:00"/>
    <x v="319"/>
    <s v="FAST"/>
    <s v="Standard Class"/>
    <s v="RA-19915"/>
    <s v="Russell Applegate"/>
    <x v="0"/>
    <s v="United States"/>
    <s v="Denver"/>
    <x v="22"/>
    <n v="80219"/>
    <x v="1"/>
    <s v="OFF-AR-10001897"/>
    <x v="1"/>
    <x v="6"/>
    <x v="633"/>
    <n v="43.176000000000002"/>
  </r>
  <r>
    <n v="807"/>
    <s v="CA-2015-134313"/>
    <d v="2015-11-01T00:00:00"/>
    <x v="319"/>
    <s v="FAST"/>
    <s v="Standard Class"/>
    <s v="RA-19915"/>
    <s v="Russell Applegate"/>
    <x v="0"/>
    <s v="United States"/>
    <s v="Denver"/>
    <x v="22"/>
    <n v="80219"/>
    <x v="1"/>
    <s v="TEC-PH-10001795"/>
    <x v="2"/>
    <x v="7"/>
    <x v="634"/>
    <n v="1983.9680000000001"/>
  </r>
  <r>
    <n v="808"/>
    <s v="CA-2016-140921"/>
    <d v="2016-02-03T00:00:00"/>
    <x v="43"/>
    <s v="MODERATE"/>
    <s v="First Class"/>
    <s v="AA-10375"/>
    <s v="Allen Armold"/>
    <x v="0"/>
    <s v="United States"/>
    <s v="Omaha"/>
    <x v="8"/>
    <n v="68104"/>
    <x v="2"/>
    <s v="FUR-FU-10003347"/>
    <x v="0"/>
    <x v="5"/>
    <x v="371"/>
    <n v="28.4"/>
  </r>
  <r>
    <n v="809"/>
    <s v="CA-2016-140921"/>
    <d v="2016-02-03T00:00:00"/>
    <x v="43"/>
    <s v="MODERATE"/>
    <s v="First Class"/>
    <s v="AA-10375"/>
    <s v="Allen Armold"/>
    <x v="0"/>
    <s v="United States"/>
    <s v="Omaha"/>
    <x v="8"/>
    <n v="68104"/>
    <x v="2"/>
    <s v="TEC-AC-10004901"/>
    <x v="2"/>
    <x v="11"/>
    <x v="635"/>
    <n v="149.97"/>
  </r>
  <r>
    <n v="810"/>
    <s v="CA-2015-151995"/>
    <d v="2015-10-13T00:00:00"/>
    <x v="320"/>
    <s v="MODERATE"/>
    <s v="First Class"/>
    <s v="ZC-21910"/>
    <s v="Zuschuss Carroll"/>
    <x v="0"/>
    <s v="United States"/>
    <s v="Edmonds"/>
    <x v="4"/>
    <n v="98026"/>
    <x v="1"/>
    <s v="OFF-AR-10003190"/>
    <x v="1"/>
    <x v="6"/>
    <x v="636"/>
    <n v="11.52"/>
  </r>
  <r>
    <n v="811"/>
    <s v="CA-2015-151995"/>
    <d v="2015-10-13T00:00:00"/>
    <x v="320"/>
    <s v="MODERATE"/>
    <s v="First Class"/>
    <s v="ZC-21910"/>
    <s v="Zuschuss Carroll"/>
    <x v="0"/>
    <s v="United States"/>
    <s v="Edmonds"/>
    <x v="4"/>
    <n v="98026"/>
    <x v="1"/>
    <s v="FUR-TA-10002903"/>
    <x v="0"/>
    <x v="3"/>
    <x v="253"/>
    <n v="1298.55"/>
  </r>
  <r>
    <n v="812"/>
    <s v="CA-2015-151995"/>
    <d v="2015-10-13T00:00:00"/>
    <x v="320"/>
    <s v="MODERATE"/>
    <s v="First Class"/>
    <s v="ZC-21910"/>
    <s v="Zuschuss Carroll"/>
    <x v="0"/>
    <s v="United States"/>
    <s v="Edmonds"/>
    <x v="4"/>
    <n v="98026"/>
    <x v="1"/>
    <s v="OFF-AP-10000240"/>
    <x v="1"/>
    <x v="9"/>
    <x v="637"/>
    <n v="213.92"/>
  </r>
  <r>
    <n v="813"/>
    <s v="CA-2015-151995"/>
    <d v="2015-10-13T00:00:00"/>
    <x v="320"/>
    <s v="MODERATE"/>
    <s v="First Class"/>
    <s v="ZC-21910"/>
    <s v="Zuschuss Carroll"/>
    <x v="0"/>
    <s v="United States"/>
    <s v="Edmonds"/>
    <x v="4"/>
    <n v="98026"/>
    <x v="1"/>
    <s v="TEC-AC-10001101"/>
    <x v="2"/>
    <x v="11"/>
    <x v="542"/>
    <n v="25.78"/>
  </r>
  <r>
    <n v="814"/>
    <s v="CA-2018-143686"/>
    <d v="2018-05-14T00:00:00"/>
    <x v="321"/>
    <s v="MODERATE"/>
    <s v="Same Day"/>
    <s v="PJ-19015"/>
    <s v="Pauline Johnson"/>
    <x v="0"/>
    <s v="United States"/>
    <s v="Santa Ana"/>
    <x v="1"/>
    <n v="92704"/>
    <x v="1"/>
    <s v="FUR-FU-10000794"/>
    <x v="0"/>
    <x v="5"/>
    <x v="632"/>
    <n v="18.28"/>
  </r>
  <r>
    <n v="815"/>
    <s v="CA-2018-143686"/>
    <d v="2018-05-14T00:00:00"/>
    <x v="321"/>
    <s v="MODERATE"/>
    <s v="Same Day"/>
    <s v="PJ-19015"/>
    <s v="Pauline Johnson"/>
    <x v="0"/>
    <s v="United States"/>
    <s v="Santa Ana"/>
    <x v="1"/>
    <n v="92704"/>
    <x v="1"/>
    <s v="TEC-AC-10001838"/>
    <x v="2"/>
    <x v="11"/>
    <x v="638"/>
    <n v="1399.93"/>
  </r>
  <r>
    <n v="816"/>
    <s v="CA-2016-106565"/>
    <d v="2016-03-20T00:00:00"/>
    <x v="322"/>
    <s v="MODERATE"/>
    <s v="First Class"/>
    <s v="BW-11110"/>
    <s v="Bart Watters"/>
    <x v="1"/>
    <s v="United States"/>
    <s v="Milwaukee"/>
    <x v="6"/>
    <n v="53209"/>
    <x v="2"/>
    <s v="OFF-PA-10000061"/>
    <x v="1"/>
    <x v="10"/>
    <x v="177"/>
    <n v="51.84"/>
  </r>
  <r>
    <n v="817"/>
    <s v="CA-2017-149370"/>
    <d v="2017-09-15T00:00:00"/>
    <x v="267"/>
    <s v="FAST"/>
    <s v="Standard Class"/>
    <s v="DB-13210"/>
    <s v="Dean Braden"/>
    <x v="0"/>
    <s v="United States"/>
    <s v="Philadelphia"/>
    <x v="9"/>
    <n v="19140"/>
    <x v="3"/>
    <s v="OFF-PA-10003651"/>
    <x v="1"/>
    <x v="10"/>
    <x v="639"/>
    <n v="5.3440000000000003"/>
  </r>
  <r>
    <n v="818"/>
    <s v="CA-2015-140858"/>
    <d v="2015-06-28T00:00:00"/>
    <x v="323"/>
    <s v="FAST"/>
    <s v="Standard Class"/>
    <s v="CA-12775"/>
    <s v="Cynthia Arntzen"/>
    <x v="0"/>
    <s v="United States"/>
    <s v="Philadelphia"/>
    <x v="9"/>
    <n v="19140"/>
    <x v="3"/>
    <s v="OFF-PA-10000304"/>
    <x v="1"/>
    <x v="10"/>
    <x v="85"/>
    <n v="41.472000000000001"/>
  </r>
  <r>
    <n v="819"/>
    <s v="CA-2015-140858"/>
    <d v="2015-06-28T00:00:00"/>
    <x v="323"/>
    <s v="FAST"/>
    <s v="Standard Class"/>
    <s v="CA-12775"/>
    <s v="Cynthia Arntzen"/>
    <x v="0"/>
    <s v="United States"/>
    <s v="Philadelphia"/>
    <x v="9"/>
    <n v="19140"/>
    <x v="3"/>
    <s v="OFF-BI-10003094"/>
    <x v="1"/>
    <x v="8"/>
    <x v="640"/>
    <n v="3.1680000000000001"/>
  </r>
  <r>
    <n v="820"/>
    <s v="CA-2015-140858"/>
    <d v="2015-06-28T00:00:00"/>
    <x v="323"/>
    <s v="FAST"/>
    <s v="Standard Class"/>
    <s v="CA-12775"/>
    <s v="Cynthia Arntzen"/>
    <x v="0"/>
    <s v="United States"/>
    <s v="Philadelphia"/>
    <x v="9"/>
    <n v="19140"/>
    <x v="3"/>
    <s v="FUR-CH-10001394"/>
    <x v="0"/>
    <x v="1"/>
    <x v="641"/>
    <n v="1228.4649999999999"/>
  </r>
  <r>
    <n v="821"/>
    <s v="CA-2015-140858"/>
    <d v="2015-06-28T00:00:00"/>
    <x v="323"/>
    <s v="FAST"/>
    <s v="Standard Class"/>
    <s v="CA-12775"/>
    <s v="Cynthia Arntzen"/>
    <x v="0"/>
    <s v="United States"/>
    <s v="Philadelphia"/>
    <x v="9"/>
    <n v="19140"/>
    <x v="3"/>
    <s v="OFF-BI-10004230"/>
    <x v="1"/>
    <x v="8"/>
    <x v="642"/>
    <n v="31.085999999999999"/>
  </r>
  <r>
    <n v="822"/>
    <s v="CA-2015-140858"/>
    <d v="2015-06-28T00:00:00"/>
    <x v="323"/>
    <s v="FAST"/>
    <s v="Standard Class"/>
    <s v="CA-12775"/>
    <s v="Cynthia Arntzen"/>
    <x v="0"/>
    <s v="United States"/>
    <s v="Philadelphia"/>
    <x v="9"/>
    <n v="19140"/>
    <x v="3"/>
    <s v="OFF-PA-10003395"/>
    <x v="1"/>
    <x v="10"/>
    <x v="643"/>
    <n v="335.52"/>
  </r>
  <r>
    <n v="823"/>
    <s v="CA-2018-101434"/>
    <d v="2018-06-20T00:00:00"/>
    <x v="324"/>
    <s v="FAST"/>
    <s v="Standard Class"/>
    <s v="TR-21325"/>
    <s v="Toby Ritter"/>
    <x v="0"/>
    <s v="United States"/>
    <s v="Belleville"/>
    <x v="30"/>
    <n v="7109"/>
    <x v="3"/>
    <s v="TEC-AC-10002402"/>
    <x v="2"/>
    <x v="11"/>
    <x v="644"/>
    <n v="239.97"/>
  </r>
  <r>
    <n v="824"/>
    <s v="CA-2018-101434"/>
    <d v="2018-06-20T00:00:00"/>
    <x v="324"/>
    <s v="FAST"/>
    <s v="Standard Class"/>
    <s v="TR-21325"/>
    <s v="Toby Ritter"/>
    <x v="0"/>
    <s v="United States"/>
    <s v="Belleville"/>
    <x v="30"/>
    <n v="7109"/>
    <x v="3"/>
    <s v="OFF-LA-10003223"/>
    <x v="1"/>
    <x v="2"/>
    <x v="595"/>
    <n v="9.82"/>
  </r>
  <r>
    <n v="825"/>
    <s v="US-2015-102071"/>
    <d v="2015-05-09T00:00:00"/>
    <x v="8"/>
    <s v="FAST"/>
    <s v="Standard Class"/>
    <s v="PG-18820"/>
    <s v="Patrick Gardner"/>
    <x v="0"/>
    <s v="United States"/>
    <s v="San Francisco"/>
    <x v="1"/>
    <n v="94110"/>
    <x v="1"/>
    <s v="TEC-AC-10003441"/>
    <x v="2"/>
    <x v="11"/>
    <x v="645"/>
    <n v="67.8"/>
  </r>
  <r>
    <n v="826"/>
    <s v="US-2015-102071"/>
    <d v="2015-05-09T00:00:00"/>
    <x v="8"/>
    <s v="FAST"/>
    <s v="Standard Class"/>
    <s v="PG-18820"/>
    <s v="Patrick Gardner"/>
    <x v="0"/>
    <s v="United States"/>
    <s v="San Francisco"/>
    <x v="1"/>
    <n v="94110"/>
    <x v="1"/>
    <s v="TEC-AC-10000109"/>
    <x v="2"/>
    <x v="11"/>
    <x v="197"/>
    <n v="167.97"/>
  </r>
  <r>
    <n v="827"/>
    <s v="CA-2018-126956"/>
    <d v="2018-08-21T00:00:00"/>
    <x v="325"/>
    <s v="FAST"/>
    <s v="Standard Class"/>
    <s v="GT-14710"/>
    <s v="Greg Tran"/>
    <x v="0"/>
    <s v="United States"/>
    <s v="Lakeville"/>
    <x v="11"/>
    <n v="55044"/>
    <x v="2"/>
    <s v="OFF-FA-10002280"/>
    <x v="1"/>
    <x v="13"/>
    <x v="646"/>
    <n v="35"/>
  </r>
  <r>
    <n v="828"/>
    <s v="CA-2018-126956"/>
    <d v="2018-08-21T00:00:00"/>
    <x v="325"/>
    <s v="FAST"/>
    <s v="Standard Class"/>
    <s v="GT-14710"/>
    <s v="Greg Tran"/>
    <x v="0"/>
    <s v="United States"/>
    <s v="Lakeville"/>
    <x v="11"/>
    <n v="55044"/>
    <x v="2"/>
    <s v="OFF-SU-10000381"/>
    <x v="1"/>
    <x v="14"/>
    <x v="647"/>
    <n v="37.24"/>
  </r>
  <r>
    <n v="829"/>
    <s v="CA-2018-126956"/>
    <d v="2018-08-21T00:00:00"/>
    <x v="325"/>
    <s v="FAST"/>
    <s v="Standard Class"/>
    <s v="GT-14710"/>
    <s v="Greg Tran"/>
    <x v="0"/>
    <s v="United States"/>
    <s v="Lakeville"/>
    <x v="11"/>
    <n v="55044"/>
    <x v="2"/>
    <s v="OFF-EN-10004459"/>
    <x v="1"/>
    <x v="12"/>
    <x v="648"/>
    <n v="15.28"/>
  </r>
  <r>
    <n v="830"/>
    <s v="CA-2018-129462"/>
    <d v="2018-06-16T00:00:00"/>
    <x v="326"/>
    <s v="SLOW"/>
    <s v="Second Class"/>
    <s v="JE-15745"/>
    <s v="Joel Eaton"/>
    <x v="0"/>
    <s v="United States"/>
    <s v="Florence"/>
    <x v="0"/>
    <n v="41042"/>
    <x v="0"/>
    <s v="FUR-CH-10000665"/>
    <x v="0"/>
    <x v="1"/>
    <x v="649"/>
    <n v="301.95999999999998"/>
  </r>
  <r>
    <n v="831"/>
    <s v="CA-2018-129462"/>
    <d v="2018-06-16T00:00:00"/>
    <x v="326"/>
    <s v="SLOW"/>
    <s v="Second Class"/>
    <s v="JE-15745"/>
    <s v="Joel Eaton"/>
    <x v="0"/>
    <s v="United States"/>
    <s v="Florence"/>
    <x v="0"/>
    <n v="41042"/>
    <x v="0"/>
    <s v="OFF-AP-10003884"/>
    <x v="1"/>
    <x v="9"/>
    <x v="650"/>
    <n v="180.66"/>
  </r>
  <r>
    <n v="832"/>
    <s v="CA-2018-129462"/>
    <d v="2018-06-16T00:00:00"/>
    <x v="326"/>
    <s v="SLOW"/>
    <s v="Second Class"/>
    <s v="JE-15745"/>
    <s v="Joel Eaton"/>
    <x v="0"/>
    <s v="United States"/>
    <s v="Florence"/>
    <x v="0"/>
    <n v="41042"/>
    <x v="0"/>
    <s v="TEC-PH-10001557"/>
    <x v="2"/>
    <x v="7"/>
    <x v="651"/>
    <n v="191.98"/>
  </r>
  <r>
    <n v="833"/>
    <s v="CA-2018-129462"/>
    <d v="2018-06-16T00:00:00"/>
    <x v="326"/>
    <s v="SLOW"/>
    <s v="Second Class"/>
    <s v="JE-15745"/>
    <s v="Joel Eaton"/>
    <x v="0"/>
    <s v="United States"/>
    <s v="Florence"/>
    <x v="0"/>
    <n v="41042"/>
    <x v="0"/>
    <s v="TEC-PH-10002085"/>
    <x v="2"/>
    <x v="7"/>
    <x v="652"/>
    <n v="65.989999999999995"/>
  </r>
  <r>
    <n v="834"/>
    <s v="CA-2017-165316"/>
    <d v="2017-07-23T00:00:00"/>
    <x v="327"/>
    <s v="FAST"/>
    <s v="Standard Class"/>
    <s v="JB-15400"/>
    <s v="Jennifer Braxton"/>
    <x v="1"/>
    <s v="United States"/>
    <s v="Tampa"/>
    <x v="2"/>
    <n v="33614"/>
    <x v="0"/>
    <s v="OFF-AR-10002956"/>
    <x v="1"/>
    <x v="6"/>
    <x v="653"/>
    <n v="35.216000000000001"/>
  </r>
  <r>
    <n v="835"/>
    <s v="CA-2017-165316"/>
    <d v="2017-07-23T00:00:00"/>
    <x v="327"/>
    <s v="FAST"/>
    <s v="Standard Class"/>
    <s v="JB-15400"/>
    <s v="Jennifer Braxton"/>
    <x v="1"/>
    <s v="United States"/>
    <s v="Tampa"/>
    <x v="2"/>
    <n v="33614"/>
    <x v="0"/>
    <s v="OFF-AP-10003266"/>
    <x v="1"/>
    <x v="9"/>
    <x v="654"/>
    <n v="23.696000000000002"/>
  </r>
  <r>
    <n v="836"/>
    <s v="CA-2017-165316"/>
    <d v="2017-07-23T00:00:00"/>
    <x v="327"/>
    <s v="FAST"/>
    <s v="Standard Class"/>
    <s v="JB-15400"/>
    <s v="Jennifer Braxton"/>
    <x v="1"/>
    <s v="United States"/>
    <s v="Tampa"/>
    <x v="2"/>
    <n v="33614"/>
    <x v="0"/>
    <s v="TEC-MA-10004002"/>
    <x v="2"/>
    <x v="15"/>
    <x v="655"/>
    <n v="265.47500000000002"/>
  </r>
  <r>
    <n v="837"/>
    <s v="US-2015-115987"/>
    <d v="2015-09-08T00:00:00"/>
    <x v="177"/>
    <s v="SLOW"/>
    <s v="Second Class"/>
    <s v="LH-17020"/>
    <s v="Lisa Hazard"/>
    <x v="0"/>
    <s v="United States"/>
    <s v="Tyler"/>
    <x v="5"/>
    <n v="75701"/>
    <x v="2"/>
    <s v="OFF-BI-10001071"/>
    <x v="1"/>
    <x v="8"/>
    <x v="656"/>
    <n v="51.183999999999997"/>
  </r>
  <r>
    <n v="838"/>
    <s v="US-2018-156083"/>
    <d v="2018-11-04T00:00:00"/>
    <x v="328"/>
    <s v="FAST"/>
    <s v="Standard Class"/>
    <s v="JL-15175"/>
    <s v="James Lanier"/>
    <x v="2"/>
    <s v="United States"/>
    <s v="Columbia"/>
    <x v="18"/>
    <n v="38401"/>
    <x v="0"/>
    <s v="OFF-PA-10001560"/>
    <x v="1"/>
    <x v="10"/>
    <x v="657"/>
    <n v="9.6639999999999997"/>
  </r>
  <r>
    <n v="839"/>
    <s v="US-2017-137547"/>
    <d v="2017-03-07T00:00:00"/>
    <x v="329"/>
    <s v="FAST"/>
    <s v="Standard Class"/>
    <s v="EB-13705"/>
    <s v="Ed Braxton"/>
    <x v="1"/>
    <s v="United States"/>
    <s v="Fort Worth"/>
    <x v="5"/>
    <n v="76106"/>
    <x v="2"/>
    <s v="TEC-PH-10002365"/>
    <x v="2"/>
    <x v="7"/>
    <x v="394"/>
    <n v="21.071999999999999"/>
  </r>
  <r>
    <n v="840"/>
    <s v="CA-2016-100454"/>
    <d v="2016-11-20T00:00:00"/>
    <x v="330"/>
    <s v="FAST"/>
    <s v="Standard Class"/>
    <s v="BM-11650"/>
    <s v="Brian Moss"/>
    <x v="1"/>
    <s v="United States"/>
    <s v="New York City"/>
    <x v="15"/>
    <n v="10035"/>
    <x v="3"/>
    <s v="OFF-AR-10004648"/>
    <x v="1"/>
    <x v="6"/>
    <x v="613"/>
    <n v="60.45"/>
  </r>
  <r>
    <n v="841"/>
    <s v="CA-2016-100454"/>
    <d v="2016-11-20T00:00:00"/>
    <x v="330"/>
    <s v="FAST"/>
    <s v="Standard Class"/>
    <s v="BM-11650"/>
    <s v="Brian Moss"/>
    <x v="1"/>
    <s v="United States"/>
    <s v="New York City"/>
    <x v="15"/>
    <n v="10035"/>
    <x v="3"/>
    <s v="OFF-AR-10002578"/>
    <x v="1"/>
    <x v="6"/>
    <x v="658"/>
    <n v="11.52"/>
  </r>
  <r>
    <n v="842"/>
    <s v="CA-2016-100454"/>
    <d v="2016-11-20T00:00:00"/>
    <x v="330"/>
    <s v="FAST"/>
    <s v="Standard Class"/>
    <s v="BM-11650"/>
    <s v="Brian Moss"/>
    <x v="1"/>
    <s v="United States"/>
    <s v="New York City"/>
    <x v="15"/>
    <n v="10035"/>
    <x v="3"/>
    <s v="FUR-BO-10001519"/>
    <x v="0"/>
    <x v="0"/>
    <x v="659"/>
    <n v="186.048"/>
  </r>
  <r>
    <n v="843"/>
    <s v="CA-2017-161669"/>
    <d v="2017-11-07T00:00:00"/>
    <x v="331"/>
    <s v="MODERATE"/>
    <s v="First Class"/>
    <s v="EM-14095"/>
    <s v="Eudokia Martin"/>
    <x v="1"/>
    <s v="United States"/>
    <s v="Los Angeles"/>
    <x v="1"/>
    <n v="90036"/>
    <x v="1"/>
    <s v="OFF-BI-10001294"/>
    <x v="1"/>
    <x v="8"/>
    <x v="660"/>
    <n v="37.44"/>
  </r>
  <r>
    <n v="844"/>
    <s v="CA-2017-161669"/>
    <d v="2017-11-07T00:00:00"/>
    <x v="331"/>
    <s v="MODERATE"/>
    <s v="First Class"/>
    <s v="EM-14095"/>
    <s v="Eudokia Martin"/>
    <x v="1"/>
    <s v="United States"/>
    <s v="Los Angeles"/>
    <x v="1"/>
    <n v="90036"/>
    <x v="1"/>
    <s v="OFF-BI-10001636"/>
    <x v="1"/>
    <x v="8"/>
    <x v="661"/>
    <n v="26.975999999999999"/>
  </r>
  <r>
    <n v="845"/>
    <s v="CA-2017-161669"/>
    <d v="2017-11-07T00:00:00"/>
    <x v="331"/>
    <s v="MODERATE"/>
    <s v="First Class"/>
    <s v="EM-14095"/>
    <s v="Eudokia Martin"/>
    <x v="1"/>
    <s v="United States"/>
    <s v="Los Angeles"/>
    <x v="1"/>
    <n v="90036"/>
    <x v="1"/>
    <s v="OFF-SU-10002503"/>
    <x v="1"/>
    <x v="14"/>
    <x v="662"/>
    <n v="11.36"/>
  </r>
  <r>
    <n v="846"/>
    <s v="CA-2017-161669"/>
    <d v="2017-11-07T00:00:00"/>
    <x v="331"/>
    <s v="MODERATE"/>
    <s v="First Class"/>
    <s v="EM-14095"/>
    <s v="Eudokia Martin"/>
    <x v="1"/>
    <s v="United States"/>
    <s v="Los Angeles"/>
    <x v="1"/>
    <n v="90036"/>
    <x v="1"/>
    <s v="OFF-LA-10004093"/>
    <x v="1"/>
    <x v="2"/>
    <x v="663"/>
    <n v="14.62"/>
  </r>
  <r>
    <n v="847"/>
    <s v="CA-2016-114300"/>
    <d v="2016-10-13T00:00:00"/>
    <x v="332"/>
    <s v="FAST"/>
    <s v="Standard Class"/>
    <s v="AF-10885"/>
    <s v="Art Foster"/>
    <x v="0"/>
    <s v="United States"/>
    <s v="Louisville"/>
    <x v="0"/>
    <n v="40214"/>
    <x v="0"/>
    <s v="TEC-PH-10001552"/>
    <x v="2"/>
    <x v="7"/>
    <x v="176"/>
    <n v="83.72"/>
  </r>
  <r>
    <n v="848"/>
    <s v="CA-2016-114300"/>
    <d v="2016-10-13T00:00:00"/>
    <x v="332"/>
    <s v="FAST"/>
    <s v="Standard Class"/>
    <s v="AF-10885"/>
    <s v="Art Foster"/>
    <x v="0"/>
    <s v="United States"/>
    <s v="Louisville"/>
    <x v="0"/>
    <n v="40214"/>
    <x v="0"/>
    <s v="FUR-CH-10001891"/>
    <x v="0"/>
    <x v="1"/>
    <x v="263"/>
    <n v="287.94"/>
  </r>
  <r>
    <n v="849"/>
    <s v="CA-2018-107503"/>
    <d v="2018-01-01T00:00:00"/>
    <x v="333"/>
    <s v="FAST"/>
    <s v="Standard Class"/>
    <s v="GA-14725"/>
    <s v="Guy Armstrong"/>
    <x v="0"/>
    <s v="United States"/>
    <s v="Lorain"/>
    <x v="24"/>
    <n v="44052"/>
    <x v="3"/>
    <s v="FUR-FU-10003878"/>
    <x v="0"/>
    <x v="5"/>
    <x v="664"/>
    <n v="48.896000000000001"/>
  </r>
  <r>
    <n v="850"/>
    <s v="CA-2015-107755"/>
    <d v="2015-02-07T00:00:00"/>
    <x v="334"/>
    <s v="FAST"/>
    <s v="Standard Class"/>
    <s v="CK-12760"/>
    <s v="Cyma Kinney"/>
    <x v="1"/>
    <s v="United States"/>
    <s v="Linden"/>
    <x v="30"/>
    <n v="7036"/>
    <x v="3"/>
    <s v="TEC-AC-10000710"/>
    <x v="2"/>
    <x v="11"/>
    <x v="665"/>
    <n v="115.36"/>
  </r>
  <r>
    <n v="851"/>
    <s v="CA-2017-152534"/>
    <d v="2017-06-20T00:00:00"/>
    <x v="22"/>
    <s v="SLOW"/>
    <s v="Second Class"/>
    <s v="DP-13105"/>
    <s v="Dave Poirier"/>
    <x v="1"/>
    <s v="United States"/>
    <s v="Salinas"/>
    <x v="1"/>
    <n v="93905"/>
    <x v="1"/>
    <s v="OFF-AR-10002335"/>
    <x v="1"/>
    <x v="6"/>
    <x v="666"/>
    <n v="5.16"/>
  </r>
  <r>
    <n v="852"/>
    <s v="CA-2017-152534"/>
    <d v="2017-06-20T00:00:00"/>
    <x v="22"/>
    <s v="SLOW"/>
    <s v="Second Class"/>
    <s v="DP-13105"/>
    <s v="Dave Poirier"/>
    <x v="1"/>
    <s v="United States"/>
    <s v="Salinas"/>
    <x v="1"/>
    <n v="93905"/>
    <x v="1"/>
    <s v="OFF-PA-10001870"/>
    <x v="1"/>
    <x v="10"/>
    <x v="667"/>
    <n v="38.880000000000003"/>
  </r>
  <r>
    <n v="853"/>
    <s v="CA-2017-113747"/>
    <d v="2017-05-28T00:00:00"/>
    <x v="203"/>
    <s v="FAST"/>
    <s v="Standard Class"/>
    <s v="VD-21670"/>
    <s v="Valerie Dominguez"/>
    <x v="0"/>
    <s v="United States"/>
    <s v="Jackson"/>
    <x v="35"/>
    <n v="39212"/>
    <x v="0"/>
    <s v="OFF-AR-10003373"/>
    <x v="1"/>
    <x v="6"/>
    <x v="285"/>
    <n v="185.88"/>
  </r>
  <r>
    <n v="854"/>
    <s v="CA-2017-123274"/>
    <d v="2017-02-19T00:00:00"/>
    <x v="335"/>
    <s v="FAST"/>
    <s v="Standard Class"/>
    <s v="GT-14710"/>
    <s v="Greg Tran"/>
    <x v="0"/>
    <s v="United States"/>
    <s v="New York City"/>
    <x v="15"/>
    <n v="10035"/>
    <x v="3"/>
    <s v="FUR-FU-10004090"/>
    <x v="0"/>
    <x v="5"/>
    <x v="629"/>
    <n v="44.46"/>
  </r>
  <r>
    <n v="855"/>
    <s v="CA-2017-123274"/>
    <d v="2017-02-19T00:00:00"/>
    <x v="335"/>
    <s v="FAST"/>
    <s v="Standard Class"/>
    <s v="GT-14710"/>
    <s v="Greg Tran"/>
    <x v="0"/>
    <s v="United States"/>
    <s v="New York City"/>
    <x v="15"/>
    <n v="10035"/>
    <x v="3"/>
    <s v="OFF-ST-10000736"/>
    <x v="1"/>
    <x v="4"/>
    <x v="450"/>
    <n v="242.94"/>
  </r>
  <r>
    <n v="856"/>
    <s v="CA-2015-125612"/>
    <d v="2015-08-03T00:00:00"/>
    <x v="336"/>
    <s v="FAST"/>
    <s v="Standard Class"/>
    <s v="BK-11260"/>
    <s v="Berenike Kampe"/>
    <x v="0"/>
    <s v="United States"/>
    <s v="New York City"/>
    <x v="15"/>
    <n v="10035"/>
    <x v="3"/>
    <s v="OFF-PA-10001019"/>
    <x v="1"/>
    <x v="10"/>
    <x v="668"/>
    <n v="39.96"/>
  </r>
  <r>
    <n v="857"/>
    <s v="CA-2015-125612"/>
    <d v="2015-08-03T00:00:00"/>
    <x v="336"/>
    <s v="FAST"/>
    <s v="Standard Class"/>
    <s v="BK-11260"/>
    <s v="Berenike Kampe"/>
    <x v="0"/>
    <s v="United States"/>
    <s v="New York City"/>
    <x v="15"/>
    <n v="10035"/>
    <x v="3"/>
    <s v="OFF-SU-10002537"/>
    <x v="1"/>
    <x v="14"/>
    <x v="669"/>
    <n v="102.3"/>
  </r>
  <r>
    <n v="858"/>
    <s v="CA-2015-125612"/>
    <d v="2015-08-03T00:00:00"/>
    <x v="336"/>
    <s v="FAST"/>
    <s v="Standard Class"/>
    <s v="BK-11260"/>
    <s v="Berenike Kampe"/>
    <x v="0"/>
    <s v="United States"/>
    <s v="New York City"/>
    <x v="15"/>
    <n v="10035"/>
    <x v="3"/>
    <s v="OFF-ST-10003221"/>
    <x v="1"/>
    <x v="4"/>
    <x v="670"/>
    <n v="21.36"/>
  </r>
  <r>
    <n v="859"/>
    <s v="CA-2018-161984"/>
    <d v="2018-04-10T00:00:00"/>
    <x v="337"/>
    <s v="FAST"/>
    <s v="Standard Class"/>
    <s v="SJ-20125"/>
    <s v="Sanjit Jacobs"/>
    <x v="2"/>
    <s v="United States"/>
    <s v="New Brunswick"/>
    <x v="30"/>
    <n v="8901"/>
    <x v="3"/>
    <s v="OFF-PA-10004569"/>
    <x v="1"/>
    <x v="10"/>
    <x v="225"/>
    <n v="7.61"/>
  </r>
  <r>
    <n v="860"/>
    <s v="CA-2018-161984"/>
    <d v="2018-04-10T00:00:00"/>
    <x v="337"/>
    <s v="FAST"/>
    <s v="Standard Class"/>
    <s v="SJ-20125"/>
    <s v="Sanjit Jacobs"/>
    <x v="2"/>
    <s v="United States"/>
    <s v="New Brunswick"/>
    <x v="30"/>
    <n v="8901"/>
    <x v="3"/>
    <s v="OFF-FA-10000624"/>
    <x v="1"/>
    <x v="13"/>
    <x v="289"/>
    <n v="7.16"/>
  </r>
  <r>
    <n v="861"/>
    <s v="CA-2015-133851"/>
    <d v="2015-06-09T00:00:00"/>
    <x v="338"/>
    <s v="FAST"/>
    <s v="Standard Class"/>
    <s v="CM-12445"/>
    <s v="Chuck Magee"/>
    <x v="0"/>
    <s v="United States"/>
    <s v="San Francisco"/>
    <x v="1"/>
    <n v="94122"/>
    <x v="1"/>
    <s v="OFF-SU-10001225"/>
    <x v="1"/>
    <x v="14"/>
    <x v="321"/>
    <n v="7.36"/>
  </r>
  <r>
    <n v="862"/>
    <s v="CA-2015-133851"/>
    <d v="2015-06-09T00:00:00"/>
    <x v="338"/>
    <s v="FAST"/>
    <s v="Standard Class"/>
    <s v="CM-12445"/>
    <s v="Chuck Magee"/>
    <x v="0"/>
    <s v="United States"/>
    <s v="San Francisco"/>
    <x v="1"/>
    <n v="94122"/>
    <x v="1"/>
    <s v="OFF-AR-10003752"/>
    <x v="1"/>
    <x v="6"/>
    <x v="671"/>
    <n v="23.1"/>
  </r>
  <r>
    <n v="863"/>
    <s v="CA-2017-134474"/>
    <d v="2017-01-05T00:00:00"/>
    <x v="339"/>
    <s v="SLOW"/>
    <s v="Second Class"/>
    <s v="AJ-10795"/>
    <s v="Anthony Johnson"/>
    <x v="1"/>
    <s v="United States"/>
    <s v="Jacksonville"/>
    <x v="2"/>
    <n v="32216"/>
    <x v="0"/>
    <s v="TEC-AC-10001714"/>
    <x v="2"/>
    <x v="11"/>
    <x v="672"/>
    <n v="191.47200000000001"/>
  </r>
  <r>
    <n v="864"/>
    <s v="CA-2017-134474"/>
    <d v="2017-01-05T00:00:00"/>
    <x v="339"/>
    <s v="SLOW"/>
    <s v="Second Class"/>
    <s v="AJ-10795"/>
    <s v="Anthony Johnson"/>
    <x v="1"/>
    <s v="United States"/>
    <s v="Jacksonville"/>
    <x v="2"/>
    <n v="32216"/>
    <x v="0"/>
    <s v="OFF-AR-10003958"/>
    <x v="1"/>
    <x v="6"/>
    <x v="673"/>
    <n v="5.2480000000000002"/>
  </r>
  <r>
    <n v="865"/>
    <s v="CA-2017-134474"/>
    <d v="2017-01-05T00:00:00"/>
    <x v="339"/>
    <s v="SLOW"/>
    <s v="Second Class"/>
    <s v="AJ-10795"/>
    <s v="Anthony Johnson"/>
    <x v="1"/>
    <s v="United States"/>
    <s v="Jacksonville"/>
    <x v="2"/>
    <n v="32216"/>
    <x v="0"/>
    <s v="TEC-PH-10002923"/>
    <x v="2"/>
    <x v="7"/>
    <x v="674"/>
    <n v="59.183999999999997"/>
  </r>
  <r>
    <n v="866"/>
    <s v="CA-2015-149020"/>
    <d v="2015-01-10T00:00:00"/>
    <x v="303"/>
    <s v="FAST"/>
    <s v="Standard Class"/>
    <s v="AJ-10780"/>
    <s v="Anthony Jacobs"/>
    <x v="1"/>
    <s v="United States"/>
    <s v="Springfield"/>
    <x v="17"/>
    <n v="22153"/>
    <x v="0"/>
    <s v="OFF-LA-10004272"/>
    <x v="1"/>
    <x v="2"/>
    <x v="675"/>
    <n v="2.89"/>
  </r>
  <r>
    <n v="867"/>
    <s v="CA-2015-149020"/>
    <d v="2015-01-10T00:00:00"/>
    <x v="303"/>
    <s v="FAST"/>
    <s v="Standard Class"/>
    <s v="AJ-10780"/>
    <s v="Anthony Jacobs"/>
    <x v="1"/>
    <s v="United States"/>
    <s v="Springfield"/>
    <x v="17"/>
    <n v="22153"/>
    <x v="0"/>
    <s v="FUR-FU-10000965"/>
    <x v="0"/>
    <x v="5"/>
    <x v="676"/>
    <n v="51.94"/>
  </r>
  <r>
    <n v="868"/>
    <s v="CA-2017-134362"/>
    <d v="2017-09-29T00:00:00"/>
    <x v="340"/>
    <s v="MODERATE"/>
    <s v="First Class"/>
    <s v="LS-16945"/>
    <s v="Linda Southworth"/>
    <x v="1"/>
    <s v="United States"/>
    <s v="Philadelphia"/>
    <x v="9"/>
    <n v="19140"/>
    <x v="3"/>
    <s v="OFF-LA-10004853"/>
    <x v="1"/>
    <x v="2"/>
    <x v="677"/>
    <n v="15.936"/>
  </r>
  <r>
    <n v="869"/>
    <s v="CA-2015-136742"/>
    <d v="2015-04-06T00:00:00"/>
    <x v="341"/>
    <s v="FAST"/>
    <s v="Standard Class"/>
    <s v="GP-14740"/>
    <s v="Guy Phonely"/>
    <x v="1"/>
    <s v="United States"/>
    <s v="Lancaster"/>
    <x v="9"/>
    <n v="17602"/>
    <x v="3"/>
    <s v="OFF-BI-10003719"/>
    <x v="1"/>
    <x v="8"/>
    <x v="678"/>
    <n v="44.91"/>
  </r>
  <r>
    <n v="870"/>
    <s v="CA-2017-158099"/>
    <d v="2017-09-03T00:00:00"/>
    <x v="342"/>
    <s v="MODERATE"/>
    <s v="First Class"/>
    <s v="PK-18910"/>
    <s v="Paul Knutson"/>
    <x v="2"/>
    <s v="United States"/>
    <s v="Philadelphia"/>
    <x v="9"/>
    <n v="19143"/>
    <x v="3"/>
    <s v="OFF-BI-10000545"/>
    <x v="1"/>
    <x v="8"/>
    <x v="679"/>
    <n v="1141.47"/>
  </r>
  <r>
    <n v="871"/>
    <s v="CA-2017-158099"/>
    <d v="2017-09-03T00:00:00"/>
    <x v="342"/>
    <s v="MODERATE"/>
    <s v="First Class"/>
    <s v="PK-18910"/>
    <s v="Paul Knutson"/>
    <x v="2"/>
    <s v="United States"/>
    <s v="Philadelphia"/>
    <x v="9"/>
    <n v="19143"/>
    <x v="3"/>
    <s v="TEC-PH-10002496"/>
    <x v="2"/>
    <x v="7"/>
    <x v="485"/>
    <n v="280.78199999999998"/>
  </r>
  <r>
    <n v="872"/>
    <s v="CA-2016-131128"/>
    <d v="2016-10-19T00:00:00"/>
    <x v="51"/>
    <s v="MODERATE"/>
    <s v="First Class"/>
    <s v="TB-21520"/>
    <s v="Tracy Blumstein"/>
    <x v="0"/>
    <s v="United States"/>
    <s v="Concord"/>
    <x v="38"/>
    <n v="3301"/>
    <x v="3"/>
    <s v="OFF-PA-10003591"/>
    <x v="1"/>
    <x v="10"/>
    <x v="680"/>
    <n v="34.44"/>
  </r>
  <r>
    <n v="873"/>
    <s v="CA-2015-148488"/>
    <d v="2015-12-10T00:00:00"/>
    <x v="343"/>
    <s v="FAST"/>
    <s v="Standard Class"/>
    <s v="SM-20005"/>
    <s v="Sally Matthias"/>
    <x v="0"/>
    <s v="United States"/>
    <s v="New York City"/>
    <x v="15"/>
    <n v="10009"/>
    <x v="3"/>
    <s v="OFF-PA-10004470"/>
    <x v="1"/>
    <x v="10"/>
    <x v="248"/>
    <n v="11.36"/>
  </r>
  <r>
    <n v="874"/>
    <s v="CA-2015-148488"/>
    <d v="2015-12-10T00:00:00"/>
    <x v="343"/>
    <s v="FAST"/>
    <s v="Standard Class"/>
    <s v="SM-20005"/>
    <s v="Sally Matthias"/>
    <x v="0"/>
    <s v="United States"/>
    <s v="New York City"/>
    <x v="15"/>
    <n v="10009"/>
    <x v="3"/>
    <s v="OFF-BI-10000315"/>
    <x v="1"/>
    <x v="8"/>
    <x v="402"/>
    <n v="106.34399999999999"/>
  </r>
  <r>
    <n v="875"/>
    <s v="CA-2018-114636"/>
    <d v="2018-08-25T00:00:00"/>
    <x v="344"/>
    <s v="FAST"/>
    <s v="Standard Class"/>
    <s v="GA-14725"/>
    <s v="Guy Armstrong"/>
    <x v="0"/>
    <s v="United States"/>
    <s v="Charlotte"/>
    <x v="3"/>
    <n v="28205"/>
    <x v="0"/>
    <s v="OFF-PA-10001790"/>
    <x v="1"/>
    <x v="10"/>
    <x v="681"/>
    <n v="192.16"/>
  </r>
  <r>
    <n v="876"/>
    <s v="CA-2017-116736"/>
    <d v="2017-01-17T00:00:00"/>
    <x v="345"/>
    <s v="FAST"/>
    <s v="Standard Class"/>
    <s v="CC-12430"/>
    <s v="Chuck Clark"/>
    <x v="2"/>
    <s v="United States"/>
    <s v="Concord"/>
    <x v="38"/>
    <n v="3301"/>
    <x v="3"/>
    <s v="FUR-FU-10004017"/>
    <x v="0"/>
    <x v="5"/>
    <x v="212"/>
    <n v="322.58999999999997"/>
  </r>
  <r>
    <n v="877"/>
    <s v="CA-2017-116736"/>
    <d v="2017-01-17T00:00:00"/>
    <x v="345"/>
    <s v="FAST"/>
    <s v="Standard Class"/>
    <s v="CC-12430"/>
    <s v="Chuck Clark"/>
    <x v="2"/>
    <s v="United States"/>
    <s v="Concord"/>
    <x v="38"/>
    <n v="3301"/>
    <x v="3"/>
    <s v="TEC-AC-10003628"/>
    <x v="2"/>
    <x v="11"/>
    <x v="242"/>
    <n v="29.99"/>
  </r>
  <r>
    <n v="878"/>
    <s v="CA-2017-116736"/>
    <d v="2017-01-17T00:00:00"/>
    <x v="345"/>
    <s v="FAST"/>
    <s v="Standard Class"/>
    <s v="CC-12430"/>
    <s v="Chuck Clark"/>
    <x v="2"/>
    <s v="United States"/>
    <s v="Concord"/>
    <x v="38"/>
    <n v="3301"/>
    <x v="3"/>
    <s v="TEC-AC-10002049"/>
    <x v="2"/>
    <x v="11"/>
    <x v="682"/>
    <n v="371.97"/>
  </r>
  <r>
    <n v="879"/>
    <s v="US-2015-158638"/>
    <d v="2015-09-17T00:00:00"/>
    <x v="109"/>
    <s v="FAST"/>
    <s v="Standard Class"/>
    <s v="AG-10765"/>
    <s v="Anthony Garverick"/>
    <x v="2"/>
    <s v="United States"/>
    <s v="Philadelphia"/>
    <x v="9"/>
    <n v="19120"/>
    <x v="3"/>
    <s v="OFF-BI-10003712"/>
    <x v="1"/>
    <x v="8"/>
    <x v="683"/>
    <n v="5.8920000000000003"/>
  </r>
  <r>
    <n v="880"/>
    <s v="CA-2018-111689"/>
    <d v="2018-11-30T00:00:00"/>
    <x v="346"/>
    <s v="SLOW"/>
    <s v="Second Class"/>
    <s v="HP-14815"/>
    <s v="Harold Pawlan"/>
    <x v="2"/>
    <s v="United States"/>
    <s v="New York City"/>
    <x v="15"/>
    <n v="10024"/>
    <x v="3"/>
    <s v="OFF-BI-10003984"/>
    <x v="1"/>
    <x v="8"/>
    <x v="684"/>
    <n v="68.471999999999994"/>
  </r>
  <r>
    <n v="881"/>
    <s v="CA-2018-111689"/>
    <d v="2018-11-30T00:00:00"/>
    <x v="346"/>
    <s v="SLOW"/>
    <s v="Second Class"/>
    <s v="HP-14815"/>
    <s v="Harold Pawlan"/>
    <x v="2"/>
    <s v="United States"/>
    <s v="New York City"/>
    <x v="15"/>
    <n v="10024"/>
    <x v="3"/>
    <s v="FUR-CH-10004287"/>
    <x v="0"/>
    <x v="1"/>
    <x v="154"/>
    <n v="1242.9000000000001"/>
  </r>
  <r>
    <n v="882"/>
    <s v="CA-2016-129098"/>
    <d v="2016-10-09T00:00:00"/>
    <x v="347"/>
    <s v="FAST"/>
    <s v="Standard Class"/>
    <s v="DK-13090"/>
    <s v="Dave Kipp"/>
    <x v="0"/>
    <s v="United States"/>
    <s v="Springfield"/>
    <x v="17"/>
    <n v="22153"/>
    <x v="0"/>
    <s v="OFF-ST-10001321"/>
    <x v="1"/>
    <x v="4"/>
    <x v="411"/>
    <n v="30.84"/>
  </r>
  <r>
    <n v="883"/>
    <s v="US-2018-123463"/>
    <d v="2018-12-23T00:00:00"/>
    <x v="348"/>
    <s v="MODERATE"/>
    <s v="Same Day"/>
    <s v="GZ-14470"/>
    <s v="Gary Zandusky"/>
    <x v="0"/>
    <s v="United States"/>
    <s v="San Francisco"/>
    <x v="1"/>
    <n v="94109"/>
    <x v="1"/>
    <s v="OFF-AR-10001118"/>
    <x v="1"/>
    <x v="6"/>
    <x v="570"/>
    <n v="13.48"/>
  </r>
  <r>
    <n v="884"/>
    <s v="CA-2017-165148"/>
    <d v="2017-10-22T00:00:00"/>
    <x v="349"/>
    <s v="MODERATE"/>
    <s v="First Class"/>
    <s v="PM-19135"/>
    <s v="Peter McVee"/>
    <x v="2"/>
    <s v="United States"/>
    <s v="Detroit"/>
    <x v="12"/>
    <n v="48227"/>
    <x v="2"/>
    <s v="FUR-FU-10000732"/>
    <x v="0"/>
    <x v="5"/>
    <x v="535"/>
    <n v="31.4"/>
  </r>
  <r>
    <n v="885"/>
    <s v="CA-2015-134061"/>
    <d v="2015-04-29T00:00:00"/>
    <x v="350"/>
    <s v="FAST"/>
    <s v="Standard Class"/>
    <s v="LL-16840"/>
    <s v="Lauren Leatherbury"/>
    <x v="0"/>
    <s v="United States"/>
    <s v="Rochester"/>
    <x v="15"/>
    <n v="14609"/>
    <x v="3"/>
    <s v="FUR-FU-10001424"/>
    <x v="0"/>
    <x v="5"/>
    <x v="685"/>
    <n v="17.46"/>
  </r>
  <r>
    <n v="886"/>
    <s v="CA-2016-143602"/>
    <d v="2016-04-25T00:00:00"/>
    <x v="351"/>
    <s v="SLOW"/>
    <s v="Second Class"/>
    <s v="JS-15595"/>
    <s v="Jill Stevenson"/>
    <x v="1"/>
    <s v="United States"/>
    <s v="Los Angeles"/>
    <x v="1"/>
    <n v="90045"/>
    <x v="1"/>
    <s v="OFF-BI-10002071"/>
    <x v="1"/>
    <x v="8"/>
    <x v="686"/>
    <n v="13.944000000000001"/>
  </r>
  <r>
    <n v="887"/>
    <s v="CA-2018-115364"/>
    <d v="2018-06-26T00:00:00"/>
    <x v="352"/>
    <s v="FAST"/>
    <s v="Standard Class"/>
    <s v="OT-18730"/>
    <s v="Olvera Toch"/>
    <x v="0"/>
    <s v="United States"/>
    <s v="San Diego"/>
    <x v="1"/>
    <n v="92105"/>
    <x v="1"/>
    <s v="OFF-ST-10002486"/>
    <x v="1"/>
    <x v="4"/>
    <x v="687"/>
    <n v="83.76"/>
  </r>
  <r>
    <n v="888"/>
    <s v="CA-2018-150707"/>
    <d v="2018-10-14T00:00:00"/>
    <x v="162"/>
    <s v="FAST"/>
    <s v="Standard Class"/>
    <s v="EL-13735"/>
    <s v="Ed Ludwig"/>
    <x v="2"/>
    <s v="United States"/>
    <s v="Columbia"/>
    <x v="39"/>
    <n v="21044"/>
    <x v="3"/>
    <s v="OFF-BI-10001078"/>
    <x v="1"/>
    <x v="8"/>
    <x v="60"/>
    <n v="37.659999999999997"/>
  </r>
  <r>
    <n v="889"/>
    <s v="CA-2015-104976"/>
    <d v="2015-12-09T00:00:00"/>
    <x v="353"/>
    <s v="FAST"/>
    <s v="Standard Class"/>
    <s v="CK-12760"/>
    <s v="Cyma Kinney"/>
    <x v="1"/>
    <s v="United States"/>
    <s v="San Francisco"/>
    <x v="1"/>
    <n v="94122"/>
    <x v="1"/>
    <s v="OFF-PA-10003845"/>
    <x v="1"/>
    <x v="10"/>
    <x v="364"/>
    <n v="34.68"/>
  </r>
  <r>
    <n v="890"/>
    <s v="CA-2018-132934"/>
    <d v="2018-06-20T00:00:00"/>
    <x v="354"/>
    <s v="FAST"/>
    <s v="Standard Class"/>
    <s v="JE-15475"/>
    <s v="Jeremy Ellison"/>
    <x v="0"/>
    <s v="United States"/>
    <s v="New Rochelle"/>
    <x v="15"/>
    <n v="10801"/>
    <x v="3"/>
    <s v="TEC-AC-10000927"/>
    <x v="2"/>
    <x v="11"/>
    <x v="688"/>
    <n v="149.94999999999999"/>
  </r>
  <r>
    <n v="891"/>
    <s v="CA-2018-132934"/>
    <d v="2018-06-20T00:00:00"/>
    <x v="354"/>
    <s v="FAST"/>
    <s v="Standard Class"/>
    <s v="JE-15475"/>
    <s v="Jeremy Ellison"/>
    <x v="0"/>
    <s v="United States"/>
    <s v="New Rochelle"/>
    <x v="15"/>
    <n v="10801"/>
    <x v="3"/>
    <s v="OFF-BI-10001098"/>
    <x v="1"/>
    <x v="8"/>
    <x v="400"/>
    <n v="51.311999999999998"/>
  </r>
  <r>
    <n v="892"/>
    <s v="CA-2018-133256"/>
    <d v="2018-06-26T00:00:00"/>
    <x v="324"/>
    <s v="MODERATE"/>
    <s v="First Class"/>
    <s v="TH-21550"/>
    <s v="Tracy Hopkins"/>
    <x v="2"/>
    <s v="United States"/>
    <s v="Detroit"/>
    <x v="12"/>
    <n v="48227"/>
    <x v="2"/>
    <s v="OFF-PA-10001622"/>
    <x v="1"/>
    <x v="10"/>
    <x v="689"/>
    <n v="4.54"/>
  </r>
  <r>
    <n v="893"/>
    <s v="CA-2018-133256"/>
    <d v="2018-06-26T00:00:00"/>
    <x v="324"/>
    <s v="MODERATE"/>
    <s v="First Class"/>
    <s v="TH-21550"/>
    <s v="Tracy Hopkins"/>
    <x v="2"/>
    <s v="United States"/>
    <s v="Detroit"/>
    <x v="12"/>
    <n v="48227"/>
    <x v="2"/>
    <s v="OFF-AR-10003158"/>
    <x v="1"/>
    <x v="6"/>
    <x v="690"/>
    <n v="15.92"/>
  </r>
  <r>
    <n v="894"/>
    <s v="CA-2018-133256"/>
    <d v="2018-06-26T00:00:00"/>
    <x v="324"/>
    <s v="MODERATE"/>
    <s v="First Class"/>
    <s v="TH-21550"/>
    <s v="Tracy Hopkins"/>
    <x v="2"/>
    <s v="United States"/>
    <s v="Detroit"/>
    <x v="12"/>
    <n v="48227"/>
    <x v="2"/>
    <s v="TEC-PH-10002660"/>
    <x v="2"/>
    <x v="7"/>
    <x v="691"/>
    <n v="543.91999999999996"/>
  </r>
  <r>
    <n v="895"/>
    <s v="CA-2017-105494"/>
    <d v="2017-11-10T00:00:00"/>
    <x v="355"/>
    <s v="MODERATE"/>
    <s v="First Class"/>
    <s v="PC-18745"/>
    <s v="Pamela Coakley"/>
    <x v="1"/>
    <s v="United States"/>
    <s v="San Francisco"/>
    <x v="1"/>
    <n v="94122"/>
    <x v="1"/>
    <s v="OFF-ST-10002205"/>
    <x v="1"/>
    <x v="4"/>
    <x v="324"/>
    <n v="155.82"/>
  </r>
  <r>
    <n v="896"/>
    <s v="CA-2017-105494"/>
    <d v="2017-11-10T00:00:00"/>
    <x v="355"/>
    <s v="MODERATE"/>
    <s v="First Class"/>
    <s v="PC-18745"/>
    <s v="Pamela Coakley"/>
    <x v="1"/>
    <s v="United States"/>
    <s v="San Francisco"/>
    <x v="1"/>
    <n v="94122"/>
    <x v="1"/>
    <s v="OFF-BI-10003364"/>
    <x v="1"/>
    <x v="8"/>
    <x v="692"/>
    <n v="70.007999999999996"/>
  </r>
  <r>
    <n v="897"/>
    <s v="CA-2017-140634"/>
    <d v="2017-10-03T00:00:00"/>
    <x v="356"/>
    <s v="SLOW"/>
    <s v="Second Class"/>
    <s v="HL-15040"/>
    <s v="Hunter Lopez"/>
    <x v="0"/>
    <s v="United States"/>
    <s v="Houston"/>
    <x v="5"/>
    <n v="77095"/>
    <x v="2"/>
    <s v="OFF-EN-10001099"/>
    <x v="1"/>
    <x v="12"/>
    <x v="149"/>
    <n v="15.648"/>
  </r>
  <r>
    <n v="898"/>
    <s v="CA-2015-144407"/>
    <d v="2015-09-09T00:00:00"/>
    <x v="357"/>
    <s v="FAST"/>
    <s v="Standard Class"/>
    <s v="MS-17365"/>
    <s v="Maribeth Schnelling"/>
    <x v="0"/>
    <s v="United States"/>
    <s v="Detroit"/>
    <x v="12"/>
    <n v="48227"/>
    <x v="2"/>
    <s v="OFF-LA-10003923"/>
    <x v="1"/>
    <x v="2"/>
    <x v="419"/>
    <n v="103.6"/>
  </r>
  <r>
    <n v="899"/>
    <s v="CA-2018-160983"/>
    <d v="2018-10-29T00:00:00"/>
    <x v="358"/>
    <s v="SLOW"/>
    <s v="Second Class"/>
    <s v="GB-14530"/>
    <s v="George Bell"/>
    <x v="1"/>
    <s v="United States"/>
    <s v="Auburn"/>
    <x v="15"/>
    <n v="13021"/>
    <x v="3"/>
    <s v="OFF-PA-10002250"/>
    <x v="1"/>
    <x v="10"/>
    <x v="693"/>
    <n v="46.96"/>
  </r>
  <r>
    <n v="900"/>
    <s v="US-2017-114622"/>
    <d v="2017-04-10T00:00:00"/>
    <x v="359"/>
    <s v="MODERATE"/>
    <s v="First Class"/>
    <s v="JR-16210"/>
    <s v="Justin Ritter"/>
    <x v="1"/>
    <s v="United States"/>
    <s v="Springfield"/>
    <x v="24"/>
    <n v="45503"/>
    <x v="3"/>
    <s v="OFF-BI-10004716"/>
    <x v="1"/>
    <x v="8"/>
    <x v="694"/>
    <n v="8.9039999999999999"/>
  </r>
  <r>
    <n v="901"/>
    <s v="CA-2018-150959"/>
    <d v="2018-11-11T00:00:00"/>
    <x v="86"/>
    <s v="MODERATE"/>
    <s v="First Class"/>
    <s v="TD-20995"/>
    <s v="Tamara Dahlen"/>
    <x v="0"/>
    <s v="United States"/>
    <s v="Garland"/>
    <x v="5"/>
    <n v="75043"/>
    <x v="2"/>
    <s v="OFF-LA-10001045"/>
    <x v="1"/>
    <x v="2"/>
    <x v="695"/>
    <n v="10.44"/>
  </r>
  <r>
    <n v="902"/>
    <s v="CA-2018-150959"/>
    <d v="2018-11-11T00:00:00"/>
    <x v="86"/>
    <s v="MODERATE"/>
    <s v="First Class"/>
    <s v="TD-20995"/>
    <s v="Tamara Dahlen"/>
    <x v="0"/>
    <s v="United States"/>
    <s v="Garland"/>
    <x v="5"/>
    <n v="75043"/>
    <x v="2"/>
    <s v="OFF-BI-10001510"/>
    <x v="1"/>
    <x v="8"/>
    <x v="696"/>
    <n v="18.335999999999999"/>
  </r>
  <r>
    <n v="903"/>
    <s v="CA-2018-132353"/>
    <d v="2018-09-15T00:00:00"/>
    <x v="31"/>
    <s v="MODERATE"/>
    <s v="First Class"/>
    <s v="DB-13060"/>
    <s v="Dave Brooks"/>
    <x v="0"/>
    <s v="United States"/>
    <s v="Chicago"/>
    <x v="10"/>
    <n v="60653"/>
    <x v="2"/>
    <s v="TEC-PH-10004536"/>
    <x v="2"/>
    <x v="7"/>
    <x v="146"/>
    <n v="323.976"/>
  </r>
  <r>
    <n v="904"/>
    <s v="CA-2017-130477"/>
    <d v="2017-04-08T00:00:00"/>
    <x v="359"/>
    <s v="FAST"/>
    <s v="Standard Class"/>
    <s v="LC-17140"/>
    <s v="Logan Currie"/>
    <x v="0"/>
    <s v="United States"/>
    <s v="Los Angeles"/>
    <x v="1"/>
    <n v="90032"/>
    <x v="1"/>
    <s v="OFF-PA-10002947"/>
    <x v="1"/>
    <x v="10"/>
    <x v="697"/>
    <n v="20.04"/>
  </r>
  <r>
    <n v="905"/>
    <s v="CA-2017-130477"/>
    <d v="2017-04-08T00:00:00"/>
    <x v="359"/>
    <s v="FAST"/>
    <s v="Standard Class"/>
    <s v="LC-17140"/>
    <s v="Logan Currie"/>
    <x v="0"/>
    <s v="United States"/>
    <s v="Los Angeles"/>
    <x v="1"/>
    <n v="90032"/>
    <x v="1"/>
    <s v="OFF-ST-10002583"/>
    <x v="1"/>
    <x v="4"/>
    <x v="560"/>
    <n v="64.959999999999994"/>
  </r>
  <r>
    <n v="906"/>
    <s v="CA-2017-130477"/>
    <d v="2017-04-08T00:00:00"/>
    <x v="359"/>
    <s v="FAST"/>
    <s v="Standard Class"/>
    <s v="LC-17140"/>
    <s v="Logan Currie"/>
    <x v="0"/>
    <s v="United States"/>
    <s v="Los Angeles"/>
    <x v="1"/>
    <n v="90032"/>
    <x v="1"/>
    <s v="OFF-PA-10000019"/>
    <x v="1"/>
    <x v="10"/>
    <x v="698"/>
    <n v="12.96"/>
  </r>
  <r>
    <n v="907"/>
    <s v="CA-2018-143259"/>
    <d v="2018-12-30T00:00:00"/>
    <x v="360"/>
    <s v="FAST"/>
    <s v="Standard Class"/>
    <s v="PO-18865"/>
    <s v="Patrick O'Donnell"/>
    <x v="0"/>
    <s v="United States"/>
    <s v="New York City"/>
    <x v="15"/>
    <n v="10009"/>
    <x v="3"/>
    <s v="FUR-BO-10003441"/>
    <x v="0"/>
    <x v="0"/>
    <x v="699"/>
    <n v="323.13600000000002"/>
  </r>
  <r>
    <n v="908"/>
    <s v="CA-2018-143259"/>
    <d v="2018-12-30T00:00:00"/>
    <x v="360"/>
    <s v="FAST"/>
    <s v="Standard Class"/>
    <s v="PO-18865"/>
    <s v="Patrick O'Donnell"/>
    <x v="0"/>
    <s v="United States"/>
    <s v="New York City"/>
    <x v="15"/>
    <n v="10009"/>
    <x v="3"/>
    <s v="TEC-PH-10004774"/>
    <x v="2"/>
    <x v="7"/>
    <x v="700"/>
    <n v="90.93"/>
  </r>
  <r>
    <n v="909"/>
    <s v="CA-2018-143259"/>
    <d v="2018-12-30T00:00:00"/>
    <x v="360"/>
    <s v="FAST"/>
    <s v="Standard Class"/>
    <s v="PO-18865"/>
    <s v="Patrick O'Donnell"/>
    <x v="0"/>
    <s v="United States"/>
    <s v="New York City"/>
    <x v="15"/>
    <n v="10009"/>
    <x v="3"/>
    <s v="OFF-BI-10003684"/>
    <x v="1"/>
    <x v="8"/>
    <x v="701"/>
    <n v="52.776000000000003"/>
  </r>
  <r>
    <n v="910"/>
    <s v="CA-2018-137596"/>
    <d v="2018-09-02T00:00:00"/>
    <x v="361"/>
    <s v="FAST"/>
    <s v="Standard Class"/>
    <s v="BE-11335"/>
    <s v="Bill Eplett"/>
    <x v="2"/>
    <s v="United States"/>
    <s v="Jackson"/>
    <x v="12"/>
    <n v="49201"/>
    <x v="2"/>
    <s v="TEC-PH-10001494"/>
    <x v="2"/>
    <x v="7"/>
    <x v="702"/>
    <n v="1199.8"/>
  </r>
  <r>
    <n v="911"/>
    <s v="CA-2018-137596"/>
    <d v="2018-09-02T00:00:00"/>
    <x v="361"/>
    <s v="FAST"/>
    <s v="Standard Class"/>
    <s v="BE-11335"/>
    <s v="Bill Eplett"/>
    <x v="2"/>
    <s v="United States"/>
    <s v="Jackson"/>
    <x v="12"/>
    <n v="49201"/>
    <x v="2"/>
    <s v="TEC-AC-10004666"/>
    <x v="2"/>
    <x v="11"/>
    <x v="703"/>
    <n v="1928.78"/>
  </r>
  <r>
    <n v="912"/>
    <s v="CA-2018-137596"/>
    <d v="2018-09-02T00:00:00"/>
    <x v="361"/>
    <s v="FAST"/>
    <s v="Standard Class"/>
    <s v="BE-11335"/>
    <s v="Bill Eplett"/>
    <x v="2"/>
    <s v="United States"/>
    <s v="Jackson"/>
    <x v="12"/>
    <n v="49201"/>
    <x v="2"/>
    <s v="OFF-ST-10003816"/>
    <x v="1"/>
    <x v="4"/>
    <x v="704"/>
    <n v="352.38"/>
  </r>
  <r>
    <n v="914"/>
    <s v="CA-2018-102519"/>
    <d v="2018-11-27T00:00:00"/>
    <x v="362"/>
    <s v="MODERATE"/>
    <s v="First Class"/>
    <s v="BM-11650"/>
    <s v="Brian Moss"/>
    <x v="1"/>
    <s v="United States"/>
    <s v="Milwaukee"/>
    <x v="6"/>
    <n v="53209"/>
    <x v="2"/>
    <s v="FUR-FU-10004091"/>
    <x v="0"/>
    <x v="5"/>
    <x v="262"/>
    <n v="46.94"/>
  </r>
  <r>
    <n v="915"/>
    <s v="CA-2018-102519"/>
    <d v="2018-11-27T00:00:00"/>
    <x v="362"/>
    <s v="MODERATE"/>
    <s v="First Class"/>
    <s v="BM-11650"/>
    <s v="Brian Moss"/>
    <x v="1"/>
    <s v="United States"/>
    <s v="Milwaukee"/>
    <x v="6"/>
    <n v="53209"/>
    <x v="2"/>
    <s v="TEC-AC-10001772"/>
    <x v="2"/>
    <x v="11"/>
    <x v="396"/>
    <n v="143.72999999999999"/>
  </r>
  <r>
    <n v="916"/>
    <s v="US-2015-141215"/>
    <d v="2015-06-15T00:00:00"/>
    <x v="363"/>
    <s v="FAST"/>
    <s v="Standard Class"/>
    <s v="KL-16555"/>
    <s v="Kelly Lampkin"/>
    <x v="1"/>
    <s v="United States"/>
    <s v="San Antonio"/>
    <x v="5"/>
    <n v="78207"/>
    <x v="2"/>
    <s v="FUR-TA-10001520"/>
    <x v="0"/>
    <x v="3"/>
    <x v="705"/>
    <n v="99.918000000000006"/>
  </r>
  <r>
    <n v="917"/>
    <s v="US-2015-141215"/>
    <d v="2015-06-15T00:00:00"/>
    <x v="363"/>
    <s v="FAST"/>
    <s v="Standard Class"/>
    <s v="KL-16555"/>
    <s v="Kelly Lampkin"/>
    <x v="1"/>
    <s v="United States"/>
    <s v="San Antonio"/>
    <x v="5"/>
    <n v="78207"/>
    <x v="2"/>
    <s v="FUR-CH-10003379"/>
    <x v="0"/>
    <x v="1"/>
    <x v="454"/>
    <n v="797.94399999999996"/>
  </r>
  <r>
    <n v="918"/>
    <s v="US-2015-141215"/>
    <d v="2015-06-15T00:00:00"/>
    <x v="363"/>
    <s v="FAST"/>
    <s v="Standard Class"/>
    <s v="KL-16555"/>
    <s v="Kelly Lampkin"/>
    <x v="1"/>
    <s v="United States"/>
    <s v="San Antonio"/>
    <x v="5"/>
    <n v="78207"/>
    <x v="2"/>
    <s v="OFF-BI-10002706"/>
    <x v="1"/>
    <x v="8"/>
    <x v="271"/>
    <n v="8.5679999999999996"/>
  </r>
  <r>
    <n v="919"/>
    <s v="CA-2017-165218"/>
    <d v="2017-03-05T00:00:00"/>
    <x v="364"/>
    <s v="FAST"/>
    <s v="Standard Class"/>
    <s v="RW-19630"/>
    <s v="Rob Williams"/>
    <x v="1"/>
    <s v="United States"/>
    <s v="Dallas"/>
    <x v="5"/>
    <n v="75220"/>
    <x v="2"/>
    <s v="OFF-EN-10000056"/>
    <x v="1"/>
    <x v="12"/>
    <x v="620"/>
    <n v="149.352"/>
  </r>
  <r>
    <n v="920"/>
    <s v="CA-2017-165218"/>
    <d v="2017-03-05T00:00:00"/>
    <x v="364"/>
    <s v="FAST"/>
    <s v="Standard Class"/>
    <s v="RW-19630"/>
    <s v="Rob Williams"/>
    <x v="1"/>
    <s v="United States"/>
    <s v="Dallas"/>
    <x v="5"/>
    <n v="75220"/>
    <x v="2"/>
    <s v="OFF-ST-10001558"/>
    <x v="1"/>
    <x v="4"/>
    <x v="706"/>
    <n v="12.992000000000001"/>
  </r>
  <r>
    <n v="921"/>
    <s v="CA-2015-138296"/>
    <d v="2015-12-05T00:00:00"/>
    <x v="365"/>
    <s v="FAST"/>
    <s v="Standard Class"/>
    <s v="RC-19825"/>
    <s v="Roy Collins"/>
    <x v="0"/>
    <s v="United States"/>
    <s v="Alexandria"/>
    <x v="17"/>
    <n v="22304"/>
    <x v="0"/>
    <s v="OFF-ST-10002444"/>
    <x v="1"/>
    <x v="4"/>
    <x v="565"/>
    <n v="24.56"/>
  </r>
  <r>
    <n v="922"/>
    <s v="CA-2016-111164"/>
    <d v="2016-04-11T00:00:00"/>
    <x v="366"/>
    <s v="FAST"/>
    <s v="Standard Class"/>
    <s v="SE-20110"/>
    <s v="Sanjit Engle"/>
    <x v="0"/>
    <s v="United States"/>
    <s v="New York City"/>
    <x v="15"/>
    <n v="10009"/>
    <x v="3"/>
    <s v="TEC-AC-10002473"/>
    <x v="2"/>
    <x v="11"/>
    <x v="707"/>
    <n v="85.14"/>
  </r>
  <r>
    <n v="923"/>
    <s v="CA-2016-111164"/>
    <d v="2016-04-11T00:00:00"/>
    <x v="366"/>
    <s v="FAST"/>
    <s v="Standard Class"/>
    <s v="SE-20110"/>
    <s v="Sanjit Engle"/>
    <x v="0"/>
    <s v="United States"/>
    <s v="New York City"/>
    <x v="15"/>
    <n v="10009"/>
    <x v="3"/>
    <s v="TEC-PH-10004531"/>
    <x v="2"/>
    <x v="7"/>
    <x v="708"/>
    <n v="21.99"/>
  </r>
  <r>
    <n v="924"/>
    <s v="CA-2016-111164"/>
    <d v="2016-04-11T00:00:00"/>
    <x v="366"/>
    <s v="FAST"/>
    <s v="Standard Class"/>
    <s v="SE-20110"/>
    <s v="Sanjit Engle"/>
    <x v="0"/>
    <s v="United States"/>
    <s v="New York City"/>
    <x v="15"/>
    <n v="10009"/>
    <x v="3"/>
    <s v="OFF-AP-10004487"/>
    <x v="1"/>
    <x v="9"/>
    <x v="709"/>
    <n v="406.6"/>
  </r>
  <r>
    <n v="925"/>
    <s v="CA-2017-149797"/>
    <d v="2017-09-15T00:00:00"/>
    <x v="367"/>
    <s v="FAST"/>
    <s v="Standard Class"/>
    <s v="AH-10075"/>
    <s v="Adam Hart"/>
    <x v="1"/>
    <s v="United States"/>
    <s v="New York City"/>
    <x v="15"/>
    <n v="10011"/>
    <x v="3"/>
    <s v="OFF-BI-10003650"/>
    <x v="1"/>
    <x v="8"/>
    <x v="111"/>
    <n v="841.56799999999998"/>
  </r>
  <r>
    <n v="926"/>
    <s v="CA-2015-132962"/>
    <d v="2015-09-13T00:00:00"/>
    <x v="368"/>
    <s v="MODERATE"/>
    <s v="First Class"/>
    <s v="JM-15535"/>
    <s v="Jessica Myrick"/>
    <x v="0"/>
    <s v="United States"/>
    <s v="Philadelphia"/>
    <x v="9"/>
    <n v="19143"/>
    <x v="3"/>
    <s v="OFF-PA-10003543"/>
    <x v="1"/>
    <x v="10"/>
    <x v="710"/>
    <n v="15.552"/>
  </r>
  <r>
    <n v="927"/>
    <s v="CA-2015-132962"/>
    <d v="2015-09-13T00:00:00"/>
    <x v="368"/>
    <s v="MODERATE"/>
    <s v="First Class"/>
    <s v="JM-15535"/>
    <s v="Jessica Myrick"/>
    <x v="0"/>
    <s v="United States"/>
    <s v="Philadelphia"/>
    <x v="9"/>
    <n v="19143"/>
    <x v="3"/>
    <s v="TEC-AC-10004353"/>
    <x v="2"/>
    <x v="11"/>
    <x v="711"/>
    <n v="252"/>
  </r>
  <r>
    <n v="928"/>
    <s v="CA-2016-115091"/>
    <d v="2016-10-05T00:00:00"/>
    <x v="255"/>
    <s v="FAST"/>
    <s v="Standard Class"/>
    <s v="JJ-15760"/>
    <s v="Joel Jenkins"/>
    <x v="2"/>
    <s v="United States"/>
    <s v="Springfield"/>
    <x v="17"/>
    <n v="22153"/>
    <x v="0"/>
    <s v="OFF-AR-10000658"/>
    <x v="1"/>
    <x v="6"/>
    <x v="326"/>
    <n v="46.2"/>
  </r>
  <r>
    <n v="929"/>
    <s v="CA-2016-115091"/>
    <d v="2016-10-05T00:00:00"/>
    <x v="255"/>
    <s v="FAST"/>
    <s v="Standard Class"/>
    <s v="JJ-15760"/>
    <s v="Joel Jenkins"/>
    <x v="2"/>
    <s v="United States"/>
    <s v="Springfield"/>
    <x v="17"/>
    <n v="22153"/>
    <x v="0"/>
    <s v="OFF-AP-10000696"/>
    <x v="1"/>
    <x v="9"/>
    <x v="330"/>
    <n v="28.84"/>
  </r>
  <r>
    <n v="930"/>
    <s v="CA-2018-144932"/>
    <d v="2018-04-14T00:00:00"/>
    <x v="124"/>
    <s v="MODERATE"/>
    <s v="First Class"/>
    <s v="AB-10165"/>
    <s v="Alan Barnes"/>
    <x v="0"/>
    <s v="United States"/>
    <s v="Toledo"/>
    <x v="24"/>
    <n v="43615"/>
    <x v="3"/>
    <s v="OFF-AR-10003560"/>
    <x v="1"/>
    <x v="6"/>
    <x v="477"/>
    <n v="14.592000000000001"/>
  </r>
  <r>
    <n v="931"/>
    <s v="CA-2018-144932"/>
    <d v="2018-04-14T00:00:00"/>
    <x v="124"/>
    <s v="MODERATE"/>
    <s v="First Class"/>
    <s v="AB-10165"/>
    <s v="Alan Barnes"/>
    <x v="0"/>
    <s v="United States"/>
    <s v="Toledo"/>
    <x v="24"/>
    <n v="43615"/>
    <x v="3"/>
    <s v="OFF-AR-10001468"/>
    <x v="1"/>
    <x v="6"/>
    <x v="712"/>
    <n v="89.855999999999995"/>
  </r>
  <r>
    <n v="932"/>
    <s v="CA-2018-144932"/>
    <d v="2018-04-14T00:00:00"/>
    <x v="124"/>
    <s v="MODERATE"/>
    <s v="First Class"/>
    <s v="AB-10165"/>
    <s v="Alan Barnes"/>
    <x v="0"/>
    <s v="United States"/>
    <s v="Toledo"/>
    <x v="24"/>
    <n v="43615"/>
    <x v="3"/>
    <s v="OFF-PA-10004971"/>
    <x v="1"/>
    <x v="10"/>
    <x v="597"/>
    <n v="13.872"/>
  </r>
  <r>
    <n v="933"/>
    <s v="CA-2018-114216"/>
    <d v="2018-09-02T00:00:00"/>
    <x v="369"/>
    <s v="FAST"/>
    <s v="Standard Class"/>
    <s v="RK-19300"/>
    <s v="Ralph Kennedy"/>
    <x v="0"/>
    <s v="United States"/>
    <s v="Philadelphia"/>
    <x v="9"/>
    <n v="19140"/>
    <x v="3"/>
    <s v="OFF-PA-10002195"/>
    <x v="1"/>
    <x v="10"/>
    <x v="713"/>
    <n v="12.192"/>
  </r>
  <r>
    <n v="934"/>
    <s v="CA-2017-140081"/>
    <d v="2017-06-20T00:00:00"/>
    <x v="370"/>
    <s v="FAST"/>
    <s v="Standard Class"/>
    <s v="CG-12040"/>
    <s v="Catherine Glotzbach"/>
    <x v="2"/>
    <s v="United States"/>
    <s v="Philadelphia"/>
    <x v="9"/>
    <n v="19120"/>
    <x v="3"/>
    <s v="OFF-PA-10001745"/>
    <x v="1"/>
    <x v="10"/>
    <x v="714"/>
    <n v="45.055999999999997"/>
  </r>
  <r>
    <n v="935"/>
    <s v="CA-2017-140081"/>
    <d v="2017-06-20T00:00:00"/>
    <x v="370"/>
    <s v="FAST"/>
    <s v="Standard Class"/>
    <s v="CG-12040"/>
    <s v="Catherine Glotzbach"/>
    <x v="2"/>
    <s v="United States"/>
    <s v="Philadelphia"/>
    <x v="9"/>
    <n v="19120"/>
    <x v="3"/>
    <s v="OFF-BI-10004826"/>
    <x v="1"/>
    <x v="8"/>
    <x v="715"/>
    <n v="29.718"/>
  </r>
  <r>
    <n v="936"/>
    <s v="CA-2017-140081"/>
    <d v="2017-06-20T00:00:00"/>
    <x v="370"/>
    <s v="FAST"/>
    <s v="Standard Class"/>
    <s v="CG-12040"/>
    <s v="Catherine Glotzbach"/>
    <x v="2"/>
    <s v="United States"/>
    <s v="Philadelphia"/>
    <x v="9"/>
    <n v="19120"/>
    <x v="3"/>
    <s v="OFF-PA-10001870"/>
    <x v="1"/>
    <x v="10"/>
    <x v="667"/>
    <n v="15.552"/>
  </r>
  <r>
    <n v="937"/>
    <s v="CA-2017-140081"/>
    <d v="2017-06-20T00:00:00"/>
    <x v="370"/>
    <s v="FAST"/>
    <s v="Standard Class"/>
    <s v="CG-12040"/>
    <s v="Catherine Glotzbach"/>
    <x v="2"/>
    <s v="United States"/>
    <s v="Philadelphia"/>
    <x v="9"/>
    <n v="19120"/>
    <x v="3"/>
    <s v="OFF-AP-10001058"/>
    <x v="1"/>
    <x v="9"/>
    <x v="134"/>
    <n v="447.69600000000003"/>
  </r>
  <r>
    <n v="938"/>
    <s v="US-2018-111745"/>
    <d v="2018-11-05T00:00:00"/>
    <x v="371"/>
    <s v="MODERATE"/>
    <s v="First Class"/>
    <s v="RA-19885"/>
    <s v="Ruben Ausman"/>
    <x v="1"/>
    <s v="United States"/>
    <s v="Farmington"/>
    <x v="27"/>
    <n v="87401"/>
    <x v="1"/>
    <s v="TEC-AC-10003911"/>
    <x v="2"/>
    <x v="11"/>
    <x v="325"/>
    <n v="159.99"/>
  </r>
  <r>
    <n v="939"/>
    <s v="CA-2016-148250"/>
    <d v="2016-12-13T00:00:00"/>
    <x v="372"/>
    <s v="FAST"/>
    <s v="Standard Class"/>
    <s v="RP-19270"/>
    <s v="Rachel Payne"/>
    <x v="1"/>
    <s v="United States"/>
    <s v="Riverside"/>
    <x v="1"/>
    <n v="92503"/>
    <x v="1"/>
    <s v="OFF-PA-10000289"/>
    <x v="1"/>
    <x v="10"/>
    <x v="716"/>
    <n v="12.96"/>
  </r>
  <r>
    <n v="940"/>
    <s v="CA-2016-148250"/>
    <d v="2016-12-13T00:00:00"/>
    <x v="372"/>
    <s v="FAST"/>
    <s v="Standard Class"/>
    <s v="RP-19270"/>
    <s v="Rachel Payne"/>
    <x v="1"/>
    <s v="United States"/>
    <s v="Riverside"/>
    <x v="1"/>
    <n v="92503"/>
    <x v="1"/>
    <s v="OFF-AP-10003040"/>
    <x v="1"/>
    <x v="9"/>
    <x v="717"/>
    <n v="134.47999999999999"/>
  </r>
  <r>
    <n v="941"/>
    <s v="CA-2017-105760"/>
    <d v="2017-06-19T00:00:00"/>
    <x v="373"/>
    <s v="MODERATE"/>
    <s v="First Class"/>
    <s v="KC-16255"/>
    <s v="Karen Carlisle"/>
    <x v="1"/>
    <s v="United States"/>
    <s v="San Francisco"/>
    <x v="1"/>
    <n v="94110"/>
    <x v="1"/>
    <s v="OFF-PA-10000350"/>
    <x v="1"/>
    <x v="10"/>
    <x v="718"/>
    <n v="17.12"/>
  </r>
  <r>
    <n v="942"/>
    <s v="CA-2017-142958"/>
    <d v="2017-12-13T00:00:00"/>
    <x v="119"/>
    <s v="FAST"/>
    <s v="Standard Class"/>
    <s v="RW-19630"/>
    <s v="Rob Williams"/>
    <x v="1"/>
    <s v="United States"/>
    <s v="Torrance"/>
    <x v="1"/>
    <n v="90503"/>
    <x v="1"/>
    <s v="OFF-BI-10001759"/>
    <x v="1"/>
    <x v="8"/>
    <x v="719"/>
    <n v="6.0960000000000001"/>
  </r>
  <r>
    <n v="943"/>
    <s v="CA-2017-142958"/>
    <d v="2017-12-13T00:00:00"/>
    <x v="119"/>
    <s v="FAST"/>
    <s v="Standard Class"/>
    <s v="RW-19630"/>
    <s v="Rob Williams"/>
    <x v="1"/>
    <s v="United States"/>
    <s v="Torrance"/>
    <x v="1"/>
    <n v="90503"/>
    <x v="1"/>
    <s v="FUR-TA-10000577"/>
    <x v="0"/>
    <x v="3"/>
    <x v="3"/>
    <n v="1114.2719999999999"/>
  </r>
  <r>
    <n v="944"/>
    <s v="CA-2016-120880"/>
    <d v="2016-05-29T00:00:00"/>
    <x v="68"/>
    <s v="FAST"/>
    <s v="Standard Class"/>
    <s v="JL-15850"/>
    <s v="John Lucas"/>
    <x v="0"/>
    <s v="United States"/>
    <s v="Seattle"/>
    <x v="4"/>
    <n v="98105"/>
    <x v="1"/>
    <s v="OFF-PA-10004101"/>
    <x v="1"/>
    <x v="10"/>
    <x v="501"/>
    <n v="32.4"/>
  </r>
  <r>
    <n v="945"/>
    <s v="CA-2016-120880"/>
    <d v="2016-05-29T00:00:00"/>
    <x v="68"/>
    <s v="FAST"/>
    <s v="Standard Class"/>
    <s v="JL-15850"/>
    <s v="John Lucas"/>
    <x v="0"/>
    <s v="United States"/>
    <s v="Seattle"/>
    <x v="4"/>
    <n v="98105"/>
    <x v="1"/>
    <s v="OFF-ST-10001496"/>
    <x v="1"/>
    <x v="4"/>
    <x v="720"/>
    <n v="540.57000000000005"/>
  </r>
  <r>
    <n v="946"/>
    <s v="CA-2016-120880"/>
    <d v="2016-05-29T00:00:00"/>
    <x v="68"/>
    <s v="FAST"/>
    <s v="Standard Class"/>
    <s v="JL-15850"/>
    <s v="John Lucas"/>
    <x v="0"/>
    <s v="United States"/>
    <s v="Seattle"/>
    <x v="4"/>
    <n v="98105"/>
    <x v="1"/>
    <s v="OFF-BI-10002931"/>
    <x v="1"/>
    <x v="8"/>
    <x v="721"/>
    <n v="167.76"/>
  </r>
  <r>
    <n v="947"/>
    <s v="US-2016-140200"/>
    <d v="2016-07-26T00:00:00"/>
    <x v="374"/>
    <s v="MODERATE"/>
    <s v="First Class"/>
    <s v="CA-12775"/>
    <s v="Cynthia Arntzen"/>
    <x v="0"/>
    <s v="United States"/>
    <s v="Mesa"/>
    <x v="16"/>
    <n v="85204"/>
    <x v="1"/>
    <s v="FUR-TA-10002356"/>
    <x v="0"/>
    <x v="3"/>
    <x v="722"/>
    <n v="393.16500000000002"/>
  </r>
  <r>
    <n v="948"/>
    <s v="US-2018-110576"/>
    <d v="2018-11-28T00:00:00"/>
    <x v="346"/>
    <s v="FAST"/>
    <s v="Standard Class"/>
    <s v="RB-19795"/>
    <s v="Ross Baird"/>
    <x v="2"/>
    <s v="United States"/>
    <s v="Philadelphia"/>
    <x v="9"/>
    <n v="19120"/>
    <x v="3"/>
    <s v="FUR-FU-10003601"/>
    <x v="0"/>
    <x v="5"/>
    <x v="723"/>
    <n v="516.48800000000006"/>
  </r>
  <r>
    <n v="949"/>
    <s v="US-2018-110576"/>
    <d v="2018-11-28T00:00:00"/>
    <x v="346"/>
    <s v="FAST"/>
    <s v="Standard Class"/>
    <s v="RB-19795"/>
    <s v="Ross Baird"/>
    <x v="2"/>
    <s v="United States"/>
    <s v="Philadelphia"/>
    <x v="9"/>
    <n v="19120"/>
    <x v="3"/>
    <s v="FUR-FU-10000576"/>
    <x v="0"/>
    <x v="5"/>
    <x v="216"/>
    <n v="1007.232"/>
  </r>
  <r>
    <n v="950"/>
    <s v="US-2018-110576"/>
    <d v="2018-11-28T00:00:00"/>
    <x v="346"/>
    <s v="FAST"/>
    <s v="Standard Class"/>
    <s v="RB-19795"/>
    <s v="Ross Baird"/>
    <x v="2"/>
    <s v="United States"/>
    <s v="Philadelphia"/>
    <x v="9"/>
    <n v="19120"/>
    <x v="3"/>
    <s v="FUR-TA-10004154"/>
    <x v="0"/>
    <x v="3"/>
    <x v="724"/>
    <n v="2065.3200000000002"/>
  </r>
  <r>
    <n v="951"/>
    <s v="US-2018-110576"/>
    <d v="2018-11-28T00:00:00"/>
    <x v="346"/>
    <s v="FAST"/>
    <s v="Standard Class"/>
    <s v="RB-19795"/>
    <s v="Ross Baird"/>
    <x v="2"/>
    <s v="United States"/>
    <s v="Philadelphia"/>
    <x v="9"/>
    <n v="19120"/>
    <x v="3"/>
    <s v="OFF-PA-10000788"/>
    <x v="1"/>
    <x v="10"/>
    <x v="725"/>
    <n v="15.552"/>
  </r>
  <r>
    <n v="952"/>
    <s v="US-2018-110576"/>
    <d v="2018-11-28T00:00:00"/>
    <x v="346"/>
    <s v="FAST"/>
    <s v="Standard Class"/>
    <s v="RB-19795"/>
    <s v="Ross Baird"/>
    <x v="2"/>
    <s v="United States"/>
    <s v="Philadelphia"/>
    <x v="9"/>
    <n v="19120"/>
    <x v="3"/>
    <s v="OFF-PA-10002479"/>
    <x v="1"/>
    <x v="10"/>
    <x v="214"/>
    <n v="25.344000000000001"/>
  </r>
  <r>
    <n v="953"/>
    <s v="CA-2018-131156"/>
    <d v="2018-04-03T00:00:00"/>
    <x v="375"/>
    <s v="FAST"/>
    <s v="Standard Class"/>
    <s v="KH-16360"/>
    <s v="Katherine Hughes"/>
    <x v="0"/>
    <s v="United States"/>
    <s v="Philadelphia"/>
    <x v="9"/>
    <n v="19143"/>
    <x v="3"/>
    <s v="FUR-FU-10001940"/>
    <x v="0"/>
    <x v="5"/>
    <x v="217"/>
    <n v="25.472000000000001"/>
  </r>
  <r>
    <n v="954"/>
    <s v="CA-2018-136539"/>
    <d v="2018-12-28T00:00:00"/>
    <x v="376"/>
    <s v="FAST"/>
    <s v="Standard Class"/>
    <s v="GH-14665"/>
    <s v="Greg Hansen"/>
    <x v="0"/>
    <s v="United States"/>
    <s v="Round Rock"/>
    <x v="5"/>
    <n v="78664"/>
    <x v="2"/>
    <s v="OFF-AR-10001958"/>
    <x v="1"/>
    <x v="6"/>
    <x v="203"/>
    <n v="27.167999999999999"/>
  </r>
  <r>
    <n v="955"/>
    <s v="CA-2018-136539"/>
    <d v="2018-12-28T00:00:00"/>
    <x v="376"/>
    <s v="FAST"/>
    <s v="Standard Class"/>
    <s v="GH-14665"/>
    <s v="Greg Hansen"/>
    <x v="0"/>
    <s v="United States"/>
    <s v="Round Rock"/>
    <x v="5"/>
    <n v="78664"/>
    <x v="2"/>
    <s v="FUR-BO-10004709"/>
    <x v="0"/>
    <x v="0"/>
    <x v="261"/>
    <n v="78.852800000000002"/>
  </r>
  <r>
    <n v="956"/>
    <s v="CA-2018-119305"/>
    <d v="2018-11-30T00:00:00"/>
    <x v="377"/>
    <s v="FAST"/>
    <s v="Standard Class"/>
    <s v="SW-20275"/>
    <s v="Scott Williamson"/>
    <x v="0"/>
    <s v="United States"/>
    <s v="Jackson"/>
    <x v="35"/>
    <n v="39212"/>
    <x v="0"/>
    <s v="OFF-ST-10000604"/>
    <x v="1"/>
    <x v="4"/>
    <x v="53"/>
    <n v="173.8"/>
  </r>
  <r>
    <n v="957"/>
    <s v="CA-2018-102414"/>
    <d v="2018-05-15T00:00:00"/>
    <x v="378"/>
    <s v="SLOW"/>
    <s v="Second Class"/>
    <s v="JA-15970"/>
    <s v="Joseph Airdo"/>
    <x v="0"/>
    <s v="United States"/>
    <s v="Phoenix"/>
    <x v="16"/>
    <n v="85023"/>
    <x v="1"/>
    <s v="TEC-PH-10002923"/>
    <x v="2"/>
    <x v="7"/>
    <x v="674"/>
    <n v="29.591999999999999"/>
  </r>
  <r>
    <n v="958"/>
    <s v="CA-2018-102414"/>
    <d v="2018-05-15T00:00:00"/>
    <x v="378"/>
    <s v="SLOW"/>
    <s v="Second Class"/>
    <s v="JA-15970"/>
    <s v="Joseph Airdo"/>
    <x v="0"/>
    <s v="United States"/>
    <s v="Phoenix"/>
    <x v="16"/>
    <n v="85023"/>
    <x v="1"/>
    <s v="OFF-BI-10004465"/>
    <x v="1"/>
    <x v="8"/>
    <x v="726"/>
    <n v="4.7519999999999998"/>
  </r>
  <r>
    <n v="959"/>
    <s v="CA-2018-102414"/>
    <d v="2018-05-15T00:00:00"/>
    <x v="378"/>
    <s v="SLOW"/>
    <s v="Second Class"/>
    <s v="JA-15970"/>
    <s v="Joseph Airdo"/>
    <x v="0"/>
    <s v="United States"/>
    <s v="Phoenix"/>
    <x v="16"/>
    <n v="85023"/>
    <x v="1"/>
    <s v="OFF-PA-10002333"/>
    <x v="1"/>
    <x v="10"/>
    <x v="727"/>
    <n v="15.552"/>
  </r>
  <r>
    <n v="960"/>
    <s v="CA-2016-112571"/>
    <d v="2016-09-22T00:00:00"/>
    <x v="237"/>
    <s v="MODERATE"/>
    <s v="Same Day"/>
    <s v="DL-12925"/>
    <s v="Daniel Lacy"/>
    <x v="0"/>
    <s v="United States"/>
    <s v="Oceanside"/>
    <x v="1"/>
    <n v="92054"/>
    <x v="1"/>
    <s v="FUR-FU-10004188"/>
    <x v="0"/>
    <x v="5"/>
    <x v="728"/>
    <n v="204.6"/>
  </r>
  <r>
    <n v="961"/>
    <s v="CA-2018-152142"/>
    <d v="2018-11-14T00:00:00"/>
    <x v="379"/>
    <s v="FAST"/>
    <s v="Standard Class"/>
    <s v="LW-16990"/>
    <s v="Lindsay Williams"/>
    <x v="1"/>
    <s v="United States"/>
    <s v="San Francisco"/>
    <x v="1"/>
    <n v="94110"/>
    <x v="1"/>
    <s v="FUR-CH-10002965"/>
    <x v="0"/>
    <x v="1"/>
    <x v="224"/>
    <n v="321.56799999999998"/>
  </r>
  <r>
    <n v="962"/>
    <s v="CA-2016-160059"/>
    <d v="2016-11-27T00:00:00"/>
    <x v="380"/>
    <s v="FAST"/>
    <s v="Standard Class"/>
    <s v="TB-21190"/>
    <s v="Thomas Brumley"/>
    <x v="2"/>
    <s v="United States"/>
    <s v="Fayetteville"/>
    <x v="36"/>
    <n v="72701"/>
    <x v="0"/>
    <s v="OFF-BI-10000145"/>
    <x v="1"/>
    <x v="8"/>
    <x v="729"/>
    <n v="6.24"/>
  </r>
  <r>
    <n v="963"/>
    <s v="CA-2017-120859"/>
    <d v="2017-09-01T00:00:00"/>
    <x v="381"/>
    <s v="MODERATE"/>
    <s v="First Class"/>
    <s v="CV-12805"/>
    <s v="Cynthia Voltz"/>
    <x v="1"/>
    <s v="United States"/>
    <s v="San Francisco"/>
    <x v="1"/>
    <n v="94110"/>
    <x v="1"/>
    <s v="OFF-EN-10001335"/>
    <x v="1"/>
    <x v="12"/>
    <x v="457"/>
    <n v="21.88"/>
  </r>
  <r>
    <n v="964"/>
    <s v="CA-2015-127488"/>
    <d v="2015-09-22T00:00:00"/>
    <x v="130"/>
    <s v="SLOW"/>
    <s v="Second Class"/>
    <s v="MS-17365"/>
    <s v="Maribeth Schnelling"/>
    <x v="0"/>
    <s v="United States"/>
    <s v="Boca Raton"/>
    <x v="2"/>
    <n v="33433"/>
    <x v="0"/>
    <s v="OFF-LA-10001613"/>
    <x v="1"/>
    <x v="2"/>
    <x v="730"/>
    <n v="4.6079999999999997"/>
  </r>
  <r>
    <n v="965"/>
    <s v="CA-2018-135279"/>
    <d v="2018-04-09T00:00:00"/>
    <x v="382"/>
    <s v="MODERATE"/>
    <s v="First Class"/>
    <s v="BS-11800"/>
    <s v="Bryan Spruell"/>
    <x v="2"/>
    <s v="United States"/>
    <s v="New York City"/>
    <x v="15"/>
    <n v="10011"/>
    <x v="3"/>
    <s v="OFF-LA-10004055"/>
    <x v="1"/>
    <x v="2"/>
    <x v="731"/>
    <n v="9.82"/>
  </r>
  <r>
    <n v="966"/>
    <s v="CA-2018-135279"/>
    <d v="2018-04-09T00:00:00"/>
    <x v="382"/>
    <s v="MODERATE"/>
    <s v="First Class"/>
    <s v="BS-11800"/>
    <s v="Bryan Spruell"/>
    <x v="2"/>
    <s v="United States"/>
    <s v="New York City"/>
    <x v="15"/>
    <n v="10011"/>
    <x v="3"/>
    <s v="OFF-AR-10004344"/>
    <x v="1"/>
    <x v="6"/>
    <x v="362"/>
    <n v="35.97"/>
  </r>
  <r>
    <n v="967"/>
    <s v="CA-2018-135279"/>
    <d v="2018-04-09T00:00:00"/>
    <x v="382"/>
    <s v="MODERATE"/>
    <s v="First Class"/>
    <s v="BS-11800"/>
    <s v="Bryan Spruell"/>
    <x v="2"/>
    <s v="United States"/>
    <s v="New York City"/>
    <x v="15"/>
    <n v="10011"/>
    <x v="3"/>
    <s v="OFF-PA-10004621"/>
    <x v="1"/>
    <x v="10"/>
    <x v="732"/>
    <n v="12.96"/>
  </r>
  <r>
    <n v="968"/>
    <s v="CA-2018-135279"/>
    <d v="2018-04-09T00:00:00"/>
    <x v="382"/>
    <s v="MODERATE"/>
    <s v="First Class"/>
    <s v="BS-11800"/>
    <s v="Bryan Spruell"/>
    <x v="2"/>
    <s v="United States"/>
    <s v="New York City"/>
    <x v="15"/>
    <n v="10011"/>
    <x v="3"/>
    <s v="OFF-PA-10001281"/>
    <x v="1"/>
    <x v="10"/>
    <x v="733"/>
    <n v="191.6"/>
  </r>
  <r>
    <n v="969"/>
    <s v="CA-2018-135279"/>
    <d v="2018-04-09T00:00:00"/>
    <x v="382"/>
    <s v="MODERATE"/>
    <s v="First Class"/>
    <s v="BS-11800"/>
    <s v="Bryan Spruell"/>
    <x v="2"/>
    <s v="United States"/>
    <s v="New York City"/>
    <x v="15"/>
    <n v="10011"/>
    <x v="3"/>
    <s v="OFF-LA-10001613"/>
    <x v="1"/>
    <x v="2"/>
    <x v="730"/>
    <n v="8.64"/>
  </r>
  <r>
    <n v="970"/>
    <s v="CA-2018-135279"/>
    <d v="2018-04-09T00:00:00"/>
    <x v="382"/>
    <s v="MODERATE"/>
    <s v="First Class"/>
    <s v="BS-11800"/>
    <s v="Bryan Spruell"/>
    <x v="2"/>
    <s v="United States"/>
    <s v="New York City"/>
    <x v="15"/>
    <n v="10011"/>
    <x v="3"/>
    <s v="OFF-ST-10001097"/>
    <x v="1"/>
    <x v="4"/>
    <x v="734"/>
    <n v="501.81"/>
  </r>
  <r>
    <n v="971"/>
    <s v="CA-2015-115791"/>
    <d v="2015-01-16T00:00:00"/>
    <x v="383"/>
    <s v="SLOW"/>
    <s v="Second Class"/>
    <s v="DL-13315"/>
    <s v="Delfina Latchford"/>
    <x v="0"/>
    <s v="United States"/>
    <s v="Philadelphia"/>
    <x v="9"/>
    <n v="19134"/>
    <x v="3"/>
    <s v="FUR-FU-10001095"/>
    <x v="0"/>
    <x v="5"/>
    <x v="735"/>
    <n v="127.104"/>
  </r>
  <r>
    <n v="972"/>
    <s v="CA-2015-115791"/>
    <d v="2015-01-16T00:00:00"/>
    <x v="383"/>
    <s v="SLOW"/>
    <s v="Second Class"/>
    <s v="DL-13315"/>
    <s v="Delfina Latchford"/>
    <x v="0"/>
    <s v="United States"/>
    <s v="Philadelphia"/>
    <x v="9"/>
    <n v="19134"/>
    <x v="3"/>
    <s v="TEC-PH-10004614"/>
    <x v="2"/>
    <x v="7"/>
    <x v="297"/>
    <n v="124.2"/>
  </r>
  <r>
    <n v="973"/>
    <s v="CA-2015-115791"/>
    <d v="2015-01-16T00:00:00"/>
    <x v="383"/>
    <s v="SLOW"/>
    <s v="Second Class"/>
    <s v="DL-13315"/>
    <s v="Delfina Latchford"/>
    <x v="0"/>
    <s v="United States"/>
    <s v="Philadelphia"/>
    <x v="9"/>
    <n v="19134"/>
    <x v="3"/>
    <s v="OFF-BI-10001575"/>
    <x v="1"/>
    <x v="8"/>
    <x v="571"/>
    <n v="18.588000000000001"/>
  </r>
  <r>
    <n v="974"/>
    <s v="CA-2015-115791"/>
    <d v="2015-01-16T00:00:00"/>
    <x v="383"/>
    <s v="SLOW"/>
    <s v="Second Class"/>
    <s v="DL-13315"/>
    <s v="Delfina Latchford"/>
    <x v="0"/>
    <s v="United States"/>
    <s v="Philadelphia"/>
    <x v="9"/>
    <n v="19134"/>
    <x v="3"/>
    <s v="OFF-LA-10001074"/>
    <x v="1"/>
    <x v="2"/>
    <x v="295"/>
    <n v="30.071999999999999"/>
  </r>
  <r>
    <n v="975"/>
    <s v="US-2018-103247"/>
    <d v="2018-10-05T00:00:00"/>
    <x v="178"/>
    <s v="SLOW"/>
    <s v="Second Class"/>
    <s v="PO-19195"/>
    <s v="Phillina Ober"/>
    <x v="2"/>
    <s v="United States"/>
    <s v="New York City"/>
    <x v="15"/>
    <n v="10011"/>
    <x v="3"/>
    <s v="TEC-PH-10003555"/>
    <x v="2"/>
    <x v="7"/>
    <x v="452"/>
    <n v="160.93"/>
  </r>
  <r>
    <n v="976"/>
    <s v="US-2018-103247"/>
    <d v="2018-10-05T00:00:00"/>
    <x v="178"/>
    <s v="SLOW"/>
    <s v="Second Class"/>
    <s v="PO-19195"/>
    <s v="Phillina Ober"/>
    <x v="2"/>
    <s v="United States"/>
    <s v="New York City"/>
    <x v="15"/>
    <n v="10011"/>
    <x v="3"/>
    <s v="OFF-BI-10004492"/>
    <x v="1"/>
    <x v="8"/>
    <x v="344"/>
    <n v="75.792000000000002"/>
  </r>
  <r>
    <n v="977"/>
    <s v="US-2018-100209"/>
    <d v="2018-07-09T00:00:00"/>
    <x v="384"/>
    <s v="FAST"/>
    <s v="Standard Class"/>
    <s v="TD-20995"/>
    <s v="Tamara Dahlen"/>
    <x v="0"/>
    <s v="United States"/>
    <s v="Portland"/>
    <x v="21"/>
    <n v="97206"/>
    <x v="1"/>
    <s v="OFF-BI-10002012"/>
    <x v="1"/>
    <x v="8"/>
    <x v="736"/>
    <n v="1.08"/>
  </r>
  <r>
    <n v="978"/>
    <s v="CA-2018-159366"/>
    <d v="2018-01-07T00:00:00"/>
    <x v="385"/>
    <s v="MODERATE"/>
    <s v="First Class"/>
    <s v="BW-11110"/>
    <s v="Bart Watters"/>
    <x v="1"/>
    <s v="United States"/>
    <s v="Detroit"/>
    <x v="12"/>
    <n v="48205"/>
    <x v="2"/>
    <s v="TEC-MA-10000822"/>
    <x v="2"/>
    <x v="15"/>
    <x v="152"/>
    <n v="3059.982"/>
  </r>
  <r>
    <n v="979"/>
    <s v="CA-2017-145499"/>
    <d v="2017-05-30T00:00:00"/>
    <x v="386"/>
    <s v="MODERATE"/>
    <s v="First Class"/>
    <s v="RW-19690"/>
    <s v="Robert Waldorf"/>
    <x v="0"/>
    <s v="United States"/>
    <s v="Wilmington"/>
    <x v="3"/>
    <n v="28403"/>
    <x v="0"/>
    <s v="OFF-BI-10000848"/>
    <x v="1"/>
    <x v="8"/>
    <x v="510"/>
    <n v="3.282"/>
  </r>
  <r>
    <n v="980"/>
    <s v="CA-2016-157035"/>
    <d v="2016-12-09T00:00:00"/>
    <x v="387"/>
    <s v="MODERATE"/>
    <s v="First Class"/>
    <s v="KB-16600"/>
    <s v="Ken Brennan"/>
    <x v="1"/>
    <s v="United States"/>
    <s v="Columbus"/>
    <x v="14"/>
    <n v="47201"/>
    <x v="2"/>
    <s v="OFF-PA-10004156"/>
    <x v="1"/>
    <x v="10"/>
    <x v="737"/>
    <n v="34.020000000000003"/>
  </r>
  <r>
    <n v="981"/>
    <s v="CA-2017-144939"/>
    <d v="2017-10-03T00:00:00"/>
    <x v="388"/>
    <s v="FAST"/>
    <s v="Standard Class"/>
    <s v="EB-13870"/>
    <s v="Emily Burns"/>
    <x v="0"/>
    <s v="United States"/>
    <s v="New York City"/>
    <x v="15"/>
    <n v="10035"/>
    <x v="3"/>
    <s v="FUR-CH-10003199"/>
    <x v="0"/>
    <x v="1"/>
    <x v="624"/>
    <n v="599.29200000000003"/>
  </r>
  <r>
    <n v="982"/>
    <s v="CA-2015-163419"/>
    <d v="2015-11-11T00:00:00"/>
    <x v="389"/>
    <s v="SLOW"/>
    <s v="Second Class"/>
    <s v="TZ-21580"/>
    <s v="Tracy Zic"/>
    <x v="0"/>
    <s v="United States"/>
    <s v="Louisville"/>
    <x v="22"/>
    <n v="80027"/>
    <x v="1"/>
    <s v="OFF-AR-10000034"/>
    <x v="1"/>
    <x v="6"/>
    <x v="738"/>
    <n v="3.3919999999999999"/>
  </r>
  <r>
    <n v="983"/>
    <s v="CA-2015-163419"/>
    <d v="2015-11-11T00:00:00"/>
    <x v="389"/>
    <s v="SLOW"/>
    <s v="Second Class"/>
    <s v="TZ-21580"/>
    <s v="Tracy Zic"/>
    <x v="0"/>
    <s v="United States"/>
    <s v="Louisville"/>
    <x v="22"/>
    <n v="80027"/>
    <x v="1"/>
    <s v="TEC-PH-10000560"/>
    <x v="2"/>
    <x v="7"/>
    <x v="739"/>
    <n v="559.98400000000004"/>
  </r>
  <r>
    <n v="984"/>
    <s v="CA-2015-163419"/>
    <d v="2015-11-11T00:00:00"/>
    <x v="389"/>
    <s v="SLOW"/>
    <s v="Second Class"/>
    <s v="TZ-21580"/>
    <s v="Tracy Zic"/>
    <x v="0"/>
    <s v="United States"/>
    <s v="Louisville"/>
    <x v="22"/>
    <n v="80027"/>
    <x v="1"/>
    <s v="FUR-CH-10000665"/>
    <x v="0"/>
    <x v="1"/>
    <x v="649"/>
    <n v="603.91999999999996"/>
  </r>
  <r>
    <n v="985"/>
    <s v="CA-2018-100314"/>
    <d v="2018-09-29T00:00:00"/>
    <x v="390"/>
    <s v="FAST"/>
    <s v="Standard Class"/>
    <s v="AS-10630"/>
    <s v="Ann Steele"/>
    <x v="2"/>
    <s v="United States"/>
    <s v="Pasadena"/>
    <x v="5"/>
    <n v="77506"/>
    <x v="2"/>
    <s v="OFF-LA-10001569"/>
    <x v="1"/>
    <x v="2"/>
    <x v="626"/>
    <n v="7.968"/>
  </r>
  <r>
    <n v="987"/>
    <s v="CA-2018-100314"/>
    <d v="2018-09-29T00:00:00"/>
    <x v="390"/>
    <s v="FAST"/>
    <s v="Standard Class"/>
    <s v="AS-10630"/>
    <s v="Ann Steele"/>
    <x v="2"/>
    <s v="United States"/>
    <s v="Pasadena"/>
    <x v="5"/>
    <n v="77506"/>
    <x v="2"/>
    <s v="TEC-MA-10003066"/>
    <x v="2"/>
    <x v="15"/>
    <x v="740"/>
    <n v="336.51"/>
  </r>
  <r>
    <n v="988"/>
    <s v="CA-2016-146829"/>
    <d v="2016-03-10T00:00:00"/>
    <x v="391"/>
    <s v="MODERATE"/>
    <s v="Same Day"/>
    <s v="TS-21340"/>
    <s v="Toby Swindell"/>
    <x v="0"/>
    <s v="United States"/>
    <s v="Houston"/>
    <x v="5"/>
    <n v="77041"/>
    <x v="2"/>
    <s v="OFF-BI-10004022"/>
    <x v="1"/>
    <x v="8"/>
    <x v="741"/>
    <n v="1.1120000000000001"/>
  </r>
  <r>
    <n v="989"/>
    <s v="CA-2018-167899"/>
    <d v="2018-05-21T00:00:00"/>
    <x v="392"/>
    <s v="FAST"/>
    <s v="Standard Class"/>
    <s v="JG-15805"/>
    <s v="John Grady"/>
    <x v="1"/>
    <s v="United States"/>
    <s v="Auburn"/>
    <x v="15"/>
    <n v="13021"/>
    <x v="3"/>
    <s v="FUR-FU-10004071"/>
    <x v="0"/>
    <x v="5"/>
    <x v="564"/>
    <n v="520.04999999999995"/>
  </r>
  <r>
    <n v="990"/>
    <s v="CA-2018-167899"/>
    <d v="2018-05-21T00:00:00"/>
    <x v="392"/>
    <s v="FAST"/>
    <s v="Standard Class"/>
    <s v="JG-15805"/>
    <s v="John Grady"/>
    <x v="1"/>
    <s v="United States"/>
    <s v="Auburn"/>
    <x v="15"/>
    <n v="13021"/>
    <x v="3"/>
    <s v="OFF-AR-10001988"/>
    <x v="1"/>
    <x v="6"/>
    <x v="742"/>
    <n v="17.97"/>
  </r>
  <r>
    <n v="991"/>
    <s v="CA-2016-153549"/>
    <d v="2016-03-29T00:00:00"/>
    <x v="393"/>
    <s v="SLOW"/>
    <s v="Second Class"/>
    <s v="SL-20155"/>
    <s v="Sara Luxemburg"/>
    <x v="2"/>
    <s v="United States"/>
    <s v="Jacksonville"/>
    <x v="2"/>
    <n v="32216"/>
    <x v="0"/>
    <s v="FUR-CH-10004086"/>
    <x v="0"/>
    <x v="1"/>
    <x v="279"/>
    <n v="1166.92"/>
  </r>
  <r>
    <n v="992"/>
    <s v="CA-2017-110023"/>
    <d v="2017-09-09T00:00:00"/>
    <x v="46"/>
    <s v="MODERATE"/>
    <s v="First Class"/>
    <s v="TS-21610"/>
    <s v="Troy Staebel"/>
    <x v="0"/>
    <s v="United States"/>
    <s v="New York City"/>
    <x v="15"/>
    <n v="10024"/>
    <x v="3"/>
    <s v="OFF-BI-10001036"/>
    <x v="1"/>
    <x v="8"/>
    <x v="611"/>
    <n v="14.624000000000001"/>
  </r>
  <r>
    <n v="993"/>
    <s v="CA-2017-105585"/>
    <d v="2017-08-26T00:00:00"/>
    <x v="394"/>
    <s v="MODERATE"/>
    <s v="First Class"/>
    <s v="RF-19735"/>
    <s v="Roland Fjeld"/>
    <x v="0"/>
    <s v="United States"/>
    <s v="San Jose"/>
    <x v="1"/>
    <n v="95123"/>
    <x v="1"/>
    <s v="OFF-FA-10002983"/>
    <x v="1"/>
    <x v="13"/>
    <x v="258"/>
    <n v="10.23"/>
  </r>
  <r>
    <n v="994"/>
    <s v="CA-2017-105585"/>
    <d v="2017-08-26T00:00:00"/>
    <x v="394"/>
    <s v="MODERATE"/>
    <s v="First Class"/>
    <s v="RF-19735"/>
    <s v="Roland Fjeld"/>
    <x v="0"/>
    <s v="United States"/>
    <s v="San Jose"/>
    <x v="1"/>
    <n v="95123"/>
    <x v="1"/>
    <s v="OFF-PA-10003625"/>
    <x v="1"/>
    <x v="10"/>
    <x v="743"/>
    <n v="154.9"/>
  </r>
  <r>
    <n v="995"/>
    <s v="CA-2015-117639"/>
    <d v="2015-05-21T00:00:00"/>
    <x v="395"/>
    <s v="FAST"/>
    <s v="Standard Class"/>
    <s v="MW-18235"/>
    <s v="Mitch Willingham"/>
    <x v="1"/>
    <s v="United States"/>
    <s v="Virginia Beach"/>
    <x v="17"/>
    <n v="23464"/>
    <x v="0"/>
    <s v="OFF-BI-10003925"/>
    <x v="1"/>
    <x v="8"/>
    <x v="744"/>
    <n v="2715.93"/>
  </r>
  <r>
    <n v="996"/>
    <s v="CA-2015-117639"/>
    <d v="2015-05-21T00:00:00"/>
    <x v="395"/>
    <s v="FAST"/>
    <s v="Standard Class"/>
    <s v="MW-18235"/>
    <s v="Mitch Willingham"/>
    <x v="1"/>
    <s v="United States"/>
    <s v="Virginia Beach"/>
    <x v="17"/>
    <n v="23464"/>
    <x v="0"/>
    <s v="TEC-PH-10001530"/>
    <x v="2"/>
    <x v="7"/>
    <x v="745"/>
    <n v="617.97"/>
  </r>
  <r>
    <n v="997"/>
    <s v="CA-2016-162537"/>
    <d v="2016-10-28T00:00:00"/>
    <x v="396"/>
    <s v="FAST"/>
    <s v="Standard Class"/>
    <s v="RD-19585"/>
    <s v="Rob Dowd"/>
    <x v="0"/>
    <s v="United States"/>
    <s v="Henderson"/>
    <x v="0"/>
    <n v="42420"/>
    <x v="0"/>
    <s v="OFF-EN-10003862"/>
    <x v="1"/>
    <x v="12"/>
    <x v="746"/>
    <n v="10.67"/>
  </r>
  <r>
    <n v="998"/>
    <s v="CA-2016-162537"/>
    <d v="2016-10-28T00:00:00"/>
    <x v="396"/>
    <s v="FAST"/>
    <s v="Standard Class"/>
    <s v="RD-19585"/>
    <s v="Rob Dowd"/>
    <x v="0"/>
    <s v="United States"/>
    <s v="Henderson"/>
    <x v="0"/>
    <n v="42420"/>
    <x v="0"/>
    <s v="OFF-ST-10004258"/>
    <x v="1"/>
    <x v="4"/>
    <x v="747"/>
    <n v="36.630000000000003"/>
  </r>
  <r>
    <n v="999"/>
    <s v="CA-2016-162537"/>
    <d v="2016-10-28T00:00:00"/>
    <x v="396"/>
    <s v="FAST"/>
    <s v="Standard Class"/>
    <s v="RD-19585"/>
    <s v="Rob Dowd"/>
    <x v="0"/>
    <s v="United States"/>
    <s v="Henderson"/>
    <x v="0"/>
    <n v="42420"/>
    <x v="0"/>
    <s v="FUR-FU-10002885"/>
    <x v="0"/>
    <x v="5"/>
    <x v="748"/>
    <n v="24.1"/>
  </r>
  <r>
    <n v="1000"/>
    <s v="CA-2016-162537"/>
    <d v="2016-10-28T00:00:00"/>
    <x v="396"/>
    <s v="FAST"/>
    <s v="Standard Class"/>
    <s v="RD-19585"/>
    <s v="Rob Dowd"/>
    <x v="0"/>
    <s v="United States"/>
    <s v="Henderson"/>
    <x v="0"/>
    <n v="42420"/>
    <x v="0"/>
    <s v="FUR-FU-10001918"/>
    <x v="0"/>
    <x v="5"/>
    <x v="278"/>
    <n v="33.11"/>
  </r>
  <r>
    <n v="1001"/>
    <s v="CA-2017-155488"/>
    <d v="2017-11-13T00:00:00"/>
    <x v="397"/>
    <s v="FAST"/>
    <s v="Standard Class"/>
    <s v="FM-14290"/>
    <s v="Frank Merwin"/>
    <x v="2"/>
    <s v="United States"/>
    <s v="Vancouver"/>
    <x v="4"/>
    <n v="98661"/>
    <x v="1"/>
    <s v="OFF-AR-10002956"/>
    <x v="1"/>
    <x v="6"/>
    <x v="653"/>
    <n v="44.02"/>
  </r>
  <r>
    <n v="1002"/>
    <s v="CA-2016-124891"/>
    <d v="2016-07-31T00:00:00"/>
    <x v="115"/>
    <s v="MODERATE"/>
    <s v="Same Day"/>
    <s v="RH-19495"/>
    <s v="Rick Hansen"/>
    <x v="0"/>
    <s v="United States"/>
    <s v="New York City"/>
    <x v="15"/>
    <n v="10024"/>
    <x v="3"/>
    <s v="TEC-AC-10003033"/>
    <x v="2"/>
    <x v="11"/>
    <x v="749"/>
    <n v="2309.65"/>
  </r>
  <r>
    <n v="1003"/>
    <s v="CA-2016-124891"/>
    <d v="2016-07-31T00:00:00"/>
    <x v="115"/>
    <s v="MODERATE"/>
    <s v="Same Day"/>
    <s v="RH-19495"/>
    <s v="Rick Hansen"/>
    <x v="0"/>
    <s v="United States"/>
    <s v="New York City"/>
    <x v="15"/>
    <n v="10024"/>
    <x v="3"/>
    <s v="FUR-TA-10002903"/>
    <x v="0"/>
    <x v="3"/>
    <x v="253"/>
    <n v="1090.7819999999999"/>
  </r>
  <r>
    <n v="1004"/>
    <s v="CA-2016-124891"/>
    <d v="2016-07-31T00:00:00"/>
    <x v="115"/>
    <s v="MODERATE"/>
    <s v="Same Day"/>
    <s v="RH-19495"/>
    <s v="Rick Hansen"/>
    <x v="0"/>
    <s v="United States"/>
    <s v="New York City"/>
    <x v="15"/>
    <n v="10024"/>
    <x v="3"/>
    <s v="OFF-PA-10004621"/>
    <x v="1"/>
    <x v="10"/>
    <x v="732"/>
    <n v="19.440000000000001"/>
  </r>
  <r>
    <n v="1005"/>
    <s v="CA-2016-126445"/>
    <d v="2016-08-27T00:00:00"/>
    <x v="398"/>
    <s v="FAST"/>
    <s v="Standard Class"/>
    <s v="RA-19945"/>
    <s v="Ryan Akin"/>
    <x v="0"/>
    <s v="United States"/>
    <s v="Murrieta"/>
    <x v="1"/>
    <n v="92563"/>
    <x v="1"/>
    <s v="OFF-ST-10000046"/>
    <x v="1"/>
    <x v="4"/>
    <x v="750"/>
    <n v="484.65"/>
  </r>
  <r>
    <n v="1006"/>
    <s v="CA-2016-111199"/>
    <d v="2016-11-13T00:00:00"/>
    <x v="49"/>
    <s v="FAST"/>
    <s v="Standard Class"/>
    <s v="JK-15730"/>
    <s v="Joe Kamberova"/>
    <x v="0"/>
    <s v="United States"/>
    <s v="Jacksonville"/>
    <x v="3"/>
    <n v="28540"/>
    <x v="0"/>
    <s v="OFF-PA-10001790"/>
    <x v="1"/>
    <x v="10"/>
    <x v="681"/>
    <n v="115.29600000000001"/>
  </r>
  <r>
    <n v="1007"/>
    <s v="CA-2016-105312"/>
    <d v="2016-11-06T00:00:00"/>
    <x v="216"/>
    <s v="MODERATE"/>
    <s v="First Class"/>
    <s v="MT-17815"/>
    <s v="Meg Tillman"/>
    <x v="0"/>
    <s v="United States"/>
    <s v="Scottsdale"/>
    <x v="16"/>
    <n v="85254"/>
    <x v="1"/>
    <s v="OFF-EN-10002600"/>
    <x v="1"/>
    <x v="12"/>
    <x v="107"/>
    <n v="7.08"/>
  </r>
  <r>
    <n v="1008"/>
    <s v="CA-2016-105312"/>
    <d v="2016-11-06T00:00:00"/>
    <x v="216"/>
    <s v="MODERATE"/>
    <s v="First Class"/>
    <s v="MT-17815"/>
    <s v="Meg Tillman"/>
    <x v="0"/>
    <s v="United States"/>
    <s v="Scottsdale"/>
    <x v="16"/>
    <n v="85254"/>
    <x v="1"/>
    <s v="OFF-BI-10002049"/>
    <x v="1"/>
    <x v="8"/>
    <x v="751"/>
    <n v="4.4009999999999998"/>
  </r>
  <r>
    <n v="1009"/>
    <s v="US-2018-106705"/>
    <d v="2018-12-26T00:00:00"/>
    <x v="376"/>
    <s v="FAST"/>
    <s v="Standard Class"/>
    <s v="PO-18850"/>
    <s v="Patrick O'Brill"/>
    <x v="0"/>
    <s v="United States"/>
    <s v="Burlington"/>
    <x v="23"/>
    <n v="52601"/>
    <x v="2"/>
    <s v="OFF-PA-10001509"/>
    <x v="1"/>
    <x v="10"/>
    <x v="412"/>
    <n v="44.75"/>
  </r>
  <r>
    <n v="1010"/>
    <s v="CA-2018-135034"/>
    <d v="2018-08-01T00:00:00"/>
    <x v="259"/>
    <s v="MODERATE"/>
    <s v="First Class"/>
    <s v="AT-10735"/>
    <s v="Annie Thurman"/>
    <x v="0"/>
    <s v="United States"/>
    <s v="Chicago"/>
    <x v="10"/>
    <n v="60653"/>
    <x v="2"/>
    <s v="TEC-PH-10003931"/>
    <x v="2"/>
    <x v="7"/>
    <x v="157"/>
    <n v="95.983999999999995"/>
  </r>
  <r>
    <n v="1011"/>
    <s v="CA-2015-158540"/>
    <d v="2015-11-24T00:00:00"/>
    <x v="157"/>
    <s v="MODERATE"/>
    <s v="First Class"/>
    <s v="VG-21790"/>
    <s v="Vivek Gonzalez"/>
    <x v="0"/>
    <s v="United States"/>
    <s v="San Diego"/>
    <x v="1"/>
    <n v="92037"/>
    <x v="1"/>
    <s v="FUR-FU-10001602"/>
    <x v="0"/>
    <x v="5"/>
    <x v="752"/>
    <n v="151.72"/>
  </r>
  <r>
    <n v="1012"/>
    <s v="CA-2018-118437"/>
    <d v="2018-06-17T00:00:00"/>
    <x v="326"/>
    <s v="SLOW"/>
    <s v="Second Class"/>
    <s v="PF-19165"/>
    <s v="Philip Fox"/>
    <x v="0"/>
    <s v="United States"/>
    <s v="Olympia"/>
    <x v="4"/>
    <n v="98502"/>
    <x v="1"/>
    <s v="FUR-FU-10004848"/>
    <x v="0"/>
    <x v="5"/>
    <x v="28"/>
    <n v="155.25"/>
  </r>
  <r>
    <n v="1013"/>
    <s v="CA-2018-118437"/>
    <d v="2018-06-17T00:00:00"/>
    <x v="326"/>
    <s v="SLOW"/>
    <s v="Second Class"/>
    <s v="PF-19165"/>
    <s v="Philip Fox"/>
    <x v="0"/>
    <s v="United States"/>
    <s v="Olympia"/>
    <x v="4"/>
    <n v="98502"/>
    <x v="1"/>
    <s v="OFF-ST-10003722"/>
    <x v="1"/>
    <x v="4"/>
    <x v="753"/>
    <n v="14.03"/>
  </r>
  <r>
    <n v="1014"/>
    <s v="US-2016-126214"/>
    <d v="2016-12-21T00:00:00"/>
    <x v="139"/>
    <s v="SLOW"/>
    <s v="Second Class"/>
    <s v="JS-15880"/>
    <s v="John Stevenson"/>
    <x v="0"/>
    <s v="United States"/>
    <s v="Seattle"/>
    <x v="4"/>
    <n v="98103"/>
    <x v="1"/>
    <s v="FUR-TA-10003748"/>
    <x v="0"/>
    <x v="3"/>
    <x v="205"/>
    <n v="1618.37"/>
  </r>
  <r>
    <n v="1015"/>
    <s v="US-2016-126214"/>
    <d v="2016-12-21T00:00:00"/>
    <x v="139"/>
    <s v="SLOW"/>
    <s v="Second Class"/>
    <s v="JS-15880"/>
    <s v="John Stevenson"/>
    <x v="0"/>
    <s v="United States"/>
    <s v="Seattle"/>
    <x v="4"/>
    <n v="98103"/>
    <x v="1"/>
    <s v="TEC-AC-10003198"/>
    <x v="2"/>
    <x v="11"/>
    <x v="754"/>
    <n v="99.6"/>
  </r>
  <r>
    <n v="1016"/>
    <s v="CA-2016-133025"/>
    <d v="2016-09-17T00:00:00"/>
    <x v="399"/>
    <s v="SLOW"/>
    <s v="Second Class"/>
    <s v="MO-17800"/>
    <s v="Meg O'Connel"/>
    <x v="2"/>
    <s v="United States"/>
    <s v="Los Angeles"/>
    <x v="1"/>
    <n v="90036"/>
    <x v="1"/>
    <s v="OFF-PA-10004100"/>
    <x v="1"/>
    <x v="10"/>
    <x v="255"/>
    <n v="32.4"/>
  </r>
  <r>
    <n v="1017"/>
    <s v="CA-2016-108665"/>
    <d v="2016-07-06T00:00:00"/>
    <x v="400"/>
    <s v="FAST"/>
    <s v="Standard Class"/>
    <s v="KM-16225"/>
    <s v="Kalyca Meade"/>
    <x v="1"/>
    <s v="United States"/>
    <s v="New York City"/>
    <x v="15"/>
    <n v="10011"/>
    <x v="3"/>
    <s v="FUR-FU-10002191"/>
    <x v="0"/>
    <x v="5"/>
    <x v="755"/>
    <n v="13.96"/>
  </r>
  <r>
    <n v="1018"/>
    <s v="CA-2016-108665"/>
    <d v="2016-07-06T00:00:00"/>
    <x v="400"/>
    <s v="FAST"/>
    <s v="Standard Class"/>
    <s v="KM-16225"/>
    <s v="Kalyca Meade"/>
    <x v="1"/>
    <s v="United States"/>
    <s v="New York City"/>
    <x v="15"/>
    <n v="10011"/>
    <x v="3"/>
    <s v="FUR-FU-10000965"/>
    <x v="0"/>
    <x v="5"/>
    <x v="676"/>
    <n v="155.82"/>
  </r>
  <r>
    <n v="1019"/>
    <s v="CA-2016-108665"/>
    <d v="2016-07-06T00:00:00"/>
    <x v="400"/>
    <s v="FAST"/>
    <s v="Standard Class"/>
    <s v="KM-16225"/>
    <s v="Kalyca Meade"/>
    <x v="1"/>
    <s v="United States"/>
    <s v="New York City"/>
    <x v="15"/>
    <n v="10011"/>
    <x v="3"/>
    <s v="TEC-PH-10004188"/>
    <x v="2"/>
    <x v="7"/>
    <x v="756"/>
    <n v="124.95"/>
  </r>
  <r>
    <n v="1020"/>
    <s v="CA-2016-108665"/>
    <d v="2016-07-06T00:00:00"/>
    <x v="400"/>
    <s v="FAST"/>
    <s v="Standard Class"/>
    <s v="KM-16225"/>
    <s v="Kalyca Meade"/>
    <x v="1"/>
    <s v="United States"/>
    <s v="New York City"/>
    <x v="15"/>
    <n v="10011"/>
    <x v="3"/>
    <s v="OFF-ST-10001526"/>
    <x v="1"/>
    <x v="4"/>
    <x v="757"/>
    <n v="601.65"/>
  </r>
  <r>
    <n v="1021"/>
    <s v="CA-2016-124450"/>
    <d v="2016-04-27T00:00:00"/>
    <x v="401"/>
    <s v="FAST"/>
    <s v="Standard Class"/>
    <s v="GT-14710"/>
    <s v="Greg Tran"/>
    <x v="0"/>
    <s v="United States"/>
    <s v="Washington"/>
    <x v="40"/>
    <n v="20016"/>
    <x v="3"/>
    <s v="OFF-AR-10001166"/>
    <x v="1"/>
    <x v="6"/>
    <x v="758"/>
    <n v="22.74"/>
  </r>
  <r>
    <n v="1022"/>
    <s v="CA-2016-124450"/>
    <d v="2016-04-27T00:00:00"/>
    <x v="401"/>
    <s v="FAST"/>
    <s v="Standard Class"/>
    <s v="GT-14710"/>
    <s v="Greg Tran"/>
    <x v="0"/>
    <s v="United States"/>
    <s v="Washington"/>
    <x v="40"/>
    <n v="20016"/>
    <x v="3"/>
    <s v="FUR-CH-10000309"/>
    <x v="0"/>
    <x v="1"/>
    <x v="759"/>
    <n v="1267.53"/>
  </r>
  <r>
    <n v="1023"/>
    <s v="CA-2016-124450"/>
    <d v="2016-04-27T00:00:00"/>
    <x v="401"/>
    <s v="FAST"/>
    <s v="Standard Class"/>
    <s v="GT-14710"/>
    <s v="Greg Tran"/>
    <x v="0"/>
    <s v="United States"/>
    <s v="Washington"/>
    <x v="40"/>
    <n v="20016"/>
    <x v="3"/>
    <s v="TEC-MA-10004212"/>
    <x v="2"/>
    <x v="15"/>
    <x v="760"/>
    <n v="1379.92"/>
  </r>
  <r>
    <n v="1024"/>
    <s v="CA-2016-167269"/>
    <d v="2016-06-16T00:00:00"/>
    <x v="402"/>
    <s v="FAST"/>
    <s v="Standard Class"/>
    <s v="PB-19150"/>
    <s v="Philip Brown"/>
    <x v="0"/>
    <s v="United States"/>
    <s v="Philadelphia"/>
    <x v="9"/>
    <n v="19134"/>
    <x v="3"/>
    <s v="OFF-EN-10003072"/>
    <x v="1"/>
    <x v="12"/>
    <x v="761"/>
    <n v="6.2080000000000002"/>
  </r>
  <r>
    <n v="1025"/>
    <s v="CA-2018-106964"/>
    <d v="2018-12-17T00:00:00"/>
    <x v="403"/>
    <s v="MODERATE"/>
    <s v="First Class"/>
    <s v="HR-14770"/>
    <s v="Hallie Redmond"/>
    <x v="2"/>
    <s v="United States"/>
    <s v="Los Angeles"/>
    <x v="1"/>
    <n v="90045"/>
    <x v="1"/>
    <s v="OFF-BI-10000320"/>
    <x v="1"/>
    <x v="8"/>
    <x v="762"/>
    <n v="11.808"/>
  </r>
  <r>
    <n v="1026"/>
    <s v="CA-2017-126529"/>
    <d v="2017-01-11T00:00:00"/>
    <x v="404"/>
    <s v="SLOW"/>
    <s v="Second Class"/>
    <s v="DE-13255"/>
    <s v="Deanra Eno"/>
    <x v="2"/>
    <s v="United States"/>
    <s v="Springfield"/>
    <x v="24"/>
    <n v="45503"/>
    <x v="3"/>
    <s v="OFF-PA-10001166"/>
    <x v="1"/>
    <x v="10"/>
    <x v="763"/>
    <n v="15.552"/>
  </r>
  <r>
    <n v="1027"/>
    <s v="CA-2017-126529"/>
    <d v="2017-01-11T00:00:00"/>
    <x v="404"/>
    <s v="SLOW"/>
    <s v="Second Class"/>
    <s v="DE-13255"/>
    <s v="Deanra Eno"/>
    <x v="2"/>
    <s v="United States"/>
    <s v="Springfield"/>
    <x v="24"/>
    <n v="45503"/>
    <x v="3"/>
    <s v="OFF-PA-10003656"/>
    <x v="1"/>
    <x v="10"/>
    <x v="764"/>
    <n v="63.311999999999998"/>
  </r>
  <r>
    <n v="1028"/>
    <s v="CA-2017-126529"/>
    <d v="2017-01-11T00:00:00"/>
    <x v="404"/>
    <s v="SLOW"/>
    <s v="Second Class"/>
    <s v="DE-13255"/>
    <s v="Deanra Eno"/>
    <x v="2"/>
    <s v="United States"/>
    <s v="Springfield"/>
    <x v="24"/>
    <n v="45503"/>
    <x v="3"/>
    <s v="TEC-PH-10000148"/>
    <x v="2"/>
    <x v="7"/>
    <x v="765"/>
    <n v="15.587999999999999"/>
  </r>
  <r>
    <n v="1029"/>
    <s v="CA-2015-163552"/>
    <d v="2015-07-11T00:00:00"/>
    <x v="405"/>
    <s v="FAST"/>
    <s v="Standard Class"/>
    <s v="LA-16780"/>
    <s v="Laura Armstrong"/>
    <x v="1"/>
    <s v="United States"/>
    <s v="Hackensack"/>
    <x v="30"/>
    <n v="7601"/>
    <x v="3"/>
    <s v="OFF-PA-10000474"/>
    <x v="1"/>
    <x v="10"/>
    <x v="33"/>
    <n v="177.2"/>
  </r>
  <r>
    <n v="1030"/>
    <s v="CA-2015-163552"/>
    <d v="2015-07-11T00:00:00"/>
    <x v="405"/>
    <s v="FAST"/>
    <s v="Standard Class"/>
    <s v="LA-16780"/>
    <s v="Laura Armstrong"/>
    <x v="1"/>
    <s v="United States"/>
    <s v="Hackensack"/>
    <x v="30"/>
    <n v="7601"/>
    <x v="3"/>
    <s v="TEC-PH-10003885"/>
    <x v="2"/>
    <x v="7"/>
    <x v="766"/>
    <n v="197.97"/>
  </r>
  <r>
    <n v="1031"/>
    <s v="CA-2015-163552"/>
    <d v="2015-07-11T00:00:00"/>
    <x v="405"/>
    <s v="FAST"/>
    <s v="Standard Class"/>
    <s v="LA-16780"/>
    <s v="Laura Armstrong"/>
    <x v="1"/>
    <s v="United States"/>
    <s v="Hackensack"/>
    <x v="30"/>
    <n v="7601"/>
    <x v="3"/>
    <s v="FUR-CH-10003379"/>
    <x v="0"/>
    <x v="1"/>
    <x v="454"/>
    <n v="854.94"/>
  </r>
  <r>
    <n v="1033"/>
    <s v="CA-2015-163552"/>
    <d v="2015-07-11T00:00:00"/>
    <x v="405"/>
    <s v="FAST"/>
    <s v="Standard Class"/>
    <s v="LA-16780"/>
    <s v="Laura Armstrong"/>
    <x v="1"/>
    <s v="United States"/>
    <s v="Hackensack"/>
    <x v="30"/>
    <n v="7601"/>
    <x v="3"/>
    <s v="OFF-LA-10001175"/>
    <x v="1"/>
    <x v="2"/>
    <x v="767"/>
    <n v="14.4"/>
  </r>
  <r>
    <n v="1034"/>
    <s v="CA-2017-109820"/>
    <d v="2017-11-20T00:00:00"/>
    <x v="406"/>
    <s v="MODERATE"/>
    <s v="First Class"/>
    <s v="AG-10390"/>
    <s v="Allen Goldenen"/>
    <x v="0"/>
    <s v="United States"/>
    <s v="Cincinnati"/>
    <x v="24"/>
    <n v="45231"/>
    <x v="3"/>
    <s v="OFF-PA-10000955"/>
    <x v="1"/>
    <x v="10"/>
    <x v="768"/>
    <n v="15.696"/>
  </r>
  <r>
    <n v="1035"/>
    <s v="CA-2017-109820"/>
    <d v="2017-11-20T00:00:00"/>
    <x v="406"/>
    <s v="MODERATE"/>
    <s v="First Class"/>
    <s v="AG-10390"/>
    <s v="Allen Goldenen"/>
    <x v="0"/>
    <s v="United States"/>
    <s v="Cincinnati"/>
    <x v="24"/>
    <n v="45231"/>
    <x v="3"/>
    <s v="OFF-BI-10003460"/>
    <x v="1"/>
    <x v="8"/>
    <x v="232"/>
    <n v="2.6280000000000001"/>
  </r>
  <r>
    <n v="1036"/>
    <s v="CA-2017-109820"/>
    <d v="2017-11-20T00:00:00"/>
    <x v="406"/>
    <s v="MODERATE"/>
    <s v="First Class"/>
    <s v="AG-10390"/>
    <s v="Allen Goldenen"/>
    <x v="0"/>
    <s v="United States"/>
    <s v="Cincinnati"/>
    <x v="24"/>
    <n v="45231"/>
    <x v="3"/>
    <s v="OFF-BI-10000474"/>
    <x v="1"/>
    <x v="8"/>
    <x v="27"/>
    <n v="14.427"/>
  </r>
  <r>
    <n v="1037"/>
    <s v="CA-2017-113061"/>
    <d v="2017-04-22T00:00:00"/>
    <x v="407"/>
    <s v="FAST"/>
    <s v="Standard Class"/>
    <s v="EL-13735"/>
    <s v="Ed Ludwig"/>
    <x v="2"/>
    <s v="United States"/>
    <s v="Jefferson City"/>
    <x v="25"/>
    <n v="65109"/>
    <x v="2"/>
    <s v="FUR-FU-10003975"/>
    <x v="0"/>
    <x v="5"/>
    <x v="769"/>
    <n v="86.62"/>
  </r>
  <r>
    <n v="1038"/>
    <s v="CA-2016-127418"/>
    <d v="2016-06-13T00:00:00"/>
    <x v="408"/>
    <s v="MODERATE"/>
    <s v="First Class"/>
    <s v="JJ-15445"/>
    <s v="Jennifer Jackson"/>
    <x v="0"/>
    <s v="United States"/>
    <s v="Los Angeles"/>
    <x v="1"/>
    <n v="90004"/>
    <x v="1"/>
    <s v="OFF-BI-10003707"/>
    <x v="1"/>
    <x v="8"/>
    <x v="770"/>
    <n v="36.624000000000002"/>
  </r>
  <r>
    <n v="1039"/>
    <s v="CA-2018-121818"/>
    <d v="2018-11-20T00:00:00"/>
    <x v="409"/>
    <s v="MODERATE"/>
    <s v="First Class"/>
    <s v="JH-15430"/>
    <s v="Jennifer Halladay"/>
    <x v="0"/>
    <s v="United States"/>
    <s v="Burlington"/>
    <x v="3"/>
    <n v="27217"/>
    <x v="0"/>
    <s v="OFF-AR-10000203"/>
    <x v="1"/>
    <x v="6"/>
    <x v="771"/>
    <n v="23.968"/>
  </r>
  <r>
    <n v="1040"/>
    <s v="CA-2018-121818"/>
    <d v="2018-11-20T00:00:00"/>
    <x v="409"/>
    <s v="MODERATE"/>
    <s v="First Class"/>
    <s v="JH-15430"/>
    <s v="Jennifer Halladay"/>
    <x v="0"/>
    <s v="United States"/>
    <s v="Burlington"/>
    <x v="3"/>
    <n v="27217"/>
    <x v="0"/>
    <s v="OFF-AR-10004790"/>
    <x v="1"/>
    <x v="6"/>
    <x v="758"/>
    <n v="28.728000000000002"/>
  </r>
  <r>
    <n v="1041"/>
    <s v="CA-2017-127670"/>
    <d v="2017-03-20T00:00:00"/>
    <x v="242"/>
    <s v="FAST"/>
    <s v="Standard Class"/>
    <s v="RD-19660"/>
    <s v="Robert Dilbeck"/>
    <x v="2"/>
    <s v="United States"/>
    <s v="Saint Peters"/>
    <x v="25"/>
    <n v="63376"/>
    <x v="2"/>
    <s v="FUR-TA-10001095"/>
    <x v="0"/>
    <x v="3"/>
    <x v="604"/>
    <n v="697.16"/>
  </r>
  <r>
    <n v="1042"/>
    <s v="CA-2017-102981"/>
    <d v="2017-09-06T00:00:00"/>
    <x v="410"/>
    <s v="SLOW"/>
    <s v="Second Class"/>
    <s v="MO-17500"/>
    <s v="Mary O'Rourke"/>
    <x v="0"/>
    <s v="United States"/>
    <s v="New York City"/>
    <x v="15"/>
    <n v="10035"/>
    <x v="3"/>
    <s v="TEC-AC-10004761"/>
    <x v="2"/>
    <x v="11"/>
    <x v="772"/>
    <n v="31.86"/>
  </r>
  <r>
    <n v="1043"/>
    <s v="CA-2017-102981"/>
    <d v="2017-09-06T00:00:00"/>
    <x v="410"/>
    <s v="SLOW"/>
    <s v="Second Class"/>
    <s v="MO-17500"/>
    <s v="Mary O'Rourke"/>
    <x v="0"/>
    <s v="United States"/>
    <s v="New York City"/>
    <x v="15"/>
    <n v="10035"/>
    <x v="3"/>
    <s v="FUR-BO-10001811"/>
    <x v="0"/>
    <x v="0"/>
    <x v="773"/>
    <n v="722.35199999999998"/>
  </r>
  <r>
    <n v="1044"/>
    <s v="CA-2018-115651"/>
    <d v="2018-07-09T00:00:00"/>
    <x v="141"/>
    <s v="MODERATE"/>
    <s v="First Class"/>
    <s v="NS-18640"/>
    <s v="Noel Staavos"/>
    <x v="1"/>
    <s v="United States"/>
    <s v="Chicago"/>
    <x v="10"/>
    <n v="60610"/>
    <x v="2"/>
    <s v="OFF-AR-10001130"/>
    <x v="1"/>
    <x v="6"/>
    <x v="774"/>
    <n v="8.84"/>
  </r>
  <r>
    <n v="1045"/>
    <s v="CA-2018-115651"/>
    <d v="2018-07-09T00:00:00"/>
    <x v="141"/>
    <s v="MODERATE"/>
    <s v="First Class"/>
    <s v="NS-18640"/>
    <s v="Noel Staavos"/>
    <x v="1"/>
    <s v="United States"/>
    <s v="Chicago"/>
    <x v="10"/>
    <n v="60610"/>
    <x v="2"/>
    <s v="OFF-AP-10000055"/>
    <x v="1"/>
    <x v="9"/>
    <x v="775"/>
    <n v="58.463999999999999"/>
  </r>
  <r>
    <n v="1046"/>
    <s v="CA-2018-152702"/>
    <d v="2018-10-12T00:00:00"/>
    <x v="411"/>
    <s v="FAST"/>
    <s v="Standard Class"/>
    <s v="SN-20710"/>
    <s v="Steve Nguyen"/>
    <x v="2"/>
    <s v="United States"/>
    <s v="Rockford"/>
    <x v="10"/>
    <n v="61107"/>
    <x v="2"/>
    <s v="FUR-CH-10002304"/>
    <x v="0"/>
    <x v="1"/>
    <x v="776"/>
    <n v="254.60400000000001"/>
  </r>
  <r>
    <n v="1047"/>
    <s v="CA-2017-169103"/>
    <d v="2017-03-08T00:00:00"/>
    <x v="20"/>
    <s v="FAST"/>
    <s v="Standard Class"/>
    <s v="ZC-21910"/>
    <s v="Zuschuss Carroll"/>
    <x v="0"/>
    <s v="United States"/>
    <s v="Miami"/>
    <x v="2"/>
    <n v="33142"/>
    <x v="0"/>
    <s v="TEC-PH-10001530"/>
    <x v="2"/>
    <x v="7"/>
    <x v="625"/>
    <n v="1363.96"/>
  </r>
  <r>
    <n v="1048"/>
    <s v="CA-2017-169103"/>
    <d v="2017-03-08T00:00:00"/>
    <x v="20"/>
    <s v="FAST"/>
    <s v="Standard Class"/>
    <s v="ZC-21910"/>
    <s v="Zuschuss Carroll"/>
    <x v="0"/>
    <s v="United States"/>
    <s v="Miami"/>
    <x v="2"/>
    <n v="33142"/>
    <x v="0"/>
    <s v="FUR-FU-10004006"/>
    <x v="0"/>
    <x v="5"/>
    <x v="97"/>
    <n v="102.36"/>
  </r>
  <r>
    <n v="1049"/>
    <s v="CA-2015-139192"/>
    <d v="2015-05-27T00:00:00"/>
    <x v="412"/>
    <s v="SLOW"/>
    <s v="Second Class"/>
    <s v="LC-16885"/>
    <s v="Lena Creighton"/>
    <x v="0"/>
    <s v="United States"/>
    <s v="San Francisco"/>
    <x v="1"/>
    <n v="94109"/>
    <x v="1"/>
    <s v="TEC-PH-10000486"/>
    <x v="2"/>
    <x v="7"/>
    <x v="38"/>
    <n v="1113.5039999999999"/>
  </r>
  <r>
    <n v="1050"/>
    <s v="CA-2015-139192"/>
    <d v="2015-05-27T00:00:00"/>
    <x v="412"/>
    <s v="SLOW"/>
    <s v="Second Class"/>
    <s v="LC-16885"/>
    <s v="Lena Creighton"/>
    <x v="0"/>
    <s v="United States"/>
    <s v="San Francisco"/>
    <x v="1"/>
    <n v="94109"/>
    <x v="1"/>
    <s v="TEC-AC-10001606"/>
    <x v="2"/>
    <x v="11"/>
    <x v="578"/>
    <n v="99.99"/>
  </r>
  <r>
    <n v="1051"/>
    <s v="US-2016-153500"/>
    <d v="2016-07-03T00:00:00"/>
    <x v="413"/>
    <s v="MODERATE"/>
    <s v="First Class"/>
    <s v="DG-13300"/>
    <s v="Deirdre Greer"/>
    <x v="1"/>
    <s v="United States"/>
    <s v="Philadelphia"/>
    <x v="9"/>
    <n v="19134"/>
    <x v="3"/>
    <s v="FUR-FU-10000293"/>
    <x v="0"/>
    <x v="5"/>
    <x v="777"/>
    <n v="168.464"/>
  </r>
  <r>
    <n v="1052"/>
    <s v="US-2016-153500"/>
    <d v="2016-07-03T00:00:00"/>
    <x v="413"/>
    <s v="MODERATE"/>
    <s v="First Class"/>
    <s v="DG-13300"/>
    <s v="Deirdre Greer"/>
    <x v="1"/>
    <s v="United States"/>
    <s v="Philadelphia"/>
    <x v="9"/>
    <n v="19134"/>
    <x v="3"/>
    <s v="OFF-PA-10001307"/>
    <x v="1"/>
    <x v="10"/>
    <x v="778"/>
    <n v="6.72"/>
  </r>
  <r>
    <n v="1053"/>
    <s v="US-2016-153500"/>
    <d v="2016-07-03T00:00:00"/>
    <x v="413"/>
    <s v="MODERATE"/>
    <s v="First Class"/>
    <s v="DG-13300"/>
    <s v="Deirdre Greer"/>
    <x v="1"/>
    <s v="United States"/>
    <s v="Philadelphia"/>
    <x v="9"/>
    <n v="19134"/>
    <x v="3"/>
    <s v="FUR-FU-10004460"/>
    <x v="0"/>
    <x v="5"/>
    <x v="779"/>
    <n v="282.88799999999998"/>
  </r>
  <r>
    <n v="1054"/>
    <s v="CA-2016-110667"/>
    <d v="2016-04-04T00:00:00"/>
    <x v="414"/>
    <s v="FAST"/>
    <s v="Standard Class"/>
    <s v="NF-18595"/>
    <s v="Nicole Fjeld"/>
    <x v="2"/>
    <s v="United States"/>
    <s v="New York City"/>
    <x v="15"/>
    <n v="10009"/>
    <x v="3"/>
    <s v="OFF-AR-10000716"/>
    <x v="1"/>
    <x v="6"/>
    <x v="780"/>
    <n v="11.16"/>
  </r>
  <r>
    <n v="1055"/>
    <s v="CA-2016-110667"/>
    <d v="2016-04-04T00:00:00"/>
    <x v="414"/>
    <s v="FAST"/>
    <s v="Standard Class"/>
    <s v="NF-18595"/>
    <s v="Nicole Fjeld"/>
    <x v="2"/>
    <s v="United States"/>
    <s v="New York City"/>
    <x v="15"/>
    <n v="10009"/>
    <x v="3"/>
    <s v="FUR-FU-10004622"/>
    <x v="0"/>
    <x v="5"/>
    <x v="781"/>
    <n v="108.4"/>
  </r>
  <r>
    <n v="1056"/>
    <s v="CA-2016-110667"/>
    <d v="2016-04-04T00:00:00"/>
    <x v="414"/>
    <s v="FAST"/>
    <s v="Standard Class"/>
    <s v="NF-18595"/>
    <s v="Nicole Fjeld"/>
    <x v="2"/>
    <s v="United States"/>
    <s v="New York City"/>
    <x v="15"/>
    <n v="10009"/>
    <x v="3"/>
    <s v="OFF-BI-10002735"/>
    <x v="1"/>
    <x v="8"/>
    <x v="138"/>
    <n v="82.343999999999994"/>
  </r>
  <r>
    <n v="1057"/>
    <s v="CA-2016-110667"/>
    <d v="2016-04-04T00:00:00"/>
    <x v="414"/>
    <s v="FAST"/>
    <s v="Standard Class"/>
    <s v="NF-18595"/>
    <s v="Nicole Fjeld"/>
    <x v="2"/>
    <s v="United States"/>
    <s v="New York City"/>
    <x v="15"/>
    <n v="10009"/>
    <x v="3"/>
    <s v="OFF-BI-10003529"/>
    <x v="1"/>
    <x v="8"/>
    <x v="782"/>
    <n v="9.0879999999999992"/>
  </r>
  <r>
    <n v="1058"/>
    <s v="CA-2018-167150"/>
    <d v="2018-12-10T00:00:00"/>
    <x v="415"/>
    <s v="FAST"/>
    <s v="Standard Class"/>
    <s v="BP-11185"/>
    <s v="Ben Peterman"/>
    <x v="1"/>
    <s v="United States"/>
    <s v="San Diego"/>
    <x v="1"/>
    <n v="92037"/>
    <x v="1"/>
    <s v="OFF-BI-10001097"/>
    <x v="1"/>
    <x v="8"/>
    <x v="783"/>
    <n v="19.936"/>
  </r>
  <r>
    <n v="1059"/>
    <s v="CA-2018-167150"/>
    <d v="2018-12-10T00:00:00"/>
    <x v="415"/>
    <s v="FAST"/>
    <s v="Standard Class"/>
    <s v="BP-11185"/>
    <s v="Ben Peterman"/>
    <x v="1"/>
    <s v="United States"/>
    <s v="San Diego"/>
    <x v="1"/>
    <n v="92037"/>
    <x v="1"/>
    <s v="OFF-BI-10001597"/>
    <x v="1"/>
    <x v="8"/>
    <x v="784"/>
    <n v="65.567999999999998"/>
  </r>
  <r>
    <n v="1060"/>
    <s v="CA-2017-105284"/>
    <d v="2017-11-24T00:00:00"/>
    <x v="416"/>
    <s v="FAST"/>
    <s v="Standard Class"/>
    <s v="MG-17650"/>
    <s v="Matthew Grinstein"/>
    <x v="2"/>
    <s v="United States"/>
    <s v="Philadelphia"/>
    <x v="9"/>
    <n v="19143"/>
    <x v="3"/>
    <s v="OFF-FA-10001754"/>
    <x v="1"/>
    <x v="13"/>
    <x v="785"/>
    <n v="4.4160000000000004"/>
  </r>
  <r>
    <n v="1061"/>
    <s v="US-2016-125374"/>
    <d v="2016-03-23T00:00:00"/>
    <x v="417"/>
    <s v="FAST"/>
    <s v="Standard Class"/>
    <s v="JD-16060"/>
    <s v="Julia Dunbar"/>
    <x v="0"/>
    <s v="United States"/>
    <s v="Houston"/>
    <x v="5"/>
    <n v="77095"/>
    <x v="2"/>
    <s v="FUR-CH-10003396"/>
    <x v="0"/>
    <x v="1"/>
    <x v="382"/>
    <n v="107.77200000000001"/>
  </r>
  <r>
    <n v="1062"/>
    <s v="CA-2016-161263"/>
    <d v="2016-04-16T00:00:00"/>
    <x v="418"/>
    <s v="FAST"/>
    <s v="Standard Class"/>
    <s v="TS-21160"/>
    <s v="Theresa Swint"/>
    <x v="1"/>
    <s v="United States"/>
    <s v="Toledo"/>
    <x v="24"/>
    <n v="43615"/>
    <x v="3"/>
    <s v="OFF-AP-10002350"/>
    <x v="1"/>
    <x v="9"/>
    <x v="540"/>
    <n v="45.216000000000001"/>
  </r>
  <r>
    <n v="1063"/>
    <s v="CA-2016-161263"/>
    <d v="2016-04-16T00:00:00"/>
    <x v="418"/>
    <s v="FAST"/>
    <s v="Standard Class"/>
    <s v="TS-21160"/>
    <s v="Theresa Swint"/>
    <x v="1"/>
    <s v="United States"/>
    <s v="Toledo"/>
    <x v="24"/>
    <n v="43615"/>
    <x v="3"/>
    <s v="OFF-FA-10004838"/>
    <x v="1"/>
    <x v="13"/>
    <x v="786"/>
    <n v="10.416"/>
  </r>
  <r>
    <n v="1064"/>
    <s v="CA-2016-161263"/>
    <d v="2016-04-16T00:00:00"/>
    <x v="418"/>
    <s v="FAST"/>
    <s v="Standard Class"/>
    <s v="TS-21160"/>
    <s v="Theresa Swint"/>
    <x v="1"/>
    <s v="United States"/>
    <s v="Toledo"/>
    <x v="24"/>
    <n v="43615"/>
    <x v="3"/>
    <s v="OFF-AR-10004757"/>
    <x v="1"/>
    <x v="6"/>
    <x v="339"/>
    <n v="7.8719999999999999"/>
  </r>
  <r>
    <n v="1065"/>
    <s v="CA-2016-161263"/>
    <d v="2016-04-16T00:00:00"/>
    <x v="418"/>
    <s v="FAST"/>
    <s v="Standard Class"/>
    <s v="TS-21160"/>
    <s v="Theresa Swint"/>
    <x v="1"/>
    <s v="United States"/>
    <s v="Toledo"/>
    <x v="24"/>
    <n v="43615"/>
    <x v="3"/>
    <s v="TEC-PH-10002115"/>
    <x v="2"/>
    <x v="7"/>
    <x v="787"/>
    <n v="118.782"/>
  </r>
  <r>
    <n v="1066"/>
    <s v="CA-2016-161263"/>
    <d v="2016-04-16T00:00:00"/>
    <x v="418"/>
    <s v="FAST"/>
    <s v="Standard Class"/>
    <s v="TS-21160"/>
    <s v="Theresa Swint"/>
    <x v="1"/>
    <s v="United States"/>
    <s v="Toledo"/>
    <x v="24"/>
    <n v="43615"/>
    <x v="3"/>
    <s v="OFF-FA-10003059"/>
    <x v="1"/>
    <x v="13"/>
    <x v="788"/>
    <n v="1.448"/>
  </r>
  <r>
    <n v="1067"/>
    <s v="CA-2016-161263"/>
    <d v="2016-04-16T00:00:00"/>
    <x v="418"/>
    <s v="FAST"/>
    <s v="Standard Class"/>
    <s v="TS-21160"/>
    <s v="Theresa Swint"/>
    <x v="1"/>
    <s v="United States"/>
    <s v="Toledo"/>
    <x v="24"/>
    <n v="43615"/>
    <x v="3"/>
    <s v="OFF-BI-10004330"/>
    <x v="1"/>
    <x v="8"/>
    <x v="789"/>
    <n v="55.47"/>
  </r>
  <r>
    <n v="1068"/>
    <s v="CA-2017-157686"/>
    <d v="2017-10-01T00:00:00"/>
    <x v="340"/>
    <s v="MODERATE"/>
    <s v="First Class"/>
    <s v="BD-11620"/>
    <s v="Brian DeCherney"/>
    <x v="0"/>
    <s v="United States"/>
    <s v="San Francisco"/>
    <x v="1"/>
    <n v="94122"/>
    <x v="1"/>
    <s v="FUR-CH-10001146"/>
    <x v="0"/>
    <x v="1"/>
    <x v="63"/>
    <n v="194.84800000000001"/>
  </r>
  <r>
    <n v="1069"/>
    <s v="US-2018-139955"/>
    <d v="2018-09-28T00:00:00"/>
    <x v="419"/>
    <s v="SLOW"/>
    <s v="Second Class"/>
    <s v="CM-12160"/>
    <s v="Charles McCrossin"/>
    <x v="0"/>
    <s v="United States"/>
    <s v="Brownsville"/>
    <x v="5"/>
    <n v="78521"/>
    <x v="2"/>
    <s v="OFF-SU-10001935"/>
    <x v="1"/>
    <x v="14"/>
    <x v="321"/>
    <n v="1.744"/>
  </r>
  <r>
    <n v="1070"/>
    <s v="US-2016-150161"/>
    <d v="2016-07-25T00:00:00"/>
    <x v="420"/>
    <s v="FAST"/>
    <s v="Standard Class"/>
    <s v="RB-19795"/>
    <s v="Ross Baird"/>
    <x v="2"/>
    <s v="United States"/>
    <s v="Philadelphia"/>
    <x v="9"/>
    <n v="19143"/>
    <x v="3"/>
    <s v="OFF-BI-10001524"/>
    <x v="1"/>
    <x v="8"/>
    <x v="296"/>
    <n v="25.175999999999998"/>
  </r>
  <r>
    <n v="1071"/>
    <s v="CA-2016-144652"/>
    <d v="2016-11-20T00:00:00"/>
    <x v="6"/>
    <s v="FAST"/>
    <s v="Standard Class"/>
    <s v="SN-20560"/>
    <s v="Skye Norling"/>
    <x v="2"/>
    <s v="United States"/>
    <s v="Los Angeles"/>
    <x v="1"/>
    <n v="90008"/>
    <x v="1"/>
    <s v="OFF-AR-10003732"/>
    <x v="1"/>
    <x v="6"/>
    <x v="318"/>
    <n v="19.46"/>
  </r>
  <r>
    <n v="1072"/>
    <s v="CA-2017-152814"/>
    <d v="2017-04-28T00:00:00"/>
    <x v="421"/>
    <s v="FAST"/>
    <s v="Standard Class"/>
    <s v="EH-14005"/>
    <s v="Erica Hernandez"/>
    <x v="2"/>
    <s v="United States"/>
    <s v="Denver"/>
    <x v="22"/>
    <n v="80219"/>
    <x v="1"/>
    <s v="OFF-PA-10001970"/>
    <x v="1"/>
    <x v="10"/>
    <x v="309"/>
    <n v="29.472000000000001"/>
  </r>
  <r>
    <n v="1074"/>
    <s v="CA-2017-134348"/>
    <d v="2017-11-12T00:00:00"/>
    <x v="422"/>
    <s v="FAST"/>
    <s v="Standard Class"/>
    <s v="MS-17710"/>
    <s v="Maurice Satty"/>
    <x v="0"/>
    <s v="United States"/>
    <s v="Mesa"/>
    <x v="16"/>
    <n v="85204"/>
    <x v="1"/>
    <s v="OFF-BI-10003727"/>
    <x v="1"/>
    <x v="8"/>
    <x v="790"/>
    <n v="6.27"/>
  </r>
  <r>
    <n v="1075"/>
    <s v="CA-2017-134348"/>
    <d v="2017-11-12T00:00:00"/>
    <x v="422"/>
    <s v="FAST"/>
    <s v="Standard Class"/>
    <s v="MS-17710"/>
    <s v="Maurice Satty"/>
    <x v="0"/>
    <s v="United States"/>
    <s v="Mesa"/>
    <x v="16"/>
    <n v="85204"/>
    <x v="1"/>
    <s v="OFF-BI-10004967"/>
    <x v="1"/>
    <x v="8"/>
    <x v="251"/>
    <n v="4.3680000000000003"/>
  </r>
  <r>
    <n v="1076"/>
    <s v="CA-2017-134348"/>
    <d v="2017-11-12T00:00:00"/>
    <x v="422"/>
    <s v="FAST"/>
    <s v="Standard Class"/>
    <s v="MS-17710"/>
    <s v="Maurice Satty"/>
    <x v="0"/>
    <s v="United States"/>
    <s v="Mesa"/>
    <x v="16"/>
    <n v="85204"/>
    <x v="1"/>
    <s v="TEC-AC-10003447"/>
    <x v="2"/>
    <x v="11"/>
    <x v="791"/>
    <n v="31.984000000000002"/>
  </r>
  <r>
    <n v="1077"/>
    <s v="CA-2017-161781"/>
    <d v="2017-09-29T00:00:00"/>
    <x v="423"/>
    <s v="MODERATE"/>
    <s v="First Class"/>
    <s v="CC-12100"/>
    <s v="Chad Cunningham"/>
    <x v="2"/>
    <s v="United States"/>
    <s v="Columbus"/>
    <x v="14"/>
    <n v="47201"/>
    <x v="2"/>
    <s v="OFF-AR-10000255"/>
    <x v="1"/>
    <x v="6"/>
    <x v="792"/>
    <n v="40.880000000000003"/>
  </r>
  <r>
    <n v="1078"/>
    <s v="CA-2018-132521"/>
    <d v="2018-09-23T00:00:00"/>
    <x v="424"/>
    <s v="SLOW"/>
    <s v="Second Class"/>
    <s v="DW-13540"/>
    <s v="Don Weiss"/>
    <x v="0"/>
    <s v="United States"/>
    <s v="Seattle"/>
    <x v="4"/>
    <n v="98105"/>
    <x v="1"/>
    <s v="OFF-AP-10002191"/>
    <x v="1"/>
    <x v="9"/>
    <x v="793"/>
    <n v="119.96"/>
  </r>
  <r>
    <n v="1079"/>
    <s v="CA-2018-132521"/>
    <d v="2018-09-23T00:00:00"/>
    <x v="424"/>
    <s v="SLOW"/>
    <s v="Second Class"/>
    <s v="DW-13540"/>
    <s v="Don Weiss"/>
    <x v="0"/>
    <s v="United States"/>
    <s v="Seattle"/>
    <x v="4"/>
    <n v="98105"/>
    <x v="1"/>
    <s v="OFF-ST-10001325"/>
    <x v="1"/>
    <x v="4"/>
    <x v="461"/>
    <n v="31.44"/>
  </r>
  <r>
    <n v="1080"/>
    <s v="CA-2018-132521"/>
    <d v="2018-09-23T00:00:00"/>
    <x v="424"/>
    <s v="SLOW"/>
    <s v="Second Class"/>
    <s v="DW-13540"/>
    <s v="Don Weiss"/>
    <x v="0"/>
    <s v="United States"/>
    <s v="Seattle"/>
    <x v="4"/>
    <n v="98105"/>
    <x v="1"/>
    <s v="OFF-BI-10000404"/>
    <x v="1"/>
    <x v="8"/>
    <x v="471"/>
    <n v="6.88"/>
  </r>
  <r>
    <n v="1081"/>
    <s v="CA-2016-110016"/>
    <d v="2016-11-29T00:00:00"/>
    <x v="106"/>
    <s v="FAST"/>
    <s v="Standard Class"/>
    <s v="BT-11395"/>
    <s v="Bill Tyler"/>
    <x v="1"/>
    <s v="United States"/>
    <s v="Detroit"/>
    <x v="12"/>
    <n v="48227"/>
    <x v="2"/>
    <s v="OFF-PA-10000349"/>
    <x v="1"/>
    <x v="10"/>
    <x v="33"/>
    <n v="19.920000000000002"/>
  </r>
  <r>
    <n v="1082"/>
    <s v="CA-2016-110016"/>
    <d v="2016-11-29T00:00:00"/>
    <x v="106"/>
    <s v="FAST"/>
    <s v="Standard Class"/>
    <s v="BT-11395"/>
    <s v="Bill Tyler"/>
    <x v="1"/>
    <s v="United States"/>
    <s v="Detroit"/>
    <x v="12"/>
    <n v="48227"/>
    <x v="2"/>
    <s v="FUR-CH-10002880"/>
    <x v="0"/>
    <x v="1"/>
    <x v="794"/>
    <n v="1106.9100000000001"/>
  </r>
  <r>
    <n v="1083"/>
    <s v="US-2017-143819"/>
    <d v="2017-03-01T00:00:00"/>
    <x v="425"/>
    <s v="FAST"/>
    <s v="Standard Class"/>
    <s v="KD-16270"/>
    <s v="Karen Daniels"/>
    <x v="0"/>
    <s v="United States"/>
    <s v="Yonkers"/>
    <x v="15"/>
    <n v="10701"/>
    <x v="3"/>
    <s v="FUR-TA-10001095"/>
    <x v="0"/>
    <x v="3"/>
    <x v="604"/>
    <n v="836.59199999999998"/>
  </r>
  <r>
    <n v="1084"/>
    <s v="US-2017-143819"/>
    <d v="2017-03-01T00:00:00"/>
    <x v="425"/>
    <s v="FAST"/>
    <s v="Standard Class"/>
    <s v="KD-16270"/>
    <s v="Karen Daniels"/>
    <x v="0"/>
    <s v="United States"/>
    <s v="Yonkers"/>
    <x v="15"/>
    <n v="10701"/>
    <x v="3"/>
    <s v="OFF-PA-10003127"/>
    <x v="1"/>
    <x v="10"/>
    <x v="33"/>
    <n v="26.38"/>
  </r>
  <r>
    <n v="1085"/>
    <s v="US-2017-143819"/>
    <d v="2017-03-01T00:00:00"/>
    <x v="425"/>
    <s v="FAST"/>
    <s v="Standard Class"/>
    <s v="KD-16270"/>
    <s v="Karen Daniels"/>
    <x v="0"/>
    <s v="United States"/>
    <s v="Yonkers"/>
    <x v="15"/>
    <n v="10701"/>
    <x v="3"/>
    <s v="OFF-ST-10003208"/>
    <x v="1"/>
    <x v="4"/>
    <x v="241"/>
    <n v="362.92"/>
  </r>
  <r>
    <n v="1086"/>
    <s v="US-2017-143819"/>
    <d v="2017-03-01T00:00:00"/>
    <x v="425"/>
    <s v="FAST"/>
    <s v="Standard Class"/>
    <s v="KD-16270"/>
    <s v="Karen Daniels"/>
    <x v="0"/>
    <s v="United States"/>
    <s v="Yonkers"/>
    <x v="15"/>
    <n v="10701"/>
    <x v="3"/>
    <s v="TEC-MA-10003979"/>
    <x v="2"/>
    <x v="15"/>
    <x v="795"/>
    <n v="4899.93"/>
  </r>
  <r>
    <n v="1087"/>
    <s v="CA-2017-167584"/>
    <d v="2017-08-12T00:00:00"/>
    <x v="426"/>
    <s v="MODERATE"/>
    <s v="Same Day"/>
    <s v="LC-16870"/>
    <s v="Lena Cacioppo"/>
    <x v="0"/>
    <s v="United States"/>
    <s v="Des Moines"/>
    <x v="23"/>
    <n v="50315"/>
    <x v="2"/>
    <s v="OFF-PA-10000029"/>
    <x v="1"/>
    <x v="10"/>
    <x v="796"/>
    <n v="6.48"/>
  </r>
  <r>
    <n v="1088"/>
    <s v="CA-2017-166163"/>
    <d v="2017-08-15T00:00:00"/>
    <x v="427"/>
    <s v="SLOW"/>
    <s v="Second Class"/>
    <s v="CY-12745"/>
    <s v="Craig Yedwab"/>
    <x v="1"/>
    <s v="United States"/>
    <s v="Oakland"/>
    <x v="1"/>
    <n v="94601"/>
    <x v="1"/>
    <s v="TEC-PH-10004896"/>
    <x v="2"/>
    <x v="7"/>
    <x v="170"/>
    <n v="71.975999999999999"/>
  </r>
  <r>
    <n v="1089"/>
    <s v="CA-2017-166163"/>
    <d v="2017-08-15T00:00:00"/>
    <x v="427"/>
    <s v="SLOW"/>
    <s v="Second Class"/>
    <s v="CY-12745"/>
    <s v="Craig Yedwab"/>
    <x v="1"/>
    <s v="United States"/>
    <s v="Oakland"/>
    <x v="1"/>
    <n v="94601"/>
    <x v="1"/>
    <s v="OFF-LA-10000452"/>
    <x v="1"/>
    <x v="2"/>
    <x v="797"/>
    <n v="3.15"/>
  </r>
  <r>
    <n v="1090"/>
    <s v="CA-2018-158407"/>
    <d v="2018-06-04T00:00:00"/>
    <x v="271"/>
    <s v="FAST"/>
    <s v="Standard Class"/>
    <s v="LW-16990"/>
    <s v="Lindsay Williams"/>
    <x v="1"/>
    <s v="United States"/>
    <s v="Monroe"/>
    <x v="3"/>
    <n v="28110"/>
    <x v="0"/>
    <s v="FUR-FU-10001967"/>
    <x v="0"/>
    <x v="5"/>
    <x v="291"/>
    <n v="31.984000000000002"/>
  </r>
  <r>
    <n v="1091"/>
    <s v="CA-2018-158407"/>
    <d v="2018-06-04T00:00:00"/>
    <x v="271"/>
    <s v="FAST"/>
    <s v="Standard Class"/>
    <s v="LW-16990"/>
    <s v="Lindsay Williams"/>
    <x v="1"/>
    <s v="United States"/>
    <s v="Monroe"/>
    <x v="3"/>
    <n v="28110"/>
    <x v="0"/>
    <s v="TEC-PH-10001819"/>
    <x v="2"/>
    <x v="7"/>
    <x v="798"/>
    <n v="71.983999999999995"/>
  </r>
  <r>
    <n v="1092"/>
    <s v="CA-2016-143490"/>
    <d v="2016-12-06T00:00:00"/>
    <x v="428"/>
    <s v="FAST"/>
    <s v="Standard Class"/>
    <s v="NP-18325"/>
    <s v="Naresj Patel"/>
    <x v="0"/>
    <s v="United States"/>
    <s v="San Diego"/>
    <x v="1"/>
    <n v="92105"/>
    <x v="1"/>
    <s v="OFF-AR-10002952"/>
    <x v="1"/>
    <x v="6"/>
    <x v="799"/>
    <n v="120.15"/>
  </r>
  <r>
    <n v="1093"/>
    <s v="CA-2016-143490"/>
    <d v="2016-12-06T00:00:00"/>
    <x v="428"/>
    <s v="FAST"/>
    <s v="Standard Class"/>
    <s v="NP-18325"/>
    <s v="Naresj Patel"/>
    <x v="0"/>
    <s v="United States"/>
    <s v="San Diego"/>
    <x v="1"/>
    <n v="92105"/>
    <x v="1"/>
    <s v="TEC-PH-10000576"/>
    <x v="2"/>
    <x v="7"/>
    <x v="800"/>
    <n v="219.184"/>
  </r>
  <r>
    <n v="1094"/>
    <s v="CA-2016-165085"/>
    <d v="2016-12-27T00:00:00"/>
    <x v="16"/>
    <s v="FAST"/>
    <s v="Standard Class"/>
    <s v="BT-11485"/>
    <s v="Brad Thomas"/>
    <x v="2"/>
    <s v="United States"/>
    <s v="Clinton"/>
    <x v="39"/>
    <n v="20735"/>
    <x v="3"/>
    <s v="OFF-PA-10000605"/>
    <x v="1"/>
    <x v="10"/>
    <x v="801"/>
    <n v="28.9"/>
  </r>
  <r>
    <n v="1095"/>
    <s v="CA-2016-165085"/>
    <d v="2016-12-27T00:00:00"/>
    <x v="16"/>
    <s v="FAST"/>
    <s v="Standard Class"/>
    <s v="BT-11485"/>
    <s v="Brad Thomas"/>
    <x v="2"/>
    <s v="United States"/>
    <s v="Clinton"/>
    <x v="39"/>
    <n v="20735"/>
    <x v="3"/>
    <s v="OFF-AP-10002518"/>
    <x v="1"/>
    <x v="9"/>
    <x v="156"/>
    <n v="355.96"/>
  </r>
  <r>
    <n v="1096"/>
    <s v="CA-2018-160423"/>
    <d v="2018-01-21T00:00:00"/>
    <x v="429"/>
    <s v="FAST"/>
    <s v="Standard Class"/>
    <s v="PS-19045"/>
    <s v="Penelope Sewall"/>
    <x v="2"/>
    <s v="United States"/>
    <s v="Charlotte"/>
    <x v="3"/>
    <n v="28205"/>
    <x v="0"/>
    <s v="OFF-ST-10004340"/>
    <x v="1"/>
    <x v="4"/>
    <x v="802"/>
    <n v="348.20800000000003"/>
  </r>
  <r>
    <n v="1097"/>
    <s v="CA-2018-160423"/>
    <d v="2018-01-21T00:00:00"/>
    <x v="429"/>
    <s v="FAST"/>
    <s v="Standard Class"/>
    <s v="PS-19045"/>
    <s v="Penelope Sewall"/>
    <x v="2"/>
    <s v="United States"/>
    <s v="Charlotte"/>
    <x v="3"/>
    <n v="28205"/>
    <x v="0"/>
    <s v="OFF-BI-10004001"/>
    <x v="1"/>
    <x v="8"/>
    <x v="803"/>
    <n v="35.783999999999999"/>
  </r>
  <r>
    <n v="1098"/>
    <s v="CA-2015-159338"/>
    <d v="2015-06-25T00:00:00"/>
    <x v="430"/>
    <s v="MODERATE"/>
    <s v="First Class"/>
    <s v="NS-18640"/>
    <s v="Noel Staavos"/>
    <x v="1"/>
    <s v="United States"/>
    <s v="Los Angeles"/>
    <x v="1"/>
    <n v="90049"/>
    <x v="1"/>
    <s v="FUR-TA-10004147"/>
    <x v="0"/>
    <x v="3"/>
    <x v="804"/>
    <n v="447.84"/>
  </r>
  <r>
    <n v="1099"/>
    <s v="CA-2017-107216"/>
    <d v="2017-06-14T00:00:00"/>
    <x v="431"/>
    <s v="MODERATE"/>
    <s v="First Class"/>
    <s v="PV-18985"/>
    <s v="Paul Van Hugh"/>
    <x v="2"/>
    <s v="United States"/>
    <s v="San Francisco"/>
    <x v="1"/>
    <n v="94122"/>
    <x v="1"/>
    <s v="OFF-AR-10001545"/>
    <x v="1"/>
    <x v="6"/>
    <x v="805"/>
    <n v="7.04"/>
  </r>
  <r>
    <n v="1100"/>
    <s v="CA-2017-107216"/>
    <d v="2017-06-14T00:00:00"/>
    <x v="431"/>
    <s v="MODERATE"/>
    <s v="First Class"/>
    <s v="PV-18985"/>
    <s v="Paul Van Hugh"/>
    <x v="2"/>
    <s v="United States"/>
    <s v="San Francisco"/>
    <x v="1"/>
    <n v="94122"/>
    <x v="1"/>
    <s v="FUR-FU-10000206"/>
    <x v="0"/>
    <x v="5"/>
    <x v="389"/>
    <n v="8.73"/>
  </r>
  <r>
    <n v="1101"/>
    <s v="CA-2017-107216"/>
    <d v="2017-06-14T00:00:00"/>
    <x v="431"/>
    <s v="MODERATE"/>
    <s v="First Class"/>
    <s v="PV-18985"/>
    <s v="Paul Van Hugh"/>
    <x v="2"/>
    <s v="United States"/>
    <s v="San Francisco"/>
    <x v="1"/>
    <n v="94122"/>
    <x v="1"/>
    <s v="TEC-AC-10001013"/>
    <x v="2"/>
    <x v="11"/>
    <x v="806"/>
    <n v="29.29"/>
  </r>
  <r>
    <n v="1102"/>
    <s v="CA-2017-107216"/>
    <d v="2017-06-14T00:00:00"/>
    <x v="431"/>
    <s v="MODERATE"/>
    <s v="First Class"/>
    <s v="PV-18985"/>
    <s v="Paul Van Hugh"/>
    <x v="2"/>
    <s v="United States"/>
    <s v="San Francisco"/>
    <x v="1"/>
    <n v="94122"/>
    <x v="1"/>
    <s v="OFF-AR-10002255"/>
    <x v="1"/>
    <x v="6"/>
    <x v="807"/>
    <n v="8.64"/>
  </r>
  <r>
    <n v="1103"/>
    <s v="US-2018-145863"/>
    <d v="2018-04-21T00:00:00"/>
    <x v="432"/>
    <s v="FAST"/>
    <s v="Standard Class"/>
    <s v="RP-19390"/>
    <s v="Resi PÃ¶lking"/>
    <x v="0"/>
    <s v="United States"/>
    <s v="Houston"/>
    <x v="5"/>
    <n v="77041"/>
    <x v="2"/>
    <s v="OFF-BI-10004140"/>
    <x v="1"/>
    <x v="8"/>
    <x v="302"/>
    <n v="2.694"/>
  </r>
  <r>
    <n v="1104"/>
    <s v="US-2018-145863"/>
    <d v="2018-04-21T00:00:00"/>
    <x v="432"/>
    <s v="FAST"/>
    <s v="Standard Class"/>
    <s v="RP-19390"/>
    <s v="Resi PÃ¶lking"/>
    <x v="0"/>
    <s v="United States"/>
    <s v="Houston"/>
    <x v="5"/>
    <n v="77041"/>
    <x v="2"/>
    <s v="OFF-BI-10002049"/>
    <x v="1"/>
    <x v="8"/>
    <x v="751"/>
    <n v="2.9340000000000002"/>
  </r>
  <r>
    <n v="1105"/>
    <s v="CA-2017-112340"/>
    <d v="2017-10-21T00:00:00"/>
    <x v="433"/>
    <s v="FAST"/>
    <s v="Standard Class"/>
    <s v="NM-18520"/>
    <s v="Neoma Murray"/>
    <x v="0"/>
    <s v="United States"/>
    <s v="Riverside"/>
    <x v="1"/>
    <n v="92503"/>
    <x v="1"/>
    <s v="OFF-PA-10001892"/>
    <x v="1"/>
    <x v="10"/>
    <x v="808"/>
    <n v="22.92"/>
  </r>
  <r>
    <n v="1106"/>
    <s v="US-2017-110156"/>
    <d v="2017-11-19T00:00:00"/>
    <x v="70"/>
    <s v="FAST"/>
    <s v="Standard Class"/>
    <s v="EH-13945"/>
    <s v="Eric Hoffmann"/>
    <x v="0"/>
    <s v="United States"/>
    <s v="Houston"/>
    <x v="5"/>
    <n v="77041"/>
    <x v="2"/>
    <s v="OFF-ST-10000642"/>
    <x v="1"/>
    <x v="4"/>
    <x v="189"/>
    <n v="100.70399999999999"/>
  </r>
  <r>
    <n v="1107"/>
    <s v="US-2017-110156"/>
    <d v="2017-11-19T00:00:00"/>
    <x v="70"/>
    <s v="FAST"/>
    <s v="Standard Class"/>
    <s v="EH-13945"/>
    <s v="Eric Hoffmann"/>
    <x v="0"/>
    <s v="United States"/>
    <s v="Houston"/>
    <x v="5"/>
    <n v="77041"/>
    <x v="2"/>
    <s v="FUR-FU-10000206"/>
    <x v="0"/>
    <x v="5"/>
    <x v="389"/>
    <n v="2.3279999999999998"/>
  </r>
  <r>
    <n v="1108"/>
    <s v="US-2017-110156"/>
    <d v="2017-11-19T00:00:00"/>
    <x v="70"/>
    <s v="FAST"/>
    <s v="Standard Class"/>
    <s v="EH-13945"/>
    <s v="Eric Hoffmann"/>
    <x v="0"/>
    <s v="United States"/>
    <s v="Houston"/>
    <x v="5"/>
    <n v="77041"/>
    <x v="2"/>
    <s v="OFF-BI-10003676"/>
    <x v="1"/>
    <x v="8"/>
    <x v="809"/>
    <n v="10.78"/>
  </r>
  <r>
    <n v="1109"/>
    <s v="US-2017-110156"/>
    <d v="2017-11-19T00:00:00"/>
    <x v="70"/>
    <s v="FAST"/>
    <s v="Standard Class"/>
    <s v="EH-13945"/>
    <s v="Eric Hoffmann"/>
    <x v="0"/>
    <s v="United States"/>
    <s v="Houston"/>
    <x v="5"/>
    <n v="77041"/>
    <x v="2"/>
    <s v="OFF-FA-10003495"/>
    <x v="1"/>
    <x v="13"/>
    <x v="124"/>
    <n v="58.368000000000002"/>
  </r>
  <r>
    <n v="1110"/>
    <s v="US-2017-110156"/>
    <d v="2017-11-19T00:00:00"/>
    <x v="70"/>
    <s v="FAST"/>
    <s v="Standard Class"/>
    <s v="EH-13945"/>
    <s v="Eric Hoffmann"/>
    <x v="0"/>
    <s v="United States"/>
    <s v="Houston"/>
    <x v="5"/>
    <n v="77041"/>
    <x v="2"/>
    <s v="OFF-EN-10003798"/>
    <x v="1"/>
    <x v="12"/>
    <x v="810"/>
    <n v="40.968000000000004"/>
  </r>
  <r>
    <n v="1111"/>
    <s v="US-2017-110156"/>
    <d v="2017-11-19T00:00:00"/>
    <x v="70"/>
    <s v="FAST"/>
    <s v="Standard Class"/>
    <s v="EH-13945"/>
    <s v="Eric Hoffmann"/>
    <x v="0"/>
    <s v="United States"/>
    <s v="Houston"/>
    <x v="5"/>
    <n v="77041"/>
    <x v="2"/>
    <s v="TEC-PH-10003589"/>
    <x v="2"/>
    <x v="7"/>
    <x v="811"/>
    <n v="71.959999999999994"/>
  </r>
  <r>
    <n v="1112"/>
    <s v="US-2017-110156"/>
    <d v="2017-11-19T00:00:00"/>
    <x v="70"/>
    <s v="FAST"/>
    <s v="Standard Class"/>
    <s v="EH-13945"/>
    <s v="Eric Hoffmann"/>
    <x v="0"/>
    <s v="United States"/>
    <s v="Houston"/>
    <x v="5"/>
    <n v="77041"/>
    <x v="2"/>
    <s v="OFF-PA-10004735"/>
    <x v="1"/>
    <x v="10"/>
    <x v="812"/>
    <n v="10.368"/>
  </r>
  <r>
    <n v="1113"/>
    <s v="US-2017-110156"/>
    <d v="2017-11-19T00:00:00"/>
    <x v="70"/>
    <s v="FAST"/>
    <s v="Standard Class"/>
    <s v="EH-13945"/>
    <s v="Eric Hoffmann"/>
    <x v="0"/>
    <s v="United States"/>
    <s v="Houston"/>
    <x v="5"/>
    <n v="77041"/>
    <x v="2"/>
    <s v="OFF-BI-10002609"/>
    <x v="1"/>
    <x v="8"/>
    <x v="94"/>
    <n v="1.1919999999999999"/>
  </r>
  <r>
    <n v="1114"/>
    <s v="CA-2018-140585"/>
    <d v="2018-12-18T00:00:00"/>
    <x v="348"/>
    <s v="SLOW"/>
    <s v="Second Class"/>
    <s v="RA-19915"/>
    <s v="Russell Applegate"/>
    <x v="0"/>
    <s v="United States"/>
    <s v="Encinitas"/>
    <x v="1"/>
    <n v="92024"/>
    <x v="1"/>
    <s v="OFF-BI-10003364"/>
    <x v="1"/>
    <x v="8"/>
    <x v="692"/>
    <n v="46.671999999999997"/>
  </r>
  <r>
    <n v="1115"/>
    <s v="CA-2018-140585"/>
    <d v="2018-12-18T00:00:00"/>
    <x v="348"/>
    <s v="SLOW"/>
    <s v="Second Class"/>
    <s v="RA-19915"/>
    <s v="Russell Applegate"/>
    <x v="0"/>
    <s v="United States"/>
    <s v="Encinitas"/>
    <x v="1"/>
    <n v="92024"/>
    <x v="1"/>
    <s v="FUR-BO-10002206"/>
    <x v="0"/>
    <x v="0"/>
    <x v="813"/>
    <n v="119.833"/>
  </r>
  <r>
    <n v="1116"/>
    <s v="CA-2018-140585"/>
    <d v="2018-12-18T00:00:00"/>
    <x v="348"/>
    <s v="SLOW"/>
    <s v="Second Class"/>
    <s v="RA-19915"/>
    <s v="Russell Applegate"/>
    <x v="0"/>
    <s v="United States"/>
    <s v="Encinitas"/>
    <x v="1"/>
    <n v="92024"/>
    <x v="1"/>
    <s v="TEC-AC-10003610"/>
    <x v="2"/>
    <x v="11"/>
    <x v="591"/>
    <n v="119.98"/>
  </r>
  <r>
    <n v="1117"/>
    <s v="CA-2017-144855"/>
    <d v="2017-07-22T00:00:00"/>
    <x v="434"/>
    <s v="SLOW"/>
    <s v="Second Class"/>
    <s v="DL-13495"/>
    <s v="Dionis Lloyd"/>
    <x v="1"/>
    <s v="United States"/>
    <s v="San Francisco"/>
    <x v="1"/>
    <n v="94110"/>
    <x v="1"/>
    <s v="OFF-LA-10003766"/>
    <x v="1"/>
    <x v="2"/>
    <x v="357"/>
    <n v="6.3"/>
  </r>
  <r>
    <n v="1118"/>
    <s v="CA-2016-142755"/>
    <d v="2016-09-04T00:00:00"/>
    <x v="37"/>
    <s v="FAST"/>
    <s v="Standard Class"/>
    <s v="CS-12355"/>
    <s v="Christine Sundaresam"/>
    <x v="0"/>
    <s v="United States"/>
    <s v="Roswell"/>
    <x v="32"/>
    <n v="30076"/>
    <x v="0"/>
    <s v="OFF-PA-10001970"/>
    <x v="1"/>
    <x v="10"/>
    <x v="358"/>
    <n v="279.89999999999998"/>
  </r>
  <r>
    <n v="1119"/>
    <s v="CA-2016-142755"/>
    <d v="2016-09-04T00:00:00"/>
    <x v="37"/>
    <s v="FAST"/>
    <s v="Standard Class"/>
    <s v="CS-12355"/>
    <s v="Christine Sundaresam"/>
    <x v="0"/>
    <s v="United States"/>
    <s v="Roswell"/>
    <x v="32"/>
    <n v="30076"/>
    <x v="0"/>
    <s v="TEC-AC-10002049"/>
    <x v="2"/>
    <x v="11"/>
    <x v="682"/>
    <n v="619.95000000000005"/>
  </r>
  <r>
    <n v="1120"/>
    <s v="CA-2016-142755"/>
    <d v="2016-09-04T00:00:00"/>
    <x v="37"/>
    <s v="FAST"/>
    <s v="Standard Class"/>
    <s v="CS-12355"/>
    <s v="Christine Sundaresam"/>
    <x v="0"/>
    <s v="United States"/>
    <s v="Roswell"/>
    <x v="32"/>
    <n v="30076"/>
    <x v="0"/>
    <s v="OFF-PA-10000141"/>
    <x v="1"/>
    <x v="10"/>
    <x v="814"/>
    <n v="4.3600000000000003"/>
  </r>
  <r>
    <n v="1121"/>
    <s v="CA-2016-142755"/>
    <d v="2016-09-04T00:00:00"/>
    <x v="37"/>
    <s v="FAST"/>
    <s v="Standard Class"/>
    <s v="CS-12355"/>
    <s v="Christine Sundaresam"/>
    <x v="0"/>
    <s v="United States"/>
    <s v="Roswell"/>
    <x v="32"/>
    <n v="30076"/>
    <x v="0"/>
    <s v="OFF-EN-10004459"/>
    <x v="1"/>
    <x v="12"/>
    <x v="648"/>
    <n v="15.28"/>
  </r>
  <r>
    <n v="1122"/>
    <s v="US-2015-147627"/>
    <d v="2015-01-20T00:00:00"/>
    <x v="435"/>
    <s v="FAST"/>
    <s v="Standard Class"/>
    <s v="HL-15040"/>
    <s v="Hunter Lopez"/>
    <x v="0"/>
    <s v="United States"/>
    <s v="Jonesboro"/>
    <x v="36"/>
    <n v="72401"/>
    <x v="0"/>
    <s v="TEC-PH-10001061"/>
    <x v="2"/>
    <x v="7"/>
    <x v="815"/>
    <n v="699.93"/>
  </r>
  <r>
    <n v="1123"/>
    <s v="US-2015-147627"/>
    <d v="2015-01-20T00:00:00"/>
    <x v="435"/>
    <s v="FAST"/>
    <s v="Standard Class"/>
    <s v="HL-15040"/>
    <s v="Hunter Lopez"/>
    <x v="0"/>
    <s v="United States"/>
    <s v="Jonesboro"/>
    <x v="36"/>
    <n v="72401"/>
    <x v="0"/>
    <s v="OFF-AR-10002375"/>
    <x v="1"/>
    <x v="6"/>
    <x v="816"/>
    <n v="22.96"/>
  </r>
  <r>
    <n v="1124"/>
    <s v="US-2015-147627"/>
    <d v="2015-01-20T00:00:00"/>
    <x v="435"/>
    <s v="FAST"/>
    <s v="Standard Class"/>
    <s v="HL-15040"/>
    <s v="Hunter Lopez"/>
    <x v="0"/>
    <s v="United States"/>
    <s v="Jonesboro"/>
    <x v="36"/>
    <n v="72401"/>
    <x v="0"/>
    <s v="FUR-FU-10003194"/>
    <x v="0"/>
    <x v="5"/>
    <x v="74"/>
    <n v="38.6"/>
  </r>
  <r>
    <n v="1125"/>
    <s v="US-2015-147627"/>
    <d v="2015-01-20T00:00:00"/>
    <x v="435"/>
    <s v="FAST"/>
    <s v="Standard Class"/>
    <s v="HL-15040"/>
    <s v="Hunter Lopez"/>
    <x v="0"/>
    <s v="United States"/>
    <s v="Jonesboro"/>
    <x v="36"/>
    <n v="72401"/>
    <x v="0"/>
    <s v="OFF-AR-10003811"/>
    <x v="1"/>
    <x v="6"/>
    <x v="444"/>
    <n v="6.63"/>
  </r>
  <r>
    <n v="1126"/>
    <s v="US-2015-147627"/>
    <d v="2015-01-20T00:00:00"/>
    <x v="435"/>
    <s v="FAST"/>
    <s v="Standard Class"/>
    <s v="HL-15040"/>
    <s v="Hunter Lopez"/>
    <x v="0"/>
    <s v="United States"/>
    <s v="Jonesboro"/>
    <x v="36"/>
    <n v="72401"/>
    <x v="0"/>
    <s v="OFF-EN-10001539"/>
    <x v="1"/>
    <x v="12"/>
    <x v="149"/>
    <n v="23.34"/>
  </r>
  <r>
    <n v="1127"/>
    <s v="US-2015-147627"/>
    <d v="2015-01-20T00:00:00"/>
    <x v="435"/>
    <s v="FAST"/>
    <s v="Standard Class"/>
    <s v="HL-15040"/>
    <s v="Hunter Lopez"/>
    <x v="0"/>
    <s v="United States"/>
    <s v="Jonesboro"/>
    <x v="36"/>
    <n v="72401"/>
    <x v="0"/>
    <s v="FUR-CH-10002331"/>
    <x v="0"/>
    <x v="1"/>
    <x v="398"/>
    <n v="1067.94"/>
  </r>
  <r>
    <n v="1129"/>
    <s v="CA-2016-105970"/>
    <d v="2016-03-02T00:00:00"/>
    <x v="436"/>
    <s v="FAST"/>
    <s v="Standard Class"/>
    <s v="PA-19060"/>
    <s v="Pete Armstrong"/>
    <x v="2"/>
    <s v="United States"/>
    <s v="Richmond"/>
    <x v="14"/>
    <n v="47374"/>
    <x v="2"/>
    <s v="OFF-EN-10001532"/>
    <x v="1"/>
    <x v="12"/>
    <x v="606"/>
    <n v="101.88"/>
  </r>
  <r>
    <n v="1130"/>
    <s v="CA-2017-112102"/>
    <d v="2017-04-12T00:00:00"/>
    <x v="437"/>
    <s v="FAST"/>
    <s v="Standard Class"/>
    <s v="BD-11605"/>
    <s v="Brian Dahlen"/>
    <x v="0"/>
    <s v="United States"/>
    <s v="Springfield"/>
    <x v="17"/>
    <n v="22153"/>
    <x v="0"/>
    <s v="FUR-TA-10004086"/>
    <x v="0"/>
    <x v="3"/>
    <x v="817"/>
    <n v="343.92"/>
  </r>
  <r>
    <n v="1131"/>
    <s v="CA-2017-112102"/>
    <d v="2017-04-12T00:00:00"/>
    <x v="437"/>
    <s v="FAST"/>
    <s v="Standard Class"/>
    <s v="BD-11605"/>
    <s v="Brian Dahlen"/>
    <x v="0"/>
    <s v="United States"/>
    <s v="Springfield"/>
    <x v="17"/>
    <n v="22153"/>
    <x v="0"/>
    <s v="OFF-PA-10000100"/>
    <x v="1"/>
    <x v="10"/>
    <x v="818"/>
    <n v="40.99"/>
  </r>
  <r>
    <n v="1132"/>
    <s v="CA-2017-112102"/>
    <d v="2017-04-12T00:00:00"/>
    <x v="437"/>
    <s v="FAST"/>
    <s v="Standard Class"/>
    <s v="BD-11605"/>
    <s v="Brian Dahlen"/>
    <x v="0"/>
    <s v="United States"/>
    <s v="Springfield"/>
    <x v="17"/>
    <n v="22153"/>
    <x v="0"/>
    <s v="OFF-EN-10002500"/>
    <x v="1"/>
    <x v="12"/>
    <x v="114"/>
    <n v="63.9"/>
  </r>
  <r>
    <n v="1133"/>
    <s v="US-2017-114776"/>
    <d v="2017-12-06T00:00:00"/>
    <x v="438"/>
    <s v="MODERATE"/>
    <s v="First Class"/>
    <s v="GG-14650"/>
    <s v="Greg Guthrie"/>
    <x v="1"/>
    <s v="United States"/>
    <s v="Antioch"/>
    <x v="1"/>
    <n v="94509"/>
    <x v="1"/>
    <s v="OFF-PA-10004100"/>
    <x v="1"/>
    <x v="10"/>
    <x v="255"/>
    <n v="19.440000000000001"/>
  </r>
  <r>
    <n v="1134"/>
    <s v="US-2017-134908"/>
    <d v="2017-06-05T00:00:00"/>
    <x v="102"/>
    <s v="FAST"/>
    <s v="Standard Class"/>
    <s v="JS-15940"/>
    <s v="Joni Sundaresam"/>
    <x v="2"/>
    <s v="United States"/>
    <s v="Philadelphia"/>
    <x v="9"/>
    <n v="19134"/>
    <x v="3"/>
    <s v="OFF-ST-10003479"/>
    <x v="1"/>
    <x v="4"/>
    <x v="40"/>
    <n v="124.608"/>
  </r>
  <r>
    <n v="1135"/>
    <s v="US-2017-134908"/>
    <d v="2017-06-05T00:00:00"/>
    <x v="102"/>
    <s v="FAST"/>
    <s v="Standard Class"/>
    <s v="JS-15940"/>
    <s v="Joni Sundaresam"/>
    <x v="2"/>
    <s v="United States"/>
    <s v="Philadelphia"/>
    <x v="9"/>
    <n v="19134"/>
    <x v="3"/>
    <s v="OFF-LA-10000973"/>
    <x v="1"/>
    <x v="2"/>
    <x v="819"/>
    <n v="7.56"/>
  </r>
  <r>
    <n v="1136"/>
    <s v="US-2017-148803"/>
    <d v="2017-12-11T00:00:00"/>
    <x v="439"/>
    <s v="MODERATE"/>
    <s v="Same Day"/>
    <s v="LR-16915"/>
    <s v="Lena Radford"/>
    <x v="0"/>
    <s v="United States"/>
    <s v="Homestead"/>
    <x v="2"/>
    <n v="33030"/>
    <x v="0"/>
    <s v="OFF-ST-10001476"/>
    <x v="1"/>
    <x v="4"/>
    <x v="820"/>
    <n v="85.224000000000004"/>
  </r>
  <r>
    <n v="1137"/>
    <s v="CA-2017-152170"/>
    <d v="2017-11-12T00:00:00"/>
    <x v="440"/>
    <s v="SLOW"/>
    <s v="Second Class"/>
    <s v="FH-14275"/>
    <s v="Frank Hawley"/>
    <x v="1"/>
    <s v="United States"/>
    <s v="La Porte"/>
    <x v="14"/>
    <n v="46350"/>
    <x v="2"/>
    <s v="OFF-EN-10002831"/>
    <x v="1"/>
    <x v="12"/>
    <x v="821"/>
    <n v="287.52"/>
  </r>
  <r>
    <n v="1138"/>
    <s v="CA-2017-152170"/>
    <d v="2017-11-12T00:00:00"/>
    <x v="440"/>
    <s v="SLOW"/>
    <s v="Second Class"/>
    <s v="FH-14275"/>
    <s v="Frank Hawley"/>
    <x v="1"/>
    <s v="United States"/>
    <s v="La Porte"/>
    <x v="14"/>
    <n v="46350"/>
    <x v="2"/>
    <s v="OFF-AP-10002350"/>
    <x v="1"/>
    <x v="9"/>
    <x v="540"/>
    <n v="37.68"/>
  </r>
  <r>
    <n v="1139"/>
    <s v="CA-2017-152170"/>
    <d v="2017-11-12T00:00:00"/>
    <x v="440"/>
    <s v="SLOW"/>
    <s v="Second Class"/>
    <s v="FH-14275"/>
    <s v="Frank Hawley"/>
    <x v="1"/>
    <s v="United States"/>
    <s v="La Porte"/>
    <x v="14"/>
    <n v="46350"/>
    <x v="2"/>
    <s v="OFF-PA-10001763"/>
    <x v="1"/>
    <x v="10"/>
    <x v="822"/>
    <n v="19.98"/>
  </r>
  <r>
    <n v="1140"/>
    <s v="CA-2017-152170"/>
    <d v="2017-11-12T00:00:00"/>
    <x v="440"/>
    <s v="SLOW"/>
    <s v="Second Class"/>
    <s v="FH-14275"/>
    <s v="Frank Hawley"/>
    <x v="1"/>
    <s v="United States"/>
    <s v="La Porte"/>
    <x v="14"/>
    <n v="46350"/>
    <x v="2"/>
    <s v="OFF-AR-10003394"/>
    <x v="1"/>
    <x v="6"/>
    <x v="491"/>
    <n v="20.58"/>
  </r>
  <r>
    <n v="1141"/>
    <s v="CA-2017-152170"/>
    <d v="2017-11-12T00:00:00"/>
    <x v="440"/>
    <s v="SLOW"/>
    <s v="Second Class"/>
    <s v="FH-14275"/>
    <s v="Frank Hawley"/>
    <x v="1"/>
    <s v="United States"/>
    <s v="La Porte"/>
    <x v="14"/>
    <n v="46350"/>
    <x v="2"/>
    <s v="OFF-BI-10002072"/>
    <x v="1"/>
    <x v="8"/>
    <x v="823"/>
    <n v="17.38"/>
  </r>
  <r>
    <n v="1142"/>
    <s v="CA-2015-146969"/>
    <d v="2015-09-29T00:00:00"/>
    <x v="126"/>
    <s v="FAST"/>
    <s v="Standard Class"/>
    <s v="AP-10915"/>
    <s v="Arthur Prichep"/>
    <x v="0"/>
    <s v="United States"/>
    <s v="Los Angeles"/>
    <x v="1"/>
    <n v="90045"/>
    <x v="1"/>
    <s v="FUR-FU-10004188"/>
    <x v="0"/>
    <x v="5"/>
    <x v="728"/>
    <n v="204.6"/>
  </r>
  <r>
    <n v="1143"/>
    <s v="CA-2015-146969"/>
    <d v="2015-09-29T00:00:00"/>
    <x v="126"/>
    <s v="FAST"/>
    <s v="Standard Class"/>
    <s v="AP-10915"/>
    <s v="Arthur Prichep"/>
    <x v="0"/>
    <s v="United States"/>
    <s v="Los Angeles"/>
    <x v="1"/>
    <n v="90045"/>
    <x v="1"/>
    <s v="OFF-FA-10001561"/>
    <x v="1"/>
    <x v="13"/>
    <x v="824"/>
    <n v="8.7200000000000006"/>
  </r>
  <r>
    <n v="1144"/>
    <s v="CA-2015-146969"/>
    <d v="2015-09-29T00:00:00"/>
    <x v="126"/>
    <s v="FAST"/>
    <s v="Standard Class"/>
    <s v="AP-10915"/>
    <s v="Arthur Prichep"/>
    <x v="0"/>
    <s v="United States"/>
    <s v="Los Angeles"/>
    <x v="1"/>
    <n v="90045"/>
    <x v="1"/>
    <s v="OFF-PA-10002105"/>
    <x v="1"/>
    <x v="10"/>
    <x v="267"/>
    <n v="6.48"/>
  </r>
  <r>
    <n v="1145"/>
    <s v="CA-2015-146969"/>
    <d v="2015-09-29T00:00:00"/>
    <x v="126"/>
    <s v="FAST"/>
    <s v="Standard Class"/>
    <s v="AP-10915"/>
    <s v="Arthur Prichep"/>
    <x v="0"/>
    <s v="United States"/>
    <s v="Los Angeles"/>
    <x v="1"/>
    <n v="90045"/>
    <x v="1"/>
    <s v="TEC-MA-10004241"/>
    <x v="2"/>
    <x v="15"/>
    <x v="825"/>
    <n v="686.32"/>
  </r>
  <r>
    <n v="1146"/>
    <s v="CA-2015-146969"/>
    <d v="2015-09-29T00:00:00"/>
    <x v="126"/>
    <s v="FAST"/>
    <s v="Standard Class"/>
    <s v="AP-10915"/>
    <s v="Arthur Prichep"/>
    <x v="0"/>
    <s v="United States"/>
    <s v="Los Angeles"/>
    <x v="1"/>
    <n v="90045"/>
    <x v="1"/>
    <s v="OFF-ST-10004340"/>
    <x v="1"/>
    <x v="4"/>
    <x v="802"/>
    <n v="62.18"/>
  </r>
  <r>
    <n v="1147"/>
    <s v="CA-2016-112452"/>
    <d v="2016-04-04T00:00:00"/>
    <x v="441"/>
    <s v="MODERATE"/>
    <s v="Same Day"/>
    <s v="NC-18340"/>
    <s v="Nat Carroll"/>
    <x v="0"/>
    <s v="United States"/>
    <s v="Lansing"/>
    <x v="12"/>
    <n v="48911"/>
    <x v="2"/>
    <s v="OFF-AP-10003849"/>
    <x v="1"/>
    <x v="9"/>
    <x v="826"/>
    <n v="644.07600000000002"/>
  </r>
  <r>
    <n v="1148"/>
    <s v="CA-2016-112452"/>
    <d v="2016-04-04T00:00:00"/>
    <x v="441"/>
    <s v="MODERATE"/>
    <s v="Same Day"/>
    <s v="NC-18340"/>
    <s v="Nat Carroll"/>
    <x v="0"/>
    <s v="United States"/>
    <s v="Lansing"/>
    <x v="12"/>
    <n v="48911"/>
    <x v="2"/>
    <s v="OFF-FA-10000735"/>
    <x v="1"/>
    <x v="13"/>
    <x v="124"/>
    <n v="5.84"/>
  </r>
  <r>
    <n v="1149"/>
    <s v="CA-2016-112452"/>
    <d v="2016-04-04T00:00:00"/>
    <x v="441"/>
    <s v="MODERATE"/>
    <s v="Same Day"/>
    <s v="NC-18340"/>
    <s v="Nat Carroll"/>
    <x v="0"/>
    <s v="United States"/>
    <s v="Lansing"/>
    <x v="12"/>
    <n v="48911"/>
    <x v="2"/>
    <s v="OFF-BI-10003350"/>
    <x v="1"/>
    <x v="8"/>
    <x v="827"/>
    <n v="12.76"/>
  </r>
  <r>
    <n v="1150"/>
    <s v="CA-2016-112452"/>
    <d v="2016-04-04T00:00:00"/>
    <x v="441"/>
    <s v="MODERATE"/>
    <s v="Same Day"/>
    <s v="NC-18340"/>
    <s v="Nat Carroll"/>
    <x v="0"/>
    <s v="United States"/>
    <s v="Lansing"/>
    <x v="12"/>
    <n v="48911"/>
    <x v="2"/>
    <s v="TEC-PH-10000307"/>
    <x v="2"/>
    <x v="7"/>
    <x v="828"/>
    <n v="10.95"/>
  </r>
  <r>
    <n v="1151"/>
    <s v="CA-2016-112452"/>
    <d v="2016-04-04T00:00:00"/>
    <x v="441"/>
    <s v="MODERATE"/>
    <s v="Same Day"/>
    <s v="NC-18340"/>
    <s v="Nat Carroll"/>
    <x v="0"/>
    <s v="United States"/>
    <s v="Lansing"/>
    <x v="12"/>
    <n v="48911"/>
    <x v="2"/>
    <s v="TEC-CO-10004202"/>
    <x v="2"/>
    <x v="16"/>
    <x v="829"/>
    <n v="599.98"/>
  </r>
  <r>
    <n v="1152"/>
    <s v="CA-2016-113971"/>
    <d v="2016-05-08T00:00:00"/>
    <x v="442"/>
    <s v="FAST"/>
    <s v="Standard Class"/>
    <s v="CB-12535"/>
    <s v="Claudia Bergmann"/>
    <x v="1"/>
    <s v="United States"/>
    <s v="Cuyahoga Falls"/>
    <x v="24"/>
    <n v="44221"/>
    <x v="3"/>
    <s v="FUR-FU-10001852"/>
    <x v="0"/>
    <x v="5"/>
    <x v="830"/>
    <n v="8.3520000000000003"/>
  </r>
  <r>
    <n v="1153"/>
    <s v="CA-2017-160395"/>
    <d v="2017-12-31T00:00:00"/>
    <x v="333"/>
    <s v="FAST"/>
    <s v="Standard Class"/>
    <s v="KL-16555"/>
    <s v="Kelly Lampkin"/>
    <x v="1"/>
    <s v="United States"/>
    <s v="Reno"/>
    <x v="33"/>
    <n v="89502"/>
    <x v="1"/>
    <s v="OFF-AR-10003759"/>
    <x v="1"/>
    <x v="6"/>
    <x v="831"/>
    <n v="3.64"/>
  </r>
  <r>
    <n v="1154"/>
    <s v="CA-2017-160395"/>
    <d v="2017-12-31T00:00:00"/>
    <x v="333"/>
    <s v="FAST"/>
    <s v="Standard Class"/>
    <s v="KL-16555"/>
    <s v="Kelly Lampkin"/>
    <x v="1"/>
    <s v="United States"/>
    <s v="Reno"/>
    <x v="33"/>
    <n v="89502"/>
    <x v="1"/>
    <s v="OFF-BI-10003984"/>
    <x v="1"/>
    <x v="8"/>
    <x v="684"/>
    <n v="159.768"/>
  </r>
  <r>
    <n v="1155"/>
    <s v="CA-2015-136567"/>
    <d v="2015-12-20T00:00:00"/>
    <x v="443"/>
    <s v="MODERATE"/>
    <s v="First Class"/>
    <s v="PS-19045"/>
    <s v="Penelope Sewall"/>
    <x v="2"/>
    <s v="United States"/>
    <s v="Harrisonburg"/>
    <x v="17"/>
    <n v="22801"/>
    <x v="0"/>
    <s v="OFF-ST-10004337"/>
    <x v="1"/>
    <x v="4"/>
    <x v="832"/>
    <n v="122.48"/>
  </r>
  <r>
    <n v="1156"/>
    <s v="CA-2015-136567"/>
    <d v="2015-12-20T00:00:00"/>
    <x v="443"/>
    <s v="MODERATE"/>
    <s v="First Class"/>
    <s v="PS-19045"/>
    <s v="Penelope Sewall"/>
    <x v="2"/>
    <s v="United States"/>
    <s v="Harrisonburg"/>
    <x v="17"/>
    <n v="22801"/>
    <x v="0"/>
    <s v="FUR-TA-10001932"/>
    <x v="0"/>
    <x v="3"/>
    <x v="833"/>
    <n v="2244.48"/>
  </r>
  <r>
    <n v="1157"/>
    <s v="CA-2015-136567"/>
    <d v="2015-12-20T00:00:00"/>
    <x v="443"/>
    <s v="MODERATE"/>
    <s v="First Class"/>
    <s v="PS-19045"/>
    <s v="Penelope Sewall"/>
    <x v="2"/>
    <s v="United States"/>
    <s v="Harrisonburg"/>
    <x v="17"/>
    <n v="22801"/>
    <x v="0"/>
    <s v="OFF-BI-10003982"/>
    <x v="1"/>
    <x v="8"/>
    <x v="343"/>
    <n v="62.31"/>
  </r>
  <r>
    <n v="1158"/>
    <s v="CA-2015-136567"/>
    <d v="2015-12-20T00:00:00"/>
    <x v="443"/>
    <s v="MODERATE"/>
    <s v="First Class"/>
    <s v="PS-19045"/>
    <s v="Penelope Sewall"/>
    <x v="2"/>
    <s v="United States"/>
    <s v="Harrisonburg"/>
    <x v="17"/>
    <n v="22801"/>
    <x v="0"/>
    <s v="FUR-TA-10000617"/>
    <x v="0"/>
    <x v="3"/>
    <x v="336"/>
    <n v="455.1"/>
  </r>
  <r>
    <n v="1159"/>
    <s v="CA-2017-149314"/>
    <d v="2017-07-02T00:00:00"/>
    <x v="444"/>
    <s v="SLOW"/>
    <s v="Second Class"/>
    <s v="GB-14530"/>
    <s v="George Bell"/>
    <x v="1"/>
    <s v="United States"/>
    <s v="Los Angeles"/>
    <x v="1"/>
    <n v="90004"/>
    <x v="1"/>
    <s v="FUR-CH-10002126"/>
    <x v="0"/>
    <x v="1"/>
    <x v="834"/>
    <n v="195.184"/>
  </r>
  <r>
    <n v="1160"/>
    <s v="CA-2018-147039"/>
    <d v="2018-06-29T00:00:00"/>
    <x v="445"/>
    <s v="FAST"/>
    <s v="Standard Class"/>
    <s v="AA-10315"/>
    <s v="Alex Avila"/>
    <x v="0"/>
    <s v="United States"/>
    <s v="Minneapolis"/>
    <x v="11"/>
    <n v="55407"/>
    <x v="2"/>
    <s v="OFF-AP-10000576"/>
    <x v="1"/>
    <x v="9"/>
    <x v="835"/>
    <n v="362.94"/>
  </r>
  <r>
    <n v="1161"/>
    <s v="CA-2018-147039"/>
    <d v="2018-06-29T00:00:00"/>
    <x v="445"/>
    <s v="FAST"/>
    <s v="Standard Class"/>
    <s v="AA-10315"/>
    <s v="Alex Avila"/>
    <x v="0"/>
    <s v="United States"/>
    <s v="Minneapolis"/>
    <x v="11"/>
    <n v="55407"/>
    <x v="2"/>
    <s v="OFF-BI-10004654"/>
    <x v="1"/>
    <x v="8"/>
    <x v="67"/>
    <n v="11.54"/>
  </r>
  <r>
    <n v="1162"/>
    <s v="CA-2015-126522"/>
    <d v="2015-09-01T00:00:00"/>
    <x v="446"/>
    <s v="SLOW"/>
    <s v="Second Class"/>
    <s v="LT-16765"/>
    <s v="Larry Tron"/>
    <x v="0"/>
    <s v="United States"/>
    <s v="Escondido"/>
    <x v="1"/>
    <n v="92025"/>
    <x v="1"/>
    <s v="OFF-AR-10004042"/>
    <x v="1"/>
    <x v="6"/>
    <x v="30"/>
    <n v="53.94"/>
  </r>
  <r>
    <n v="1163"/>
    <s v="CA-2015-127964"/>
    <d v="2015-03-03T00:00:00"/>
    <x v="447"/>
    <s v="FAST"/>
    <s v="Standard Class"/>
    <s v="AP-10720"/>
    <s v="Anne Pryor"/>
    <x v="2"/>
    <s v="United States"/>
    <s v="New York City"/>
    <x v="15"/>
    <n v="10035"/>
    <x v="3"/>
    <s v="TEC-PH-10004700"/>
    <x v="2"/>
    <x v="7"/>
    <x v="836"/>
    <n v="9.99"/>
  </r>
  <r>
    <n v="1164"/>
    <s v="CA-2015-127964"/>
    <d v="2015-03-03T00:00:00"/>
    <x v="447"/>
    <s v="FAST"/>
    <s v="Standard Class"/>
    <s v="AP-10720"/>
    <s v="Anne Pryor"/>
    <x v="2"/>
    <s v="United States"/>
    <s v="New York City"/>
    <x v="15"/>
    <n v="10035"/>
    <x v="3"/>
    <s v="OFF-BI-10004593"/>
    <x v="1"/>
    <x v="8"/>
    <x v="265"/>
    <n v="125.76"/>
  </r>
  <r>
    <n v="1165"/>
    <s v="CA-2015-127964"/>
    <d v="2015-03-03T00:00:00"/>
    <x v="447"/>
    <s v="FAST"/>
    <s v="Standard Class"/>
    <s v="AP-10720"/>
    <s v="Anne Pryor"/>
    <x v="2"/>
    <s v="United States"/>
    <s v="New York City"/>
    <x v="15"/>
    <n v="10035"/>
    <x v="3"/>
    <s v="OFF-BI-10003429"/>
    <x v="1"/>
    <x v="8"/>
    <x v="837"/>
    <n v="25.32"/>
  </r>
  <r>
    <n v="1166"/>
    <s v="CA-2015-117709"/>
    <d v="2015-05-04T00:00:00"/>
    <x v="448"/>
    <s v="FAST"/>
    <s v="Standard Class"/>
    <s v="PM-18940"/>
    <s v="Paul MacIntyre"/>
    <x v="0"/>
    <s v="United States"/>
    <s v="Jackson"/>
    <x v="12"/>
    <n v="49201"/>
    <x v="2"/>
    <s v="OFF-BI-10001294"/>
    <x v="1"/>
    <x v="8"/>
    <x v="660"/>
    <n v="46.8"/>
  </r>
  <r>
    <n v="1167"/>
    <s v="CA-2016-125416"/>
    <d v="2016-11-02T00:00:00"/>
    <x v="449"/>
    <s v="MODERATE"/>
    <s v="Same Day"/>
    <s v="KC-16540"/>
    <s v="Kelly Collister"/>
    <x v="0"/>
    <s v="United States"/>
    <s v="Seattle"/>
    <x v="4"/>
    <n v="98115"/>
    <x v="1"/>
    <s v="TEC-AC-10001552"/>
    <x v="2"/>
    <x v="11"/>
    <x v="96"/>
    <n v="447.93"/>
  </r>
  <r>
    <n v="1168"/>
    <s v="CA-2018-145226"/>
    <d v="2018-12-08T00:00:00"/>
    <x v="234"/>
    <s v="SLOW"/>
    <s v="Second Class"/>
    <s v="DL-13315"/>
    <s v="Delfina Latchford"/>
    <x v="0"/>
    <s v="United States"/>
    <s v="New York City"/>
    <x v="15"/>
    <n v="10035"/>
    <x v="3"/>
    <s v="FUR-FU-10004952"/>
    <x v="0"/>
    <x v="5"/>
    <x v="838"/>
    <n v="109.48"/>
  </r>
  <r>
    <n v="1169"/>
    <s v="CA-2018-145226"/>
    <d v="2018-12-08T00:00:00"/>
    <x v="234"/>
    <s v="SLOW"/>
    <s v="Second Class"/>
    <s v="DL-13315"/>
    <s v="Delfina Latchford"/>
    <x v="0"/>
    <s v="United States"/>
    <s v="New York City"/>
    <x v="15"/>
    <n v="10035"/>
    <x v="3"/>
    <s v="OFF-ST-10004123"/>
    <x v="1"/>
    <x v="4"/>
    <x v="71"/>
    <n v="272.94"/>
  </r>
  <r>
    <n v="1170"/>
    <s v="CA-2018-145226"/>
    <d v="2018-12-08T00:00:00"/>
    <x v="234"/>
    <s v="SLOW"/>
    <s v="Second Class"/>
    <s v="DL-13315"/>
    <s v="Delfina Latchford"/>
    <x v="0"/>
    <s v="United States"/>
    <s v="New York City"/>
    <x v="15"/>
    <n v="10035"/>
    <x v="3"/>
    <s v="OFF-PA-10003172"/>
    <x v="1"/>
    <x v="10"/>
    <x v="839"/>
    <n v="19.440000000000001"/>
  </r>
  <r>
    <n v="1171"/>
    <s v="CA-2018-145226"/>
    <d v="2018-12-08T00:00:00"/>
    <x v="234"/>
    <s v="SLOW"/>
    <s v="Second Class"/>
    <s v="DL-13315"/>
    <s v="Delfina Latchford"/>
    <x v="0"/>
    <s v="United States"/>
    <s v="New York City"/>
    <x v="15"/>
    <n v="10035"/>
    <x v="3"/>
    <s v="OFF-ST-10002352"/>
    <x v="1"/>
    <x v="4"/>
    <x v="840"/>
    <n v="31.92"/>
  </r>
  <r>
    <n v="1172"/>
    <s v="US-2015-100279"/>
    <d v="2015-03-10T00:00:00"/>
    <x v="450"/>
    <s v="FAST"/>
    <s v="Standard Class"/>
    <s v="SW-20275"/>
    <s v="Scott Williamson"/>
    <x v="0"/>
    <s v="United States"/>
    <s v="Royal Oak"/>
    <x v="12"/>
    <n v="48073"/>
    <x v="2"/>
    <s v="OFF-PA-10002259"/>
    <x v="1"/>
    <x v="10"/>
    <x v="841"/>
    <n v="22.38"/>
  </r>
  <r>
    <n v="1173"/>
    <s v="CA-2015-158064"/>
    <d v="2015-04-21T00:00:00"/>
    <x v="451"/>
    <s v="FAST"/>
    <s v="Standard Class"/>
    <s v="AA-10375"/>
    <s v="Allen Armold"/>
    <x v="0"/>
    <s v="United States"/>
    <s v="Los Angeles"/>
    <x v="1"/>
    <n v="90008"/>
    <x v="1"/>
    <s v="OFF-BI-10002976"/>
    <x v="1"/>
    <x v="8"/>
    <x v="842"/>
    <n v="16.52"/>
  </r>
  <r>
    <n v="1174"/>
    <s v="US-2016-104430"/>
    <d v="2016-10-22T00:00:00"/>
    <x v="452"/>
    <s v="FAST"/>
    <s v="Standard Class"/>
    <s v="LT-17110"/>
    <s v="Liz Thompson"/>
    <x v="0"/>
    <s v="United States"/>
    <s v="Bloomington"/>
    <x v="10"/>
    <n v="61701"/>
    <x v="2"/>
    <s v="OFF-BI-10000301"/>
    <x v="1"/>
    <x v="8"/>
    <x v="612"/>
    <n v="5.1760000000000002"/>
  </r>
  <r>
    <n v="1175"/>
    <s v="CA-2016-132080"/>
    <d v="2016-08-22T00:00:00"/>
    <x v="453"/>
    <s v="MODERATE"/>
    <s v="First Class"/>
    <s v="DP-13105"/>
    <s v="Dave Poirier"/>
    <x v="1"/>
    <s v="United States"/>
    <s v="New York City"/>
    <x v="15"/>
    <n v="10035"/>
    <x v="3"/>
    <s v="OFF-BI-10003694"/>
    <x v="1"/>
    <x v="8"/>
    <x v="843"/>
    <n v="50.112000000000002"/>
  </r>
  <r>
    <n v="1176"/>
    <s v="CA-2017-161207"/>
    <d v="2017-08-29T00:00:00"/>
    <x v="142"/>
    <s v="FAST"/>
    <s v="Standard Class"/>
    <s v="AB-10060"/>
    <s v="Adam Bellavance"/>
    <x v="2"/>
    <s v="United States"/>
    <s v="Concord"/>
    <x v="38"/>
    <n v="3301"/>
    <x v="3"/>
    <s v="OFF-SU-10000381"/>
    <x v="1"/>
    <x v="14"/>
    <x v="647"/>
    <n v="27.93"/>
  </r>
  <r>
    <n v="1177"/>
    <s v="CA-2015-120243"/>
    <d v="2015-12-27T00:00:00"/>
    <x v="128"/>
    <s v="SLOW"/>
    <s v="Second Class"/>
    <s v="AT-10435"/>
    <s v="Alyssa Tate"/>
    <x v="2"/>
    <s v="United States"/>
    <s v="Los Angeles"/>
    <x v="1"/>
    <n v="90004"/>
    <x v="1"/>
    <s v="OFF-LA-10004425"/>
    <x v="1"/>
    <x v="2"/>
    <x v="844"/>
    <n v="11.56"/>
  </r>
  <r>
    <n v="1178"/>
    <s v="CA-2017-113621"/>
    <d v="2017-12-01T00:00:00"/>
    <x v="454"/>
    <s v="FAST"/>
    <s v="Standard Class"/>
    <s v="JE-15745"/>
    <s v="Joel Eaton"/>
    <x v="0"/>
    <s v="United States"/>
    <s v="Rockville"/>
    <x v="39"/>
    <n v="20852"/>
    <x v="3"/>
    <s v="FUR-CH-10001270"/>
    <x v="0"/>
    <x v="1"/>
    <x v="845"/>
    <n v="172.5"/>
  </r>
  <r>
    <n v="1179"/>
    <s v="CA-2017-113621"/>
    <d v="2017-12-01T00:00:00"/>
    <x v="454"/>
    <s v="FAST"/>
    <s v="Standard Class"/>
    <s v="JE-15745"/>
    <s v="Joel Eaton"/>
    <x v="0"/>
    <s v="United States"/>
    <s v="Rockville"/>
    <x v="39"/>
    <n v="20852"/>
    <x v="3"/>
    <s v="TEC-PH-10003931"/>
    <x v="2"/>
    <x v="7"/>
    <x v="157"/>
    <n v="179.97"/>
  </r>
  <r>
    <n v="1180"/>
    <s v="CA-2017-168081"/>
    <d v="2017-04-24T00:00:00"/>
    <x v="131"/>
    <s v="SLOW"/>
    <s v="Second Class"/>
    <s v="CA-12055"/>
    <s v="Cathy Armstrong"/>
    <x v="2"/>
    <s v="United States"/>
    <s v="Houston"/>
    <x v="5"/>
    <n v="77070"/>
    <x v="2"/>
    <s v="TEC-AC-10003174"/>
    <x v="2"/>
    <x v="11"/>
    <x v="607"/>
    <n v="258.69600000000003"/>
  </r>
  <r>
    <n v="1181"/>
    <s v="CA-2015-128146"/>
    <d v="2015-06-21T00:00:00"/>
    <x v="174"/>
    <s v="FAST"/>
    <s v="Standard Class"/>
    <s v="DB-13060"/>
    <s v="Dave Brooks"/>
    <x v="0"/>
    <s v="United States"/>
    <s v="Lakewood"/>
    <x v="30"/>
    <n v="8701"/>
    <x v="3"/>
    <s v="TEC-PH-10004539"/>
    <x v="2"/>
    <x v="7"/>
    <x v="846"/>
    <n v="1322.93"/>
  </r>
  <r>
    <n v="1182"/>
    <s v="CA-2015-128146"/>
    <d v="2015-06-21T00:00:00"/>
    <x v="174"/>
    <s v="FAST"/>
    <s v="Standard Class"/>
    <s v="DB-13060"/>
    <s v="Dave Brooks"/>
    <x v="0"/>
    <s v="United States"/>
    <s v="Lakewood"/>
    <x v="30"/>
    <n v="8701"/>
    <x v="3"/>
    <s v="OFF-AR-10001919"/>
    <x v="1"/>
    <x v="6"/>
    <x v="847"/>
    <n v="3.76"/>
  </r>
  <r>
    <n v="1183"/>
    <s v="CA-2018-138779"/>
    <d v="2018-01-14T00:00:00"/>
    <x v="455"/>
    <s v="MODERATE"/>
    <s v="First Class"/>
    <s v="RB-19570"/>
    <s v="Rob Beeghly"/>
    <x v="0"/>
    <s v="United States"/>
    <s v="Jacksonville"/>
    <x v="3"/>
    <n v="28540"/>
    <x v="0"/>
    <s v="OFF-EN-10002504"/>
    <x v="1"/>
    <x v="12"/>
    <x v="109"/>
    <n v="21.744"/>
  </r>
  <r>
    <n v="1184"/>
    <s v="CA-2018-138779"/>
    <d v="2018-01-14T00:00:00"/>
    <x v="455"/>
    <s v="MODERATE"/>
    <s v="First Class"/>
    <s v="RB-19570"/>
    <s v="Rob Beeghly"/>
    <x v="0"/>
    <s v="United States"/>
    <s v="Jacksonville"/>
    <x v="3"/>
    <n v="28540"/>
    <x v="0"/>
    <s v="TEC-PH-10003655"/>
    <x v="2"/>
    <x v="7"/>
    <x v="848"/>
    <n v="7.92"/>
  </r>
  <r>
    <n v="1185"/>
    <s v="CA-2015-127131"/>
    <d v="2015-11-24T00:00:00"/>
    <x v="456"/>
    <s v="FAST"/>
    <s v="Standard Class"/>
    <s v="HR-14830"/>
    <s v="Harold Ryan"/>
    <x v="1"/>
    <s v="United States"/>
    <s v="Seattle"/>
    <x v="4"/>
    <n v="98103"/>
    <x v="1"/>
    <s v="OFF-BI-10004656"/>
    <x v="1"/>
    <x v="8"/>
    <x v="849"/>
    <n v="12.096"/>
  </r>
  <r>
    <n v="1186"/>
    <s v="CA-2015-127131"/>
    <d v="2015-11-24T00:00:00"/>
    <x v="456"/>
    <s v="FAST"/>
    <s v="Standard Class"/>
    <s v="HR-14830"/>
    <s v="Harold Ryan"/>
    <x v="1"/>
    <s v="United States"/>
    <s v="Seattle"/>
    <x v="4"/>
    <n v="98103"/>
    <x v="1"/>
    <s v="OFF-ST-10002344"/>
    <x v="1"/>
    <x v="4"/>
    <x v="850"/>
    <n v="485.88"/>
  </r>
  <r>
    <n v="1187"/>
    <s v="CA-2015-127131"/>
    <d v="2015-11-24T00:00:00"/>
    <x v="456"/>
    <s v="FAST"/>
    <s v="Standard Class"/>
    <s v="HR-14830"/>
    <s v="Harold Ryan"/>
    <x v="1"/>
    <s v="United States"/>
    <s v="Seattle"/>
    <x v="4"/>
    <n v="98103"/>
    <x v="1"/>
    <s v="OFF-PA-10001800"/>
    <x v="1"/>
    <x v="10"/>
    <x v="574"/>
    <n v="25.92"/>
  </r>
  <r>
    <n v="1188"/>
    <s v="CA-2015-127131"/>
    <d v="2015-11-24T00:00:00"/>
    <x v="456"/>
    <s v="FAST"/>
    <s v="Standard Class"/>
    <s v="HR-14830"/>
    <s v="Harold Ryan"/>
    <x v="1"/>
    <s v="United States"/>
    <s v="Seattle"/>
    <x v="4"/>
    <n v="98103"/>
    <x v="1"/>
    <s v="OFF-ST-10000036"/>
    <x v="1"/>
    <x v="4"/>
    <x v="583"/>
    <n v="197.58"/>
  </r>
  <r>
    <n v="1189"/>
    <s v="CA-2018-117212"/>
    <d v="2018-02-26T00:00:00"/>
    <x v="457"/>
    <s v="SLOW"/>
    <s v="Second Class"/>
    <s v="BT-11530"/>
    <s v="Bradley Talbott"/>
    <x v="2"/>
    <s v="United States"/>
    <s v="Los Angeles"/>
    <x v="1"/>
    <n v="90036"/>
    <x v="1"/>
    <s v="OFF-AP-10004532"/>
    <x v="1"/>
    <x v="9"/>
    <x v="553"/>
    <n v="81.92"/>
  </r>
  <r>
    <n v="1190"/>
    <s v="CA-2018-117212"/>
    <d v="2018-02-26T00:00:00"/>
    <x v="457"/>
    <s v="SLOW"/>
    <s v="Second Class"/>
    <s v="BT-11530"/>
    <s v="Bradley Talbott"/>
    <x v="2"/>
    <s v="United States"/>
    <s v="Los Angeles"/>
    <x v="1"/>
    <n v="90036"/>
    <x v="1"/>
    <s v="TEC-PH-10004447"/>
    <x v="2"/>
    <x v="7"/>
    <x v="851"/>
    <n v="889.53599999999994"/>
  </r>
  <r>
    <n v="1191"/>
    <s v="CA-2018-117212"/>
    <d v="2018-02-26T00:00:00"/>
    <x v="457"/>
    <s v="SLOW"/>
    <s v="Second Class"/>
    <s v="BT-11530"/>
    <s v="Bradley Talbott"/>
    <x v="2"/>
    <s v="United States"/>
    <s v="Los Angeles"/>
    <x v="1"/>
    <n v="90036"/>
    <x v="1"/>
    <s v="FUR-CH-10003973"/>
    <x v="0"/>
    <x v="1"/>
    <x v="852"/>
    <n v="892.22400000000005"/>
  </r>
  <r>
    <n v="1192"/>
    <s v="CA-2018-117212"/>
    <d v="2018-02-26T00:00:00"/>
    <x v="457"/>
    <s v="SLOW"/>
    <s v="Second Class"/>
    <s v="BT-11530"/>
    <s v="Bradley Talbott"/>
    <x v="2"/>
    <s v="United States"/>
    <s v="Los Angeles"/>
    <x v="1"/>
    <n v="90036"/>
    <x v="1"/>
    <s v="OFF-PA-10001970"/>
    <x v="1"/>
    <x v="10"/>
    <x v="358"/>
    <n v="223.92"/>
  </r>
  <r>
    <n v="1193"/>
    <s v="CA-2018-117212"/>
    <d v="2018-02-26T00:00:00"/>
    <x v="457"/>
    <s v="SLOW"/>
    <s v="Second Class"/>
    <s v="BT-11530"/>
    <s v="Bradley Talbott"/>
    <x v="2"/>
    <s v="United States"/>
    <s v="Los Angeles"/>
    <x v="1"/>
    <n v="90036"/>
    <x v="1"/>
    <s v="OFF-PA-10000682"/>
    <x v="1"/>
    <x v="10"/>
    <x v="853"/>
    <n v="23.12"/>
  </r>
  <r>
    <n v="1194"/>
    <s v="US-2016-130519"/>
    <d v="2016-09-15T00:00:00"/>
    <x v="458"/>
    <s v="MODERATE"/>
    <s v="Same Day"/>
    <s v="NG-18355"/>
    <s v="Nat Gilpin"/>
    <x v="1"/>
    <s v="United States"/>
    <s v="Coral Springs"/>
    <x v="2"/>
    <n v="33065"/>
    <x v="0"/>
    <s v="OFF-PA-10001937"/>
    <x v="1"/>
    <x v="10"/>
    <x v="284"/>
    <n v="15.552"/>
  </r>
  <r>
    <n v="1195"/>
    <s v="US-2016-130519"/>
    <d v="2016-09-15T00:00:00"/>
    <x v="458"/>
    <s v="MODERATE"/>
    <s v="Same Day"/>
    <s v="NG-18355"/>
    <s v="Nat Gilpin"/>
    <x v="1"/>
    <s v="United States"/>
    <s v="Coral Springs"/>
    <x v="2"/>
    <n v="33065"/>
    <x v="0"/>
    <s v="FUR-FU-10002268"/>
    <x v="0"/>
    <x v="5"/>
    <x v="854"/>
    <n v="15.712"/>
  </r>
  <r>
    <n v="1196"/>
    <s v="US-2016-130519"/>
    <d v="2016-09-15T00:00:00"/>
    <x v="458"/>
    <s v="MODERATE"/>
    <s v="Same Day"/>
    <s v="NG-18355"/>
    <s v="Nat Gilpin"/>
    <x v="1"/>
    <s v="United States"/>
    <s v="Coral Springs"/>
    <x v="2"/>
    <n v="33065"/>
    <x v="0"/>
    <s v="OFF-ST-10001321"/>
    <x v="1"/>
    <x v="4"/>
    <x v="411"/>
    <n v="24.672000000000001"/>
  </r>
  <r>
    <n v="1197"/>
    <s v="US-2016-130519"/>
    <d v="2016-09-15T00:00:00"/>
    <x v="458"/>
    <s v="MODERATE"/>
    <s v="Same Day"/>
    <s v="NG-18355"/>
    <s v="Nat Gilpin"/>
    <x v="1"/>
    <s v="United States"/>
    <s v="Coral Springs"/>
    <x v="2"/>
    <n v="33065"/>
    <x v="0"/>
    <s v="FUR-FU-10003394"/>
    <x v="0"/>
    <x v="5"/>
    <x v="572"/>
    <n v="55.968000000000004"/>
  </r>
  <r>
    <n v="1198"/>
    <s v="CA-2017-130946"/>
    <d v="2017-04-08T00:00:00"/>
    <x v="359"/>
    <s v="FAST"/>
    <s v="Standard Class"/>
    <s v="ZC-21910"/>
    <s v="Zuschuss Carroll"/>
    <x v="0"/>
    <s v="United States"/>
    <s v="Houston"/>
    <x v="5"/>
    <n v="77041"/>
    <x v="2"/>
    <s v="TEC-AC-10001990"/>
    <x v="2"/>
    <x v="11"/>
    <x v="855"/>
    <n v="431.928"/>
  </r>
  <r>
    <n v="1199"/>
    <s v="CA-2017-130946"/>
    <d v="2017-04-08T00:00:00"/>
    <x v="359"/>
    <s v="FAST"/>
    <s v="Standard Class"/>
    <s v="ZC-21910"/>
    <s v="Zuschuss Carroll"/>
    <x v="0"/>
    <s v="United States"/>
    <s v="Houston"/>
    <x v="5"/>
    <n v="77041"/>
    <x v="2"/>
    <s v="FUR-CH-10004540"/>
    <x v="0"/>
    <x v="1"/>
    <x v="856"/>
    <n v="95.983999999999995"/>
  </r>
  <r>
    <n v="1200"/>
    <s v="CA-2017-130946"/>
    <d v="2017-04-08T00:00:00"/>
    <x v="359"/>
    <s v="FAST"/>
    <s v="Standard Class"/>
    <s v="ZC-21910"/>
    <s v="Zuschuss Carroll"/>
    <x v="0"/>
    <s v="United States"/>
    <s v="Houston"/>
    <x v="5"/>
    <n v="77041"/>
    <x v="2"/>
    <s v="OFF-BI-10004995"/>
    <x v="1"/>
    <x v="8"/>
    <x v="311"/>
    <n v="1088.7919999999999"/>
  </r>
  <r>
    <n v="1201"/>
    <s v="CA-2017-114727"/>
    <d v="2017-07-18T00:00:00"/>
    <x v="434"/>
    <s v="FAST"/>
    <s v="Standard Class"/>
    <s v="LS-16945"/>
    <s v="Linda Southworth"/>
    <x v="1"/>
    <s v="United States"/>
    <s v="Denver"/>
    <x v="22"/>
    <n v="80219"/>
    <x v="1"/>
    <s v="FUR-CH-10002335"/>
    <x v="0"/>
    <x v="1"/>
    <x v="616"/>
    <n v="544.00800000000004"/>
  </r>
  <r>
    <n v="1202"/>
    <s v="CA-2017-114727"/>
    <d v="2017-07-18T00:00:00"/>
    <x v="434"/>
    <s v="FAST"/>
    <s v="Standard Class"/>
    <s v="LS-16945"/>
    <s v="Linda Southworth"/>
    <x v="1"/>
    <s v="United States"/>
    <s v="Denver"/>
    <x v="22"/>
    <n v="80219"/>
    <x v="1"/>
    <s v="OFF-BI-10004967"/>
    <x v="1"/>
    <x v="8"/>
    <x v="251"/>
    <n v="1.8720000000000001"/>
  </r>
  <r>
    <n v="1203"/>
    <s v="CA-2017-114727"/>
    <d v="2017-07-18T00:00:00"/>
    <x v="434"/>
    <s v="FAST"/>
    <s v="Standard Class"/>
    <s v="LS-16945"/>
    <s v="Linda Southworth"/>
    <x v="1"/>
    <s v="United States"/>
    <s v="Denver"/>
    <x v="22"/>
    <n v="80219"/>
    <x v="1"/>
    <s v="FUR-CH-10002331"/>
    <x v="0"/>
    <x v="1"/>
    <x v="398"/>
    <n v="854.35199999999998"/>
  </r>
  <r>
    <n v="1204"/>
    <s v="CA-2017-114727"/>
    <d v="2017-07-18T00:00:00"/>
    <x v="434"/>
    <s v="FAST"/>
    <s v="Standard Class"/>
    <s v="LS-16945"/>
    <s v="Linda Southworth"/>
    <x v="1"/>
    <s v="United States"/>
    <s v="Denver"/>
    <x v="22"/>
    <n v="80219"/>
    <x v="1"/>
    <s v="OFF-ST-10002292"/>
    <x v="1"/>
    <x v="4"/>
    <x v="857"/>
    <n v="593.56799999999998"/>
  </r>
  <r>
    <n v="1205"/>
    <s v="CA-2017-114727"/>
    <d v="2017-07-18T00:00:00"/>
    <x v="434"/>
    <s v="FAST"/>
    <s v="Standard Class"/>
    <s v="LS-16945"/>
    <s v="Linda Southworth"/>
    <x v="1"/>
    <s v="United States"/>
    <s v="Denver"/>
    <x v="22"/>
    <n v="80219"/>
    <x v="1"/>
    <s v="OFF-ST-10000689"/>
    <x v="1"/>
    <x v="4"/>
    <x v="416"/>
    <n v="338.04"/>
  </r>
  <r>
    <n v="1206"/>
    <s v="CA-2018-133235"/>
    <d v="2018-08-01T00:00:00"/>
    <x v="459"/>
    <s v="MODERATE"/>
    <s v="First Class"/>
    <s v="LH-16750"/>
    <s v="Larry Hughes"/>
    <x v="0"/>
    <s v="United States"/>
    <s v="Charlotte"/>
    <x v="3"/>
    <n v="28205"/>
    <x v="0"/>
    <s v="TEC-PH-10002660"/>
    <x v="2"/>
    <x v="7"/>
    <x v="691"/>
    <n v="271.95999999999998"/>
  </r>
  <r>
    <n v="1207"/>
    <s v="CA-2017-137050"/>
    <d v="2017-07-14T00:00:00"/>
    <x v="460"/>
    <s v="SLOW"/>
    <s v="Second Class"/>
    <s v="SW-20755"/>
    <s v="Steven Ward"/>
    <x v="1"/>
    <s v="United States"/>
    <s v="New York City"/>
    <x v="15"/>
    <n v="10009"/>
    <x v="3"/>
    <s v="OFF-ST-10004634"/>
    <x v="1"/>
    <x v="4"/>
    <x v="590"/>
    <n v="11.21"/>
  </r>
  <r>
    <n v="1208"/>
    <s v="CA-2017-137050"/>
    <d v="2017-07-14T00:00:00"/>
    <x v="460"/>
    <s v="SLOW"/>
    <s v="Second Class"/>
    <s v="SW-20755"/>
    <s v="Steven Ward"/>
    <x v="1"/>
    <s v="United States"/>
    <s v="New York City"/>
    <x v="15"/>
    <n v="10009"/>
    <x v="3"/>
    <s v="OFF-BI-10002160"/>
    <x v="1"/>
    <x v="8"/>
    <x v="310"/>
    <n v="9.1440000000000001"/>
  </r>
  <r>
    <n v="1209"/>
    <s v="CA-2017-137050"/>
    <d v="2017-07-14T00:00:00"/>
    <x v="460"/>
    <s v="SLOW"/>
    <s v="Second Class"/>
    <s v="SW-20755"/>
    <s v="Steven Ward"/>
    <x v="1"/>
    <s v="United States"/>
    <s v="New York City"/>
    <x v="15"/>
    <n v="10009"/>
    <x v="3"/>
    <s v="OFF-FA-10002988"/>
    <x v="1"/>
    <x v="13"/>
    <x v="128"/>
    <n v="14.07"/>
  </r>
  <r>
    <n v="1210"/>
    <s v="CA-2017-137050"/>
    <d v="2017-07-14T00:00:00"/>
    <x v="460"/>
    <s v="SLOW"/>
    <s v="Second Class"/>
    <s v="SW-20755"/>
    <s v="Steven Ward"/>
    <x v="1"/>
    <s v="United States"/>
    <s v="New York City"/>
    <x v="15"/>
    <n v="10009"/>
    <x v="3"/>
    <s v="OFF-AR-10004999"/>
    <x v="1"/>
    <x v="6"/>
    <x v="858"/>
    <n v="41.86"/>
  </r>
  <r>
    <n v="1211"/>
    <s v="CA-2017-137050"/>
    <d v="2017-07-14T00:00:00"/>
    <x v="460"/>
    <s v="SLOW"/>
    <s v="Second Class"/>
    <s v="SW-20755"/>
    <s v="Steven Ward"/>
    <x v="1"/>
    <s v="United States"/>
    <s v="New York City"/>
    <x v="15"/>
    <n v="10009"/>
    <x v="3"/>
    <s v="OFF-BI-10001031"/>
    <x v="1"/>
    <x v="8"/>
    <x v="859"/>
    <n v="8.5440000000000005"/>
  </r>
  <r>
    <n v="1212"/>
    <s v="CA-2017-137050"/>
    <d v="2017-07-14T00:00:00"/>
    <x v="460"/>
    <s v="SLOW"/>
    <s v="Second Class"/>
    <s v="SW-20755"/>
    <s v="Steven Ward"/>
    <x v="1"/>
    <s v="United States"/>
    <s v="New York City"/>
    <x v="15"/>
    <n v="10009"/>
    <x v="3"/>
    <s v="FUR-BO-10004695"/>
    <x v="0"/>
    <x v="0"/>
    <x v="195"/>
    <n v="579.13599999999997"/>
  </r>
  <r>
    <n v="1213"/>
    <s v="US-2018-118087"/>
    <d v="2018-09-09T00:00:00"/>
    <x v="461"/>
    <s v="FAST"/>
    <s v="Standard Class"/>
    <s v="SP-20620"/>
    <s v="Stefania Perrino"/>
    <x v="1"/>
    <s v="United States"/>
    <s v="Philadelphia"/>
    <x v="9"/>
    <n v="19134"/>
    <x v="3"/>
    <s v="FUR-CH-10004860"/>
    <x v="0"/>
    <x v="1"/>
    <x v="207"/>
    <n v="141.37200000000001"/>
  </r>
  <r>
    <n v="1214"/>
    <s v="US-2018-118087"/>
    <d v="2018-09-09T00:00:00"/>
    <x v="461"/>
    <s v="FAST"/>
    <s v="Standard Class"/>
    <s v="SP-20620"/>
    <s v="Stefania Perrino"/>
    <x v="1"/>
    <s v="United States"/>
    <s v="Philadelphia"/>
    <x v="9"/>
    <n v="19134"/>
    <x v="3"/>
    <s v="OFF-BI-10002432"/>
    <x v="1"/>
    <x v="8"/>
    <x v="860"/>
    <n v="3.036"/>
  </r>
  <r>
    <n v="1215"/>
    <s v="US-2018-118087"/>
    <d v="2018-09-09T00:00:00"/>
    <x v="461"/>
    <s v="FAST"/>
    <s v="Standard Class"/>
    <s v="SP-20620"/>
    <s v="Stefania Perrino"/>
    <x v="1"/>
    <s v="United States"/>
    <s v="Philadelphia"/>
    <x v="9"/>
    <n v="19134"/>
    <x v="3"/>
    <s v="OFF-BI-10000069"/>
    <x v="1"/>
    <x v="8"/>
    <x v="481"/>
    <n v="4.5030000000000001"/>
  </r>
  <r>
    <n v="1216"/>
    <s v="US-2018-118087"/>
    <d v="2018-09-09T00:00:00"/>
    <x v="461"/>
    <s v="FAST"/>
    <s v="Standard Class"/>
    <s v="SP-20620"/>
    <s v="Stefania Perrino"/>
    <x v="1"/>
    <s v="United States"/>
    <s v="Philadelphia"/>
    <x v="9"/>
    <n v="19134"/>
    <x v="3"/>
    <s v="OFF-AR-10003602"/>
    <x v="1"/>
    <x v="6"/>
    <x v="237"/>
    <n v="4.6719999999999997"/>
  </r>
  <r>
    <n v="1217"/>
    <s v="US-2018-118087"/>
    <d v="2018-09-09T00:00:00"/>
    <x v="461"/>
    <s v="FAST"/>
    <s v="Standard Class"/>
    <s v="SP-20620"/>
    <s v="Stefania Perrino"/>
    <x v="1"/>
    <s v="United States"/>
    <s v="Philadelphia"/>
    <x v="9"/>
    <n v="19134"/>
    <x v="3"/>
    <s v="TEC-AC-10004469"/>
    <x v="2"/>
    <x v="11"/>
    <x v="236"/>
    <n v="95.88"/>
  </r>
  <r>
    <n v="1218"/>
    <s v="US-2018-118087"/>
    <d v="2018-09-09T00:00:00"/>
    <x v="461"/>
    <s v="FAST"/>
    <s v="Standard Class"/>
    <s v="SP-20620"/>
    <s v="Stefania Perrino"/>
    <x v="1"/>
    <s v="United States"/>
    <s v="Philadelphia"/>
    <x v="9"/>
    <n v="19134"/>
    <x v="3"/>
    <s v="FUR-FU-10001867"/>
    <x v="0"/>
    <x v="5"/>
    <x v="861"/>
    <n v="17.024000000000001"/>
  </r>
  <r>
    <n v="1219"/>
    <s v="US-2018-118087"/>
    <d v="2018-09-09T00:00:00"/>
    <x v="461"/>
    <s v="FAST"/>
    <s v="Standard Class"/>
    <s v="SP-20620"/>
    <s v="Stefania Perrino"/>
    <x v="1"/>
    <s v="United States"/>
    <s v="Philadelphia"/>
    <x v="9"/>
    <n v="19134"/>
    <x v="3"/>
    <s v="TEC-AC-10003174"/>
    <x v="2"/>
    <x v="11"/>
    <x v="607"/>
    <n v="258.69600000000003"/>
  </r>
  <r>
    <n v="1220"/>
    <s v="US-2018-118087"/>
    <d v="2018-09-09T00:00:00"/>
    <x v="461"/>
    <s v="FAST"/>
    <s v="Standard Class"/>
    <s v="SP-20620"/>
    <s v="Stefania Perrino"/>
    <x v="1"/>
    <s v="United States"/>
    <s v="Philadelphia"/>
    <x v="9"/>
    <n v="19134"/>
    <x v="3"/>
    <s v="TEC-PH-10002200"/>
    <x v="2"/>
    <x v="7"/>
    <x v="862"/>
    <n v="1931.9580000000001"/>
  </r>
  <r>
    <n v="1221"/>
    <s v="CA-2015-110184"/>
    <d v="2015-07-12T00:00:00"/>
    <x v="462"/>
    <s v="FAST"/>
    <s v="Standard Class"/>
    <s v="BF-11170"/>
    <s v="Ben Ferrer"/>
    <x v="2"/>
    <s v="United States"/>
    <s v="Los Angeles"/>
    <x v="1"/>
    <n v="90036"/>
    <x v="1"/>
    <s v="OFF-ST-10000107"/>
    <x v="1"/>
    <x v="4"/>
    <x v="17"/>
    <n v="249.75"/>
  </r>
  <r>
    <n v="1222"/>
    <s v="CA-2015-110184"/>
    <d v="2015-07-12T00:00:00"/>
    <x v="462"/>
    <s v="FAST"/>
    <s v="Standard Class"/>
    <s v="BF-11170"/>
    <s v="Ben Ferrer"/>
    <x v="2"/>
    <s v="United States"/>
    <s v="Los Angeles"/>
    <x v="1"/>
    <n v="90036"/>
    <x v="1"/>
    <s v="TEC-PH-10000439"/>
    <x v="2"/>
    <x v="7"/>
    <x v="863"/>
    <n v="255.93600000000001"/>
  </r>
  <r>
    <n v="1223"/>
    <s v="CA-2017-126004"/>
    <d v="2017-12-04T00:00:00"/>
    <x v="454"/>
    <s v="MODERATE"/>
    <s v="First Class"/>
    <s v="BM-11140"/>
    <s v="Becky Martin"/>
    <x v="0"/>
    <s v="United States"/>
    <s v="New York City"/>
    <x v="15"/>
    <n v="10024"/>
    <x v="3"/>
    <s v="FUR-FU-10001602"/>
    <x v="0"/>
    <x v="5"/>
    <x v="752"/>
    <n v="113.79"/>
  </r>
  <r>
    <n v="1224"/>
    <s v="CA-2017-126004"/>
    <d v="2017-12-04T00:00:00"/>
    <x v="454"/>
    <s v="MODERATE"/>
    <s v="First Class"/>
    <s v="BM-11140"/>
    <s v="Becky Martin"/>
    <x v="0"/>
    <s v="United States"/>
    <s v="New York City"/>
    <x v="15"/>
    <n v="10024"/>
    <x v="3"/>
    <s v="TEC-AC-10001432"/>
    <x v="2"/>
    <x v="11"/>
    <x v="466"/>
    <n v="78.150000000000006"/>
  </r>
  <r>
    <n v="1225"/>
    <s v="CA-2017-126004"/>
    <d v="2017-12-04T00:00:00"/>
    <x v="454"/>
    <s v="MODERATE"/>
    <s v="First Class"/>
    <s v="BM-11140"/>
    <s v="Becky Martin"/>
    <x v="0"/>
    <s v="United States"/>
    <s v="New York City"/>
    <x v="15"/>
    <n v="10024"/>
    <x v="3"/>
    <s v="OFF-BI-10004656"/>
    <x v="1"/>
    <x v="8"/>
    <x v="849"/>
    <n v="1.728"/>
  </r>
  <r>
    <n v="1226"/>
    <s v="CA-2017-126004"/>
    <d v="2017-12-04T00:00:00"/>
    <x v="454"/>
    <s v="MODERATE"/>
    <s v="First Class"/>
    <s v="BM-11140"/>
    <s v="Becky Martin"/>
    <x v="0"/>
    <s v="United States"/>
    <s v="New York City"/>
    <x v="15"/>
    <n v="10024"/>
    <x v="3"/>
    <s v="OFF-PA-10001685"/>
    <x v="1"/>
    <x v="10"/>
    <x v="33"/>
    <n v="40.56"/>
  </r>
  <r>
    <n v="1227"/>
    <s v="CA-2017-126004"/>
    <d v="2017-12-04T00:00:00"/>
    <x v="454"/>
    <s v="MODERATE"/>
    <s v="First Class"/>
    <s v="BM-11140"/>
    <s v="Becky Martin"/>
    <x v="0"/>
    <s v="United States"/>
    <s v="New York City"/>
    <x v="15"/>
    <n v="10024"/>
    <x v="3"/>
    <s v="OFF-ST-10001418"/>
    <x v="1"/>
    <x v="4"/>
    <x v="864"/>
    <n v="182.94"/>
  </r>
  <r>
    <n v="1228"/>
    <s v="CA-2017-126004"/>
    <d v="2017-12-04T00:00:00"/>
    <x v="454"/>
    <s v="MODERATE"/>
    <s v="First Class"/>
    <s v="BM-11140"/>
    <s v="Becky Martin"/>
    <x v="0"/>
    <s v="United States"/>
    <s v="New York City"/>
    <x v="15"/>
    <n v="10024"/>
    <x v="3"/>
    <s v="OFF-ST-10000676"/>
    <x v="1"/>
    <x v="4"/>
    <x v="865"/>
    <n v="193.86"/>
  </r>
  <r>
    <n v="1230"/>
    <s v="CA-2018-100013"/>
    <d v="2018-11-06T00:00:00"/>
    <x v="328"/>
    <s v="FAST"/>
    <s v="Standard Class"/>
    <s v="ZC-21910"/>
    <s v="Zuschuss Carroll"/>
    <x v="0"/>
    <s v="United States"/>
    <s v="Los Angeles"/>
    <x v="1"/>
    <n v="90045"/>
    <x v="1"/>
    <s v="FUR-FU-10001424"/>
    <x v="0"/>
    <x v="5"/>
    <x v="685"/>
    <n v="8.73"/>
  </r>
  <r>
    <n v="1231"/>
    <s v="CA-2018-100013"/>
    <d v="2018-11-06T00:00:00"/>
    <x v="328"/>
    <s v="FAST"/>
    <s v="Standard Class"/>
    <s v="ZC-21910"/>
    <s v="Zuschuss Carroll"/>
    <x v="0"/>
    <s v="United States"/>
    <s v="Los Angeles"/>
    <x v="1"/>
    <n v="90045"/>
    <x v="1"/>
    <s v="OFF-AR-10001022"/>
    <x v="1"/>
    <x v="6"/>
    <x v="866"/>
    <n v="5.68"/>
  </r>
  <r>
    <n v="1232"/>
    <s v="CA-2016-132570"/>
    <d v="2016-10-31T00:00:00"/>
    <x v="449"/>
    <s v="SLOW"/>
    <s v="Second Class"/>
    <s v="KT-16480"/>
    <s v="Kean Thornton"/>
    <x v="0"/>
    <s v="United States"/>
    <s v="Buffalo"/>
    <x v="15"/>
    <n v="14215"/>
    <x v="3"/>
    <s v="OFF-AR-10000369"/>
    <x v="1"/>
    <x v="6"/>
    <x v="374"/>
    <n v="2.78"/>
  </r>
  <r>
    <n v="1233"/>
    <s v="CA-2016-132570"/>
    <d v="2016-10-31T00:00:00"/>
    <x v="449"/>
    <s v="SLOW"/>
    <s v="Second Class"/>
    <s v="KT-16480"/>
    <s v="Kean Thornton"/>
    <x v="0"/>
    <s v="United States"/>
    <s v="Buffalo"/>
    <x v="15"/>
    <n v="14215"/>
    <x v="3"/>
    <s v="OFF-EN-10003055"/>
    <x v="1"/>
    <x v="12"/>
    <x v="867"/>
    <n v="79.959999999999994"/>
  </r>
  <r>
    <n v="1234"/>
    <s v="CA-2017-153682"/>
    <d v="2017-05-30T00:00:00"/>
    <x v="218"/>
    <s v="MODERATE"/>
    <s v="First Class"/>
    <s v="BG-11695"/>
    <s v="Brooke Gillingham"/>
    <x v="1"/>
    <s v="United States"/>
    <s v="Cincinnati"/>
    <x v="24"/>
    <n v="45231"/>
    <x v="3"/>
    <s v="TEC-CO-10001046"/>
    <x v="2"/>
    <x v="16"/>
    <x v="868"/>
    <n v="839.98800000000006"/>
  </r>
  <r>
    <n v="1236"/>
    <s v="CA-2017-144344"/>
    <d v="2017-10-28T00:00:00"/>
    <x v="463"/>
    <s v="MODERATE"/>
    <s v="Same Day"/>
    <s v="PG-18820"/>
    <s v="Patrick Gardner"/>
    <x v="0"/>
    <s v="United States"/>
    <s v="Boynton Beach"/>
    <x v="2"/>
    <n v="33437"/>
    <x v="0"/>
    <s v="OFF-BI-10003719"/>
    <x v="1"/>
    <x v="8"/>
    <x v="678"/>
    <n v="37.424999999999997"/>
  </r>
  <r>
    <n v="1237"/>
    <s v="CA-2017-144344"/>
    <d v="2017-10-28T00:00:00"/>
    <x v="463"/>
    <s v="MODERATE"/>
    <s v="Same Day"/>
    <s v="PG-18820"/>
    <s v="Patrick Gardner"/>
    <x v="0"/>
    <s v="United States"/>
    <s v="Boynton Beach"/>
    <x v="2"/>
    <n v="33437"/>
    <x v="0"/>
    <s v="FUR-FU-10003268"/>
    <x v="0"/>
    <x v="5"/>
    <x v="869"/>
    <n v="63.968000000000004"/>
  </r>
  <r>
    <n v="1238"/>
    <s v="CA-2017-144344"/>
    <d v="2017-10-28T00:00:00"/>
    <x v="463"/>
    <s v="MODERATE"/>
    <s v="Same Day"/>
    <s v="PG-18820"/>
    <s v="Patrick Gardner"/>
    <x v="0"/>
    <s v="United States"/>
    <s v="Boynton Beach"/>
    <x v="2"/>
    <n v="33437"/>
    <x v="0"/>
    <s v="FUR-FU-10003553"/>
    <x v="0"/>
    <x v="5"/>
    <x v="557"/>
    <n v="165.048"/>
  </r>
  <r>
    <n v="1239"/>
    <s v="CA-2015-127012"/>
    <d v="2015-08-11T00:00:00"/>
    <x v="244"/>
    <s v="FAST"/>
    <s v="Standard Class"/>
    <s v="GM-14680"/>
    <s v="Greg Matthias"/>
    <x v="0"/>
    <s v="United States"/>
    <s v="Seattle"/>
    <x v="4"/>
    <n v="98105"/>
    <x v="1"/>
    <s v="FUR-FU-10003691"/>
    <x v="0"/>
    <x v="5"/>
    <x v="870"/>
    <n v="12.35"/>
  </r>
  <r>
    <n v="1240"/>
    <s v="CA-2015-127012"/>
    <d v="2015-08-11T00:00:00"/>
    <x v="244"/>
    <s v="FAST"/>
    <s v="Standard Class"/>
    <s v="GM-14680"/>
    <s v="Greg Matthias"/>
    <x v="0"/>
    <s v="United States"/>
    <s v="Seattle"/>
    <x v="4"/>
    <n v="98105"/>
    <x v="1"/>
    <s v="OFF-AR-10003903"/>
    <x v="1"/>
    <x v="6"/>
    <x v="871"/>
    <n v="40.97"/>
  </r>
  <r>
    <n v="1241"/>
    <s v="CA-2015-127012"/>
    <d v="2015-08-11T00:00:00"/>
    <x v="244"/>
    <s v="FAST"/>
    <s v="Standard Class"/>
    <s v="GM-14680"/>
    <s v="Greg Matthias"/>
    <x v="0"/>
    <s v="United States"/>
    <s v="Seattle"/>
    <x v="4"/>
    <n v="98105"/>
    <x v="1"/>
    <s v="OFF-FA-10004854"/>
    <x v="1"/>
    <x v="13"/>
    <x v="266"/>
    <n v="22.96"/>
  </r>
  <r>
    <n v="1242"/>
    <s v="CA-2017-128727"/>
    <d v="2017-08-29T00:00:00"/>
    <x v="381"/>
    <s v="FAST"/>
    <s v="Standard Class"/>
    <s v="MO-17800"/>
    <s v="Meg O'Connel"/>
    <x v="2"/>
    <s v="United States"/>
    <s v="New York City"/>
    <x v="15"/>
    <n v="10024"/>
    <x v="3"/>
    <s v="TEC-PH-10003442"/>
    <x v="2"/>
    <x v="7"/>
    <x v="872"/>
    <n v="22"/>
  </r>
  <r>
    <n v="1243"/>
    <s v="US-2017-162859"/>
    <d v="2017-02-15T00:00:00"/>
    <x v="464"/>
    <s v="FAST"/>
    <s v="Standard Class"/>
    <s v="PG-18820"/>
    <s v="Patrick Gardner"/>
    <x v="0"/>
    <s v="United States"/>
    <s v="New York City"/>
    <x v="15"/>
    <n v="10009"/>
    <x v="3"/>
    <s v="OFF-BI-10004519"/>
    <x v="1"/>
    <x v="8"/>
    <x v="873"/>
    <n v="398.35199999999998"/>
  </r>
  <r>
    <n v="1244"/>
    <s v="US-2017-162859"/>
    <d v="2017-02-15T00:00:00"/>
    <x v="464"/>
    <s v="FAST"/>
    <s v="Standard Class"/>
    <s v="PG-18820"/>
    <s v="Patrick Gardner"/>
    <x v="0"/>
    <s v="United States"/>
    <s v="New York City"/>
    <x v="15"/>
    <n v="10009"/>
    <x v="3"/>
    <s v="OFF-FA-10000304"/>
    <x v="1"/>
    <x v="13"/>
    <x v="51"/>
    <n v="8.7200000000000006"/>
  </r>
  <r>
    <n v="1245"/>
    <s v="CA-2018-133641"/>
    <d v="2018-05-14T00:00:00"/>
    <x v="465"/>
    <s v="FAST"/>
    <s v="Standard Class"/>
    <s v="EJ-14155"/>
    <s v="Eva Jacobs"/>
    <x v="0"/>
    <s v="United States"/>
    <s v="Gulfport"/>
    <x v="35"/>
    <n v="39503"/>
    <x v="0"/>
    <s v="OFF-EN-10004955"/>
    <x v="1"/>
    <x v="12"/>
    <x v="874"/>
    <n v="48.69"/>
  </r>
  <r>
    <n v="1246"/>
    <s v="CA-2015-168494"/>
    <d v="2015-12-12T00:00:00"/>
    <x v="466"/>
    <s v="SLOW"/>
    <s v="Second Class"/>
    <s v="NP-18700"/>
    <s v="Nora Preis"/>
    <x v="0"/>
    <s v="United States"/>
    <s v="Fresno"/>
    <x v="1"/>
    <n v="93727"/>
    <x v="1"/>
    <s v="FUR-TA-10004619"/>
    <x v="0"/>
    <x v="3"/>
    <x v="875"/>
    <n v="764.68799999999999"/>
  </r>
  <r>
    <n v="1247"/>
    <s v="CA-2015-168494"/>
    <d v="2015-12-12T00:00:00"/>
    <x v="466"/>
    <s v="SLOW"/>
    <s v="Second Class"/>
    <s v="NP-18700"/>
    <s v="Nora Preis"/>
    <x v="0"/>
    <s v="United States"/>
    <s v="Fresno"/>
    <x v="1"/>
    <n v="93727"/>
    <x v="1"/>
    <s v="FUR-TA-10003473"/>
    <x v="0"/>
    <x v="3"/>
    <x v="211"/>
    <n v="3610.848"/>
  </r>
  <r>
    <n v="1248"/>
    <s v="CA-2015-168494"/>
    <d v="2015-12-12T00:00:00"/>
    <x v="466"/>
    <s v="SLOW"/>
    <s v="Second Class"/>
    <s v="NP-18700"/>
    <s v="Nora Preis"/>
    <x v="0"/>
    <s v="United States"/>
    <s v="Fresno"/>
    <x v="1"/>
    <n v="93727"/>
    <x v="1"/>
    <s v="FUR-BO-10004467"/>
    <x v="0"/>
    <x v="0"/>
    <x v="876"/>
    <n v="254.97450000000001"/>
  </r>
  <r>
    <n v="1249"/>
    <s v="CA-2018-115602"/>
    <d v="2018-12-18T00:00:00"/>
    <x v="467"/>
    <s v="FAST"/>
    <s v="Standard Class"/>
    <s v="DJ-13630"/>
    <s v="Doug Jacobs"/>
    <x v="0"/>
    <s v="United States"/>
    <s v="New York City"/>
    <x v="15"/>
    <n v="10009"/>
    <x v="3"/>
    <s v="OFF-AR-10002280"/>
    <x v="1"/>
    <x v="6"/>
    <x v="758"/>
    <n v="38.82"/>
  </r>
  <r>
    <n v="1250"/>
    <s v="CA-2018-115602"/>
    <d v="2018-12-18T00:00:00"/>
    <x v="467"/>
    <s v="FAST"/>
    <s v="Standard Class"/>
    <s v="DJ-13630"/>
    <s v="Doug Jacobs"/>
    <x v="0"/>
    <s v="United States"/>
    <s v="New York City"/>
    <x v="15"/>
    <n v="10009"/>
    <x v="3"/>
    <s v="FUR-CH-10001708"/>
    <x v="0"/>
    <x v="1"/>
    <x v="877"/>
    <n v="1141.9380000000001"/>
  </r>
  <r>
    <n v="1251"/>
    <s v="CA-2018-115602"/>
    <d v="2018-12-18T00:00:00"/>
    <x v="467"/>
    <s v="FAST"/>
    <s v="Standard Class"/>
    <s v="DJ-13630"/>
    <s v="Doug Jacobs"/>
    <x v="0"/>
    <s v="United States"/>
    <s v="New York City"/>
    <x v="15"/>
    <n v="10009"/>
    <x v="3"/>
    <s v="OFF-AP-10000891"/>
    <x v="1"/>
    <x v="9"/>
    <x v="161"/>
    <n v="1704.56"/>
  </r>
  <r>
    <n v="1252"/>
    <s v="CA-2018-115602"/>
    <d v="2018-12-18T00:00:00"/>
    <x v="467"/>
    <s v="FAST"/>
    <s v="Standard Class"/>
    <s v="DJ-13630"/>
    <s v="Doug Jacobs"/>
    <x v="0"/>
    <s v="United States"/>
    <s v="New York City"/>
    <x v="15"/>
    <n v="10009"/>
    <x v="3"/>
    <s v="OFF-AR-10000462"/>
    <x v="1"/>
    <x v="6"/>
    <x v="878"/>
    <n v="3.2"/>
  </r>
  <r>
    <n v="1253"/>
    <s v="CA-2016-154956"/>
    <d v="2016-07-04T00:00:00"/>
    <x v="241"/>
    <s v="FAST"/>
    <s v="Standard Class"/>
    <s v="IM-15070"/>
    <s v="Irene Maddox"/>
    <x v="0"/>
    <s v="United States"/>
    <s v="Milwaukee"/>
    <x v="6"/>
    <n v="53209"/>
    <x v="2"/>
    <s v="TEC-PH-10004165"/>
    <x v="2"/>
    <x v="7"/>
    <x v="879"/>
    <n v="1099.96"/>
  </r>
  <r>
    <n v="1254"/>
    <s v="CA-2018-144638"/>
    <d v="2018-03-10T00:00:00"/>
    <x v="468"/>
    <s v="FAST"/>
    <s v="Standard Class"/>
    <s v="MH-18115"/>
    <s v="Mick Hernandez"/>
    <x v="2"/>
    <s v="United States"/>
    <s v="Chester"/>
    <x v="9"/>
    <n v="19013"/>
    <x v="3"/>
    <s v="OFF-AR-10003958"/>
    <x v="1"/>
    <x v="6"/>
    <x v="673"/>
    <n v="5.2480000000000002"/>
  </r>
  <r>
    <n v="1255"/>
    <s v="CA-2018-144638"/>
    <d v="2018-03-10T00:00:00"/>
    <x v="468"/>
    <s v="FAST"/>
    <s v="Standard Class"/>
    <s v="MH-18115"/>
    <s v="Mick Hernandez"/>
    <x v="2"/>
    <s v="United States"/>
    <s v="Chester"/>
    <x v="9"/>
    <n v="19013"/>
    <x v="3"/>
    <s v="TEC-PH-10000149"/>
    <x v="2"/>
    <x v="7"/>
    <x v="414"/>
    <n v="35.909999999999997"/>
  </r>
  <r>
    <n v="1256"/>
    <s v="CA-2018-144638"/>
    <d v="2018-03-10T00:00:00"/>
    <x v="468"/>
    <s v="FAST"/>
    <s v="Standard Class"/>
    <s v="MH-18115"/>
    <s v="Mick Hernandez"/>
    <x v="2"/>
    <s v="United States"/>
    <s v="Chester"/>
    <x v="9"/>
    <n v="19013"/>
    <x v="3"/>
    <s v="FUR-FU-10003724"/>
    <x v="0"/>
    <x v="5"/>
    <x v="880"/>
    <n v="6.6959999999999997"/>
  </r>
  <r>
    <n v="1257"/>
    <s v="CA-2018-144638"/>
    <d v="2018-03-10T00:00:00"/>
    <x v="468"/>
    <s v="FAST"/>
    <s v="Standard Class"/>
    <s v="MH-18115"/>
    <s v="Mick Hernandez"/>
    <x v="2"/>
    <s v="United States"/>
    <s v="Chester"/>
    <x v="9"/>
    <n v="19013"/>
    <x v="3"/>
    <s v="FUR-FU-10003535"/>
    <x v="0"/>
    <x v="5"/>
    <x v="881"/>
    <n v="43.872"/>
  </r>
  <r>
    <n v="1258"/>
    <s v="US-2017-168620"/>
    <d v="2017-12-24T00:00:00"/>
    <x v="469"/>
    <s v="SLOW"/>
    <s v="Second Class"/>
    <s v="RB-19795"/>
    <s v="Ross Baird"/>
    <x v="2"/>
    <s v="United States"/>
    <s v="Charlotte"/>
    <x v="3"/>
    <n v="28205"/>
    <x v="0"/>
    <s v="OFF-BI-10001575"/>
    <x v="1"/>
    <x v="8"/>
    <x v="571"/>
    <n v="27.882000000000001"/>
  </r>
  <r>
    <n v="1259"/>
    <s v="US-2017-168620"/>
    <d v="2017-12-24T00:00:00"/>
    <x v="469"/>
    <s v="SLOW"/>
    <s v="Second Class"/>
    <s v="RB-19795"/>
    <s v="Ross Baird"/>
    <x v="2"/>
    <s v="United States"/>
    <s v="Charlotte"/>
    <x v="3"/>
    <n v="28205"/>
    <x v="0"/>
    <s v="OFF-ST-10003716"/>
    <x v="1"/>
    <x v="4"/>
    <x v="882"/>
    <n v="540.048"/>
  </r>
  <r>
    <n v="1260"/>
    <s v="US-2017-168620"/>
    <d v="2017-12-24T00:00:00"/>
    <x v="469"/>
    <s v="SLOW"/>
    <s v="Second Class"/>
    <s v="RB-19795"/>
    <s v="Ross Baird"/>
    <x v="2"/>
    <s v="United States"/>
    <s v="Charlotte"/>
    <x v="3"/>
    <n v="28205"/>
    <x v="0"/>
    <s v="TEC-AC-10004469"/>
    <x v="2"/>
    <x v="11"/>
    <x v="236"/>
    <n v="255.68"/>
  </r>
  <r>
    <n v="1261"/>
    <s v="CA-2018-117079"/>
    <d v="2018-10-23T00:00:00"/>
    <x v="470"/>
    <s v="FAST"/>
    <s v="Standard Class"/>
    <s v="JR-15700"/>
    <s v="Jocasta Rupert"/>
    <x v="0"/>
    <s v="United States"/>
    <s v="Jacksonville"/>
    <x v="2"/>
    <n v="32216"/>
    <x v="0"/>
    <s v="TEC-PH-10004586"/>
    <x v="2"/>
    <x v="7"/>
    <x v="883"/>
    <n v="863.88"/>
  </r>
  <r>
    <n v="1262"/>
    <s v="US-2017-144393"/>
    <d v="2017-10-28T00:00:00"/>
    <x v="270"/>
    <s v="FAST"/>
    <s v="Standard Class"/>
    <s v="SM-20950"/>
    <s v="Suzanne McNair"/>
    <x v="1"/>
    <s v="United States"/>
    <s v="Greenville"/>
    <x v="3"/>
    <n v="27834"/>
    <x v="0"/>
    <s v="OFF-BI-10004236"/>
    <x v="1"/>
    <x v="8"/>
    <x v="884"/>
    <n v="17.616"/>
  </r>
  <r>
    <n v="1263"/>
    <s v="CA-2018-105053"/>
    <d v="2018-07-07T00:00:00"/>
    <x v="471"/>
    <s v="SLOW"/>
    <s v="Second Class"/>
    <s v="CS-12355"/>
    <s v="Christine Sundaresam"/>
    <x v="0"/>
    <s v="United States"/>
    <s v="Long Beach"/>
    <x v="15"/>
    <n v="11561"/>
    <x v="3"/>
    <s v="OFF-BI-10001634"/>
    <x v="1"/>
    <x v="8"/>
    <x v="24"/>
    <n v="17.472000000000001"/>
  </r>
  <r>
    <n v="1264"/>
    <s v="CA-2017-155992"/>
    <d v="2017-10-01T00:00:00"/>
    <x v="340"/>
    <s v="MODERATE"/>
    <s v="First Class"/>
    <s v="CC-12220"/>
    <s v="Chris Cortes"/>
    <x v="0"/>
    <s v="United States"/>
    <s v="La Porte"/>
    <x v="14"/>
    <n v="46350"/>
    <x v="2"/>
    <s v="TEC-PH-10000215"/>
    <x v="2"/>
    <x v="7"/>
    <x v="136"/>
    <n v="69.900000000000006"/>
  </r>
  <r>
    <n v="1265"/>
    <s v="CA-2017-155992"/>
    <d v="2017-10-01T00:00:00"/>
    <x v="340"/>
    <s v="MODERATE"/>
    <s v="First Class"/>
    <s v="CC-12220"/>
    <s v="Chris Cortes"/>
    <x v="0"/>
    <s v="United States"/>
    <s v="La Porte"/>
    <x v="14"/>
    <n v="46350"/>
    <x v="2"/>
    <s v="FUR-FU-10003724"/>
    <x v="0"/>
    <x v="5"/>
    <x v="880"/>
    <n v="41.85"/>
  </r>
  <r>
    <n v="1266"/>
    <s v="CA-2018-110380"/>
    <d v="2018-09-02T00:00:00"/>
    <x v="361"/>
    <s v="FAST"/>
    <s v="Standard Class"/>
    <s v="PF-19225"/>
    <s v="Phillip Flathmann"/>
    <x v="0"/>
    <s v="United States"/>
    <s v="San Francisco"/>
    <x v="1"/>
    <n v="94122"/>
    <x v="1"/>
    <s v="OFF-AR-10000422"/>
    <x v="1"/>
    <x v="6"/>
    <x v="885"/>
    <n v="6.57"/>
  </r>
  <r>
    <n v="1267"/>
    <s v="US-2015-167738"/>
    <d v="2015-12-24T00:00:00"/>
    <x v="472"/>
    <s v="FAST"/>
    <s v="Standard Class"/>
    <s v="JC-16105"/>
    <s v="Julie Creighton"/>
    <x v="1"/>
    <s v="United States"/>
    <s v="Los Angeles"/>
    <x v="1"/>
    <n v="90045"/>
    <x v="1"/>
    <s v="OFF-ST-10003306"/>
    <x v="1"/>
    <x v="4"/>
    <x v="377"/>
    <n v="142.86000000000001"/>
  </r>
  <r>
    <n v="1268"/>
    <s v="US-2015-167738"/>
    <d v="2015-12-24T00:00:00"/>
    <x v="472"/>
    <s v="FAST"/>
    <s v="Standard Class"/>
    <s v="JC-16105"/>
    <s v="Julie Creighton"/>
    <x v="1"/>
    <s v="United States"/>
    <s v="Los Angeles"/>
    <x v="1"/>
    <n v="90045"/>
    <x v="1"/>
    <s v="FUR-CH-10001146"/>
    <x v="0"/>
    <x v="1"/>
    <x v="63"/>
    <n v="292.27199999999999"/>
  </r>
  <r>
    <n v="1269"/>
    <s v="CA-2018-121412"/>
    <d v="2018-09-23T00:00:00"/>
    <x v="473"/>
    <s v="FAST"/>
    <s v="Standard Class"/>
    <s v="BG-11695"/>
    <s v="Brooke Gillingham"/>
    <x v="1"/>
    <s v="United States"/>
    <s v="Louisville"/>
    <x v="22"/>
    <n v="80027"/>
    <x v="1"/>
    <s v="FUR-FU-10000246"/>
    <x v="0"/>
    <x v="5"/>
    <x v="383"/>
    <n v="29.327999999999999"/>
  </r>
  <r>
    <n v="1270"/>
    <s v="CA-2018-100426"/>
    <d v="2018-06-04T00:00:00"/>
    <x v="474"/>
    <s v="FAST"/>
    <s v="Standard Class"/>
    <s v="DC-12850"/>
    <s v="Dan Campbell"/>
    <x v="0"/>
    <s v="United States"/>
    <s v="Florence"/>
    <x v="19"/>
    <n v="35630"/>
    <x v="0"/>
    <s v="OFF-PA-10002870"/>
    <x v="1"/>
    <x v="10"/>
    <x v="886"/>
    <n v="12.48"/>
  </r>
  <r>
    <n v="1271"/>
    <s v="US-2017-103646"/>
    <d v="2017-04-21T00:00:00"/>
    <x v="407"/>
    <s v="FAST"/>
    <s v="Standard Class"/>
    <s v="SP-20545"/>
    <s v="Sibella Parks"/>
    <x v="1"/>
    <s v="United States"/>
    <s v="Chicago"/>
    <x v="10"/>
    <n v="60623"/>
    <x v="2"/>
    <s v="OFF-ST-10000563"/>
    <x v="1"/>
    <x v="4"/>
    <x v="887"/>
    <n v="102.336"/>
  </r>
  <r>
    <n v="1272"/>
    <s v="US-2017-103646"/>
    <d v="2017-04-21T00:00:00"/>
    <x v="407"/>
    <s v="FAST"/>
    <s v="Standard Class"/>
    <s v="SP-20545"/>
    <s v="Sibella Parks"/>
    <x v="1"/>
    <s v="United States"/>
    <s v="Chicago"/>
    <x v="10"/>
    <n v="60623"/>
    <x v="2"/>
    <s v="OFF-AP-10004487"/>
    <x v="1"/>
    <x v="9"/>
    <x v="709"/>
    <n v="48.792000000000002"/>
  </r>
  <r>
    <n v="1273"/>
    <s v="US-2017-103646"/>
    <d v="2017-04-21T00:00:00"/>
    <x v="407"/>
    <s v="FAST"/>
    <s v="Standard Class"/>
    <s v="SP-20545"/>
    <s v="Sibella Parks"/>
    <x v="1"/>
    <s v="United States"/>
    <s v="Chicago"/>
    <x v="10"/>
    <n v="60623"/>
    <x v="2"/>
    <s v="OFF-BI-10002854"/>
    <x v="1"/>
    <x v="8"/>
    <x v="888"/>
    <n v="44.847999999999999"/>
  </r>
  <r>
    <n v="1274"/>
    <s v="CA-2017-119186"/>
    <d v="2017-05-26T00:00:00"/>
    <x v="475"/>
    <s v="MODERATE"/>
    <s v="Same Day"/>
    <s v="MS-17710"/>
    <s v="Maurice Satty"/>
    <x v="0"/>
    <s v="United States"/>
    <s v="Fort Worth"/>
    <x v="5"/>
    <n v="76106"/>
    <x v="2"/>
    <s v="OFF-PA-10004621"/>
    <x v="1"/>
    <x v="10"/>
    <x v="732"/>
    <n v="10.368"/>
  </r>
  <r>
    <n v="1275"/>
    <s v="CA-2017-119186"/>
    <d v="2017-05-26T00:00:00"/>
    <x v="475"/>
    <s v="MODERATE"/>
    <s v="Same Day"/>
    <s v="MS-17710"/>
    <s v="Maurice Satty"/>
    <x v="0"/>
    <s v="United States"/>
    <s v="Fort Worth"/>
    <x v="5"/>
    <n v="76106"/>
    <x v="2"/>
    <s v="FUR-CH-10001973"/>
    <x v="0"/>
    <x v="1"/>
    <x v="889"/>
    <n v="388.43"/>
  </r>
  <r>
    <n v="1276"/>
    <s v="CA-2017-119186"/>
    <d v="2017-05-26T00:00:00"/>
    <x v="475"/>
    <s v="MODERATE"/>
    <s v="Same Day"/>
    <s v="MS-17710"/>
    <s v="Maurice Satty"/>
    <x v="0"/>
    <s v="United States"/>
    <s v="Fort Worth"/>
    <x v="5"/>
    <n v="76106"/>
    <x v="2"/>
    <s v="OFF-PA-10004040"/>
    <x v="1"/>
    <x v="10"/>
    <x v="95"/>
    <n v="14.352"/>
  </r>
  <r>
    <n v="1277"/>
    <s v="CA-2017-119186"/>
    <d v="2017-05-26T00:00:00"/>
    <x v="475"/>
    <s v="MODERATE"/>
    <s v="Same Day"/>
    <s v="MS-17710"/>
    <s v="Maurice Satty"/>
    <x v="0"/>
    <s v="United States"/>
    <s v="Fort Worth"/>
    <x v="5"/>
    <n v="76106"/>
    <x v="2"/>
    <s v="TEC-AC-10000580"/>
    <x v="2"/>
    <x v="11"/>
    <x v="890"/>
    <n v="63.991999999999997"/>
  </r>
  <r>
    <n v="1278"/>
    <s v="CA-2017-148698"/>
    <d v="2017-05-02T00:00:00"/>
    <x v="476"/>
    <s v="FAST"/>
    <s v="Standard Class"/>
    <s v="BD-11770"/>
    <s v="Bryan Davis"/>
    <x v="0"/>
    <s v="United States"/>
    <s v="Houston"/>
    <x v="5"/>
    <n v="77070"/>
    <x v="2"/>
    <s v="OFF-AR-10004022"/>
    <x v="1"/>
    <x v="6"/>
    <x v="891"/>
    <n v="86.352000000000004"/>
  </r>
  <r>
    <n v="1279"/>
    <s v="CA-2015-163293"/>
    <d v="2015-09-08T00:00:00"/>
    <x v="477"/>
    <s v="MODERATE"/>
    <s v="First Class"/>
    <s v="KC-16255"/>
    <s v="Karen Carlisle"/>
    <x v="1"/>
    <s v="United States"/>
    <s v="Macon"/>
    <x v="32"/>
    <n v="31204"/>
    <x v="0"/>
    <s v="TEC-AC-10004209"/>
    <x v="2"/>
    <x v="11"/>
    <x v="892"/>
    <n v="32.97"/>
  </r>
  <r>
    <n v="1280"/>
    <s v="CA-2015-163293"/>
    <d v="2015-09-08T00:00:00"/>
    <x v="477"/>
    <s v="MODERATE"/>
    <s v="First Class"/>
    <s v="KC-16255"/>
    <s v="Karen Carlisle"/>
    <x v="1"/>
    <s v="United States"/>
    <s v="Macon"/>
    <x v="32"/>
    <n v="31204"/>
    <x v="0"/>
    <s v="TEC-AC-10000023"/>
    <x v="2"/>
    <x v="11"/>
    <x v="893"/>
    <n v="83.88"/>
  </r>
  <r>
    <n v="1281"/>
    <s v="CA-2017-160815"/>
    <d v="2017-09-05T00:00:00"/>
    <x v="478"/>
    <s v="MODERATE"/>
    <s v="First Class"/>
    <s v="TR-21325"/>
    <s v="Toby Ritter"/>
    <x v="0"/>
    <s v="United States"/>
    <s v="Cedar Rapids"/>
    <x v="23"/>
    <n v="52402"/>
    <x v="2"/>
    <s v="TEC-PH-10003505"/>
    <x v="2"/>
    <x v="7"/>
    <x v="894"/>
    <n v="278.39999999999998"/>
  </r>
  <r>
    <n v="1282"/>
    <s v="CA-2018-122154"/>
    <d v="2018-04-09T00:00:00"/>
    <x v="382"/>
    <s v="MODERATE"/>
    <s v="First Class"/>
    <s v="SA-20830"/>
    <s v="Sue Ann Reed"/>
    <x v="0"/>
    <s v="United States"/>
    <s v="Jacksonville"/>
    <x v="2"/>
    <n v="32216"/>
    <x v="0"/>
    <s v="OFF-LA-10000121"/>
    <x v="1"/>
    <x v="2"/>
    <x v="895"/>
    <n v="15.12"/>
  </r>
  <r>
    <n v="1283"/>
    <s v="CA-2018-122154"/>
    <d v="2018-04-09T00:00:00"/>
    <x v="382"/>
    <s v="MODERATE"/>
    <s v="First Class"/>
    <s v="SA-20830"/>
    <s v="Sue Ann Reed"/>
    <x v="0"/>
    <s v="United States"/>
    <s v="Jacksonville"/>
    <x v="2"/>
    <n v="32216"/>
    <x v="0"/>
    <s v="OFF-BI-10002026"/>
    <x v="1"/>
    <x v="8"/>
    <x v="896"/>
    <n v="17.43"/>
  </r>
  <r>
    <n v="1284"/>
    <s v="CA-2018-122154"/>
    <d v="2018-04-09T00:00:00"/>
    <x v="382"/>
    <s v="MODERATE"/>
    <s v="First Class"/>
    <s v="SA-20830"/>
    <s v="Sue Ann Reed"/>
    <x v="0"/>
    <s v="United States"/>
    <s v="Jacksonville"/>
    <x v="2"/>
    <n v="32216"/>
    <x v="0"/>
    <s v="OFF-PA-10000994"/>
    <x v="1"/>
    <x v="10"/>
    <x v="897"/>
    <n v="251.64"/>
  </r>
  <r>
    <n v="1285"/>
    <s v="US-2016-149692"/>
    <d v="2016-12-06T00:00:00"/>
    <x v="387"/>
    <s v="FAST"/>
    <s v="Standard Class"/>
    <s v="KW-16435"/>
    <s v="Katrina Willman"/>
    <x v="0"/>
    <s v="United States"/>
    <s v="Austin"/>
    <x v="5"/>
    <n v="78745"/>
    <x v="2"/>
    <s v="OFF-BI-10002813"/>
    <x v="1"/>
    <x v="8"/>
    <x v="898"/>
    <n v="2.7719999999999998"/>
  </r>
  <r>
    <n v="1286"/>
    <s v="CA-2017-119445"/>
    <d v="2017-06-26T00:00:00"/>
    <x v="479"/>
    <s v="FAST"/>
    <s v="Standard Class"/>
    <s v="GM-14500"/>
    <s v="Gene McClure"/>
    <x v="0"/>
    <s v="United States"/>
    <s v="Providence"/>
    <x v="34"/>
    <n v="2908"/>
    <x v="3"/>
    <s v="OFF-ST-10000617"/>
    <x v="1"/>
    <x v="4"/>
    <x v="376"/>
    <n v="14.9"/>
  </r>
  <r>
    <n v="1287"/>
    <s v="CA-2016-124268"/>
    <d v="2016-07-04T00:00:00"/>
    <x v="480"/>
    <s v="FAST"/>
    <s v="Standard Class"/>
    <s v="AD-10180"/>
    <s v="Alan Dominguez"/>
    <x v="2"/>
    <s v="United States"/>
    <s v="New York City"/>
    <x v="15"/>
    <n v="10035"/>
    <x v="3"/>
    <s v="OFF-AR-10004817"/>
    <x v="1"/>
    <x v="6"/>
    <x v="899"/>
    <n v="15.48"/>
  </r>
  <r>
    <n v="1288"/>
    <s v="CA-2017-154711"/>
    <d v="2017-11-22T00:00:00"/>
    <x v="481"/>
    <s v="FAST"/>
    <s v="Standard Class"/>
    <s v="TB-21355"/>
    <s v="Todd Boyes"/>
    <x v="1"/>
    <s v="United States"/>
    <s v="New York City"/>
    <x v="15"/>
    <n v="10009"/>
    <x v="3"/>
    <s v="FUR-FU-10000397"/>
    <x v="0"/>
    <x v="5"/>
    <x v="62"/>
    <n v="39.880000000000003"/>
  </r>
  <r>
    <n v="1289"/>
    <s v="CA-2017-154711"/>
    <d v="2017-11-22T00:00:00"/>
    <x v="481"/>
    <s v="FAST"/>
    <s v="Standard Class"/>
    <s v="TB-21355"/>
    <s v="Todd Boyes"/>
    <x v="1"/>
    <s v="United States"/>
    <s v="New York City"/>
    <x v="15"/>
    <n v="10009"/>
    <x v="3"/>
    <s v="OFF-BI-10000605"/>
    <x v="1"/>
    <x v="8"/>
    <x v="526"/>
    <n v="12.192"/>
  </r>
  <r>
    <n v="1290"/>
    <s v="CA-2017-154711"/>
    <d v="2017-11-22T00:00:00"/>
    <x v="481"/>
    <s v="FAST"/>
    <s v="Standard Class"/>
    <s v="TB-21355"/>
    <s v="Todd Boyes"/>
    <x v="1"/>
    <s v="United States"/>
    <s v="New York City"/>
    <x v="15"/>
    <n v="10009"/>
    <x v="3"/>
    <s v="OFF-AR-10001860"/>
    <x v="1"/>
    <x v="6"/>
    <x v="900"/>
    <n v="20.82"/>
  </r>
  <r>
    <n v="1291"/>
    <s v="CA-2017-163384"/>
    <d v="2017-11-10T00:00:00"/>
    <x v="355"/>
    <s v="MODERATE"/>
    <s v="First Class"/>
    <s v="CC-12430"/>
    <s v="Chuck Clark"/>
    <x v="2"/>
    <s v="United States"/>
    <s v="San Francisco"/>
    <x v="1"/>
    <n v="94122"/>
    <x v="1"/>
    <s v="OFF-BI-10004970"/>
    <x v="1"/>
    <x v="8"/>
    <x v="901"/>
    <n v="13.215999999999999"/>
  </r>
  <r>
    <n v="1292"/>
    <s v="CA-2017-163384"/>
    <d v="2017-11-10T00:00:00"/>
    <x v="355"/>
    <s v="MODERATE"/>
    <s v="First Class"/>
    <s v="CC-12430"/>
    <s v="Chuck Clark"/>
    <x v="2"/>
    <s v="United States"/>
    <s v="San Francisco"/>
    <x v="1"/>
    <n v="94122"/>
    <x v="1"/>
    <s v="OFF-PA-10003172"/>
    <x v="1"/>
    <x v="10"/>
    <x v="839"/>
    <n v="32.4"/>
  </r>
  <r>
    <n v="1293"/>
    <s v="CA-2016-101707"/>
    <d v="2016-08-27T00:00:00"/>
    <x v="482"/>
    <s v="FAST"/>
    <s v="Standard Class"/>
    <s v="PF-19165"/>
    <s v="Philip Fox"/>
    <x v="0"/>
    <s v="United States"/>
    <s v="San Diego"/>
    <x v="1"/>
    <n v="92105"/>
    <x v="1"/>
    <s v="OFF-SU-10001218"/>
    <x v="1"/>
    <x v="14"/>
    <x v="130"/>
    <n v="32.94"/>
  </r>
  <r>
    <n v="1294"/>
    <s v="CA-2016-101707"/>
    <d v="2016-08-27T00:00:00"/>
    <x v="482"/>
    <s v="FAST"/>
    <s v="Standard Class"/>
    <s v="PF-19165"/>
    <s v="Philip Fox"/>
    <x v="0"/>
    <s v="United States"/>
    <s v="San Diego"/>
    <x v="1"/>
    <n v="92105"/>
    <x v="1"/>
    <s v="OFF-PA-10002968"/>
    <x v="1"/>
    <x v="10"/>
    <x v="902"/>
    <n v="114.2"/>
  </r>
  <r>
    <n v="1295"/>
    <s v="CA-2016-101707"/>
    <d v="2016-08-27T00:00:00"/>
    <x v="482"/>
    <s v="FAST"/>
    <s v="Standard Class"/>
    <s v="PF-19165"/>
    <s v="Philip Fox"/>
    <x v="0"/>
    <s v="United States"/>
    <s v="San Diego"/>
    <x v="1"/>
    <n v="92105"/>
    <x v="1"/>
    <s v="OFF-LA-10000134"/>
    <x v="1"/>
    <x v="2"/>
    <x v="82"/>
    <n v="3.08"/>
  </r>
  <r>
    <n v="1296"/>
    <s v="CA-2016-138898"/>
    <d v="2016-05-25T00:00:00"/>
    <x v="483"/>
    <s v="FAST"/>
    <s v="Standard Class"/>
    <s v="JH-16180"/>
    <s v="Justin Hirsh"/>
    <x v="0"/>
    <s v="United States"/>
    <s v="Pueblo"/>
    <x v="22"/>
    <n v="81001"/>
    <x v="1"/>
    <s v="OFF-AP-10004487"/>
    <x v="1"/>
    <x v="9"/>
    <x v="709"/>
    <n v="845.72799999999995"/>
  </r>
  <r>
    <n v="1297"/>
    <s v="CA-2018-115427"/>
    <d v="2018-12-30T00:00:00"/>
    <x v="360"/>
    <s v="FAST"/>
    <s v="Standard Class"/>
    <s v="EB-13975"/>
    <s v="Erica Bern"/>
    <x v="1"/>
    <s v="United States"/>
    <s v="Fairfield"/>
    <x v="1"/>
    <n v="94533"/>
    <x v="1"/>
    <s v="OFF-BI-10002103"/>
    <x v="1"/>
    <x v="8"/>
    <x v="520"/>
    <n v="13.904"/>
  </r>
  <r>
    <n v="1298"/>
    <s v="CA-2018-115427"/>
    <d v="2018-12-30T00:00:00"/>
    <x v="360"/>
    <s v="FAST"/>
    <s v="Standard Class"/>
    <s v="EB-13975"/>
    <s v="Erica Bern"/>
    <x v="1"/>
    <s v="United States"/>
    <s v="Fairfield"/>
    <x v="1"/>
    <n v="94533"/>
    <x v="1"/>
    <s v="OFF-BI-10004632"/>
    <x v="1"/>
    <x v="8"/>
    <x v="903"/>
    <n v="20.72"/>
  </r>
  <r>
    <n v="1299"/>
    <s v="CA-2017-134425"/>
    <d v="2017-12-08T00:00:00"/>
    <x v="484"/>
    <s v="SLOW"/>
    <s v="Second Class"/>
    <s v="QJ-19255"/>
    <s v="Quincy Jones"/>
    <x v="1"/>
    <s v="United States"/>
    <s v="Saint Paul"/>
    <x v="11"/>
    <n v="55106"/>
    <x v="2"/>
    <s v="TEC-PH-10003555"/>
    <x v="2"/>
    <x v="7"/>
    <x v="452"/>
    <n v="114.95"/>
  </r>
  <r>
    <n v="1300"/>
    <s v="CA-2016-121391"/>
    <d v="2016-10-04T00:00:00"/>
    <x v="485"/>
    <s v="MODERATE"/>
    <s v="First Class"/>
    <s v="AA-10315"/>
    <s v="Alex Avila"/>
    <x v="0"/>
    <s v="United States"/>
    <s v="San Francisco"/>
    <x v="1"/>
    <n v="94109"/>
    <x v="1"/>
    <s v="OFF-ST-10001590"/>
    <x v="1"/>
    <x v="4"/>
    <x v="143"/>
    <n v="26.96"/>
  </r>
  <r>
    <n v="1301"/>
    <s v="CA-2017-137043"/>
    <d v="2017-12-23T00:00:00"/>
    <x v="486"/>
    <s v="SLOW"/>
    <s v="Second Class"/>
    <s v="LC-17140"/>
    <s v="Logan Currie"/>
    <x v="0"/>
    <s v="United States"/>
    <s v="Springfield"/>
    <x v="17"/>
    <n v="22153"/>
    <x v="0"/>
    <s v="FUR-FU-10003664"/>
    <x v="0"/>
    <x v="5"/>
    <x v="35"/>
    <n v="572.76"/>
  </r>
  <r>
    <n v="1302"/>
    <s v="CA-2017-137043"/>
    <d v="2017-12-23T00:00:00"/>
    <x v="486"/>
    <s v="SLOW"/>
    <s v="Second Class"/>
    <s v="LC-17140"/>
    <s v="Logan Currie"/>
    <x v="0"/>
    <s v="United States"/>
    <s v="Springfield"/>
    <x v="17"/>
    <n v="22153"/>
    <x v="0"/>
    <s v="FUR-FU-10003664"/>
    <x v="0"/>
    <x v="5"/>
    <x v="35"/>
    <n v="286.38"/>
  </r>
  <r>
    <n v="1303"/>
    <s v="CA-2016-115847"/>
    <d v="2016-09-19T00:00:00"/>
    <x v="487"/>
    <s v="SLOW"/>
    <s v="Second Class"/>
    <s v="TC-21535"/>
    <s v="Tracy Collins"/>
    <x v="2"/>
    <s v="United States"/>
    <s v="Arlington"/>
    <x v="17"/>
    <n v="22204"/>
    <x v="0"/>
    <s v="FUR-BO-10003433"/>
    <x v="0"/>
    <x v="0"/>
    <x v="904"/>
    <n v="61.96"/>
  </r>
  <r>
    <n v="1304"/>
    <s v="US-2018-126179"/>
    <d v="2018-07-03T00:00:00"/>
    <x v="488"/>
    <s v="FAST"/>
    <s v="Standard Class"/>
    <s v="CS-12460"/>
    <s v="Chuck Sachs"/>
    <x v="0"/>
    <s v="United States"/>
    <s v="Columbus"/>
    <x v="32"/>
    <n v="31907"/>
    <x v="0"/>
    <s v="FUR-FU-10002554"/>
    <x v="0"/>
    <x v="5"/>
    <x v="905"/>
    <n v="23.99"/>
  </r>
  <r>
    <n v="1305"/>
    <s v="US-2018-126179"/>
    <d v="2018-07-03T00:00:00"/>
    <x v="488"/>
    <s v="FAST"/>
    <s v="Standard Class"/>
    <s v="CS-12460"/>
    <s v="Chuck Sachs"/>
    <x v="0"/>
    <s v="United States"/>
    <s v="Columbus"/>
    <x v="32"/>
    <n v="31907"/>
    <x v="0"/>
    <s v="TEC-PH-10001557"/>
    <x v="2"/>
    <x v="7"/>
    <x v="651"/>
    <n v="287.97000000000003"/>
  </r>
  <r>
    <n v="1306"/>
    <s v="CA-2017-101966"/>
    <d v="2017-07-14T00:00:00"/>
    <x v="219"/>
    <s v="SLOW"/>
    <s v="Second Class"/>
    <s v="BM-11785"/>
    <s v="Bryan Mills"/>
    <x v="0"/>
    <s v="United States"/>
    <s v="Houston"/>
    <x v="5"/>
    <n v="77036"/>
    <x v="2"/>
    <s v="TEC-PH-10003437"/>
    <x v="2"/>
    <x v="7"/>
    <x v="906"/>
    <n v="419.94400000000002"/>
  </r>
  <r>
    <n v="1307"/>
    <s v="CA-2017-141397"/>
    <d v="2017-06-20T00:00:00"/>
    <x v="489"/>
    <s v="MODERATE"/>
    <s v="First Class"/>
    <s v="RC-19825"/>
    <s v="Roy Collins"/>
    <x v="0"/>
    <s v="United States"/>
    <s v="Pasadena"/>
    <x v="1"/>
    <n v="91104"/>
    <x v="1"/>
    <s v="OFF-PA-10002986"/>
    <x v="1"/>
    <x v="10"/>
    <x v="472"/>
    <n v="46.76"/>
  </r>
  <r>
    <n v="1308"/>
    <s v="CA-2017-141397"/>
    <d v="2017-06-20T00:00:00"/>
    <x v="489"/>
    <s v="MODERATE"/>
    <s v="First Class"/>
    <s v="RC-19825"/>
    <s v="Roy Collins"/>
    <x v="0"/>
    <s v="United States"/>
    <s v="Pasadena"/>
    <x v="1"/>
    <n v="91104"/>
    <x v="1"/>
    <s v="OFF-BI-10000320"/>
    <x v="1"/>
    <x v="8"/>
    <x v="762"/>
    <n v="17.712"/>
  </r>
  <r>
    <n v="1309"/>
    <s v="CA-2017-141397"/>
    <d v="2017-06-20T00:00:00"/>
    <x v="489"/>
    <s v="MODERATE"/>
    <s v="First Class"/>
    <s v="RC-19825"/>
    <s v="Roy Collins"/>
    <x v="0"/>
    <s v="United States"/>
    <s v="Pasadena"/>
    <x v="1"/>
    <n v="91104"/>
    <x v="1"/>
    <s v="OFF-AP-10003971"/>
    <x v="1"/>
    <x v="9"/>
    <x v="907"/>
    <n v="21.78"/>
  </r>
  <r>
    <n v="1310"/>
    <s v="CA-2017-141397"/>
    <d v="2017-06-20T00:00:00"/>
    <x v="489"/>
    <s v="MODERATE"/>
    <s v="First Class"/>
    <s v="RC-19825"/>
    <s v="Roy Collins"/>
    <x v="0"/>
    <s v="United States"/>
    <s v="Pasadena"/>
    <x v="1"/>
    <n v="91104"/>
    <x v="1"/>
    <s v="OFF-ST-10001469"/>
    <x v="1"/>
    <x v="4"/>
    <x v="391"/>
    <n v="161.94"/>
  </r>
  <r>
    <n v="1311"/>
    <s v="CA-2017-141397"/>
    <d v="2017-06-20T00:00:00"/>
    <x v="489"/>
    <s v="MODERATE"/>
    <s v="First Class"/>
    <s v="RC-19825"/>
    <s v="Roy Collins"/>
    <x v="0"/>
    <s v="United States"/>
    <s v="Pasadena"/>
    <x v="1"/>
    <n v="91104"/>
    <x v="1"/>
    <s v="FUR-CH-10003846"/>
    <x v="0"/>
    <x v="1"/>
    <x v="908"/>
    <n v="161.56800000000001"/>
  </r>
  <r>
    <n v="1312"/>
    <s v="CA-2017-141082"/>
    <d v="2017-12-09T00:00:00"/>
    <x v="10"/>
    <s v="FAST"/>
    <s v="Standard Class"/>
    <s v="FM-14380"/>
    <s v="Fred McMath"/>
    <x v="0"/>
    <s v="United States"/>
    <s v="Lawrence"/>
    <x v="31"/>
    <n v="1841"/>
    <x v="3"/>
    <s v="OFF-LA-10001404"/>
    <x v="1"/>
    <x v="2"/>
    <x v="909"/>
    <n v="3.69"/>
  </r>
  <r>
    <n v="1313"/>
    <s v="CA-2017-141082"/>
    <d v="2017-12-09T00:00:00"/>
    <x v="10"/>
    <s v="FAST"/>
    <s v="Standard Class"/>
    <s v="FM-14380"/>
    <s v="Fred McMath"/>
    <x v="0"/>
    <s v="United States"/>
    <s v="Lawrence"/>
    <x v="31"/>
    <n v="1841"/>
    <x v="3"/>
    <s v="OFF-LA-10001474"/>
    <x v="1"/>
    <x v="2"/>
    <x v="910"/>
    <n v="122.12"/>
  </r>
  <r>
    <n v="1314"/>
    <s v="US-2017-134488"/>
    <d v="2017-09-24T00:00:00"/>
    <x v="151"/>
    <s v="FAST"/>
    <s v="Standard Class"/>
    <s v="PK-19075"/>
    <s v="Pete Kriz"/>
    <x v="0"/>
    <s v="United States"/>
    <s v="Columbus"/>
    <x v="24"/>
    <n v="43229"/>
    <x v="3"/>
    <s v="FUR-CH-10003199"/>
    <x v="0"/>
    <x v="1"/>
    <x v="624"/>
    <n v="155.37200000000001"/>
  </r>
  <r>
    <n v="1315"/>
    <s v="CA-2017-145919"/>
    <d v="2017-12-18T00:00:00"/>
    <x v="490"/>
    <s v="FAST"/>
    <s v="Standard Class"/>
    <s v="HG-14965"/>
    <s v="Henry Goldwyn"/>
    <x v="1"/>
    <s v="United States"/>
    <s v="Los Angeles"/>
    <x v="1"/>
    <n v="90032"/>
    <x v="1"/>
    <s v="OFF-PA-10003072"/>
    <x v="1"/>
    <x v="10"/>
    <x v="911"/>
    <n v="38.880000000000003"/>
  </r>
  <r>
    <n v="1316"/>
    <s v="CA-2017-145919"/>
    <d v="2017-12-18T00:00:00"/>
    <x v="490"/>
    <s v="FAST"/>
    <s v="Standard Class"/>
    <s v="HG-14965"/>
    <s v="Henry Goldwyn"/>
    <x v="1"/>
    <s v="United States"/>
    <s v="Los Angeles"/>
    <x v="1"/>
    <n v="90032"/>
    <x v="1"/>
    <s v="FUR-FU-10004960"/>
    <x v="0"/>
    <x v="5"/>
    <x v="912"/>
    <n v="183.84"/>
  </r>
  <r>
    <n v="1317"/>
    <s v="CA-2017-145919"/>
    <d v="2017-12-18T00:00:00"/>
    <x v="490"/>
    <s v="FAST"/>
    <s v="Standard Class"/>
    <s v="HG-14965"/>
    <s v="Henry Goldwyn"/>
    <x v="1"/>
    <s v="United States"/>
    <s v="Los Angeles"/>
    <x v="1"/>
    <n v="90032"/>
    <x v="1"/>
    <s v="OFF-SU-10003505"/>
    <x v="1"/>
    <x v="14"/>
    <x v="403"/>
    <n v="579.29999999999995"/>
  </r>
  <r>
    <n v="1318"/>
    <s v="CA-2018-157651"/>
    <d v="2018-12-10T00:00:00"/>
    <x v="92"/>
    <s v="FAST"/>
    <s v="Standard Class"/>
    <s v="HA-14920"/>
    <s v="Helen Andreada"/>
    <x v="0"/>
    <s v="United States"/>
    <s v="Philadelphia"/>
    <x v="9"/>
    <n v="19120"/>
    <x v="3"/>
    <s v="TEC-AC-10003116"/>
    <x v="2"/>
    <x v="11"/>
    <x v="913"/>
    <n v="14.2"/>
  </r>
  <r>
    <n v="1319"/>
    <s v="CA-2015-160773"/>
    <d v="2015-07-01T00:00:00"/>
    <x v="491"/>
    <s v="FAST"/>
    <s v="Standard Class"/>
    <s v="LW-16825"/>
    <s v="Laurel Workman"/>
    <x v="1"/>
    <s v="United States"/>
    <s v="Deltona"/>
    <x v="2"/>
    <n v="32725"/>
    <x v="0"/>
    <s v="TEC-PH-10004586"/>
    <x v="2"/>
    <x v="7"/>
    <x v="883"/>
    <n v="575.91999999999996"/>
  </r>
  <r>
    <n v="1320"/>
    <s v="CA-2015-160773"/>
    <d v="2015-07-01T00:00:00"/>
    <x v="491"/>
    <s v="FAST"/>
    <s v="Standard Class"/>
    <s v="LW-16825"/>
    <s v="Laurel Workman"/>
    <x v="1"/>
    <s v="United States"/>
    <s v="Deltona"/>
    <x v="2"/>
    <n v="32725"/>
    <x v="0"/>
    <s v="OFF-BI-10000546"/>
    <x v="1"/>
    <x v="8"/>
    <x v="602"/>
    <n v="5.1840000000000002"/>
  </r>
  <r>
    <n v="1321"/>
    <s v="CA-2018-167703"/>
    <d v="2018-02-03T00:00:00"/>
    <x v="492"/>
    <s v="FAST"/>
    <s v="Standard Class"/>
    <s v="MC-17575"/>
    <s v="Matt Collins"/>
    <x v="0"/>
    <s v="United States"/>
    <s v="Cincinnati"/>
    <x v="24"/>
    <n v="45231"/>
    <x v="3"/>
    <s v="OFF-BI-10002071"/>
    <x v="1"/>
    <x v="8"/>
    <x v="686"/>
    <n v="5.2290000000000001"/>
  </r>
  <r>
    <n v="1322"/>
    <s v="CA-2018-167703"/>
    <d v="2018-02-03T00:00:00"/>
    <x v="492"/>
    <s v="FAST"/>
    <s v="Standard Class"/>
    <s v="MC-17575"/>
    <s v="Matt Collins"/>
    <x v="0"/>
    <s v="United States"/>
    <s v="Cincinnati"/>
    <x v="24"/>
    <n v="45231"/>
    <x v="3"/>
    <s v="OFF-ST-10001490"/>
    <x v="1"/>
    <x v="4"/>
    <x v="508"/>
    <n v="285.55200000000002"/>
  </r>
  <r>
    <n v="1323"/>
    <s v="CA-2018-121804"/>
    <d v="2018-03-03T00:00:00"/>
    <x v="493"/>
    <s v="FAST"/>
    <s v="Standard Class"/>
    <s v="LP-17095"/>
    <s v="Liz Preis"/>
    <x v="0"/>
    <s v="United States"/>
    <s v="Murray"/>
    <x v="0"/>
    <n v="42071"/>
    <x v="0"/>
    <s v="OFF-AP-10004859"/>
    <x v="1"/>
    <x v="9"/>
    <x v="914"/>
    <n v="72.8"/>
  </r>
  <r>
    <n v="1324"/>
    <s v="CA-2018-162635"/>
    <d v="2018-10-09T00:00:00"/>
    <x v="494"/>
    <s v="MODERATE"/>
    <s v="First Class"/>
    <s v="EB-14170"/>
    <s v="Evan Bailliet"/>
    <x v="0"/>
    <s v="United States"/>
    <s v="Wilmington"/>
    <x v="3"/>
    <n v="28403"/>
    <x v="0"/>
    <s v="OFF-PA-10002659"/>
    <x v="1"/>
    <x v="10"/>
    <x v="915"/>
    <n v="10.816000000000001"/>
  </r>
  <r>
    <n v="1325"/>
    <s v="CA-2015-107153"/>
    <d v="2015-09-28T00:00:00"/>
    <x v="126"/>
    <s v="FAST"/>
    <s v="Standard Class"/>
    <s v="GZ-14545"/>
    <s v="George Zrebassa"/>
    <x v="1"/>
    <s v="United States"/>
    <s v="Lawrence"/>
    <x v="31"/>
    <n v="1841"/>
    <x v="3"/>
    <s v="OFF-ST-10001321"/>
    <x v="1"/>
    <x v="4"/>
    <x v="411"/>
    <n v="46.26"/>
  </r>
  <r>
    <n v="1326"/>
    <s v="US-2015-117058"/>
    <d v="2015-05-27T00:00:00"/>
    <x v="495"/>
    <s v="MODERATE"/>
    <s v="First Class"/>
    <s v="LE-16810"/>
    <s v="Laurel Elliston"/>
    <x v="0"/>
    <s v="United States"/>
    <s v="Chicago"/>
    <x v="10"/>
    <n v="60653"/>
    <x v="2"/>
    <s v="OFF-BI-10004139"/>
    <x v="1"/>
    <x v="8"/>
    <x v="916"/>
    <n v="17.46"/>
  </r>
  <r>
    <n v="1327"/>
    <s v="CA-2016-120439"/>
    <d v="2016-06-14T00:00:00"/>
    <x v="496"/>
    <s v="FAST"/>
    <s v="Standard Class"/>
    <s v="AD-10180"/>
    <s v="Alan Dominguez"/>
    <x v="2"/>
    <s v="United States"/>
    <s v="Philadelphia"/>
    <x v="9"/>
    <n v="19120"/>
    <x v="3"/>
    <s v="FUR-FU-10001867"/>
    <x v="0"/>
    <x v="5"/>
    <x v="861"/>
    <n v="51.072000000000003"/>
  </r>
  <r>
    <n v="1328"/>
    <s v="CA-2017-128258"/>
    <d v="2017-03-30T00:00:00"/>
    <x v="497"/>
    <s v="MODERATE"/>
    <s v="First Class"/>
    <s v="CP-12085"/>
    <s v="Cathy Prescott"/>
    <x v="1"/>
    <s v="United States"/>
    <s v="Norwich"/>
    <x v="29"/>
    <n v="6360"/>
    <x v="3"/>
    <s v="OFF-PA-10004156"/>
    <x v="1"/>
    <x v="10"/>
    <x v="737"/>
    <n v="11.34"/>
  </r>
  <r>
    <n v="1329"/>
    <s v="CA-2018-106033"/>
    <d v="2018-10-15T00:00:00"/>
    <x v="498"/>
    <s v="SLOW"/>
    <s v="Second Class"/>
    <s v="FG-14260"/>
    <s v="Frank Gastineau"/>
    <x v="2"/>
    <s v="United States"/>
    <s v="San Francisco"/>
    <x v="1"/>
    <n v="94110"/>
    <x v="1"/>
    <s v="OFF-AR-10002818"/>
    <x v="1"/>
    <x v="6"/>
    <x v="917"/>
    <n v="87.92"/>
  </r>
  <r>
    <n v="1330"/>
    <s v="CA-2017-142762"/>
    <d v="2017-05-23T00:00:00"/>
    <x v="499"/>
    <s v="FAST"/>
    <s v="Standard Class"/>
    <s v="LD-17005"/>
    <s v="Lisa DeCherney"/>
    <x v="0"/>
    <s v="United States"/>
    <s v="San Francisco"/>
    <x v="1"/>
    <n v="94109"/>
    <x v="1"/>
    <s v="FUR-FU-10003691"/>
    <x v="0"/>
    <x v="5"/>
    <x v="870"/>
    <n v="37.049999999999997"/>
  </r>
  <r>
    <n v="1331"/>
    <s v="CA-2018-127705"/>
    <d v="2018-06-02T00:00:00"/>
    <x v="500"/>
    <s v="FAST"/>
    <s v="Standard Class"/>
    <s v="AB-10255"/>
    <s v="Alejandro Ballentine"/>
    <x v="2"/>
    <s v="United States"/>
    <s v="Lorain"/>
    <x v="24"/>
    <n v="44052"/>
    <x v="3"/>
    <s v="TEC-PH-10000347"/>
    <x v="2"/>
    <x v="7"/>
    <x v="490"/>
    <n v="2.97"/>
  </r>
  <r>
    <n v="1332"/>
    <s v="CA-2018-127705"/>
    <d v="2018-06-02T00:00:00"/>
    <x v="500"/>
    <s v="FAST"/>
    <s v="Standard Class"/>
    <s v="AB-10255"/>
    <s v="Alejandro Ballentine"/>
    <x v="2"/>
    <s v="United States"/>
    <s v="Lorain"/>
    <x v="24"/>
    <n v="44052"/>
    <x v="3"/>
    <s v="OFF-ST-10004507"/>
    <x v="1"/>
    <x v="4"/>
    <x v="447"/>
    <n v="27.44"/>
  </r>
  <r>
    <n v="1333"/>
    <s v="CA-2015-122567"/>
    <d v="2015-02-16T00:00:00"/>
    <x v="501"/>
    <s v="FAST"/>
    <s v="Standard Class"/>
    <s v="MN-17935"/>
    <s v="Michael Nguyen"/>
    <x v="0"/>
    <s v="United States"/>
    <s v="Dallas"/>
    <x v="5"/>
    <n v="75220"/>
    <x v="2"/>
    <s v="OFF-BI-10002012"/>
    <x v="1"/>
    <x v="8"/>
    <x v="736"/>
    <n v="1.08"/>
  </r>
  <r>
    <n v="1334"/>
    <s v="CA-2015-122567"/>
    <d v="2015-02-16T00:00:00"/>
    <x v="501"/>
    <s v="FAST"/>
    <s v="Standard Class"/>
    <s v="MN-17935"/>
    <s v="Michael Nguyen"/>
    <x v="0"/>
    <s v="United States"/>
    <s v="Dallas"/>
    <x v="5"/>
    <n v="75220"/>
    <x v="2"/>
    <s v="OFF-AP-10001303"/>
    <x v="1"/>
    <x v="9"/>
    <x v="918"/>
    <n v="7.96"/>
  </r>
  <r>
    <n v="1335"/>
    <s v="CA-2015-121664"/>
    <d v="2015-05-06T00:00:00"/>
    <x v="502"/>
    <s v="FAST"/>
    <s v="Standard Class"/>
    <s v="HP-14815"/>
    <s v="Harold Pawlan"/>
    <x v="2"/>
    <s v="United States"/>
    <s v="Los Angeles"/>
    <x v="1"/>
    <n v="90049"/>
    <x v="1"/>
    <s v="OFF-BI-10003684"/>
    <x v="1"/>
    <x v="8"/>
    <x v="701"/>
    <n v="140.73599999999999"/>
  </r>
  <r>
    <n v="1336"/>
    <s v="CA-2017-122133"/>
    <d v="2017-05-16T00:00:00"/>
    <x v="212"/>
    <s v="FAST"/>
    <s v="Standard Class"/>
    <s v="JR-15670"/>
    <s v="Jim Radford"/>
    <x v="0"/>
    <s v="United States"/>
    <s v="Middletown"/>
    <x v="29"/>
    <n v="6457"/>
    <x v="3"/>
    <s v="OFF-ST-10002574"/>
    <x v="1"/>
    <x v="4"/>
    <x v="919"/>
    <n v="552.55999999999995"/>
  </r>
  <r>
    <n v="1337"/>
    <s v="US-2018-123281"/>
    <d v="2018-04-02T00:00:00"/>
    <x v="375"/>
    <s v="FAST"/>
    <s v="Standard Class"/>
    <s v="JF-15190"/>
    <s v="Jamie Frazer"/>
    <x v="0"/>
    <s v="United States"/>
    <s v="Los Angeles"/>
    <x v="1"/>
    <n v="90008"/>
    <x v="1"/>
    <s v="FUR-FU-10003724"/>
    <x v="0"/>
    <x v="5"/>
    <x v="880"/>
    <n v="25.11"/>
  </r>
  <r>
    <n v="1338"/>
    <s v="CA-2018-100524"/>
    <d v="2018-03-31T00:00:00"/>
    <x v="503"/>
    <s v="SLOW"/>
    <s v="Second Class"/>
    <s v="CM-12115"/>
    <s v="Chad McGuire"/>
    <x v="0"/>
    <s v="United States"/>
    <s v="New York City"/>
    <x v="15"/>
    <n v="10011"/>
    <x v="3"/>
    <s v="FUR-FU-10004018"/>
    <x v="0"/>
    <x v="5"/>
    <x v="920"/>
    <n v="29.78"/>
  </r>
  <r>
    <n v="1339"/>
    <s v="CA-2018-100524"/>
    <d v="2018-03-31T00:00:00"/>
    <x v="503"/>
    <s v="SLOW"/>
    <s v="Second Class"/>
    <s v="CM-12115"/>
    <s v="Chad McGuire"/>
    <x v="0"/>
    <s v="United States"/>
    <s v="New York City"/>
    <x v="15"/>
    <n v="10011"/>
    <x v="3"/>
    <s v="TEC-PH-10002549"/>
    <x v="2"/>
    <x v="7"/>
    <x v="921"/>
    <n v="677.58"/>
  </r>
  <r>
    <n v="1340"/>
    <s v="CA-2018-100524"/>
    <d v="2018-03-31T00:00:00"/>
    <x v="503"/>
    <s v="SLOW"/>
    <s v="Second Class"/>
    <s v="CM-12115"/>
    <s v="Chad McGuire"/>
    <x v="0"/>
    <s v="United States"/>
    <s v="New York City"/>
    <x v="15"/>
    <n v="10011"/>
    <x v="3"/>
    <s v="OFF-PA-10004911"/>
    <x v="1"/>
    <x v="10"/>
    <x v="922"/>
    <n v="75.040000000000006"/>
  </r>
  <r>
    <n v="1341"/>
    <s v="CA-2018-113481"/>
    <d v="2018-01-02T00:00:00"/>
    <x v="504"/>
    <s v="MODERATE"/>
    <s v="First Class"/>
    <s v="AS-10045"/>
    <s v="Aaron Smayling"/>
    <x v="1"/>
    <s v="United States"/>
    <s v="Jacksonville"/>
    <x v="3"/>
    <n v="28540"/>
    <x v="0"/>
    <s v="TEC-MA-10002178"/>
    <x v="2"/>
    <x v="15"/>
    <x v="923"/>
    <n v="695.7"/>
  </r>
  <r>
    <n v="1342"/>
    <s v="CA-2018-113481"/>
    <d v="2018-01-02T00:00:00"/>
    <x v="504"/>
    <s v="MODERATE"/>
    <s v="First Class"/>
    <s v="AS-10045"/>
    <s v="Aaron Smayling"/>
    <x v="1"/>
    <s v="United States"/>
    <s v="Jacksonville"/>
    <x v="3"/>
    <n v="28540"/>
    <x v="0"/>
    <s v="OFF-BI-10003694"/>
    <x v="1"/>
    <x v="8"/>
    <x v="843"/>
    <n v="15.66"/>
  </r>
  <r>
    <n v="1343"/>
    <s v="CA-2018-113481"/>
    <d v="2018-01-02T00:00:00"/>
    <x v="504"/>
    <s v="MODERATE"/>
    <s v="First Class"/>
    <s v="AS-10045"/>
    <s v="Aaron Smayling"/>
    <x v="1"/>
    <s v="United States"/>
    <s v="Jacksonville"/>
    <x v="3"/>
    <n v="28540"/>
    <x v="0"/>
    <s v="OFF-BI-10000474"/>
    <x v="1"/>
    <x v="8"/>
    <x v="27"/>
    <n v="28.853999999999999"/>
  </r>
  <r>
    <n v="1344"/>
    <s v="CA-2016-131758"/>
    <d v="2016-05-28T00:00:00"/>
    <x v="505"/>
    <s v="FAST"/>
    <s v="Standard Class"/>
    <s v="KB-16315"/>
    <s v="Karl Braun"/>
    <x v="0"/>
    <s v="United States"/>
    <s v="Freeport"/>
    <x v="15"/>
    <n v="11520"/>
    <x v="3"/>
    <s v="OFF-AR-10000411"/>
    <x v="1"/>
    <x v="6"/>
    <x v="924"/>
    <n v="47.82"/>
  </r>
  <r>
    <n v="1345"/>
    <s v="CA-2016-131758"/>
    <d v="2016-05-28T00:00:00"/>
    <x v="505"/>
    <s v="FAST"/>
    <s v="Standard Class"/>
    <s v="KB-16315"/>
    <s v="Karl Braun"/>
    <x v="0"/>
    <s v="United States"/>
    <s v="Freeport"/>
    <x v="15"/>
    <n v="11520"/>
    <x v="3"/>
    <s v="OFF-LA-10000262"/>
    <x v="1"/>
    <x v="2"/>
    <x v="925"/>
    <n v="13.05"/>
  </r>
  <r>
    <n v="1346"/>
    <s v="CA-2015-118339"/>
    <d v="2015-03-17T00:00:00"/>
    <x v="506"/>
    <s v="FAST"/>
    <s v="Standard Class"/>
    <s v="BN-11515"/>
    <s v="Bradley Nguyen"/>
    <x v="0"/>
    <s v="United States"/>
    <s v="Lakeville"/>
    <x v="11"/>
    <n v="55044"/>
    <x v="2"/>
    <s v="OFF-AP-10001154"/>
    <x v="1"/>
    <x v="9"/>
    <x v="577"/>
    <n v="93.78"/>
  </r>
  <r>
    <n v="1347"/>
    <s v="CA-2015-118339"/>
    <d v="2015-03-17T00:00:00"/>
    <x v="506"/>
    <s v="FAST"/>
    <s v="Standard Class"/>
    <s v="BN-11515"/>
    <s v="Bradley Nguyen"/>
    <x v="0"/>
    <s v="United States"/>
    <s v="Lakeville"/>
    <x v="11"/>
    <n v="55044"/>
    <x v="2"/>
    <s v="OFF-PA-10000466"/>
    <x v="1"/>
    <x v="10"/>
    <x v="926"/>
    <n v="47.18"/>
  </r>
  <r>
    <n v="1348"/>
    <s v="CA-2015-118339"/>
    <d v="2015-03-17T00:00:00"/>
    <x v="506"/>
    <s v="FAST"/>
    <s v="Standard Class"/>
    <s v="BN-11515"/>
    <s v="Bradley Nguyen"/>
    <x v="0"/>
    <s v="United States"/>
    <s v="Lakeville"/>
    <x v="11"/>
    <n v="55044"/>
    <x v="2"/>
    <s v="OFF-AR-10003829"/>
    <x v="1"/>
    <x v="6"/>
    <x v="927"/>
    <n v="19.68"/>
  </r>
  <r>
    <n v="1349"/>
    <s v="CA-2015-118339"/>
    <d v="2015-03-17T00:00:00"/>
    <x v="506"/>
    <s v="FAST"/>
    <s v="Standard Class"/>
    <s v="BN-11515"/>
    <s v="Bradley Nguyen"/>
    <x v="0"/>
    <s v="United States"/>
    <s v="Lakeville"/>
    <x v="11"/>
    <n v="55044"/>
    <x v="2"/>
    <s v="OFF-BI-10001758"/>
    <x v="1"/>
    <x v="8"/>
    <x v="928"/>
    <n v="53.4"/>
  </r>
  <r>
    <n v="1350"/>
    <s v="CA-2015-118339"/>
    <d v="2015-03-17T00:00:00"/>
    <x v="506"/>
    <s v="FAST"/>
    <s v="Standard Class"/>
    <s v="BN-11515"/>
    <s v="Bradley Nguyen"/>
    <x v="0"/>
    <s v="United States"/>
    <s v="Lakeville"/>
    <x v="11"/>
    <n v="55044"/>
    <x v="2"/>
    <s v="OFF-BI-10000136"/>
    <x v="1"/>
    <x v="8"/>
    <x v="929"/>
    <n v="35.880000000000003"/>
  </r>
  <r>
    <n v="1351"/>
    <s v="CA-2015-153976"/>
    <d v="2015-10-03T00:00:00"/>
    <x v="507"/>
    <s v="SLOW"/>
    <s v="Second Class"/>
    <s v="BP-11290"/>
    <s v="Beth Paige"/>
    <x v="0"/>
    <s v="United States"/>
    <s v="Evanston"/>
    <x v="10"/>
    <n v="60201"/>
    <x v="2"/>
    <s v="FUR-CH-10002880"/>
    <x v="0"/>
    <x v="1"/>
    <x v="794"/>
    <n v="258.279"/>
  </r>
  <r>
    <n v="1352"/>
    <s v="CA-2017-162901"/>
    <d v="2017-03-28T00:00:00"/>
    <x v="508"/>
    <s v="MODERATE"/>
    <s v="First Class"/>
    <s v="AS-10045"/>
    <s v="Aaron Smayling"/>
    <x v="1"/>
    <s v="United States"/>
    <s v="Arlington"/>
    <x v="17"/>
    <n v="22204"/>
    <x v="0"/>
    <s v="OFF-ST-10000649"/>
    <x v="1"/>
    <x v="4"/>
    <x v="930"/>
    <n v="31.4"/>
  </r>
  <r>
    <n v="1353"/>
    <s v="CA-2018-162978"/>
    <d v="2018-05-04T00:00:00"/>
    <x v="509"/>
    <s v="FAST"/>
    <s v="Standard Class"/>
    <s v="LW-16990"/>
    <s v="Lindsay Williams"/>
    <x v="1"/>
    <s v="United States"/>
    <s v="San Francisco"/>
    <x v="1"/>
    <n v="94109"/>
    <x v="1"/>
    <s v="TEC-PH-10003092"/>
    <x v="2"/>
    <x v="7"/>
    <x v="511"/>
    <n v="183.96"/>
  </r>
  <r>
    <n v="1354"/>
    <s v="CA-2018-162978"/>
    <d v="2018-05-04T00:00:00"/>
    <x v="509"/>
    <s v="FAST"/>
    <s v="Standard Class"/>
    <s v="LW-16990"/>
    <s v="Lindsay Williams"/>
    <x v="1"/>
    <s v="United States"/>
    <s v="San Francisco"/>
    <x v="1"/>
    <n v="94109"/>
    <x v="1"/>
    <s v="OFF-PA-10002250"/>
    <x v="1"/>
    <x v="10"/>
    <x v="693"/>
    <n v="17.61"/>
  </r>
  <r>
    <n v="1355"/>
    <s v="CA-2018-162978"/>
    <d v="2018-05-04T00:00:00"/>
    <x v="509"/>
    <s v="FAST"/>
    <s v="Standard Class"/>
    <s v="LW-16990"/>
    <s v="Lindsay Williams"/>
    <x v="1"/>
    <s v="United States"/>
    <s v="San Francisco"/>
    <x v="1"/>
    <n v="94109"/>
    <x v="1"/>
    <s v="FUR-TA-10003473"/>
    <x v="0"/>
    <x v="3"/>
    <x v="211"/>
    <n v="300.904"/>
  </r>
  <r>
    <n v="1356"/>
    <s v="US-2015-160444"/>
    <d v="2015-07-05T00:00:00"/>
    <x v="491"/>
    <s v="MODERATE"/>
    <s v="Same Day"/>
    <s v="DC-12850"/>
    <s v="Dan Campbell"/>
    <x v="0"/>
    <s v="United States"/>
    <s v="Houston"/>
    <x v="5"/>
    <n v="77036"/>
    <x v="2"/>
    <s v="OFF-ST-10001522"/>
    <x v="1"/>
    <x v="4"/>
    <x v="192"/>
    <n v="220.77600000000001"/>
  </r>
  <r>
    <n v="1357"/>
    <s v="US-2015-160444"/>
    <d v="2015-07-05T00:00:00"/>
    <x v="491"/>
    <s v="MODERATE"/>
    <s v="Same Day"/>
    <s v="DC-12850"/>
    <s v="Dan Campbell"/>
    <x v="0"/>
    <s v="United States"/>
    <s v="Houston"/>
    <x v="5"/>
    <n v="77036"/>
    <x v="2"/>
    <s v="OFF-ST-10000563"/>
    <x v="1"/>
    <x v="4"/>
    <x v="887"/>
    <n v="281.42399999999998"/>
  </r>
  <r>
    <n v="1358"/>
    <s v="CA-2017-145247"/>
    <d v="2017-05-05T00:00:00"/>
    <x v="476"/>
    <s v="MODERATE"/>
    <s v="First Class"/>
    <s v="ND-18370"/>
    <s v="Natalie DeCherney"/>
    <x v="0"/>
    <s v="United States"/>
    <s v="Louisville"/>
    <x v="0"/>
    <n v="40214"/>
    <x v="0"/>
    <s v="OFF-PA-10003641"/>
    <x v="1"/>
    <x v="10"/>
    <x v="931"/>
    <n v="79.14"/>
  </r>
  <r>
    <n v="1359"/>
    <s v="CA-2018-160045"/>
    <d v="2018-04-26T00:00:00"/>
    <x v="432"/>
    <s v="MODERATE"/>
    <s v="First Class"/>
    <s v="LB-16735"/>
    <s v="Larry Blacks"/>
    <x v="0"/>
    <s v="United States"/>
    <s v="Fort Worth"/>
    <x v="5"/>
    <n v="76106"/>
    <x v="2"/>
    <s v="FUR-FU-10000010"/>
    <x v="0"/>
    <x v="5"/>
    <x v="517"/>
    <n v="1.988"/>
  </r>
  <r>
    <n v="1360"/>
    <s v="US-2015-151925"/>
    <d v="2015-09-26T00:00:00"/>
    <x v="510"/>
    <s v="SLOW"/>
    <s v="Second Class"/>
    <s v="KT-16465"/>
    <s v="Kean Takahito"/>
    <x v="0"/>
    <s v="United States"/>
    <s v="Los Angeles"/>
    <x v="1"/>
    <n v="90049"/>
    <x v="1"/>
    <s v="FUR-CH-10002961"/>
    <x v="0"/>
    <x v="1"/>
    <x v="932"/>
    <n v="145.56800000000001"/>
  </r>
  <r>
    <n v="1361"/>
    <s v="CA-2018-125199"/>
    <d v="2018-10-19T00:00:00"/>
    <x v="511"/>
    <s v="FAST"/>
    <s v="Standard Class"/>
    <s v="HM-14860"/>
    <s v="Harry Marie"/>
    <x v="1"/>
    <s v="United States"/>
    <s v="Philadelphia"/>
    <x v="9"/>
    <n v="19120"/>
    <x v="3"/>
    <s v="OFF-AR-10002956"/>
    <x v="1"/>
    <x v="6"/>
    <x v="653"/>
    <n v="123.256"/>
  </r>
  <r>
    <n v="1362"/>
    <s v="CA-2018-125199"/>
    <d v="2018-10-19T00:00:00"/>
    <x v="511"/>
    <s v="FAST"/>
    <s v="Standard Class"/>
    <s v="HM-14860"/>
    <s v="Harry Marie"/>
    <x v="1"/>
    <s v="United States"/>
    <s v="Philadelphia"/>
    <x v="9"/>
    <n v="19120"/>
    <x v="3"/>
    <s v="OFF-PA-10004041"/>
    <x v="1"/>
    <x v="10"/>
    <x v="933"/>
    <n v="23.68"/>
  </r>
  <r>
    <n v="1363"/>
    <s v="CA-2018-125199"/>
    <d v="2018-10-19T00:00:00"/>
    <x v="511"/>
    <s v="FAST"/>
    <s v="Standard Class"/>
    <s v="HM-14860"/>
    <s v="Harry Marie"/>
    <x v="1"/>
    <s v="United States"/>
    <s v="Philadelphia"/>
    <x v="9"/>
    <n v="19120"/>
    <x v="3"/>
    <s v="TEC-PH-10001336"/>
    <x v="2"/>
    <x v="7"/>
    <x v="934"/>
    <n v="309.57600000000002"/>
  </r>
  <r>
    <n v="1364"/>
    <s v="US-2018-155425"/>
    <d v="2018-11-10T00:00:00"/>
    <x v="328"/>
    <s v="MODERATE"/>
    <s v="First Class"/>
    <s v="AB-10600"/>
    <s v="Ann Blume"/>
    <x v="1"/>
    <s v="United States"/>
    <s v="Tucson"/>
    <x v="16"/>
    <n v="85705"/>
    <x v="1"/>
    <s v="OFF-BI-10001036"/>
    <x v="1"/>
    <x v="8"/>
    <x v="611"/>
    <n v="38.387999999999998"/>
  </r>
  <r>
    <n v="1365"/>
    <s v="US-2018-155425"/>
    <d v="2018-11-10T00:00:00"/>
    <x v="328"/>
    <s v="MODERATE"/>
    <s v="First Class"/>
    <s v="AB-10600"/>
    <s v="Ann Blume"/>
    <x v="1"/>
    <s v="United States"/>
    <s v="Tucson"/>
    <x v="16"/>
    <n v="85705"/>
    <x v="1"/>
    <s v="TEC-MA-10003183"/>
    <x v="2"/>
    <x v="15"/>
    <x v="935"/>
    <n v="95.994"/>
  </r>
  <r>
    <n v="1366"/>
    <s v="US-2018-155425"/>
    <d v="2018-11-10T00:00:00"/>
    <x v="328"/>
    <s v="MODERATE"/>
    <s v="First Class"/>
    <s v="AB-10600"/>
    <s v="Ann Blume"/>
    <x v="1"/>
    <s v="United States"/>
    <s v="Tucson"/>
    <x v="16"/>
    <n v="85705"/>
    <x v="1"/>
    <s v="TEC-AC-10001314"/>
    <x v="2"/>
    <x v="11"/>
    <x v="936"/>
    <n v="239.952"/>
  </r>
  <r>
    <n v="1367"/>
    <s v="US-2018-155425"/>
    <d v="2018-11-10T00:00:00"/>
    <x v="328"/>
    <s v="MODERATE"/>
    <s v="First Class"/>
    <s v="AB-10600"/>
    <s v="Ann Blume"/>
    <x v="1"/>
    <s v="United States"/>
    <s v="Tucson"/>
    <x v="16"/>
    <n v="85705"/>
    <x v="1"/>
    <s v="TEC-PH-10002563"/>
    <x v="2"/>
    <x v="7"/>
    <x v="198"/>
    <n v="201.584"/>
  </r>
  <r>
    <n v="1368"/>
    <s v="US-2018-155425"/>
    <d v="2018-11-10T00:00:00"/>
    <x v="328"/>
    <s v="MODERATE"/>
    <s v="First Class"/>
    <s v="AB-10600"/>
    <s v="Ann Blume"/>
    <x v="1"/>
    <s v="United States"/>
    <s v="Tucson"/>
    <x v="16"/>
    <n v="85705"/>
    <x v="1"/>
    <s v="FUR-CH-10003312"/>
    <x v="0"/>
    <x v="1"/>
    <x v="294"/>
    <n v="899.13599999999997"/>
  </r>
  <r>
    <n v="1369"/>
    <s v="CA-2018-133249"/>
    <d v="2018-07-08T00:00:00"/>
    <x v="512"/>
    <s v="MODERATE"/>
    <s v="First Class"/>
    <s v="SZ-20035"/>
    <s v="Sam Zeldin"/>
    <x v="2"/>
    <s v="United States"/>
    <s v="Pico Rivera"/>
    <x v="1"/>
    <n v="90660"/>
    <x v="1"/>
    <s v="FUR-FU-10001588"/>
    <x v="0"/>
    <x v="5"/>
    <x v="282"/>
    <n v="145.9"/>
  </r>
  <r>
    <n v="1370"/>
    <s v="US-2016-103471"/>
    <d v="2016-12-24T00:00:00"/>
    <x v="513"/>
    <s v="FAST"/>
    <s v="Standard Class"/>
    <s v="JR-15670"/>
    <s v="Jim Radford"/>
    <x v="0"/>
    <s v="United States"/>
    <s v="Colorado Springs"/>
    <x v="22"/>
    <n v="80906"/>
    <x v="1"/>
    <s v="FUR-BO-10002613"/>
    <x v="0"/>
    <x v="0"/>
    <x v="175"/>
    <n v="590.05799999999999"/>
  </r>
  <r>
    <n v="1371"/>
    <s v="US-2016-103471"/>
    <d v="2016-12-24T00:00:00"/>
    <x v="513"/>
    <s v="FAST"/>
    <s v="Standard Class"/>
    <s v="JR-15670"/>
    <s v="Jim Radford"/>
    <x v="0"/>
    <s v="United States"/>
    <s v="Colorado Springs"/>
    <x v="22"/>
    <n v="80906"/>
    <x v="1"/>
    <s v="OFF-AR-10003405"/>
    <x v="1"/>
    <x v="6"/>
    <x v="615"/>
    <n v="14.04"/>
  </r>
  <r>
    <n v="1372"/>
    <s v="CA-2018-136672"/>
    <d v="2018-03-07T00:00:00"/>
    <x v="514"/>
    <s v="FAST"/>
    <s v="Standard Class"/>
    <s v="MG-17890"/>
    <s v="Michael Granlund"/>
    <x v="2"/>
    <s v="United States"/>
    <s v="Clinton"/>
    <x v="39"/>
    <n v="20735"/>
    <x v="3"/>
    <s v="TEC-AC-10004510"/>
    <x v="2"/>
    <x v="11"/>
    <x v="937"/>
    <n v="49.08"/>
  </r>
  <r>
    <n v="1373"/>
    <s v="US-2015-157021"/>
    <d v="2015-04-01T00:00:00"/>
    <x v="515"/>
    <s v="SLOW"/>
    <s v="Second Class"/>
    <s v="KM-16720"/>
    <s v="Kunst Miller"/>
    <x v="0"/>
    <s v="United States"/>
    <s v="Vallejo"/>
    <x v="1"/>
    <n v="94591"/>
    <x v="1"/>
    <s v="OFF-LA-10002312"/>
    <x v="1"/>
    <x v="2"/>
    <x v="568"/>
    <n v="29.6"/>
  </r>
  <r>
    <n v="1374"/>
    <s v="US-2015-157021"/>
    <d v="2015-04-01T00:00:00"/>
    <x v="515"/>
    <s v="SLOW"/>
    <s v="Second Class"/>
    <s v="KM-16720"/>
    <s v="Kunst Miller"/>
    <x v="0"/>
    <s v="United States"/>
    <s v="Vallejo"/>
    <x v="1"/>
    <n v="94591"/>
    <x v="1"/>
    <s v="OFF-BI-10000042"/>
    <x v="1"/>
    <x v="8"/>
    <x v="938"/>
    <n v="17.088000000000001"/>
  </r>
  <r>
    <n v="1375"/>
    <s v="CA-2016-120362"/>
    <d v="2016-09-14T00:00:00"/>
    <x v="399"/>
    <s v="FAST"/>
    <s v="Standard Class"/>
    <s v="CA-12265"/>
    <s v="Christina Anderson"/>
    <x v="0"/>
    <s v="United States"/>
    <s v="Provo"/>
    <x v="7"/>
    <n v="84604"/>
    <x v="1"/>
    <s v="FUR-TA-10003008"/>
    <x v="0"/>
    <x v="3"/>
    <x v="939"/>
    <n v="912.75"/>
  </r>
  <r>
    <n v="1376"/>
    <s v="CA-2015-126361"/>
    <d v="2015-08-04T00:00:00"/>
    <x v="74"/>
    <s v="SLOW"/>
    <s v="Second Class"/>
    <s v="VD-21670"/>
    <s v="Valerie Dominguez"/>
    <x v="0"/>
    <s v="United States"/>
    <s v="Pleasant Grove"/>
    <x v="7"/>
    <n v="84062"/>
    <x v="1"/>
    <s v="OFF-AP-10003590"/>
    <x v="1"/>
    <x v="9"/>
    <x v="940"/>
    <n v="1089.75"/>
  </r>
  <r>
    <n v="1377"/>
    <s v="CA-2015-126361"/>
    <d v="2015-08-04T00:00:00"/>
    <x v="74"/>
    <s v="SLOW"/>
    <s v="Second Class"/>
    <s v="VD-21670"/>
    <s v="Valerie Dominguez"/>
    <x v="0"/>
    <s v="United States"/>
    <s v="Pleasant Grove"/>
    <x v="7"/>
    <n v="84062"/>
    <x v="1"/>
    <s v="OFF-PA-10000806"/>
    <x v="1"/>
    <x v="10"/>
    <x v="941"/>
    <n v="447.84"/>
  </r>
  <r>
    <n v="1378"/>
    <s v="CA-2015-126361"/>
    <d v="2015-08-04T00:00:00"/>
    <x v="74"/>
    <s v="SLOW"/>
    <s v="Second Class"/>
    <s v="VD-21670"/>
    <s v="Valerie Dominguez"/>
    <x v="0"/>
    <s v="United States"/>
    <s v="Pleasant Grove"/>
    <x v="7"/>
    <n v="84062"/>
    <x v="1"/>
    <s v="OFF-AR-10000896"/>
    <x v="1"/>
    <x v="6"/>
    <x v="942"/>
    <n v="16.399999999999999"/>
  </r>
  <r>
    <n v="1379"/>
    <s v="CA-2015-126361"/>
    <d v="2015-08-04T00:00:00"/>
    <x v="74"/>
    <s v="SLOW"/>
    <s v="Second Class"/>
    <s v="VD-21670"/>
    <s v="Valerie Dominguez"/>
    <x v="0"/>
    <s v="United States"/>
    <s v="Pleasant Grove"/>
    <x v="7"/>
    <n v="84062"/>
    <x v="1"/>
    <s v="TEC-PH-10002310"/>
    <x v="2"/>
    <x v="7"/>
    <x v="943"/>
    <n v="399.96"/>
  </r>
  <r>
    <n v="1380"/>
    <s v="CA-2015-126361"/>
    <d v="2015-08-04T00:00:00"/>
    <x v="74"/>
    <s v="SLOW"/>
    <s v="Second Class"/>
    <s v="VD-21670"/>
    <s v="Valerie Dominguez"/>
    <x v="0"/>
    <s v="United States"/>
    <s v="Pleasant Grove"/>
    <x v="7"/>
    <n v="84062"/>
    <x v="1"/>
    <s v="OFF-ST-10002289"/>
    <x v="1"/>
    <x v="4"/>
    <x v="944"/>
    <n v="158.9"/>
  </r>
  <r>
    <n v="1381"/>
    <s v="CA-2015-126361"/>
    <d v="2015-08-04T00:00:00"/>
    <x v="74"/>
    <s v="SLOW"/>
    <s v="Second Class"/>
    <s v="VD-21670"/>
    <s v="Valerie Dominguez"/>
    <x v="0"/>
    <s v="United States"/>
    <s v="Pleasant Grove"/>
    <x v="7"/>
    <n v="84062"/>
    <x v="1"/>
    <s v="OFF-BI-10002852"/>
    <x v="1"/>
    <x v="8"/>
    <x v="88"/>
    <n v="13.183999999999999"/>
  </r>
  <r>
    <n v="1382"/>
    <s v="US-2017-100566"/>
    <d v="2017-09-03T00:00:00"/>
    <x v="410"/>
    <s v="FAST"/>
    <s v="Standard Class"/>
    <s v="JK-16120"/>
    <s v="Julie Kriz"/>
    <x v="2"/>
    <s v="United States"/>
    <s v="Aurora"/>
    <x v="10"/>
    <n v="60505"/>
    <x v="2"/>
    <s v="FUR-FU-10003394"/>
    <x v="0"/>
    <x v="5"/>
    <x v="572"/>
    <n v="83.951999999999998"/>
  </r>
  <r>
    <n v="1383"/>
    <s v="US-2017-108504"/>
    <d v="2017-02-05T00:00:00"/>
    <x v="516"/>
    <s v="MODERATE"/>
    <s v="Same Day"/>
    <s v="PP-18955"/>
    <s v="Paul Prost"/>
    <x v="2"/>
    <s v="United States"/>
    <s v="Smyrna"/>
    <x v="32"/>
    <n v="30080"/>
    <x v="0"/>
    <s v="OFF-ST-10002344"/>
    <x v="1"/>
    <x v="4"/>
    <x v="850"/>
    <n v="80.98"/>
  </r>
  <r>
    <n v="1384"/>
    <s v="US-2017-108504"/>
    <d v="2017-02-05T00:00:00"/>
    <x v="516"/>
    <s v="MODERATE"/>
    <s v="Same Day"/>
    <s v="PP-18955"/>
    <s v="Paul Prost"/>
    <x v="2"/>
    <s v="United States"/>
    <s v="Smyrna"/>
    <x v="32"/>
    <n v="30080"/>
    <x v="0"/>
    <s v="OFF-PA-10001289"/>
    <x v="1"/>
    <x v="10"/>
    <x v="945"/>
    <n v="348.84"/>
  </r>
  <r>
    <n v="1385"/>
    <s v="US-2017-108504"/>
    <d v="2017-02-05T00:00:00"/>
    <x v="516"/>
    <s v="MODERATE"/>
    <s v="Same Day"/>
    <s v="PP-18955"/>
    <s v="Paul Prost"/>
    <x v="2"/>
    <s v="United States"/>
    <s v="Smyrna"/>
    <x v="32"/>
    <n v="30080"/>
    <x v="0"/>
    <s v="OFF-FA-10000053"/>
    <x v="1"/>
    <x v="13"/>
    <x v="946"/>
    <n v="9.4499999999999993"/>
  </r>
  <r>
    <n v="1386"/>
    <s v="US-2017-108504"/>
    <d v="2017-02-05T00:00:00"/>
    <x v="516"/>
    <s v="MODERATE"/>
    <s v="Same Day"/>
    <s v="PP-18955"/>
    <s v="Paul Prost"/>
    <x v="2"/>
    <s v="United States"/>
    <s v="Smyrna"/>
    <x v="32"/>
    <n v="30080"/>
    <x v="0"/>
    <s v="FUR-FU-10004091"/>
    <x v="0"/>
    <x v="5"/>
    <x v="947"/>
    <n v="18.84"/>
  </r>
  <r>
    <n v="1387"/>
    <s v="US-2017-108504"/>
    <d v="2017-02-05T00:00:00"/>
    <x v="516"/>
    <s v="MODERATE"/>
    <s v="Same Day"/>
    <s v="PP-18955"/>
    <s v="Paul Prost"/>
    <x v="2"/>
    <s v="United States"/>
    <s v="Smyrna"/>
    <x v="32"/>
    <n v="30080"/>
    <x v="0"/>
    <s v="FUR-BO-10004015"/>
    <x v="0"/>
    <x v="0"/>
    <x v="563"/>
    <n v="239.98"/>
  </r>
  <r>
    <n v="1388"/>
    <s v="US-2017-108504"/>
    <d v="2017-02-05T00:00:00"/>
    <x v="516"/>
    <s v="MODERATE"/>
    <s v="Same Day"/>
    <s v="PP-18955"/>
    <s v="Paul Prost"/>
    <x v="2"/>
    <s v="United States"/>
    <s v="Smyrna"/>
    <x v="32"/>
    <n v="30080"/>
    <x v="0"/>
    <s v="OFF-EN-10003001"/>
    <x v="1"/>
    <x v="12"/>
    <x v="948"/>
    <n v="167.96"/>
  </r>
  <r>
    <n v="1389"/>
    <s v="US-2017-108504"/>
    <d v="2017-02-05T00:00:00"/>
    <x v="516"/>
    <s v="MODERATE"/>
    <s v="Same Day"/>
    <s v="PP-18955"/>
    <s v="Paul Prost"/>
    <x v="2"/>
    <s v="United States"/>
    <s v="Smyrna"/>
    <x v="32"/>
    <n v="30080"/>
    <x v="0"/>
    <s v="TEC-PH-10000215"/>
    <x v="2"/>
    <x v="7"/>
    <x v="136"/>
    <n v="104.85"/>
  </r>
  <r>
    <n v="1390"/>
    <s v="US-2017-108504"/>
    <d v="2017-02-05T00:00:00"/>
    <x v="516"/>
    <s v="MODERATE"/>
    <s v="Same Day"/>
    <s v="PP-18955"/>
    <s v="Paul Prost"/>
    <x v="2"/>
    <s v="United States"/>
    <s v="Smyrna"/>
    <x v="32"/>
    <n v="30080"/>
    <x v="0"/>
    <s v="TEC-PH-10003645"/>
    <x v="2"/>
    <x v="7"/>
    <x v="292"/>
    <n v="484.83"/>
  </r>
  <r>
    <n v="1391"/>
    <s v="US-2017-108504"/>
    <d v="2017-02-05T00:00:00"/>
    <x v="516"/>
    <s v="MODERATE"/>
    <s v="Same Day"/>
    <s v="PP-18955"/>
    <s v="Paul Prost"/>
    <x v="2"/>
    <s v="United States"/>
    <s v="Smyrna"/>
    <x v="32"/>
    <n v="30080"/>
    <x v="0"/>
    <s v="OFF-PA-10000357"/>
    <x v="1"/>
    <x v="10"/>
    <x v="437"/>
    <n v="122.97"/>
  </r>
  <r>
    <n v="1392"/>
    <s v="US-2017-108504"/>
    <d v="2017-02-05T00:00:00"/>
    <x v="516"/>
    <s v="MODERATE"/>
    <s v="Same Day"/>
    <s v="PP-18955"/>
    <s v="Paul Prost"/>
    <x v="2"/>
    <s v="United States"/>
    <s v="Smyrna"/>
    <x v="32"/>
    <n v="30080"/>
    <x v="0"/>
    <s v="OFF-ST-10004804"/>
    <x v="1"/>
    <x v="4"/>
    <x v="228"/>
    <n v="154.44"/>
  </r>
  <r>
    <n v="1393"/>
    <s v="US-2017-108504"/>
    <d v="2017-02-05T00:00:00"/>
    <x v="516"/>
    <s v="MODERATE"/>
    <s v="Same Day"/>
    <s v="PP-18955"/>
    <s v="Paul Prost"/>
    <x v="2"/>
    <s v="United States"/>
    <s v="Smyrna"/>
    <x v="32"/>
    <n v="30080"/>
    <x v="0"/>
    <s v="OFF-PA-10003892"/>
    <x v="1"/>
    <x v="10"/>
    <x v="61"/>
    <n v="342.37"/>
  </r>
  <r>
    <n v="1395"/>
    <s v="US-2018-117247"/>
    <d v="2018-10-09T00:00:00"/>
    <x v="517"/>
    <s v="FAST"/>
    <s v="Standard Class"/>
    <s v="CK-12760"/>
    <s v="Cyma Kinney"/>
    <x v="1"/>
    <s v="United States"/>
    <s v="Aurora"/>
    <x v="10"/>
    <n v="60505"/>
    <x v="2"/>
    <s v="FUR-TA-10002958"/>
    <x v="0"/>
    <x v="3"/>
    <x v="949"/>
    <n v="652.45000000000005"/>
  </r>
  <r>
    <n v="1396"/>
    <s v="US-2018-117247"/>
    <d v="2018-10-09T00:00:00"/>
    <x v="517"/>
    <s v="FAST"/>
    <s v="Standard Class"/>
    <s v="CK-12760"/>
    <s v="Cyma Kinney"/>
    <x v="1"/>
    <s v="United States"/>
    <s v="Aurora"/>
    <x v="10"/>
    <n v="60505"/>
    <x v="2"/>
    <s v="FUR-TA-10001676"/>
    <x v="0"/>
    <x v="3"/>
    <x v="950"/>
    <n v="66.644999999999996"/>
  </r>
  <r>
    <n v="1397"/>
    <s v="CA-2017-124485"/>
    <d v="2017-11-24T00:00:00"/>
    <x v="481"/>
    <s v="MODERATE"/>
    <s v="First Class"/>
    <s v="NC-18340"/>
    <s v="Nat Carroll"/>
    <x v="0"/>
    <s v="United States"/>
    <s v="New York City"/>
    <x v="15"/>
    <n v="10035"/>
    <x v="3"/>
    <s v="OFF-BI-10000822"/>
    <x v="1"/>
    <x v="8"/>
    <x v="951"/>
    <n v="17.216000000000001"/>
  </r>
  <r>
    <n v="1398"/>
    <s v="CA-2017-124485"/>
    <d v="2017-11-24T00:00:00"/>
    <x v="481"/>
    <s v="MODERATE"/>
    <s v="First Class"/>
    <s v="NC-18340"/>
    <s v="Nat Carroll"/>
    <x v="0"/>
    <s v="United States"/>
    <s v="New York City"/>
    <x v="15"/>
    <n v="10035"/>
    <x v="3"/>
    <s v="OFF-PA-10004971"/>
    <x v="1"/>
    <x v="10"/>
    <x v="597"/>
    <n v="11.56"/>
  </r>
  <r>
    <n v="1399"/>
    <s v="CA-2017-124485"/>
    <d v="2017-11-24T00:00:00"/>
    <x v="481"/>
    <s v="MODERATE"/>
    <s v="First Class"/>
    <s v="NC-18340"/>
    <s v="Nat Carroll"/>
    <x v="0"/>
    <s v="United States"/>
    <s v="New York City"/>
    <x v="15"/>
    <n v="10035"/>
    <x v="3"/>
    <s v="TEC-AC-10002323"/>
    <x v="2"/>
    <x v="11"/>
    <x v="173"/>
    <n v="88.4"/>
  </r>
  <r>
    <n v="1400"/>
    <s v="CA-2017-124485"/>
    <d v="2017-11-24T00:00:00"/>
    <x v="481"/>
    <s v="MODERATE"/>
    <s v="First Class"/>
    <s v="NC-18340"/>
    <s v="Nat Carroll"/>
    <x v="0"/>
    <s v="United States"/>
    <s v="New York City"/>
    <x v="15"/>
    <n v="10035"/>
    <x v="3"/>
    <s v="OFF-PA-10004888"/>
    <x v="1"/>
    <x v="10"/>
    <x v="952"/>
    <n v="6.48"/>
  </r>
  <r>
    <n v="1401"/>
    <s v="CA-2017-159212"/>
    <d v="2017-11-01T00:00:00"/>
    <x v="518"/>
    <s v="FAST"/>
    <s v="Standard Class"/>
    <s v="KM-16375"/>
    <s v="Katherine Murray"/>
    <x v="2"/>
    <s v="United States"/>
    <s v="Salem"/>
    <x v="17"/>
    <n v="24153"/>
    <x v="0"/>
    <s v="TEC-PH-10003988"/>
    <x v="2"/>
    <x v="7"/>
    <x v="46"/>
    <n v="21.8"/>
  </r>
  <r>
    <n v="1402"/>
    <s v="CA-2017-159212"/>
    <d v="2017-11-01T00:00:00"/>
    <x v="518"/>
    <s v="FAST"/>
    <s v="Standard Class"/>
    <s v="KM-16375"/>
    <s v="Katherine Murray"/>
    <x v="2"/>
    <s v="United States"/>
    <s v="Salem"/>
    <x v="17"/>
    <n v="24153"/>
    <x v="0"/>
    <s v="OFF-EN-10002230"/>
    <x v="1"/>
    <x v="12"/>
    <x v="545"/>
    <n v="251.79"/>
  </r>
  <r>
    <n v="1403"/>
    <s v="US-2017-161396"/>
    <d v="2017-04-19T00:00:00"/>
    <x v="519"/>
    <s v="FAST"/>
    <s v="Standard Class"/>
    <s v="GM-14455"/>
    <s v="Gary Mitchum"/>
    <x v="2"/>
    <s v="United States"/>
    <s v="Columbus"/>
    <x v="24"/>
    <n v="43229"/>
    <x v="3"/>
    <s v="FUR-TA-10002622"/>
    <x v="0"/>
    <x v="3"/>
    <x v="953"/>
    <n v="205.17599999999999"/>
  </r>
  <r>
    <n v="1404"/>
    <s v="US-2017-161396"/>
    <d v="2017-04-19T00:00:00"/>
    <x v="519"/>
    <s v="FAST"/>
    <s v="Standard Class"/>
    <s v="GM-14455"/>
    <s v="Gary Mitchum"/>
    <x v="2"/>
    <s v="United States"/>
    <s v="Columbus"/>
    <x v="24"/>
    <n v="43229"/>
    <x v="3"/>
    <s v="OFF-PA-10000418"/>
    <x v="1"/>
    <x v="10"/>
    <x v="954"/>
    <n v="419.4"/>
  </r>
  <r>
    <n v="1405"/>
    <s v="US-2015-118486"/>
    <d v="2015-04-06T00:00:00"/>
    <x v="520"/>
    <s v="MODERATE"/>
    <s v="First Class"/>
    <s v="SD-20485"/>
    <s v="Shirley Daniels"/>
    <x v="2"/>
    <s v="United States"/>
    <s v="Philadelphia"/>
    <x v="9"/>
    <n v="19143"/>
    <x v="3"/>
    <s v="OFF-SU-10004498"/>
    <x v="1"/>
    <x v="14"/>
    <x v="495"/>
    <n v="10.304"/>
  </r>
  <r>
    <n v="1406"/>
    <s v="US-2015-118486"/>
    <d v="2015-04-06T00:00:00"/>
    <x v="520"/>
    <s v="MODERATE"/>
    <s v="First Class"/>
    <s v="SD-20485"/>
    <s v="Shirley Daniels"/>
    <x v="2"/>
    <s v="United States"/>
    <s v="Philadelphia"/>
    <x v="9"/>
    <n v="19143"/>
    <x v="3"/>
    <s v="FUR-TA-10001039"/>
    <x v="0"/>
    <x v="3"/>
    <x v="817"/>
    <n v="154.76400000000001"/>
  </r>
  <r>
    <n v="1407"/>
    <s v="US-2015-118486"/>
    <d v="2015-04-06T00:00:00"/>
    <x v="520"/>
    <s v="MODERATE"/>
    <s v="First Class"/>
    <s v="SD-20485"/>
    <s v="Shirley Daniels"/>
    <x v="2"/>
    <s v="United States"/>
    <s v="Philadelphia"/>
    <x v="9"/>
    <n v="19143"/>
    <x v="3"/>
    <s v="TEC-AC-10004659"/>
    <x v="2"/>
    <x v="11"/>
    <x v="168"/>
    <n v="116.78400000000001"/>
  </r>
  <r>
    <n v="1408"/>
    <s v="CA-2017-130407"/>
    <d v="2017-09-02T00:00:00"/>
    <x v="478"/>
    <s v="FAST"/>
    <s v="Standard Class"/>
    <s v="KD-16270"/>
    <s v="Karen Daniels"/>
    <x v="0"/>
    <s v="United States"/>
    <s v="New York City"/>
    <x v="15"/>
    <n v="10024"/>
    <x v="3"/>
    <s v="OFF-AR-10002240"/>
    <x v="1"/>
    <x v="6"/>
    <x v="955"/>
    <n v="75.48"/>
  </r>
  <r>
    <n v="1409"/>
    <s v="CA-2017-130407"/>
    <d v="2017-09-02T00:00:00"/>
    <x v="478"/>
    <s v="FAST"/>
    <s v="Standard Class"/>
    <s v="KD-16270"/>
    <s v="Karen Daniels"/>
    <x v="0"/>
    <s v="United States"/>
    <s v="New York City"/>
    <x v="15"/>
    <n v="10024"/>
    <x v="3"/>
    <s v="FUR-FU-10001967"/>
    <x v="0"/>
    <x v="5"/>
    <x v="291"/>
    <n v="39.979999999999997"/>
  </r>
  <r>
    <n v="1410"/>
    <s v="US-2017-122245"/>
    <d v="2017-09-25T00:00:00"/>
    <x v="423"/>
    <s v="FAST"/>
    <s v="Standard Class"/>
    <s v="AB-10105"/>
    <s v="Adrian Barton"/>
    <x v="0"/>
    <s v="United States"/>
    <s v="Phoenix"/>
    <x v="16"/>
    <n v="85023"/>
    <x v="1"/>
    <s v="FUR-TA-10002356"/>
    <x v="0"/>
    <x v="3"/>
    <x v="722"/>
    <n v="393.16500000000002"/>
  </r>
  <r>
    <n v="1411"/>
    <s v="CA-2018-105144"/>
    <d v="2018-11-04T00:00:00"/>
    <x v="328"/>
    <s v="FAST"/>
    <s v="Standard Class"/>
    <s v="SZ-20035"/>
    <s v="Sam Zeldin"/>
    <x v="2"/>
    <s v="United States"/>
    <s v="Grand Prairie"/>
    <x v="5"/>
    <n v="75051"/>
    <x v="2"/>
    <s v="OFF-LA-10003923"/>
    <x v="1"/>
    <x v="2"/>
    <x v="419"/>
    <n v="23.68"/>
  </r>
  <r>
    <n v="1412"/>
    <s v="CA-2017-136329"/>
    <d v="2017-07-09T00:00:00"/>
    <x v="521"/>
    <s v="FAST"/>
    <s v="Standard Class"/>
    <s v="JD-15895"/>
    <s v="Jonathan Doherty"/>
    <x v="1"/>
    <s v="United States"/>
    <s v="New York City"/>
    <x v="15"/>
    <n v="10035"/>
    <x v="3"/>
    <s v="FUR-CH-10002335"/>
    <x v="0"/>
    <x v="1"/>
    <x v="616"/>
    <n v="408.00599999999997"/>
  </r>
  <r>
    <n v="1413"/>
    <s v="CA-2017-136329"/>
    <d v="2017-07-09T00:00:00"/>
    <x v="521"/>
    <s v="FAST"/>
    <s v="Standard Class"/>
    <s v="JD-15895"/>
    <s v="Jonathan Doherty"/>
    <x v="1"/>
    <s v="United States"/>
    <s v="New York City"/>
    <x v="15"/>
    <n v="10035"/>
    <x v="3"/>
    <s v="FUR-FU-10000723"/>
    <x v="0"/>
    <x v="5"/>
    <x v="470"/>
    <n v="165.28"/>
  </r>
  <r>
    <n v="1414"/>
    <s v="CA-2015-146640"/>
    <d v="2015-06-30T00:00:00"/>
    <x v="491"/>
    <s v="FAST"/>
    <s v="Standard Class"/>
    <s v="HA-14905"/>
    <s v="Helen Abelman"/>
    <x v="0"/>
    <s v="United States"/>
    <s v="New York City"/>
    <x v="15"/>
    <n v="10024"/>
    <x v="3"/>
    <s v="OFF-BI-10002867"/>
    <x v="1"/>
    <x v="8"/>
    <x v="956"/>
    <n v="334.76799999999997"/>
  </r>
  <r>
    <n v="1415"/>
    <s v="CA-2018-115994"/>
    <d v="2018-01-28T00:00:00"/>
    <x v="522"/>
    <s v="SLOW"/>
    <s v="Second Class"/>
    <s v="BT-11305"/>
    <s v="Beth Thompson"/>
    <x v="2"/>
    <s v="United States"/>
    <s v="Costa Mesa"/>
    <x v="1"/>
    <n v="92627"/>
    <x v="1"/>
    <s v="TEC-AC-10000580"/>
    <x v="2"/>
    <x v="11"/>
    <x v="890"/>
    <n v="239.97"/>
  </r>
  <r>
    <n v="1416"/>
    <s v="CA-2018-115994"/>
    <d v="2018-01-28T00:00:00"/>
    <x v="522"/>
    <s v="SLOW"/>
    <s v="Second Class"/>
    <s v="BT-11305"/>
    <s v="Beth Thompson"/>
    <x v="2"/>
    <s v="United States"/>
    <s v="Costa Mesa"/>
    <x v="1"/>
    <n v="92627"/>
    <x v="1"/>
    <s v="FUR-FU-10003976"/>
    <x v="0"/>
    <x v="5"/>
    <x v="957"/>
    <n v="37.74"/>
  </r>
  <r>
    <n v="1417"/>
    <s v="CA-2016-126697"/>
    <d v="2016-09-21T00:00:00"/>
    <x v="487"/>
    <s v="MODERATE"/>
    <s v="First Class"/>
    <s v="SV-20815"/>
    <s v="Stuart Van"/>
    <x v="1"/>
    <s v="United States"/>
    <s v="Houston"/>
    <x v="5"/>
    <n v="77041"/>
    <x v="2"/>
    <s v="TEC-PH-10002922"/>
    <x v="2"/>
    <x v="7"/>
    <x v="958"/>
    <n v="946.34400000000005"/>
  </r>
  <r>
    <n v="1418"/>
    <s v="CA-2016-126697"/>
    <d v="2016-09-21T00:00:00"/>
    <x v="487"/>
    <s v="MODERATE"/>
    <s v="First Class"/>
    <s v="SV-20815"/>
    <s v="Stuart Van"/>
    <x v="1"/>
    <s v="United States"/>
    <s v="Houston"/>
    <x v="5"/>
    <n v="77041"/>
    <x v="2"/>
    <s v="TEC-AC-10004353"/>
    <x v="2"/>
    <x v="11"/>
    <x v="711"/>
    <n v="151.19999999999999"/>
  </r>
  <r>
    <n v="1419"/>
    <s v="CA-2016-126697"/>
    <d v="2016-09-21T00:00:00"/>
    <x v="487"/>
    <s v="MODERATE"/>
    <s v="First Class"/>
    <s v="SV-20815"/>
    <s v="Stuart Van"/>
    <x v="1"/>
    <s v="United States"/>
    <s v="Houston"/>
    <x v="5"/>
    <n v="77041"/>
    <x v="2"/>
    <s v="FUR-FU-10001706"/>
    <x v="0"/>
    <x v="5"/>
    <x v="49"/>
    <n v="4.9279999999999999"/>
  </r>
  <r>
    <n v="1420"/>
    <s v="CA-2016-124800"/>
    <d v="2016-09-26T00:00:00"/>
    <x v="12"/>
    <s v="FAST"/>
    <s v="Standard Class"/>
    <s v="RW-19540"/>
    <s v="Rick Wilson"/>
    <x v="1"/>
    <s v="United States"/>
    <s v="Mesa"/>
    <x v="16"/>
    <n v="85204"/>
    <x v="1"/>
    <s v="OFF-PA-10000501"/>
    <x v="1"/>
    <x v="10"/>
    <x v="959"/>
    <n v="86.272000000000006"/>
  </r>
  <r>
    <n v="1421"/>
    <s v="CA-2016-124800"/>
    <d v="2016-09-26T00:00:00"/>
    <x v="12"/>
    <s v="FAST"/>
    <s v="Standard Class"/>
    <s v="RW-19540"/>
    <s v="Rick Wilson"/>
    <x v="1"/>
    <s v="United States"/>
    <s v="Mesa"/>
    <x v="16"/>
    <n v="85204"/>
    <x v="1"/>
    <s v="OFF-BI-10000778"/>
    <x v="1"/>
    <x v="8"/>
    <x v="256"/>
    <n v="72.587999999999994"/>
  </r>
  <r>
    <n v="1423"/>
    <s v="CA-2016-124800"/>
    <d v="2016-09-26T00:00:00"/>
    <x v="12"/>
    <s v="FAST"/>
    <s v="Standard Class"/>
    <s v="RW-19540"/>
    <s v="Rick Wilson"/>
    <x v="1"/>
    <s v="United States"/>
    <s v="Mesa"/>
    <x v="16"/>
    <n v="85204"/>
    <x v="1"/>
    <s v="OFF-BI-10003984"/>
    <x v="1"/>
    <x v="8"/>
    <x v="684"/>
    <n v="77.031000000000006"/>
  </r>
  <r>
    <n v="1425"/>
    <s v="CA-2016-124800"/>
    <d v="2016-09-26T00:00:00"/>
    <x v="12"/>
    <s v="FAST"/>
    <s v="Standard Class"/>
    <s v="RW-19540"/>
    <s v="Rick Wilson"/>
    <x v="1"/>
    <s v="United States"/>
    <s v="Mesa"/>
    <x v="16"/>
    <n v="85204"/>
    <x v="1"/>
    <s v="TEC-PH-10001750"/>
    <x v="2"/>
    <x v="7"/>
    <x v="960"/>
    <n v="263.95999999999998"/>
  </r>
  <r>
    <n v="1426"/>
    <s v="CA-2016-124800"/>
    <d v="2016-09-26T00:00:00"/>
    <x v="12"/>
    <s v="FAST"/>
    <s v="Standard Class"/>
    <s v="RW-19540"/>
    <s v="Rick Wilson"/>
    <x v="1"/>
    <s v="United States"/>
    <s v="Mesa"/>
    <x v="16"/>
    <n v="85204"/>
    <x v="1"/>
    <s v="OFF-ST-10002743"/>
    <x v="1"/>
    <x v="4"/>
    <x v="408"/>
    <n v="363.64800000000002"/>
  </r>
  <r>
    <n v="1427"/>
    <s v="US-2016-164448"/>
    <d v="2016-10-31T00:00:00"/>
    <x v="163"/>
    <s v="SLOW"/>
    <s v="Second Class"/>
    <s v="DK-12835"/>
    <s v="Damala Kotsonis"/>
    <x v="1"/>
    <s v="United States"/>
    <s v="Salinas"/>
    <x v="1"/>
    <n v="93905"/>
    <x v="1"/>
    <s v="OFF-BI-10002949"/>
    <x v="1"/>
    <x v="8"/>
    <x v="515"/>
    <n v="9.7279999999999998"/>
  </r>
  <r>
    <n v="1428"/>
    <s v="US-2016-164448"/>
    <d v="2016-10-31T00:00:00"/>
    <x v="163"/>
    <s v="SLOW"/>
    <s v="Second Class"/>
    <s v="DK-12835"/>
    <s v="Damala Kotsonis"/>
    <x v="1"/>
    <s v="United States"/>
    <s v="Salinas"/>
    <x v="1"/>
    <n v="93905"/>
    <x v="1"/>
    <s v="OFF-EN-10002600"/>
    <x v="1"/>
    <x v="12"/>
    <x v="107"/>
    <n v="14.75"/>
  </r>
  <r>
    <n v="1429"/>
    <s v="US-2016-164448"/>
    <d v="2016-10-31T00:00:00"/>
    <x v="163"/>
    <s v="SLOW"/>
    <s v="Second Class"/>
    <s v="DK-12835"/>
    <s v="Damala Kotsonis"/>
    <x v="1"/>
    <s v="United States"/>
    <s v="Salinas"/>
    <x v="1"/>
    <n v="93905"/>
    <x v="1"/>
    <s v="OFF-BI-10003708"/>
    <x v="1"/>
    <x v="8"/>
    <x v="961"/>
    <n v="29.8"/>
  </r>
  <r>
    <n v="1430"/>
    <s v="US-2016-164448"/>
    <d v="2016-10-31T00:00:00"/>
    <x v="163"/>
    <s v="SLOW"/>
    <s v="Second Class"/>
    <s v="DK-12835"/>
    <s v="Damala Kotsonis"/>
    <x v="1"/>
    <s v="United States"/>
    <s v="Salinas"/>
    <x v="1"/>
    <n v="93905"/>
    <x v="1"/>
    <s v="OFF-LA-10003510"/>
    <x v="1"/>
    <x v="2"/>
    <x v="569"/>
    <n v="427.42"/>
  </r>
  <r>
    <n v="1431"/>
    <s v="CA-2018-122700"/>
    <d v="2018-11-26T00:00:00"/>
    <x v="523"/>
    <s v="FAST"/>
    <s v="Standard Class"/>
    <s v="LT-17110"/>
    <s v="Liz Thompson"/>
    <x v="0"/>
    <s v="United States"/>
    <s v="Columbus"/>
    <x v="24"/>
    <n v="43229"/>
    <x v="3"/>
    <s v="TEC-PH-10003092"/>
    <x v="2"/>
    <x v="7"/>
    <x v="511"/>
    <n v="220.75200000000001"/>
  </r>
  <r>
    <n v="1432"/>
    <s v="CA-2015-120768"/>
    <d v="2015-12-19T00:00:00"/>
    <x v="443"/>
    <s v="SLOW"/>
    <s v="Second Class"/>
    <s v="IM-15070"/>
    <s v="Irene Maddox"/>
    <x v="0"/>
    <s v="United States"/>
    <s v="Florence"/>
    <x v="19"/>
    <n v="35630"/>
    <x v="0"/>
    <s v="OFF-BI-10001191"/>
    <x v="1"/>
    <x v="8"/>
    <x v="962"/>
    <n v="152.76"/>
  </r>
  <r>
    <n v="1433"/>
    <s v="CA-2015-120768"/>
    <d v="2015-12-19T00:00:00"/>
    <x v="443"/>
    <s v="SLOW"/>
    <s v="Second Class"/>
    <s v="IM-15070"/>
    <s v="Irene Maddox"/>
    <x v="0"/>
    <s v="United States"/>
    <s v="Florence"/>
    <x v="19"/>
    <n v="35630"/>
    <x v="0"/>
    <s v="OFF-SU-10004115"/>
    <x v="1"/>
    <x v="14"/>
    <x v="505"/>
    <n v="7.27"/>
  </r>
  <r>
    <n v="1434"/>
    <s v="CA-2015-120768"/>
    <d v="2015-12-19T00:00:00"/>
    <x v="443"/>
    <s v="SLOW"/>
    <s v="Second Class"/>
    <s v="IM-15070"/>
    <s v="Irene Maddox"/>
    <x v="0"/>
    <s v="United States"/>
    <s v="Florence"/>
    <x v="19"/>
    <n v="35630"/>
    <x v="0"/>
    <s v="FUR-CH-10000513"/>
    <x v="0"/>
    <x v="1"/>
    <x v="69"/>
    <n v="1819.86"/>
  </r>
  <r>
    <n v="1435"/>
    <s v="US-2017-153129"/>
    <d v="2017-12-26T00:00:00"/>
    <x v="524"/>
    <s v="FAST"/>
    <s v="Standard Class"/>
    <s v="FP-14320"/>
    <s v="Frank Preis"/>
    <x v="0"/>
    <s v="United States"/>
    <s v="Seattle"/>
    <x v="4"/>
    <n v="98105"/>
    <x v="1"/>
    <s v="OFF-PA-10003673"/>
    <x v="1"/>
    <x v="10"/>
    <x v="963"/>
    <n v="33.9"/>
  </r>
  <r>
    <n v="1436"/>
    <s v="CA-2018-106852"/>
    <d v="2018-06-20T00:00:00"/>
    <x v="324"/>
    <s v="FAST"/>
    <s v="Standard Class"/>
    <s v="ST-20530"/>
    <s v="Shui Tom"/>
    <x v="0"/>
    <s v="United States"/>
    <s v="Parma"/>
    <x v="24"/>
    <n v="44134"/>
    <x v="3"/>
    <s v="OFF-PA-10001639"/>
    <x v="1"/>
    <x v="10"/>
    <x v="964"/>
    <n v="31.103999999999999"/>
  </r>
  <r>
    <n v="1437"/>
    <s v="CA-2018-106852"/>
    <d v="2018-06-20T00:00:00"/>
    <x v="324"/>
    <s v="FAST"/>
    <s v="Standard Class"/>
    <s v="ST-20530"/>
    <s v="Shui Tom"/>
    <x v="0"/>
    <s v="United States"/>
    <s v="Parma"/>
    <x v="24"/>
    <n v="44134"/>
    <x v="3"/>
    <s v="OFF-AR-10003829"/>
    <x v="1"/>
    <x v="6"/>
    <x v="927"/>
    <n v="5.2480000000000002"/>
  </r>
  <r>
    <n v="1438"/>
    <s v="CA-2016-139731"/>
    <d v="2016-10-15T00:00:00"/>
    <x v="525"/>
    <s v="MODERATE"/>
    <s v="Same Day"/>
    <s v="JE-15745"/>
    <s v="Joel Eaton"/>
    <x v="0"/>
    <s v="United States"/>
    <s v="Amarillo"/>
    <x v="5"/>
    <n v="79109"/>
    <x v="2"/>
    <s v="TEC-AC-10004975"/>
    <x v="2"/>
    <x v="11"/>
    <x v="965"/>
    <n v="263.88"/>
  </r>
  <r>
    <n v="1439"/>
    <s v="CA-2016-139731"/>
    <d v="2016-10-15T00:00:00"/>
    <x v="525"/>
    <s v="MODERATE"/>
    <s v="Same Day"/>
    <s v="JE-15745"/>
    <s v="Joel Eaton"/>
    <x v="0"/>
    <s v="United States"/>
    <s v="Amarillo"/>
    <x v="5"/>
    <n v="79109"/>
    <x v="2"/>
    <s v="FUR-CH-10002024"/>
    <x v="0"/>
    <x v="1"/>
    <x v="473"/>
    <n v="2453.4299999999998"/>
  </r>
  <r>
    <n v="1440"/>
    <s v="CA-2018-122735"/>
    <d v="2018-04-12T00:00:00"/>
    <x v="337"/>
    <s v="SLOW"/>
    <s v="Second Class"/>
    <s v="BD-11320"/>
    <s v="Bill Donatelli"/>
    <x v="0"/>
    <s v="United States"/>
    <s v="Providence"/>
    <x v="34"/>
    <n v="2908"/>
    <x v="3"/>
    <s v="OFF-BI-10004364"/>
    <x v="1"/>
    <x v="8"/>
    <x v="300"/>
    <n v="29.7"/>
  </r>
  <r>
    <n v="1441"/>
    <s v="CA-2018-122735"/>
    <d v="2018-04-12T00:00:00"/>
    <x v="337"/>
    <s v="SLOW"/>
    <s v="Second Class"/>
    <s v="BD-11320"/>
    <s v="Bill Donatelli"/>
    <x v="0"/>
    <s v="United States"/>
    <s v="Providence"/>
    <x v="34"/>
    <n v="2908"/>
    <x v="3"/>
    <s v="OFF-PA-10001712"/>
    <x v="1"/>
    <x v="10"/>
    <x v="966"/>
    <n v="39.96"/>
  </r>
  <r>
    <n v="1442"/>
    <s v="CA-2018-128160"/>
    <d v="2018-12-19T00:00:00"/>
    <x v="467"/>
    <s v="SLOW"/>
    <s v="Second Class"/>
    <s v="MM-17920"/>
    <s v="Michael Moore"/>
    <x v="0"/>
    <s v="United States"/>
    <s v="San Francisco"/>
    <x v="1"/>
    <n v="94110"/>
    <x v="1"/>
    <s v="OFF-BI-10001510"/>
    <x v="1"/>
    <x v="8"/>
    <x v="696"/>
    <n v="36.671999999999997"/>
  </r>
  <r>
    <n v="1443"/>
    <s v="CA-2018-117695"/>
    <d v="2018-08-05T00:00:00"/>
    <x v="526"/>
    <s v="MODERATE"/>
    <s v="First Class"/>
    <s v="PW-19030"/>
    <s v="Pauline Webber"/>
    <x v="1"/>
    <s v="United States"/>
    <s v="Richmond"/>
    <x v="0"/>
    <n v="40475"/>
    <x v="0"/>
    <s v="OFF-PA-10002713"/>
    <x v="1"/>
    <x v="10"/>
    <x v="314"/>
    <n v="13.76"/>
  </r>
  <r>
    <n v="1444"/>
    <s v="CA-2016-166135"/>
    <d v="2016-10-01T00:00:00"/>
    <x v="307"/>
    <s v="FAST"/>
    <s v="Standard Class"/>
    <s v="SC-20440"/>
    <s v="Shaun Chance"/>
    <x v="1"/>
    <s v="United States"/>
    <s v="Aurora"/>
    <x v="22"/>
    <n v="80013"/>
    <x v="1"/>
    <s v="OFF-ST-10002974"/>
    <x v="1"/>
    <x v="4"/>
    <x v="119"/>
    <n v="139.42400000000001"/>
  </r>
  <r>
    <n v="1445"/>
    <s v="CA-2017-133725"/>
    <d v="2017-05-23T00:00:00"/>
    <x v="527"/>
    <s v="FAST"/>
    <s v="Standard Class"/>
    <s v="KL-16645"/>
    <s v="Ken Lonsdale"/>
    <x v="0"/>
    <s v="United States"/>
    <s v="Chicago"/>
    <x v="10"/>
    <n v="60623"/>
    <x v="2"/>
    <s v="TEC-PH-10004165"/>
    <x v="2"/>
    <x v="7"/>
    <x v="879"/>
    <n v="1979.9280000000001"/>
  </r>
  <r>
    <n v="1446"/>
    <s v="CA-2018-102337"/>
    <d v="2018-06-13T00:00:00"/>
    <x v="528"/>
    <s v="MODERATE"/>
    <s v="First Class"/>
    <s v="SD-20485"/>
    <s v="Shirley Daniels"/>
    <x v="2"/>
    <s v="United States"/>
    <s v="Chicago"/>
    <x v="10"/>
    <n v="60653"/>
    <x v="2"/>
    <s v="OFF-ST-10004804"/>
    <x v="1"/>
    <x v="4"/>
    <x v="228"/>
    <n v="164.73599999999999"/>
  </r>
  <r>
    <n v="1447"/>
    <s v="CA-2018-102337"/>
    <d v="2018-06-13T00:00:00"/>
    <x v="528"/>
    <s v="MODERATE"/>
    <s v="First Class"/>
    <s v="SD-20485"/>
    <s v="Shirley Daniels"/>
    <x v="2"/>
    <s v="United States"/>
    <s v="Chicago"/>
    <x v="10"/>
    <n v="60653"/>
    <x v="2"/>
    <s v="FUR-CH-10004289"/>
    <x v="0"/>
    <x v="1"/>
    <x v="967"/>
    <n v="470.30200000000002"/>
  </r>
  <r>
    <n v="1448"/>
    <s v="CA-2018-102337"/>
    <d v="2018-06-13T00:00:00"/>
    <x v="528"/>
    <s v="MODERATE"/>
    <s v="First Class"/>
    <s v="SD-20485"/>
    <s v="Shirley Daniels"/>
    <x v="2"/>
    <s v="United States"/>
    <s v="Chicago"/>
    <x v="10"/>
    <n v="60653"/>
    <x v="2"/>
    <s v="TEC-PH-10002564"/>
    <x v="2"/>
    <x v="7"/>
    <x v="968"/>
    <n v="47.984000000000002"/>
  </r>
  <r>
    <n v="1449"/>
    <s v="US-2015-112564"/>
    <d v="2015-04-23T00:00:00"/>
    <x v="529"/>
    <s v="MODERATE"/>
    <s v="First Class"/>
    <s v="TS-21160"/>
    <s v="Theresa Swint"/>
    <x v="1"/>
    <s v="United States"/>
    <s v="Philadelphia"/>
    <x v="9"/>
    <n v="19134"/>
    <x v="3"/>
    <s v="OFF-BI-10004876"/>
    <x v="1"/>
    <x v="8"/>
    <x v="969"/>
    <n v="2.5019999999999998"/>
  </r>
  <r>
    <n v="1450"/>
    <s v="CA-2016-145821"/>
    <d v="2016-05-01T00:00:00"/>
    <x v="530"/>
    <s v="FAST"/>
    <s v="Standard Class"/>
    <s v="JB-15400"/>
    <s v="Jennifer Braxton"/>
    <x v="1"/>
    <s v="United States"/>
    <s v="Los Angeles"/>
    <x v="1"/>
    <n v="90008"/>
    <x v="1"/>
    <s v="TEC-PH-10004348"/>
    <x v="2"/>
    <x v="7"/>
    <x v="970"/>
    <n v="88.751999999999995"/>
  </r>
  <r>
    <n v="1451"/>
    <s v="US-2016-160150"/>
    <d v="2016-07-19T00:00:00"/>
    <x v="531"/>
    <s v="MODERATE"/>
    <s v="First Class"/>
    <s v="TS-21085"/>
    <s v="Thais Sissman"/>
    <x v="0"/>
    <s v="United States"/>
    <s v="Phoenix"/>
    <x v="16"/>
    <n v="85023"/>
    <x v="1"/>
    <s v="OFF-BI-10004352"/>
    <x v="1"/>
    <x v="8"/>
    <x v="971"/>
    <n v="2.0249999999999999"/>
  </r>
  <r>
    <n v="1452"/>
    <s v="CA-2017-133711"/>
    <d v="2017-11-26T00:00:00"/>
    <x v="532"/>
    <s v="MODERATE"/>
    <s v="First Class"/>
    <s v="MC-17425"/>
    <s v="Mark Cousins"/>
    <x v="1"/>
    <s v="United States"/>
    <s v="Mobile"/>
    <x v="19"/>
    <n v="36608"/>
    <x v="0"/>
    <s v="OFF-PA-10001685"/>
    <x v="1"/>
    <x v="10"/>
    <x v="33"/>
    <n v="70.98"/>
  </r>
  <r>
    <n v="1453"/>
    <s v="CA-2017-133711"/>
    <d v="2017-11-26T00:00:00"/>
    <x v="532"/>
    <s v="MODERATE"/>
    <s v="First Class"/>
    <s v="MC-17425"/>
    <s v="Mark Cousins"/>
    <x v="1"/>
    <s v="United States"/>
    <s v="Mobile"/>
    <x v="19"/>
    <n v="36608"/>
    <x v="0"/>
    <s v="OFF-BI-10000666"/>
    <x v="1"/>
    <x v="8"/>
    <x v="972"/>
    <n v="91.68"/>
  </r>
  <r>
    <n v="1454"/>
    <s v="CA-2017-133711"/>
    <d v="2017-11-26T00:00:00"/>
    <x v="532"/>
    <s v="MODERATE"/>
    <s v="First Class"/>
    <s v="MC-17425"/>
    <s v="Mark Cousins"/>
    <x v="1"/>
    <s v="United States"/>
    <s v="Mobile"/>
    <x v="19"/>
    <n v="36608"/>
    <x v="0"/>
    <s v="OFF-BI-10004352"/>
    <x v="1"/>
    <x v="8"/>
    <x v="971"/>
    <n v="33.75"/>
  </r>
  <r>
    <n v="1455"/>
    <s v="CA-2017-133711"/>
    <d v="2017-11-26T00:00:00"/>
    <x v="532"/>
    <s v="MODERATE"/>
    <s v="First Class"/>
    <s v="MC-17425"/>
    <s v="Mark Cousins"/>
    <x v="1"/>
    <s v="United States"/>
    <s v="Mobile"/>
    <x v="19"/>
    <n v="36608"/>
    <x v="0"/>
    <s v="TEC-MA-10000010"/>
    <x v="2"/>
    <x v="15"/>
    <x v="973"/>
    <n v="3040"/>
  </r>
  <r>
    <n v="1456"/>
    <s v="CA-2018-148474"/>
    <d v="2018-06-12T00:00:00"/>
    <x v="140"/>
    <s v="FAST"/>
    <s v="Standard Class"/>
    <s v="ME-17320"/>
    <s v="Maria Etezadi"/>
    <x v="2"/>
    <s v="United States"/>
    <s v="Columbus"/>
    <x v="32"/>
    <n v="31907"/>
    <x v="0"/>
    <s v="OFF-BI-10000977"/>
    <x v="1"/>
    <x v="8"/>
    <x v="974"/>
    <n v="91.2"/>
  </r>
  <r>
    <n v="1457"/>
    <s v="CA-2018-148474"/>
    <d v="2018-06-12T00:00:00"/>
    <x v="140"/>
    <s v="FAST"/>
    <s v="Standard Class"/>
    <s v="ME-17320"/>
    <s v="Maria Etezadi"/>
    <x v="2"/>
    <s v="United States"/>
    <s v="Columbus"/>
    <x v="32"/>
    <n v="31907"/>
    <x v="0"/>
    <s v="FUR-TA-10002530"/>
    <x v="0"/>
    <x v="3"/>
    <x v="975"/>
    <n v="452.94"/>
  </r>
  <r>
    <n v="1458"/>
    <s v="CA-2016-111297"/>
    <d v="2016-08-17T00:00:00"/>
    <x v="533"/>
    <s v="FAST"/>
    <s v="Standard Class"/>
    <s v="SC-20440"/>
    <s v="Shaun Chance"/>
    <x v="1"/>
    <s v="United States"/>
    <s v="New Bedford"/>
    <x v="31"/>
    <n v="2740"/>
    <x v="3"/>
    <s v="OFF-BI-10002412"/>
    <x v="1"/>
    <x v="8"/>
    <x v="320"/>
    <n v="52.2"/>
  </r>
  <r>
    <n v="1459"/>
    <s v="CA-2017-123722"/>
    <d v="2017-09-25T00:00:00"/>
    <x v="151"/>
    <s v="FAST"/>
    <s v="Standard Class"/>
    <s v="NH-18610"/>
    <s v="Nicole Hansen"/>
    <x v="1"/>
    <s v="United States"/>
    <s v="Irving"/>
    <x v="5"/>
    <n v="75061"/>
    <x v="2"/>
    <s v="OFF-LA-10001569"/>
    <x v="1"/>
    <x v="2"/>
    <x v="626"/>
    <n v="15.936"/>
  </r>
  <r>
    <n v="1460"/>
    <s v="CA-2015-155271"/>
    <d v="2015-05-04T00:00:00"/>
    <x v="350"/>
    <s v="MODERATE"/>
    <s v="Same Day"/>
    <s v="AA-10480"/>
    <s v="Andrew Allen"/>
    <x v="0"/>
    <s v="United States"/>
    <s v="Middletown"/>
    <x v="29"/>
    <n v="6457"/>
    <x v="3"/>
    <s v="FUR-FU-10001473"/>
    <x v="0"/>
    <x v="5"/>
    <x v="976"/>
    <n v="27.46"/>
  </r>
  <r>
    <n v="1461"/>
    <s v="CA-2016-119907"/>
    <d v="2016-12-01T00:00:00"/>
    <x v="221"/>
    <s v="FAST"/>
    <s v="Standard Class"/>
    <s v="LC-17140"/>
    <s v="Logan Currie"/>
    <x v="0"/>
    <s v="United States"/>
    <s v="Seattle"/>
    <x v="4"/>
    <n v="98103"/>
    <x v="1"/>
    <s v="OFF-BI-10001765"/>
    <x v="1"/>
    <x v="8"/>
    <x v="977"/>
    <n v="55.423999999999999"/>
  </r>
  <r>
    <n v="1462"/>
    <s v="US-2017-128902"/>
    <d v="2017-03-11T00:00:00"/>
    <x v="534"/>
    <s v="FAST"/>
    <s v="Standard Class"/>
    <s v="MB-18085"/>
    <s v="Mick Brown"/>
    <x v="0"/>
    <s v="United States"/>
    <s v="Vineland"/>
    <x v="30"/>
    <n v="8360"/>
    <x v="3"/>
    <s v="FUR-TA-10001095"/>
    <x v="0"/>
    <x v="3"/>
    <x v="604"/>
    <n v="244.006"/>
  </r>
  <r>
    <n v="1463"/>
    <s v="CA-2017-152289"/>
    <d v="2017-08-26T00:00:00"/>
    <x v="266"/>
    <s v="MODERATE"/>
    <s v="First Class"/>
    <s v="LC-16930"/>
    <s v="Linda Cazamias"/>
    <x v="1"/>
    <s v="United States"/>
    <s v="Pasadena"/>
    <x v="5"/>
    <n v="77506"/>
    <x v="2"/>
    <s v="TEC-AC-10004571"/>
    <x v="2"/>
    <x v="11"/>
    <x v="399"/>
    <n v="159.98400000000001"/>
  </r>
  <r>
    <n v="1464"/>
    <s v="CA-2017-152289"/>
    <d v="2017-08-26T00:00:00"/>
    <x v="266"/>
    <s v="MODERATE"/>
    <s v="First Class"/>
    <s v="LC-16930"/>
    <s v="Linda Cazamias"/>
    <x v="1"/>
    <s v="United States"/>
    <s v="Pasadena"/>
    <x v="5"/>
    <n v="77506"/>
    <x v="2"/>
    <s v="FUR-CH-10002126"/>
    <x v="0"/>
    <x v="1"/>
    <x v="834"/>
    <n v="1024.7159999999999"/>
  </r>
  <r>
    <n v="1465"/>
    <s v="US-2017-104794"/>
    <d v="2017-12-16T00:00:00"/>
    <x v="290"/>
    <s v="MODERATE"/>
    <s v="First Class"/>
    <s v="KD-16495"/>
    <s v="Keith Dawkins"/>
    <x v="1"/>
    <s v="United States"/>
    <s v="New York City"/>
    <x v="15"/>
    <n v="10009"/>
    <x v="3"/>
    <s v="OFF-FA-10001754"/>
    <x v="1"/>
    <x v="13"/>
    <x v="785"/>
    <n v="3.68"/>
  </r>
  <r>
    <n v="1466"/>
    <s v="CA-2015-151708"/>
    <d v="2015-08-08T00:00:00"/>
    <x v="535"/>
    <s v="FAST"/>
    <s v="Standard Class"/>
    <s v="MB-17305"/>
    <s v="Maria Bertelson"/>
    <x v="0"/>
    <s v="United States"/>
    <s v="Glendale"/>
    <x v="16"/>
    <n v="85301"/>
    <x v="1"/>
    <s v="FUR-FU-10001602"/>
    <x v="0"/>
    <x v="5"/>
    <x v="752"/>
    <n v="121.376"/>
  </r>
  <r>
    <n v="1467"/>
    <s v="CA-2015-151708"/>
    <d v="2015-08-08T00:00:00"/>
    <x v="535"/>
    <s v="FAST"/>
    <s v="Standard Class"/>
    <s v="MB-17305"/>
    <s v="Maria Bertelson"/>
    <x v="0"/>
    <s v="United States"/>
    <s v="Glendale"/>
    <x v="16"/>
    <n v="85301"/>
    <x v="1"/>
    <s v="TEC-AC-10001767"/>
    <x v="2"/>
    <x v="11"/>
    <x v="93"/>
    <n v="95.975999999999999"/>
  </r>
  <r>
    <n v="1468"/>
    <s v="CA-2016-100769"/>
    <d v="2016-05-16T00:00:00"/>
    <x v="536"/>
    <s v="MODERATE"/>
    <s v="Same Day"/>
    <s v="TH-21550"/>
    <s v="Tracy Hopkins"/>
    <x v="2"/>
    <s v="United States"/>
    <s v="Jacksonville"/>
    <x v="2"/>
    <n v="32216"/>
    <x v="0"/>
    <s v="TEC-AC-10002402"/>
    <x v="2"/>
    <x v="11"/>
    <x v="644"/>
    <n v="255.96799999999999"/>
  </r>
  <r>
    <n v="1469"/>
    <s v="CA-2018-139199"/>
    <d v="2018-12-09T00:00:00"/>
    <x v="113"/>
    <s v="FAST"/>
    <s v="Standard Class"/>
    <s v="DK-12835"/>
    <s v="Damala Kotsonis"/>
    <x v="1"/>
    <s v="United States"/>
    <s v="Detroit"/>
    <x v="12"/>
    <n v="48234"/>
    <x v="2"/>
    <s v="FUR-CH-10000847"/>
    <x v="0"/>
    <x v="1"/>
    <x v="978"/>
    <n v="872.94"/>
  </r>
  <r>
    <n v="1470"/>
    <s v="CA-2018-139199"/>
    <d v="2018-12-09T00:00:00"/>
    <x v="113"/>
    <s v="FAST"/>
    <s v="Standard Class"/>
    <s v="DK-12835"/>
    <s v="Damala Kotsonis"/>
    <x v="1"/>
    <s v="United States"/>
    <s v="Detroit"/>
    <x v="12"/>
    <n v="48234"/>
    <x v="2"/>
    <s v="OFF-BI-10003982"/>
    <x v="1"/>
    <x v="8"/>
    <x v="343"/>
    <n v="41.54"/>
  </r>
  <r>
    <n v="1471"/>
    <s v="CA-2018-139199"/>
    <d v="2018-12-09T00:00:00"/>
    <x v="113"/>
    <s v="FAST"/>
    <s v="Standard Class"/>
    <s v="DK-12835"/>
    <s v="Damala Kotsonis"/>
    <x v="1"/>
    <s v="United States"/>
    <s v="Detroit"/>
    <x v="12"/>
    <n v="48234"/>
    <x v="2"/>
    <s v="OFF-PA-10001293"/>
    <x v="1"/>
    <x v="10"/>
    <x v="979"/>
    <n v="12.96"/>
  </r>
  <r>
    <n v="1472"/>
    <s v="US-2016-161466"/>
    <d v="2016-09-24T00:00:00"/>
    <x v="537"/>
    <s v="SLOW"/>
    <s v="Second Class"/>
    <s v="ON-18715"/>
    <s v="Odella Nelson"/>
    <x v="1"/>
    <s v="United States"/>
    <s v="Philadelphia"/>
    <x v="9"/>
    <n v="19120"/>
    <x v="3"/>
    <s v="OFF-AR-10000634"/>
    <x v="1"/>
    <x v="6"/>
    <x v="980"/>
    <n v="6.8479999999999999"/>
  </r>
  <r>
    <n v="1473"/>
    <s v="CA-2018-164959"/>
    <d v="2018-07-11T00:00:00"/>
    <x v="384"/>
    <s v="FAST"/>
    <s v="Standard Class"/>
    <s v="KN-16390"/>
    <s v="Katherine Nockton"/>
    <x v="1"/>
    <s v="United States"/>
    <s v="Los Angeles"/>
    <x v="1"/>
    <n v="90004"/>
    <x v="1"/>
    <s v="OFF-LA-10004272"/>
    <x v="1"/>
    <x v="2"/>
    <x v="675"/>
    <n v="8.67"/>
  </r>
  <r>
    <n v="1474"/>
    <s v="US-2016-105676"/>
    <d v="2016-12-01T00:00:00"/>
    <x v="155"/>
    <s v="MODERATE"/>
    <s v="Same Day"/>
    <s v="NM-18520"/>
    <s v="Neoma Murray"/>
    <x v="0"/>
    <s v="United States"/>
    <s v="Houston"/>
    <x v="5"/>
    <n v="77036"/>
    <x v="2"/>
    <s v="FUR-FU-10004270"/>
    <x v="0"/>
    <x v="5"/>
    <x v="981"/>
    <n v="6.6879999999999997"/>
  </r>
  <r>
    <n v="1475"/>
    <s v="CA-2017-113138"/>
    <d v="2017-11-19T00:00:00"/>
    <x v="538"/>
    <s v="FAST"/>
    <s v="Standard Class"/>
    <s v="NP-18685"/>
    <s v="Nora Pelletier"/>
    <x v="2"/>
    <s v="United States"/>
    <s v="Niagara Falls"/>
    <x v="15"/>
    <n v="14304"/>
    <x v="3"/>
    <s v="OFF-AR-10003770"/>
    <x v="1"/>
    <x v="6"/>
    <x v="982"/>
    <n v="17.28"/>
  </r>
  <r>
    <n v="1476"/>
    <s v="CA-2017-113138"/>
    <d v="2017-11-19T00:00:00"/>
    <x v="538"/>
    <s v="FAST"/>
    <s v="Standard Class"/>
    <s v="NP-18685"/>
    <s v="Nora Pelletier"/>
    <x v="2"/>
    <s v="United States"/>
    <s v="Niagara Falls"/>
    <x v="15"/>
    <n v="14304"/>
    <x v="3"/>
    <s v="OFF-BI-10000320"/>
    <x v="1"/>
    <x v="8"/>
    <x v="762"/>
    <n v="17.712"/>
  </r>
  <r>
    <n v="1477"/>
    <s v="US-2018-104955"/>
    <d v="2018-03-19T00:00:00"/>
    <x v="539"/>
    <s v="FAST"/>
    <s v="Standard Class"/>
    <s v="CG-12040"/>
    <s v="Catherine Glotzbach"/>
    <x v="2"/>
    <s v="United States"/>
    <s v="New York City"/>
    <x v="15"/>
    <n v="10024"/>
    <x v="3"/>
    <s v="OFF-LA-10003121"/>
    <x v="1"/>
    <x v="2"/>
    <x v="983"/>
    <n v="28.91"/>
  </r>
  <r>
    <n v="1478"/>
    <s v="CA-2017-121958"/>
    <d v="2017-11-13T00:00:00"/>
    <x v="397"/>
    <s v="FAST"/>
    <s v="Standard Class"/>
    <s v="CS-12505"/>
    <s v="Cindy Stewart"/>
    <x v="0"/>
    <s v="United States"/>
    <s v="Thomasville"/>
    <x v="3"/>
    <n v="27360"/>
    <x v="0"/>
    <s v="OFF-SU-10000381"/>
    <x v="1"/>
    <x v="14"/>
    <x v="647"/>
    <n v="52.136000000000003"/>
  </r>
  <r>
    <n v="1479"/>
    <s v="CA-2018-121468"/>
    <d v="2018-11-19T00:00:00"/>
    <x v="540"/>
    <s v="MODERATE"/>
    <s v="First Class"/>
    <s v="KD-16345"/>
    <s v="Katherine Ducich"/>
    <x v="0"/>
    <s v="United States"/>
    <s v="Westminster"/>
    <x v="1"/>
    <n v="92683"/>
    <x v="1"/>
    <s v="TEC-PH-10000376"/>
    <x v="2"/>
    <x v="7"/>
    <x v="423"/>
    <n v="31.968"/>
  </r>
  <r>
    <n v="1480"/>
    <s v="US-2017-108455"/>
    <d v="2017-12-02T00:00:00"/>
    <x v="541"/>
    <s v="FAST"/>
    <s v="Standard Class"/>
    <s v="MK-18160"/>
    <s v="Mike Kennedy"/>
    <x v="0"/>
    <s v="United States"/>
    <s v="San Francisco"/>
    <x v="1"/>
    <n v="94122"/>
    <x v="1"/>
    <s v="OFF-PA-10002262"/>
    <x v="1"/>
    <x v="10"/>
    <x v="984"/>
    <n v="25.92"/>
  </r>
  <r>
    <n v="1481"/>
    <s v="US-2017-108455"/>
    <d v="2017-12-02T00:00:00"/>
    <x v="541"/>
    <s v="FAST"/>
    <s v="Standard Class"/>
    <s v="MK-18160"/>
    <s v="Mike Kennedy"/>
    <x v="0"/>
    <s v="United States"/>
    <s v="San Francisco"/>
    <x v="1"/>
    <n v="94122"/>
    <x v="1"/>
    <s v="OFF-PA-10002464"/>
    <x v="1"/>
    <x v="10"/>
    <x v="985"/>
    <n v="40.46"/>
  </r>
  <r>
    <n v="1482"/>
    <s v="US-2017-108455"/>
    <d v="2017-12-02T00:00:00"/>
    <x v="541"/>
    <s v="FAST"/>
    <s v="Standard Class"/>
    <s v="MK-18160"/>
    <s v="Mike Kennedy"/>
    <x v="0"/>
    <s v="United States"/>
    <s v="San Francisco"/>
    <x v="1"/>
    <n v="94122"/>
    <x v="1"/>
    <s v="OFF-ST-10002214"/>
    <x v="1"/>
    <x v="4"/>
    <x v="986"/>
    <n v="33.869999999999997"/>
  </r>
  <r>
    <n v="1483"/>
    <s v="CA-2018-101210"/>
    <d v="2018-08-25T00:00:00"/>
    <x v="325"/>
    <s v="SLOW"/>
    <s v="Second Class"/>
    <s v="DW-13540"/>
    <s v="Don Weiss"/>
    <x v="0"/>
    <s v="United States"/>
    <s v="Jackson"/>
    <x v="18"/>
    <n v="38301"/>
    <x v="0"/>
    <s v="OFF-AR-10003560"/>
    <x v="1"/>
    <x v="6"/>
    <x v="477"/>
    <n v="9.7279999999999998"/>
  </r>
  <r>
    <n v="1484"/>
    <s v="CA-2018-101210"/>
    <d v="2018-08-25T00:00:00"/>
    <x v="325"/>
    <s v="SLOW"/>
    <s v="Second Class"/>
    <s v="DW-13540"/>
    <s v="Don Weiss"/>
    <x v="0"/>
    <s v="United States"/>
    <s v="Jackson"/>
    <x v="18"/>
    <n v="38301"/>
    <x v="0"/>
    <s v="OFF-PA-10000130"/>
    <x v="1"/>
    <x v="10"/>
    <x v="987"/>
    <n v="3.4239999999999999"/>
  </r>
  <r>
    <n v="1485"/>
    <s v="US-2017-108098"/>
    <d v="2017-10-14T00:00:00"/>
    <x v="542"/>
    <s v="FAST"/>
    <s v="Standard Class"/>
    <s v="CP-12340"/>
    <s v="Christine Phan"/>
    <x v="1"/>
    <s v="United States"/>
    <s v="Seattle"/>
    <x v="4"/>
    <n v="98115"/>
    <x v="1"/>
    <s v="TEC-AC-10000865"/>
    <x v="2"/>
    <x v="11"/>
    <x v="988"/>
    <n v="177"/>
  </r>
  <r>
    <n v="1486"/>
    <s v="CA-2015-119032"/>
    <d v="2015-11-27T00:00:00"/>
    <x v="543"/>
    <s v="FAST"/>
    <s v="Standard Class"/>
    <s v="MS-17770"/>
    <s v="Maxwell Schwartz"/>
    <x v="0"/>
    <s v="United States"/>
    <s v="New York City"/>
    <x v="15"/>
    <n v="10035"/>
    <x v="3"/>
    <s v="OFF-FA-10003021"/>
    <x v="1"/>
    <x v="13"/>
    <x v="124"/>
    <n v="3.76"/>
  </r>
  <r>
    <n v="1487"/>
    <s v="CA-2016-140410"/>
    <d v="2016-11-03T00:00:00"/>
    <x v="544"/>
    <s v="FAST"/>
    <s v="Standard Class"/>
    <s v="CM-12655"/>
    <s v="Corinna Mitchell"/>
    <x v="2"/>
    <s v="United States"/>
    <s v="Los Angeles"/>
    <x v="1"/>
    <n v="90008"/>
    <x v="1"/>
    <s v="TEC-PH-10003580"/>
    <x v="2"/>
    <x v="7"/>
    <x v="989"/>
    <n v="1212.848"/>
  </r>
  <r>
    <n v="1488"/>
    <s v="CA-2016-140410"/>
    <d v="2016-11-03T00:00:00"/>
    <x v="544"/>
    <s v="FAST"/>
    <s v="Standard Class"/>
    <s v="CM-12655"/>
    <s v="Corinna Mitchell"/>
    <x v="2"/>
    <s v="United States"/>
    <s v="Los Angeles"/>
    <x v="1"/>
    <n v="90008"/>
    <x v="1"/>
    <s v="TEC-AC-10001109"/>
    <x v="2"/>
    <x v="11"/>
    <x v="990"/>
    <n v="89.97"/>
  </r>
  <r>
    <n v="1489"/>
    <s v="CA-2016-140410"/>
    <d v="2016-11-03T00:00:00"/>
    <x v="544"/>
    <s v="FAST"/>
    <s v="Standard Class"/>
    <s v="CM-12655"/>
    <s v="Corinna Mitchell"/>
    <x v="2"/>
    <s v="United States"/>
    <s v="Los Angeles"/>
    <x v="1"/>
    <n v="90008"/>
    <x v="1"/>
    <s v="FUR-FU-10003347"/>
    <x v="0"/>
    <x v="5"/>
    <x v="371"/>
    <n v="42.6"/>
  </r>
  <r>
    <n v="1490"/>
    <s v="CA-2015-136280"/>
    <d v="2015-11-29T00:00:00"/>
    <x v="545"/>
    <s v="FAST"/>
    <s v="Standard Class"/>
    <s v="Co-12640"/>
    <s v="Corey-Lock"/>
    <x v="0"/>
    <s v="United States"/>
    <s v="Philadelphia"/>
    <x v="9"/>
    <n v="19143"/>
    <x v="3"/>
    <s v="OFF-LA-10000452"/>
    <x v="1"/>
    <x v="2"/>
    <x v="797"/>
    <n v="5.04"/>
  </r>
  <r>
    <n v="1492"/>
    <s v="CA-2018-166436"/>
    <d v="2018-11-24T00:00:00"/>
    <x v="50"/>
    <s v="FAST"/>
    <s v="Standard Class"/>
    <s v="TS-21370"/>
    <s v="Todd Sumrall"/>
    <x v="1"/>
    <s v="United States"/>
    <s v="New York City"/>
    <x v="15"/>
    <n v="10035"/>
    <x v="3"/>
    <s v="OFF-PA-10001838"/>
    <x v="1"/>
    <x v="10"/>
    <x v="991"/>
    <n v="5.88"/>
  </r>
  <r>
    <n v="1493"/>
    <s v="CA-2018-166436"/>
    <d v="2018-11-24T00:00:00"/>
    <x v="50"/>
    <s v="FAST"/>
    <s v="Standard Class"/>
    <s v="TS-21370"/>
    <s v="Todd Sumrall"/>
    <x v="1"/>
    <s v="United States"/>
    <s v="New York City"/>
    <x v="15"/>
    <n v="10035"/>
    <x v="3"/>
    <s v="FUR-CH-10000785"/>
    <x v="0"/>
    <x v="1"/>
    <x v="317"/>
    <n v="977.29200000000003"/>
  </r>
  <r>
    <n v="1494"/>
    <s v="CA-2018-139661"/>
    <d v="2018-10-30T00:00:00"/>
    <x v="546"/>
    <s v="FAST"/>
    <s v="Standard Class"/>
    <s v="JW-15220"/>
    <s v="Jane Waco"/>
    <x v="1"/>
    <s v="United States"/>
    <s v="Vancouver"/>
    <x v="4"/>
    <n v="98661"/>
    <x v="1"/>
    <s v="FUR-FU-10002885"/>
    <x v="0"/>
    <x v="5"/>
    <x v="748"/>
    <n v="9.64"/>
  </r>
  <r>
    <n v="1495"/>
    <s v="CA-2015-123925"/>
    <d v="2015-12-17T00:00:00"/>
    <x v="547"/>
    <s v="SLOW"/>
    <s v="Second Class"/>
    <s v="RF-19840"/>
    <s v="Roy FranzÃ¶sisch"/>
    <x v="0"/>
    <s v="United States"/>
    <s v="Columbus"/>
    <x v="32"/>
    <n v="31907"/>
    <x v="0"/>
    <s v="OFF-AR-10002952"/>
    <x v="1"/>
    <x v="6"/>
    <x v="799"/>
    <n v="40.049999999999997"/>
  </r>
  <r>
    <n v="1496"/>
    <s v="CA-2018-152485"/>
    <d v="2018-09-04T00:00:00"/>
    <x v="220"/>
    <s v="FAST"/>
    <s v="Standard Class"/>
    <s v="JD-15790"/>
    <s v="John Dryer"/>
    <x v="0"/>
    <s v="United States"/>
    <s v="Coppell"/>
    <x v="5"/>
    <n v="75019"/>
    <x v="2"/>
    <s v="OFF-AR-10003759"/>
    <x v="1"/>
    <x v="6"/>
    <x v="831"/>
    <n v="10.192"/>
  </r>
  <r>
    <n v="1497"/>
    <s v="CA-2018-152485"/>
    <d v="2018-09-04T00:00:00"/>
    <x v="220"/>
    <s v="FAST"/>
    <s v="Standard Class"/>
    <s v="JD-15790"/>
    <s v="John Dryer"/>
    <x v="0"/>
    <s v="United States"/>
    <s v="Coppell"/>
    <x v="5"/>
    <n v="75019"/>
    <x v="2"/>
    <s v="OFF-ST-10004950"/>
    <x v="1"/>
    <x v="4"/>
    <x v="992"/>
    <n v="16.783999999999999"/>
  </r>
  <r>
    <n v="1498"/>
    <s v="CA-2018-152485"/>
    <d v="2018-09-04T00:00:00"/>
    <x v="220"/>
    <s v="FAST"/>
    <s v="Standard Class"/>
    <s v="JD-15790"/>
    <s v="John Dryer"/>
    <x v="0"/>
    <s v="United States"/>
    <s v="Coppell"/>
    <x v="5"/>
    <n v="75019"/>
    <x v="2"/>
    <s v="OFF-AR-10001940"/>
    <x v="1"/>
    <x v="6"/>
    <x v="166"/>
    <n v="13.12"/>
  </r>
  <r>
    <n v="1499"/>
    <s v="CA-2017-141586"/>
    <d v="2017-10-17T00:00:00"/>
    <x v="548"/>
    <s v="MODERATE"/>
    <s v="First Class"/>
    <s v="NK-18490"/>
    <s v="Neil Knudson"/>
    <x v="2"/>
    <s v="United States"/>
    <s v="San Francisco"/>
    <x v="1"/>
    <n v="94122"/>
    <x v="1"/>
    <s v="OFF-BI-10003981"/>
    <x v="1"/>
    <x v="8"/>
    <x v="105"/>
    <n v="18.16"/>
  </r>
  <r>
    <n v="1500"/>
    <s v="CA-2018-130386"/>
    <d v="2018-11-12T00:00:00"/>
    <x v="549"/>
    <s v="FAST"/>
    <s v="Standard Class"/>
    <s v="NG-18430"/>
    <s v="Nathan Gelder"/>
    <x v="0"/>
    <s v="United States"/>
    <s v="Austin"/>
    <x v="5"/>
    <n v="78745"/>
    <x v="2"/>
    <s v="OFF-PA-10002749"/>
    <x v="1"/>
    <x v="10"/>
    <x v="182"/>
    <n v="16.056000000000001"/>
  </r>
  <r>
    <n v="1501"/>
    <s v="CA-2018-130386"/>
    <d v="2018-11-12T00:00:00"/>
    <x v="549"/>
    <s v="FAST"/>
    <s v="Standard Class"/>
    <s v="NG-18430"/>
    <s v="Nathan Gelder"/>
    <x v="0"/>
    <s v="United States"/>
    <s v="Austin"/>
    <x v="5"/>
    <n v="78745"/>
    <x v="2"/>
    <s v="OFF-PA-10003823"/>
    <x v="1"/>
    <x v="10"/>
    <x v="993"/>
    <n v="223.05600000000001"/>
  </r>
  <r>
    <n v="1502"/>
    <s v="CA-2018-130386"/>
    <d v="2018-11-12T00:00:00"/>
    <x v="549"/>
    <s v="FAST"/>
    <s v="Standard Class"/>
    <s v="NG-18430"/>
    <s v="Nathan Gelder"/>
    <x v="0"/>
    <s v="United States"/>
    <s v="Austin"/>
    <x v="5"/>
    <n v="78745"/>
    <x v="2"/>
    <s v="OFF-ST-10003716"/>
    <x v="1"/>
    <x v="4"/>
    <x v="882"/>
    <n v="540.048"/>
  </r>
  <r>
    <n v="1503"/>
    <s v="CA-2017-100468"/>
    <d v="2017-11-24T00:00:00"/>
    <x v="416"/>
    <s v="FAST"/>
    <s v="Standard Class"/>
    <s v="AT-10435"/>
    <s v="Alyssa Tate"/>
    <x v="2"/>
    <s v="United States"/>
    <s v="Los Angeles"/>
    <x v="1"/>
    <n v="90045"/>
    <x v="1"/>
    <s v="TEC-PH-10001300"/>
    <x v="2"/>
    <x v="7"/>
    <x v="994"/>
    <n v="33.520000000000003"/>
  </r>
  <r>
    <n v="1504"/>
    <s v="CA-2017-100468"/>
    <d v="2017-11-24T00:00:00"/>
    <x v="416"/>
    <s v="FAST"/>
    <s v="Standard Class"/>
    <s v="AT-10435"/>
    <s v="Alyssa Tate"/>
    <x v="2"/>
    <s v="United States"/>
    <s v="Los Angeles"/>
    <x v="1"/>
    <n v="90045"/>
    <x v="1"/>
    <s v="FUR-FU-10000010"/>
    <x v="0"/>
    <x v="5"/>
    <x v="517"/>
    <n v="9.94"/>
  </r>
  <r>
    <n v="1505"/>
    <s v="CA-2016-153388"/>
    <d v="2016-08-01T00:00:00"/>
    <x v="550"/>
    <s v="FAST"/>
    <s v="Standard Class"/>
    <s v="PC-19000"/>
    <s v="Pauline Chand"/>
    <x v="2"/>
    <s v="United States"/>
    <s v="Los Angeles"/>
    <x v="1"/>
    <n v="90004"/>
    <x v="1"/>
    <s v="OFF-AR-10001868"/>
    <x v="1"/>
    <x v="6"/>
    <x v="58"/>
    <n v="6.72"/>
  </r>
  <r>
    <n v="1506"/>
    <s v="CA-2016-153388"/>
    <d v="2016-08-01T00:00:00"/>
    <x v="550"/>
    <s v="FAST"/>
    <s v="Standard Class"/>
    <s v="PC-19000"/>
    <s v="Pauline Chand"/>
    <x v="2"/>
    <s v="United States"/>
    <s v="Los Angeles"/>
    <x v="1"/>
    <n v="90004"/>
    <x v="1"/>
    <s v="FUR-TA-10003715"/>
    <x v="0"/>
    <x v="3"/>
    <x v="995"/>
    <n v="1004.976"/>
  </r>
  <r>
    <n v="1507"/>
    <s v="CA-2018-154935"/>
    <d v="2018-12-24T00:00:00"/>
    <x v="167"/>
    <s v="FAST"/>
    <s v="Standard Class"/>
    <s v="AR-10540"/>
    <s v="Andy Reiter"/>
    <x v="0"/>
    <s v="United States"/>
    <s v="New York City"/>
    <x v="15"/>
    <n v="10024"/>
    <x v="3"/>
    <s v="OFF-BI-10003708"/>
    <x v="1"/>
    <x v="8"/>
    <x v="961"/>
    <n v="17.88"/>
  </r>
  <r>
    <n v="1508"/>
    <s v="CA-2017-134208"/>
    <d v="2017-09-17T00:00:00"/>
    <x v="30"/>
    <s v="FAST"/>
    <s v="Standard Class"/>
    <s v="CS-12505"/>
    <s v="Cindy Stewart"/>
    <x v="0"/>
    <s v="United States"/>
    <s v="Columbus"/>
    <x v="32"/>
    <n v="31907"/>
    <x v="0"/>
    <s v="TEC-MA-10004458"/>
    <x v="2"/>
    <x v="15"/>
    <x v="996"/>
    <n v="396"/>
  </r>
  <r>
    <n v="1509"/>
    <s v="CA-2018-108294"/>
    <d v="2018-12-10T00:00:00"/>
    <x v="234"/>
    <s v="MODERATE"/>
    <s v="Same Day"/>
    <s v="LS-16975"/>
    <s v="Lindsay Shagiari"/>
    <x v="2"/>
    <s v="United States"/>
    <s v="Omaha"/>
    <x v="8"/>
    <n v="68104"/>
    <x v="2"/>
    <s v="OFF-BI-10004965"/>
    <x v="1"/>
    <x v="8"/>
    <x v="997"/>
    <n v="34.5"/>
  </r>
  <r>
    <n v="1510"/>
    <s v="CA-2018-103611"/>
    <d v="2018-09-12T00:00:00"/>
    <x v="17"/>
    <s v="MODERATE"/>
    <s v="First Class"/>
    <s v="JM-15535"/>
    <s v="Jessica Myrick"/>
    <x v="0"/>
    <s v="United States"/>
    <s v="Los Angeles"/>
    <x v="1"/>
    <n v="90036"/>
    <x v="1"/>
    <s v="FUR-FU-10004270"/>
    <x v="0"/>
    <x v="5"/>
    <x v="981"/>
    <n v="8.36"/>
  </r>
  <r>
    <n v="1511"/>
    <s v="CA-2018-100384"/>
    <d v="2018-06-24T00:00:00"/>
    <x v="551"/>
    <s v="FAST"/>
    <s v="Standard Class"/>
    <s v="NH-18610"/>
    <s v="Nicole Hansen"/>
    <x v="1"/>
    <s v="United States"/>
    <s v="Pomona"/>
    <x v="1"/>
    <n v="91767"/>
    <x v="1"/>
    <s v="OFF-AR-10002135"/>
    <x v="1"/>
    <x v="6"/>
    <x v="276"/>
    <n v="385.6"/>
  </r>
  <r>
    <n v="1513"/>
    <s v="CA-2018-112809"/>
    <d v="2018-08-18T00:00:00"/>
    <x v="552"/>
    <s v="FAST"/>
    <s v="Standard Class"/>
    <s v="RA-19915"/>
    <s v="Russell Applegate"/>
    <x v="0"/>
    <s v="United States"/>
    <s v="Dallas"/>
    <x v="5"/>
    <n v="75220"/>
    <x v="2"/>
    <s v="OFF-ST-10002276"/>
    <x v="1"/>
    <x v="4"/>
    <x v="221"/>
    <n v="200.06399999999999"/>
  </r>
  <r>
    <n v="1514"/>
    <s v="CA-2018-112809"/>
    <d v="2018-08-18T00:00:00"/>
    <x v="552"/>
    <s v="FAST"/>
    <s v="Standard Class"/>
    <s v="RA-19915"/>
    <s v="Russell Applegate"/>
    <x v="0"/>
    <s v="United States"/>
    <s v="Dallas"/>
    <x v="5"/>
    <n v="75220"/>
    <x v="2"/>
    <s v="OFF-BI-10001098"/>
    <x v="1"/>
    <x v="8"/>
    <x v="400"/>
    <n v="21.38"/>
  </r>
  <r>
    <n v="1515"/>
    <s v="CA-2018-112809"/>
    <d v="2018-08-18T00:00:00"/>
    <x v="552"/>
    <s v="FAST"/>
    <s v="Standard Class"/>
    <s v="RA-19915"/>
    <s v="Russell Applegate"/>
    <x v="0"/>
    <s v="United States"/>
    <s v="Dallas"/>
    <x v="5"/>
    <n v="75220"/>
    <x v="2"/>
    <s v="OFF-BI-10001636"/>
    <x v="1"/>
    <x v="8"/>
    <x v="661"/>
    <n v="6.7439999999999998"/>
  </r>
  <r>
    <n v="1516"/>
    <s v="US-2018-160759"/>
    <d v="2018-12-11T00:00:00"/>
    <x v="415"/>
    <s v="FAST"/>
    <s v="Standard Class"/>
    <s v="AI-10855"/>
    <s v="Arianne Irving"/>
    <x v="0"/>
    <s v="United States"/>
    <s v="Philadelphia"/>
    <x v="9"/>
    <n v="19120"/>
    <x v="3"/>
    <s v="FUR-CH-10002961"/>
    <x v="0"/>
    <x v="1"/>
    <x v="932"/>
    <n v="63.686"/>
  </r>
  <r>
    <n v="1517"/>
    <s v="CA-2018-148446"/>
    <d v="2018-12-10T00:00:00"/>
    <x v="92"/>
    <s v="SLOW"/>
    <s v="Second Class"/>
    <s v="MC-17845"/>
    <s v="Michael Chen"/>
    <x v="0"/>
    <s v="United States"/>
    <s v="North Las Vegas"/>
    <x v="33"/>
    <n v="89031"/>
    <x v="1"/>
    <s v="FUR-TA-10004256"/>
    <x v="0"/>
    <x v="3"/>
    <x v="479"/>
    <n v="1669.6"/>
  </r>
  <r>
    <n v="1518"/>
    <s v="CA-2015-111059"/>
    <d v="2015-02-03T00:00:00"/>
    <x v="553"/>
    <s v="SLOW"/>
    <s v="Second Class"/>
    <s v="TB-21400"/>
    <s v="Tom Boeckenhauer"/>
    <x v="0"/>
    <s v="United States"/>
    <s v="Seattle"/>
    <x v="4"/>
    <n v="98105"/>
    <x v="1"/>
    <s v="OFF-BI-10004593"/>
    <x v="1"/>
    <x v="8"/>
    <x v="265"/>
    <n v="83.84"/>
  </r>
  <r>
    <n v="1519"/>
    <s v="CA-2015-111059"/>
    <d v="2015-02-03T00:00:00"/>
    <x v="553"/>
    <s v="SLOW"/>
    <s v="Second Class"/>
    <s v="TB-21400"/>
    <s v="Tom Boeckenhauer"/>
    <x v="0"/>
    <s v="United States"/>
    <s v="Seattle"/>
    <x v="4"/>
    <n v="98105"/>
    <x v="1"/>
    <s v="OFF-BI-10002827"/>
    <x v="1"/>
    <x v="8"/>
    <x v="544"/>
    <n v="13.272"/>
  </r>
  <r>
    <n v="1520"/>
    <s v="CA-2018-116204"/>
    <d v="2018-02-11T00:00:00"/>
    <x v="554"/>
    <s v="SLOW"/>
    <s v="Second Class"/>
    <s v="VW-21775"/>
    <s v="Victoria Wilson"/>
    <x v="1"/>
    <s v="United States"/>
    <s v="San Francisco"/>
    <x v="1"/>
    <n v="94110"/>
    <x v="1"/>
    <s v="OFF-BI-10001759"/>
    <x v="1"/>
    <x v="8"/>
    <x v="719"/>
    <n v="21.335999999999999"/>
  </r>
  <r>
    <n v="1521"/>
    <s v="CA-2018-109946"/>
    <d v="2018-04-16T00:00:00"/>
    <x v="555"/>
    <s v="FAST"/>
    <s v="Standard Class"/>
    <s v="PL-18925"/>
    <s v="Paul Lucas"/>
    <x v="2"/>
    <s v="United States"/>
    <s v="Chicago"/>
    <x v="10"/>
    <n v="60610"/>
    <x v="2"/>
    <s v="OFF-AR-10001419"/>
    <x v="1"/>
    <x v="6"/>
    <x v="998"/>
    <n v="16.52"/>
  </r>
  <r>
    <n v="1522"/>
    <s v="CA-2016-144806"/>
    <d v="2016-12-06T00:00:00"/>
    <x v="222"/>
    <s v="FAST"/>
    <s v="Standard Class"/>
    <s v="GH-14425"/>
    <s v="Gary Hwang"/>
    <x v="0"/>
    <s v="United States"/>
    <s v="Tucson"/>
    <x v="16"/>
    <n v="85705"/>
    <x v="1"/>
    <s v="FUR-FU-10002253"/>
    <x v="0"/>
    <x v="5"/>
    <x v="580"/>
    <n v="206.11199999999999"/>
  </r>
  <r>
    <n v="1523"/>
    <s v="CA-2016-144806"/>
    <d v="2016-12-06T00:00:00"/>
    <x v="222"/>
    <s v="FAST"/>
    <s v="Standard Class"/>
    <s v="GH-14425"/>
    <s v="Gary Hwang"/>
    <x v="0"/>
    <s v="United States"/>
    <s v="Tucson"/>
    <x v="16"/>
    <n v="85705"/>
    <x v="1"/>
    <s v="OFF-PA-10002586"/>
    <x v="1"/>
    <x v="10"/>
    <x v="999"/>
    <n v="19.920000000000002"/>
  </r>
  <r>
    <n v="1524"/>
    <s v="CA-2016-144806"/>
    <d v="2016-12-06T00:00:00"/>
    <x v="222"/>
    <s v="FAST"/>
    <s v="Standard Class"/>
    <s v="GH-14425"/>
    <s v="Gary Hwang"/>
    <x v="0"/>
    <s v="United States"/>
    <s v="Tucson"/>
    <x v="16"/>
    <n v="85705"/>
    <x v="1"/>
    <s v="OFF-PA-10003039"/>
    <x v="1"/>
    <x v="10"/>
    <x v="328"/>
    <n v="198.27199999999999"/>
  </r>
  <r>
    <n v="1525"/>
    <s v="CA-2016-144806"/>
    <d v="2016-12-06T00:00:00"/>
    <x v="222"/>
    <s v="FAST"/>
    <s v="Standard Class"/>
    <s v="GH-14425"/>
    <s v="Gary Hwang"/>
    <x v="0"/>
    <s v="United States"/>
    <s v="Tucson"/>
    <x v="16"/>
    <n v="85705"/>
    <x v="1"/>
    <s v="OFF-ST-10004804"/>
    <x v="1"/>
    <x v="4"/>
    <x v="228"/>
    <n v="247.10400000000001"/>
  </r>
  <r>
    <n v="1526"/>
    <s v="CA-2016-144806"/>
    <d v="2016-12-06T00:00:00"/>
    <x v="222"/>
    <s v="FAST"/>
    <s v="Standard Class"/>
    <s v="GH-14425"/>
    <s v="Gary Hwang"/>
    <x v="0"/>
    <s v="United States"/>
    <s v="Tucson"/>
    <x v="16"/>
    <n v="85705"/>
    <x v="1"/>
    <s v="OFF-AR-10004042"/>
    <x v="1"/>
    <x v="6"/>
    <x v="30"/>
    <n v="86.304000000000002"/>
  </r>
  <r>
    <n v="1528"/>
    <s v="CA-2017-122392"/>
    <d v="2017-07-22T00:00:00"/>
    <x v="327"/>
    <s v="FAST"/>
    <s v="Standard Class"/>
    <s v="CJ-12010"/>
    <s v="Caroline Jumper"/>
    <x v="0"/>
    <s v="United States"/>
    <s v="Allentown"/>
    <x v="9"/>
    <n v="18103"/>
    <x v="3"/>
    <s v="FUR-FU-10002456"/>
    <x v="0"/>
    <x v="5"/>
    <x v="1000"/>
    <n v="11.648"/>
  </r>
  <r>
    <n v="1529"/>
    <s v="CA-2016-148432"/>
    <d v="2016-11-07T00:00:00"/>
    <x v="556"/>
    <s v="SLOW"/>
    <s v="Second Class"/>
    <s v="MC-18130"/>
    <s v="Mike Caudle"/>
    <x v="1"/>
    <s v="United States"/>
    <s v="Newark"/>
    <x v="13"/>
    <n v="19711"/>
    <x v="3"/>
    <s v="OFF-FA-10004968"/>
    <x v="1"/>
    <x v="13"/>
    <x v="1001"/>
    <n v="26.18"/>
  </r>
  <r>
    <n v="1530"/>
    <s v="CA-2016-148432"/>
    <d v="2016-11-07T00:00:00"/>
    <x v="556"/>
    <s v="SLOW"/>
    <s v="Second Class"/>
    <s v="MC-18130"/>
    <s v="Mike Caudle"/>
    <x v="1"/>
    <s v="United States"/>
    <s v="Newark"/>
    <x v="13"/>
    <n v="19711"/>
    <x v="3"/>
    <s v="OFF-PA-10001274"/>
    <x v="1"/>
    <x v="10"/>
    <x v="1002"/>
    <n v="7.3"/>
  </r>
  <r>
    <n v="1531"/>
    <s v="CA-2016-103793"/>
    <d v="2016-03-26T00:00:00"/>
    <x v="393"/>
    <s v="FAST"/>
    <s v="Standard Class"/>
    <s v="BV-11245"/>
    <s v="Benjamin Venier"/>
    <x v="1"/>
    <s v="United States"/>
    <s v="Miami"/>
    <x v="2"/>
    <n v="33142"/>
    <x v="0"/>
    <s v="OFF-PA-10001125"/>
    <x v="1"/>
    <x v="10"/>
    <x v="1003"/>
    <n v="74.352000000000004"/>
  </r>
  <r>
    <n v="1532"/>
    <s v="CA-2018-159884"/>
    <d v="2018-08-31T00:00:00"/>
    <x v="557"/>
    <s v="FAST"/>
    <s v="Standard Class"/>
    <s v="JF-15490"/>
    <s v="Jeremy Farry"/>
    <x v="0"/>
    <s v="United States"/>
    <s v="Tempe"/>
    <x v="16"/>
    <n v="85281"/>
    <x v="1"/>
    <s v="OFF-ST-10000344"/>
    <x v="1"/>
    <x v="4"/>
    <x v="1004"/>
    <n v="10.744"/>
  </r>
  <r>
    <n v="1533"/>
    <s v="CA-2018-159884"/>
    <d v="2018-08-31T00:00:00"/>
    <x v="557"/>
    <s v="FAST"/>
    <s v="Standard Class"/>
    <s v="JF-15490"/>
    <s v="Jeremy Farry"/>
    <x v="0"/>
    <s v="United States"/>
    <s v="Tempe"/>
    <x v="16"/>
    <n v="85281"/>
    <x v="1"/>
    <s v="OFF-FA-10000585"/>
    <x v="1"/>
    <x v="13"/>
    <x v="199"/>
    <n v="8.3759999999999994"/>
  </r>
  <r>
    <n v="1534"/>
    <s v="CA-2017-139885"/>
    <d v="2017-12-04T00:00:00"/>
    <x v="541"/>
    <s v="FAST"/>
    <s v="Standard Class"/>
    <s v="EB-13840"/>
    <s v="Ellis Ballard"/>
    <x v="1"/>
    <s v="United States"/>
    <s v="New York City"/>
    <x v="15"/>
    <n v="10035"/>
    <x v="3"/>
    <s v="OFF-ST-10003324"/>
    <x v="1"/>
    <x v="4"/>
    <x v="1005"/>
    <n v="212.88"/>
  </r>
  <r>
    <n v="1535"/>
    <s v="CA-2018-124086"/>
    <d v="2018-02-10T00:00:00"/>
    <x v="554"/>
    <s v="FAST"/>
    <s v="Standard Class"/>
    <s v="MP-18175"/>
    <s v="Mike Pelletier"/>
    <x v="2"/>
    <s v="United States"/>
    <s v="Laguna Niguel"/>
    <x v="1"/>
    <n v="92677"/>
    <x v="1"/>
    <s v="FUR-BO-10004015"/>
    <x v="0"/>
    <x v="0"/>
    <x v="563"/>
    <n v="203.983"/>
  </r>
  <r>
    <n v="1536"/>
    <s v="CA-2017-112389"/>
    <d v="2017-10-29T00:00:00"/>
    <x v="194"/>
    <s v="FAST"/>
    <s v="Standard Class"/>
    <s v="JM-15655"/>
    <s v="Jim Mitchum"/>
    <x v="1"/>
    <s v="United States"/>
    <s v="Bridgeton"/>
    <x v="30"/>
    <n v="8302"/>
    <x v="3"/>
    <s v="OFF-ST-10000419"/>
    <x v="1"/>
    <x v="4"/>
    <x v="1006"/>
    <n v="40.74"/>
  </r>
  <r>
    <n v="1537"/>
    <s v="CA-2017-112389"/>
    <d v="2017-10-29T00:00:00"/>
    <x v="194"/>
    <s v="FAST"/>
    <s v="Standard Class"/>
    <s v="JM-15655"/>
    <s v="Jim Mitchum"/>
    <x v="1"/>
    <s v="United States"/>
    <s v="Bridgeton"/>
    <x v="30"/>
    <n v="8302"/>
    <x v="3"/>
    <s v="OFF-AP-10001626"/>
    <x v="1"/>
    <x v="9"/>
    <x v="1007"/>
    <n v="11.67"/>
  </r>
  <r>
    <n v="1538"/>
    <s v="CA-2018-121888"/>
    <d v="2018-09-15T00:00:00"/>
    <x v="31"/>
    <s v="SLOW"/>
    <s v="Second Class"/>
    <s v="CL-11890"/>
    <s v="Carl Ludwig"/>
    <x v="0"/>
    <s v="United States"/>
    <s v="Everett"/>
    <x v="31"/>
    <n v="2149"/>
    <x v="3"/>
    <s v="TEC-PH-10000439"/>
    <x v="2"/>
    <x v="7"/>
    <x v="863"/>
    <n v="39.99"/>
  </r>
  <r>
    <n v="1539"/>
    <s v="CA-2018-121888"/>
    <d v="2018-09-15T00:00:00"/>
    <x v="31"/>
    <s v="SLOW"/>
    <s v="Second Class"/>
    <s v="CL-11890"/>
    <s v="Carl Ludwig"/>
    <x v="0"/>
    <s v="United States"/>
    <s v="Everett"/>
    <x v="31"/>
    <n v="2149"/>
    <x v="3"/>
    <s v="OFF-AR-10003478"/>
    <x v="1"/>
    <x v="6"/>
    <x v="351"/>
    <n v="16.28"/>
  </r>
  <r>
    <n v="1540"/>
    <s v="CA-2018-121888"/>
    <d v="2018-09-15T00:00:00"/>
    <x v="31"/>
    <s v="SLOW"/>
    <s v="Second Class"/>
    <s v="CL-11890"/>
    <s v="Carl Ludwig"/>
    <x v="0"/>
    <s v="United States"/>
    <s v="Everett"/>
    <x v="31"/>
    <n v="2149"/>
    <x v="3"/>
    <s v="FUR-BO-10002545"/>
    <x v="0"/>
    <x v="0"/>
    <x v="36"/>
    <n v="782.94"/>
  </r>
  <r>
    <n v="1541"/>
    <s v="CA-2018-121888"/>
    <d v="2018-09-15T00:00:00"/>
    <x v="31"/>
    <s v="SLOW"/>
    <s v="Second Class"/>
    <s v="CL-11890"/>
    <s v="Carl Ludwig"/>
    <x v="0"/>
    <s v="United States"/>
    <s v="Everett"/>
    <x v="31"/>
    <n v="2149"/>
    <x v="3"/>
    <s v="OFF-BI-10001765"/>
    <x v="1"/>
    <x v="8"/>
    <x v="977"/>
    <n v="242.48"/>
  </r>
  <r>
    <n v="1542"/>
    <s v="CA-2015-166884"/>
    <d v="2015-03-11T00:00:00"/>
    <x v="558"/>
    <s v="SLOW"/>
    <s v="Second Class"/>
    <s v="CK-12205"/>
    <s v="Chloris Kastensmidt"/>
    <x v="0"/>
    <s v="United States"/>
    <s v="Columbus"/>
    <x v="24"/>
    <n v="43229"/>
    <x v="3"/>
    <s v="FUR-FU-10003981"/>
    <x v="0"/>
    <x v="5"/>
    <x v="319"/>
    <n v="8.32"/>
  </r>
  <r>
    <n v="1543"/>
    <s v="CA-2015-166884"/>
    <d v="2015-03-11T00:00:00"/>
    <x v="558"/>
    <s v="SLOW"/>
    <s v="Second Class"/>
    <s v="CK-12205"/>
    <s v="Chloris Kastensmidt"/>
    <x v="0"/>
    <s v="United States"/>
    <s v="Columbus"/>
    <x v="24"/>
    <n v="43229"/>
    <x v="3"/>
    <s v="OFF-FA-10001561"/>
    <x v="1"/>
    <x v="13"/>
    <x v="824"/>
    <n v="10.464"/>
  </r>
  <r>
    <n v="1544"/>
    <s v="CA-2015-107181"/>
    <d v="2015-02-04T00:00:00"/>
    <x v="559"/>
    <s v="FAST"/>
    <s v="Standard Class"/>
    <s v="DB-13270"/>
    <s v="Deborah Brumfield"/>
    <x v="2"/>
    <s v="United States"/>
    <s v="San Diego"/>
    <x v="1"/>
    <n v="92024"/>
    <x v="1"/>
    <s v="OFF-BI-10004230"/>
    <x v="1"/>
    <x v="8"/>
    <x v="642"/>
    <n v="82.896000000000001"/>
  </r>
  <r>
    <n v="1545"/>
    <s v="CA-2015-107181"/>
    <d v="2015-02-04T00:00:00"/>
    <x v="559"/>
    <s v="FAST"/>
    <s v="Standard Class"/>
    <s v="DB-13270"/>
    <s v="Deborah Brumfield"/>
    <x v="2"/>
    <s v="United States"/>
    <s v="San Diego"/>
    <x v="1"/>
    <n v="92024"/>
    <x v="1"/>
    <s v="OFF-PA-10000350"/>
    <x v="1"/>
    <x v="10"/>
    <x v="718"/>
    <n v="34.24"/>
  </r>
  <r>
    <n v="1546"/>
    <s v="CA-2015-150245"/>
    <d v="2015-12-31T00:00:00"/>
    <x v="123"/>
    <s v="SLOW"/>
    <s v="Second Class"/>
    <s v="PC-18745"/>
    <s v="Pamela Coakley"/>
    <x v="1"/>
    <s v="United States"/>
    <s v="Watertown"/>
    <x v="15"/>
    <n v="13601"/>
    <x v="3"/>
    <s v="FUR-BO-10002613"/>
    <x v="0"/>
    <x v="0"/>
    <x v="175"/>
    <n v="1573.4880000000001"/>
  </r>
  <r>
    <n v="1547"/>
    <s v="CA-2016-111395"/>
    <d v="2016-11-23T00:00:00"/>
    <x v="560"/>
    <s v="FAST"/>
    <s v="Standard Class"/>
    <s v="VB-21745"/>
    <s v="Victoria Brennan"/>
    <x v="1"/>
    <s v="United States"/>
    <s v="San Antonio"/>
    <x v="5"/>
    <n v="78207"/>
    <x v="2"/>
    <s v="OFF-PA-10000994"/>
    <x v="1"/>
    <x v="10"/>
    <x v="897"/>
    <n v="335.52"/>
  </r>
  <r>
    <n v="1548"/>
    <s v="CA-2016-111395"/>
    <d v="2016-11-23T00:00:00"/>
    <x v="560"/>
    <s v="FAST"/>
    <s v="Standard Class"/>
    <s v="VB-21745"/>
    <s v="Victoria Brennan"/>
    <x v="1"/>
    <s v="United States"/>
    <s v="San Antonio"/>
    <x v="5"/>
    <n v="78207"/>
    <x v="2"/>
    <s v="OFF-BI-10002867"/>
    <x v="1"/>
    <x v="8"/>
    <x v="956"/>
    <n v="23.911999999999999"/>
  </r>
  <r>
    <n v="1549"/>
    <s v="CA-2016-111395"/>
    <d v="2016-11-23T00:00:00"/>
    <x v="560"/>
    <s v="FAST"/>
    <s v="Standard Class"/>
    <s v="VB-21745"/>
    <s v="Victoria Brennan"/>
    <x v="1"/>
    <s v="United States"/>
    <s v="San Antonio"/>
    <x v="5"/>
    <n v="78207"/>
    <x v="2"/>
    <s v="OFF-ST-10001291"/>
    <x v="1"/>
    <x v="4"/>
    <x v="1008"/>
    <n v="27.056000000000001"/>
  </r>
  <r>
    <n v="1550"/>
    <s v="CA-2015-134278"/>
    <d v="2015-07-06T00:00:00"/>
    <x v="276"/>
    <s v="MODERATE"/>
    <s v="First Class"/>
    <s v="EP-13915"/>
    <s v="Emily Phan"/>
    <x v="0"/>
    <s v="United States"/>
    <s v="New York City"/>
    <x v="15"/>
    <n v="10011"/>
    <x v="3"/>
    <s v="TEC-CO-10001046"/>
    <x v="2"/>
    <x v="16"/>
    <x v="868"/>
    <n v="559.99199999999996"/>
  </r>
  <r>
    <n v="1551"/>
    <s v="US-2018-124926"/>
    <d v="2018-11-13T00:00:00"/>
    <x v="549"/>
    <s v="SLOW"/>
    <s v="Second Class"/>
    <s v="ME-17320"/>
    <s v="Maria Etezadi"/>
    <x v="2"/>
    <s v="United States"/>
    <s v="Houston"/>
    <x v="5"/>
    <n v="77095"/>
    <x v="2"/>
    <s v="OFF-AP-10004868"/>
    <x v="1"/>
    <x v="9"/>
    <x v="1009"/>
    <n v="9.3239999999999998"/>
  </r>
  <r>
    <n v="1552"/>
    <s v="CA-2017-159345"/>
    <d v="2017-06-17T00:00:00"/>
    <x v="561"/>
    <s v="FAST"/>
    <s v="Standard Class"/>
    <s v="IG-15085"/>
    <s v="Ivan Gibson"/>
    <x v="0"/>
    <s v="United States"/>
    <s v="San Diego"/>
    <x v="1"/>
    <n v="92024"/>
    <x v="1"/>
    <s v="OFF-PA-10000806"/>
    <x v="1"/>
    <x v="10"/>
    <x v="941"/>
    <n v="111.96"/>
  </r>
  <r>
    <n v="1553"/>
    <s v="CA-2015-130274"/>
    <d v="2015-05-03T00:00:00"/>
    <x v="562"/>
    <s v="MODERATE"/>
    <s v="First Class"/>
    <s v="JS-15940"/>
    <s v="Joni Sundaresam"/>
    <x v="2"/>
    <s v="United States"/>
    <s v="Appleton"/>
    <x v="6"/>
    <n v="54915"/>
    <x v="2"/>
    <s v="OFF-LA-10002195"/>
    <x v="1"/>
    <x v="2"/>
    <x v="1010"/>
    <n v="21.56"/>
  </r>
  <r>
    <n v="1554"/>
    <s v="CA-2018-158386"/>
    <d v="2018-10-16T00:00:00"/>
    <x v="563"/>
    <s v="FAST"/>
    <s v="Standard Class"/>
    <s v="BO-11425"/>
    <s v="Bobby Odegard"/>
    <x v="0"/>
    <s v="United States"/>
    <s v="Richmond"/>
    <x v="0"/>
    <n v="40475"/>
    <x v="0"/>
    <s v="OFF-BI-10003719"/>
    <x v="1"/>
    <x v="8"/>
    <x v="678"/>
    <n v="124.75"/>
  </r>
  <r>
    <n v="1555"/>
    <s v="CA-2016-111507"/>
    <d v="2016-02-06T00:00:00"/>
    <x v="94"/>
    <s v="FAST"/>
    <s v="Standard Class"/>
    <s v="VW-21775"/>
    <s v="Victoria Wilson"/>
    <x v="1"/>
    <s v="United States"/>
    <s v="Bellevue"/>
    <x v="4"/>
    <n v="98006"/>
    <x v="1"/>
    <s v="OFF-AR-10001315"/>
    <x v="1"/>
    <x v="6"/>
    <x v="1011"/>
    <n v="5.28"/>
  </r>
  <r>
    <n v="1556"/>
    <s v="CA-2018-120761"/>
    <d v="2018-09-04T00:00:00"/>
    <x v="220"/>
    <s v="FAST"/>
    <s v="Standard Class"/>
    <s v="AB-10150"/>
    <s v="Aimee Bixby"/>
    <x v="0"/>
    <s v="United States"/>
    <s v="Long Beach"/>
    <x v="15"/>
    <n v="11561"/>
    <x v="3"/>
    <s v="TEC-AC-10000171"/>
    <x v="2"/>
    <x v="11"/>
    <x v="42"/>
    <n v="91.96"/>
  </r>
  <r>
    <n v="1557"/>
    <s v="CA-2017-109176"/>
    <d v="2017-05-09T00:00:00"/>
    <x v="564"/>
    <s v="FAST"/>
    <s v="Standard Class"/>
    <s v="JW-16075"/>
    <s v="Julia West"/>
    <x v="0"/>
    <s v="United States"/>
    <s v="Philadelphia"/>
    <x v="9"/>
    <n v="19140"/>
    <x v="3"/>
    <s v="OFF-EN-10003134"/>
    <x v="1"/>
    <x v="12"/>
    <x v="149"/>
    <n v="9.3439999999999994"/>
  </r>
  <r>
    <n v="1558"/>
    <s v="CA-2017-109176"/>
    <d v="2017-05-09T00:00:00"/>
    <x v="564"/>
    <s v="FAST"/>
    <s v="Standard Class"/>
    <s v="JW-16075"/>
    <s v="Julia West"/>
    <x v="0"/>
    <s v="United States"/>
    <s v="Philadelphia"/>
    <x v="9"/>
    <n v="19140"/>
    <x v="3"/>
    <s v="OFF-AR-10001955"/>
    <x v="1"/>
    <x v="6"/>
    <x v="1012"/>
    <n v="79.36"/>
  </r>
  <r>
    <n v="1559"/>
    <s v="CA-2016-112116"/>
    <d v="2016-03-16T00:00:00"/>
    <x v="565"/>
    <s v="SLOW"/>
    <s v="Second Class"/>
    <s v="JE-15475"/>
    <s v="Jeremy Ellison"/>
    <x v="0"/>
    <s v="United States"/>
    <s v="Seattle"/>
    <x v="4"/>
    <n v="98103"/>
    <x v="1"/>
    <s v="FUR-TA-10001039"/>
    <x v="0"/>
    <x v="3"/>
    <x v="817"/>
    <n v="171.96"/>
  </r>
  <r>
    <n v="1560"/>
    <s v="CA-2017-126809"/>
    <d v="2017-04-09T00:00:00"/>
    <x v="143"/>
    <s v="FAST"/>
    <s v="Standard Class"/>
    <s v="EB-13750"/>
    <s v="Edward Becker"/>
    <x v="1"/>
    <s v="United States"/>
    <s v="Seattle"/>
    <x v="4"/>
    <n v="98103"/>
    <x v="1"/>
    <s v="OFF-BI-10003712"/>
    <x v="1"/>
    <x v="8"/>
    <x v="683"/>
    <n v="35.351999999999997"/>
  </r>
  <r>
    <n v="1561"/>
    <s v="CA-2015-105172"/>
    <d v="2015-04-04T00:00:00"/>
    <x v="566"/>
    <s v="FAST"/>
    <s v="Standard Class"/>
    <s v="PK-18910"/>
    <s v="Paul Knutson"/>
    <x v="2"/>
    <s v="United States"/>
    <s v="San Francisco"/>
    <x v="1"/>
    <n v="94109"/>
    <x v="1"/>
    <s v="OFF-LA-10001641"/>
    <x v="1"/>
    <x v="2"/>
    <x v="1013"/>
    <n v="18.899999999999999"/>
  </r>
  <r>
    <n v="1562"/>
    <s v="CA-2018-107293"/>
    <d v="2018-09-05T00:00:00"/>
    <x v="369"/>
    <s v="MODERATE"/>
    <s v="First Class"/>
    <s v="CS-12400"/>
    <s v="Christopher Schild"/>
    <x v="2"/>
    <s v="United States"/>
    <s v="Seattle"/>
    <x v="4"/>
    <n v="98115"/>
    <x v="1"/>
    <s v="OFF-AR-10003732"/>
    <x v="1"/>
    <x v="6"/>
    <x v="318"/>
    <n v="2.78"/>
  </r>
  <r>
    <n v="1563"/>
    <s v="US-2018-102890"/>
    <d v="2018-06-30T00:00:00"/>
    <x v="567"/>
    <s v="MODERATE"/>
    <s v="Same Day"/>
    <s v="SG-20470"/>
    <s v="Sheri Gordon"/>
    <x v="0"/>
    <s v="United States"/>
    <s v="New York City"/>
    <x v="15"/>
    <n v="10011"/>
    <x v="3"/>
    <s v="FUR-TA-10000577"/>
    <x v="0"/>
    <x v="3"/>
    <x v="3"/>
    <n v="1044.6300000000001"/>
  </r>
  <r>
    <n v="1564"/>
    <s v="CA-2016-158554"/>
    <d v="2016-11-09T00:00:00"/>
    <x v="216"/>
    <s v="MODERATE"/>
    <s v="Same Day"/>
    <s v="CM-12190"/>
    <s v="Charlotte Melton"/>
    <x v="0"/>
    <s v="United States"/>
    <s v="Philadelphia"/>
    <x v="9"/>
    <n v="19134"/>
    <x v="3"/>
    <s v="OFF-PA-10004000"/>
    <x v="1"/>
    <x v="10"/>
    <x v="200"/>
    <n v="11.352"/>
  </r>
  <r>
    <n v="1565"/>
    <s v="CA-2015-116239"/>
    <d v="2015-03-04T00:00:00"/>
    <x v="568"/>
    <s v="MODERATE"/>
    <s v="Same Day"/>
    <s v="CL-12565"/>
    <s v="Clay Ludtke"/>
    <x v="0"/>
    <s v="United States"/>
    <s v="Columbia"/>
    <x v="20"/>
    <n v="29203"/>
    <x v="0"/>
    <s v="OFF-ST-10001370"/>
    <x v="1"/>
    <x v="4"/>
    <x v="1014"/>
    <n v="354.9"/>
  </r>
  <r>
    <n v="1566"/>
    <s v="CA-2016-132101"/>
    <d v="2016-03-19T00:00:00"/>
    <x v="569"/>
    <s v="FAST"/>
    <s v="Standard Class"/>
    <s v="JO-15550"/>
    <s v="Jesus Ocampo"/>
    <x v="2"/>
    <s v="United States"/>
    <s v="Seattle"/>
    <x v="4"/>
    <n v="98105"/>
    <x v="1"/>
    <s v="TEC-PH-10004539"/>
    <x v="2"/>
    <x v="7"/>
    <x v="846"/>
    <n v="453.57600000000002"/>
  </r>
  <r>
    <n v="1567"/>
    <s v="CA-2016-129112"/>
    <d v="2016-11-29T00:00:00"/>
    <x v="26"/>
    <s v="MODERATE"/>
    <s v="First Class"/>
    <s v="AW-10840"/>
    <s v="Anthony Witt"/>
    <x v="0"/>
    <s v="United States"/>
    <s v="Allen"/>
    <x v="5"/>
    <n v="75002"/>
    <x v="2"/>
    <s v="TEC-AC-10003038"/>
    <x v="2"/>
    <x v="11"/>
    <x v="1015"/>
    <n v="21.48"/>
  </r>
  <r>
    <n v="1568"/>
    <s v="CA-2016-129112"/>
    <d v="2016-11-29T00:00:00"/>
    <x v="26"/>
    <s v="MODERATE"/>
    <s v="First Class"/>
    <s v="AW-10840"/>
    <s v="Anthony Witt"/>
    <x v="0"/>
    <s v="United States"/>
    <s v="Allen"/>
    <x v="5"/>
    <n v="75002"/>
    <x v="2"/>
    <s v="OFF-BI-10000088"/>
    <x v="1"/>
    <x v="8"/>
    <x v="1016"/>
    <n v="8.7840000000000007"/>
  </r>
  <r>
    <n v="1569"/>
    <s v="US-2018-152002"/>
    <d v="2018-06-11T00:00:00"/>
    <x v="570"/>
    <s v="MODERATE"/>
    <s v="Same Day"/>
    <s v="DV-13465"/>
    <s v="Dianna Vittorini"/>
    <x v="0"/>
    <s v="United States"/>
    <s v="Los Angeles"/>
    <x v="1"/>
    <n v="90004"/>
    <x v="1"/>
    <s v="OFF-PA-10000357"/>
    <x v="1"/>
    <x v="10"/>
    <x v="437"/>
    <n v="122.97"/>
  </r>
  <r>
    <n v="1570"/>
    <s v="CA-2018-165029"/>
    <d v="2018-11-26T00:00:00"/>
    <x v="523"/>
    <s v="FAST"/>
    <s v="Standard Class"/>
    <s v="AH-10075"/>
    <s v="Adam Hart"/>
    <x v="1"/>
    <s v="United States"/>
    <s v="Atlanta"/>
    <x v="32"/>
    <n v="30318"/>
    <x v="0"/>
    <s v="OFF-AR-10003504"/>
    <x v="1"/>
    <x v="6"/>
    <x v="1017"/>
    <n v="12.84"/>
  </r>
  <r>
    <n v="1571"/>
    <s v="US-2015-157385"/>
    <d v="2015-11-23T00:00:00"/>
    <x v="571"/>
    <s v="MODERATE"/>
    <s v="First Class"/>
    <s v="SC-20095"/>
    <s v="Sanjit Chand"/>
    <x v="0"/>
    <s v="United States"/>
    <s v="Los Angeles"/>
    <x v="1"/>
    <n v="90004"/>
    <x v="1"/>
    <s v="FUR-CH-10000863"/>
    <x v="0"/>
    <x v="1"/>
    <x v="80"/>
    <n v="603.91999999999996"/>
  </r>
  <r>
    <n v="1572"/>
    <s v="US-2015-157385"/>
    <d v="2015-11-23T00:00:00"/>
    <x v="571"/>
    <s v="MODERATE"/>
    <s v="First Class"/>
    <s v="SC-20095"/>
    <s v="Sanjit Chand"/>
    <x v="0"/>
    <s v="United States"/>
    <s v="Los Angeles"/>
    <x v="1"/>
    <n v="90004"/>
    <x v="1"/>
    <s v="OFF-EN-10003160"/>
    <x v="1"/>
    <x v="12"/>
    <x v="1018"/>
    <n v="21.84"/>
  </r>
  <r>
    <n v="1573"/>
    <s v="US-2015-157385"/>
    <d v="2015-11-23T00:00:00"/>
    <x v="571"/>
    <s v="MODERATE"/>
    <s v="First Class"/>
    <s v="SC-20095"/>
    <s v="Sanjit Chand"/>
    <x v="0"/>
    <s v="United States"/>
    <s v="Los Angeles"/>
    <x v="1"/>
    <n v="90004"/>
    <x v="1"/>
    <s v="TEC-AC-10003280"/>
    <x v="2"/>
    <x v="11"/>
    <x v="1019"/>
    <n v="29.99"/>
  </r>
  <r>
    <n v="1574"/>
    <s v="US-2015-157385"/>
    <d v="2015-11-23T00:00:00"/>
    <x v="571"/>
    <s v="MODERATE"/>
    <s v="First Class"/>
    <s v="SC-20095"/>
    <s v="Sanjit Chand"/>
    <x v="0"/>
    <s v="United States"/>
    <s v="Los Angeles"/>
    <x v="1"/>
    <n v="90004"/>
    <x v="1"/>
    <s v="FUR-CH-10000595"/>
    <x v="0"/>
    <x v="1"/>
    <x v="458"/>
    <n v="381.44"/>
  </r>
  <r>
    <n v="1575"/>
    <s v="CA-2015-101602"/>
    <d v="2015-12-15T00:00:00"/>
    <x v="572"/>
    <s v="MODERATE"/>
    <s v="First Class"/>
    <s v="MC-18100"/>
    <s v="Mick Crebagga"/>
    <x v="0"/>
    <s v="United States"/>
    <s v="El Paso"/>
    <x v="5"/>
    <n v="79907"/>
    <x v="2"/>
    <s v="TEC-PH-10000169"/>
    <x v="2"/>
    <x v="7"/>
    <x v="1020"/>
    <n v="40.68"/>
  </r>
  <r>
    <n v="1576"/>
    <s v="CA-2015-101602"/>
    <d v="2015-12-15T00:00:00"/>
    <x v="572"/>
    <s v="MODERATE"/>
    <s v="First Class"/>
    <s v="MC-18100"/>
    <s v="Mick Crebagga"/>
    <x v="0"/>
    <s v="United States"/>
    <s v="El Paso"/>
    <x v="5"/>
    <n v="79907"/>
    <x v="2"/>
    <s v="FUR-CH-10004675"/>
    <x v="0"/>
    <x v="1"/>
    <x v="622"/>
    <n v="763.28"/>
  </r>
  <r>
    <n v="1577"/>
    <s v="CA-2017-109057"/>
    <d v="2017-04-22T00:00:00"/>
    <x v="131"/>
    <s v="FAST"/>
    <s v="Standard Class"/>
    <s v="TT-21460"/>
    <s v="Tonja Turnell"/>
    <x v="2"/>
    <s v="United States"/>
    <s v="Aurora"/>
    <x v="10"/>
    <n v="60505"/>
    <x v="2"/>
    <s v="OFF-ST-10002406"/>
    <x v="1"/>
    <x v="4"/>
    <x v="322"/>
    <n v="23.952000000000002"/>
  </r>
  <r>
    <n v="1578"/>
    <s v="CA-2017-154403"/>
    <d v="2017-05-23T00:00:00"/>
    <x v="499"/>
    <s v="FAST"/>
    <s v="Standard Class"/>
    <s v="AP-10720"/>
    <s v="Anne Pryor"/>
    <x v="2"/>
    <s v="United States"/>
    <s v="Florence"/>
    <x v="19"/>
    <n v="35630"/>
    <x v="0"/>
    <s v="OFF-PA-10001526"/>
    <x v="1"/>
    <x v="10"/>
    <x v="1021"/>
    <n v="4.9800000000000004"/>
  </r>
  <r>
    <n v="1579"/>
    <s v="CA-2017-102456"/>
    <d v="2017-02-27T00:00:00"/>
    <x v="573"/>
    <s v="MODERATE"/>
    <s v="First Class"/>
    <s v="DL-12865"/>
    <s v="Dan Lawera"/>
    <x v="0"/>
    <s v="United States"/>
    <s v="New York City"/>
    <x v="15"/>
    <n v="10011"/>
    <x v="3"/>
    <s v="OFF-AP-10004336"/>
    <x v="1"/>
    <x v="9"/>
    <x v="1022"/>
    <n v="170.88"/>
  </r>
  <r>
    <n v="1580"/>
    <s v="CA-2016-131338"/>
    <d v="2016-08-09T00:00:00"/>
    <x v="574"/>
    <s v="MODERATE"/>
    <s v="First Class"/>
    <s v="NP-18325"/>
    <s v="Naresj Patel"/>
    <x v="0"/>
    <s v="United States"/>
    <s v="New York City"/>
    <x v="15"/>
    <n v="10024"/>
    <x v="3"/>
    <s v="TEC-PH-10003012"/>
    <x v="2"/>
    <x v="7"/>
    <x v="341"/>
    <n v="307.98"/>
  </r>
  <r>
    <n v="1581"/>
    <s v="CA-2016-131338"/>
    <d v="2016-08-09T00:00:00"/>
    <x v="574"/>
    <s v="MODERATE"/>
    <s v="First Class"/>
    <s v="NP-18325"/>
    <s v="Naresj Patel"/>
    <x v="0"/>
    <s v="United States"/>
    <s v="New York City"/>
    <x v="15"/>
    <n v="10024"/>
    <x v="3"/>
    <s v="FUR-TA-10002607"/>
    <x v="0"/>
    <x v="3"/>
    <x v="219"/>
    <n v="382.80599999999998"/>
  </r>
  <r>
    <n v="1582"/>
    <s v="CA-2016-131338"/>
    <d v="2016-08-09T00:00:00"/>
    <x v="574"/>
    <s v="MODERATE"/>
    <s v="First Class"/>
    <s v="NP-18325"/>
    <s v="Naresj Patel"/>
    <x v="0"/>
    <s v="United States"/>
    <s v="New York City"/>
    <x v="15"/>
    <n v="10024"/>
    <x v="3"/>
    <s v="OFF-ST-10000642"/>
    <x v="1"/>
    <x v="4"/>
    <x v="189"/>
    <n v="41.96"/>
  </r>
  <r>
    <n v="1583"/>
    <s v="CA-2016-131338"/>
    <d v="2016-08-09T00:00:00"/>
    <x v="574"/>
    <s v="MODERATE"/>
    <s v="First Class"/>
    <s v="NP-18325"/>
    <s v="Naresj Patel"/>
    <x v="0"/>
    <s v="United States"/>
    <s v="New York City"/>
    <x v="15"/>
    <n v="10024"/>
    <x v="3"/>
    <s v="OFF-BI-10000545"/>
    <x v="1"/>
    <x v="8"/>
    <x v="679"/>
    <n v="1217.568"/>
  </r>
  <r>
    <n v="1584"/>
    <s v="CA-2016-131338"/>
    <d v="2016-08-09T00:00:00"/>
    <x v="574"/>
    <s v="MODERATE"/>
    <s v="First Class"/>
    <s v="NP-18325"/>
    <s v="Naresj Patel"/>
    <x v="0"/>
    <s v="United States"/>
    <s v="New York City"/>
    <x v="15"/>
    <n v="10024"/>
    <x v="3"/>
    <s v="FUR-FU-10002157"/>
    <x v="0"/>
    <x v="5"/>
    <x v="112"/>
    <n v="47.04"/>
  </r>
  <r>
    <n v="1585"/>
    <s v="CA-2016-131338"/>
    <d v="2016-08-09T00:00:00"/>
    <x v="574"/>
    <s v="MODERATE"/>
    <s v="First Class"/>
    <s v="NP-18325"/>
    <s v="Naresj Patel"/>
    <x v="0"/>
    <s v="United States"/>
    <s v="New York City"/>
    <x v="15"/>
    <n v="10024"/>
    <x v="3"/>
    <s v="FUR-FU-10001706"/>
    <x v="0"/>
    <x v="5"/>
    <x v="49"/>
    <n v="6.16"/>
  </r>
  <r>
    <n v="1586"/>
    <s v="CA-2016-131338"/>
    <d v="2016-08-09T00:00:00"/>
    <x v="574"/>
    <s v="MODERATE"/>
    <s v="First Class"/>
    <s v="NP-18325"/>
    <s v="Naresj Patel"/>
    <x v="0"/>
    <s v="United States"/>
    <s v="New York City"/>
    <x v="15"/>
    <n v="10024"/>
    <x v="3"/>
    <s v="TEC-PH-10000984"/>
    <x v="2"/>
    <x v="7"/>
    <x v="460"/>
    <n v="979.95"/>
  </r>
  <r>
    <n v="1587"/>
    <s v="CA-2016-131338"/>
    <d v="2016-08-09T00:00:00"/>
    <x v="574"/>
    <s v="MODERATE"/>
    <s v="First Class"/>
    <s v="NP-18325"/>
    <s v="Naresj Patel"/>
    <x v="0"/>
    <s v="United States"/>
    <s v="New York City"/>
    <x v="15"/>
    <n v="10024"/>
    <x v="3"/>
    <s v="OFF-PA-10001357"/>
    <x v="1"/>
    <x v="10"/>
    <x v="1023"/>
    <n v="143.69999999999999"/>
  </r>
  <r>
    <n v="1588"/>
    <s v="CA-2016-131338"/>
    <d v="2016-08-09T00:00:00"/>
    <x v="574"/>
    <s v="MODERATE"/>
    <s v="First Class"/>
    <s v="NP-18325"/>
    <s v="Naresj Patel"/>
    <x v="0"/>
    <s v="United States"/>
    <s v="New York City"/>
    <x v="15"/>
    <n v="10024"/>
    <x v="3"/>
    <s v="OFF-FA-10000992"/>
    <x v="1"/>
    <x v="13"/>
    <x v="1024"/>
    <n v="10.65"/>
  </r>
  <r>
    <n v="1589"/>
    <s v="CA-2016-131338"/>
    <d v="2016-08-09T00:00:00"/>
    <x v="574"/>
    <s v="MODERATE"/>
    <s v="First Class"/>
    <s v="NP-18325"/>
    <s v="Naresj Patel"/>
    <x v="0"/>
    <s v="United States"/>
    <s v="New York City"/>
    <x v="15"/>
    <n v="10024"/>
    <x v="3"/>
    <s v="TEC-AC-10002600"/>
    <x v="2"/>
    <x v="11"/>
    <x v="379"/>
    <n v="247.8"/>
  </r>
  <r>
    <n v="1590"/>
    <s v="CA-2017-109911"/>
    <d v="2017-05-12T00:00:00"/>
    <x v="575"/>
    <s v="FAST"/>
    <s v="Standard Class"/>
    <s v="VG-21805"/>
    <s v="Vivek Grady"/>
    <x v="1"/>
    <s v="United States"/>
    <s v="Virginia Beach"/>
    <x v="17"/>
    <n v="23464"/>
    <x v="0"/>
    <s v="OFF-AR-10001662"/>
    <x v="1"/>
    <x v="6"/>
    <x v="438"/>
    <n v="10.96"/>
  </r>
  <r>
    <n v="1591"/>
    <s v="US-2017-132423"/>
    <d v="2017-04-15T00:00:00"/>
    <x v="576"/>
    <s v="FAST"/>
    <s v="Standard Class"/>
    <s v="MY-18295"/>
    <s v="Muhammed Yedwab"/>
    <x v="1"/>
    <s v="United States"/>
    <s v="Grapevine"/>
    <x v="5"/>
    <n v="76051"/>
    <x v="2"/>
    <s v="OFF-AR-10001221"/>
    <x v="1"/>
    <x v="6"/>
    <x v="1025"/>
    <n v="33.488"/>
  </r>
  <r>
    <n v="1592"/>
    <s v="US-2017-132423"/>
    <d v="2017-04-15T00:00:00"/>
    <x v="576"/>
    <s v="FAST"/>
    <s v="Standard Class"/>
    <s v="MY-18295"/>
    <s v="Muhammed Yedwab"/>
    <x v="1"/>
    <s v="United States"/>
    <s v="Grapevine"/>
    <x v="5"/>
    <n v="76051"/>
    <x v="2"/>
    <s v="OFF-FA-10002988"/>
    <x v="1"/>
    <x v="13"/>
    <x v="128"/>
    <n v="8.0399999999999991"/>
  </r>
  <r>
    <n v="1593"/>
    <s v="CA-2016-122826"/>
    <d v="2016-06-23T00:00:00"/>
    <x v="577"/>
    <s v="SLOW"/>
    <s v="Second Class"/>
    <s v="RD-19480"/>
    <s v="Rick Duston"/>
    <x v="0"/>
    <s v="United States"/>
    <s v="Olympia"/>
    <x v="4"/>
    <n v="98502"/>
    <x v="1"/>
    <s v="TEC-PH-10004830"/>
    <x v="2"/>
    <x v="7"/>
    <x v="1026"/>
    <n v="201.56800000000001"/>
  </r>
  <r>
    <n v="1594"/>
    <s v="CA-2015-117317"/>
    <d v="2015-10-19T00:00:00"/>
    <x v="578"/>
    <s v="MODERATE"/>
    <s v="Same Day"/>
    <s v="JF-15490"/>
    <s v="Jeremy Farry"/>
    <x v="0"/>
    <s v="United States"/>
    <s v="Los Angeles"/>
    <x v="1"/>
    <n v="90032"/>
    <x v="1"/>
    <s v="OFF-PA-10004519"/>
    <x v="1"/>
    <x v="10"/>
    <x v="1027"/>
    <n v="13.44"/>
  </r>
  <r>
    <n v="1595"/>
    <s v="CA-2016-118423"/>
    <d v="2016-03-24T00:00:00"/>
    <x v="579"/>
    <s v="MODERATE"/>
    <s v="First Class"/>
    <s v="DP-13390"/>
    <s v="Dennis Pardue"/>
    <x v="2"/>
    <s v="United States"/>
    <s v="Peoria"/>
    <x v="10"/>
    <n v="61604"/>
    <x v="2"/>
    <s v="FUR-BO-10000362"/>
    <x v="0"/>
    <x v="0"/>
    <x v="1028"/>
    <n v="359.05799999999999"/>
  </r>
  <r>
    <n v="1596"/>
    <s v="CA-2018-149181"/>
    <d v="2018-05-08T00:00:00"/>
    <x v="580"/>
    <s v="FAST"/>
    <s v="Standard Class"/>
    <s v="MD-17350"/>
    <s v="Maribeth Dona"/>
    <x v="0"/>
    <s v="United States"/>
    <s v="Columbus"/>
    <x v="24"/>
    <n v="43229"/>
    <x v="3"/>
    <s v="FUR-CH-10004540"/>
    <x v="0"/>
    <x v="1"/>
    <x v="856"/>
    <n v="47.991999999999997"/>
  </r>
  <r>
    <n v="1597"/>
    <s v="CA-2018-132234"/>
    <d v="2018-10-16T00:00:00"/>
    <x v="498"/>
    <s v="MODERATE"/>
    <s v="First Class"/>
    <s v="MY-17380"/>
    <s v="Maribeth Yedwab"/>
    <x v="1"/>
    <s v="United States"/>
    <s v="New York City"/>
    <x v="15"/>
    <n v="10011"/>
    <x v="3"/>
    <s v="FUR-FU-10001290"/>
    <x v="0"/>
    <x v="5"/>
    <x v="442"/>
    <n v="547.29999999999995"/>
  </r>
  <r>
    <n v="1598"/>
    <s v="CA-2018-158876"/>
    <d v="2018-11-19T00:00:00"/>
    <x v="409"/>
    <s v="SLOW"/>
    <s v="Second Class"/>
    <s v="AB-10150"/>
    <s v="Aimee Bixby"/>
    <x v="0"/>
    <s v="United States"/>
    <s v="Carrollton"/>
    <x v="5"/>
    <n v="75007"/>
    <x v="2"/>
    <s v="OFF-PA-10000308"/>
    <x v="1"/>
    <x v="10"/>
    <x v="1029"/>
    <n v="16.896000000000001"/>
  </r>
  <r>
    <n v="1599"/>
    <s v="CA-2018-158876"/>
    <d v="2018-11-19T00:00:00"/>
    <x v="409"/>
    <s v="SLOW"/>
    <s v="Second Class"/>
    <s v="AB-10150"/>
    <s v="Aimee Bixby"/>
    <x v="0"/>
    <s v="United States"/>
    <s v="Carrollton"/>
    <x v="5"/>
    <n v="75007"/>
    <x v="2"/>
    <s v="OFF-SU-10001165"/>
    <x v="1"/>
    <x v="14"/>
    <x v="1030"/>
    <n v="6.6719999999999997"/>
  </r>
  <r>
    <n v="1600"/>
    <s v="CA-2018-158876"/>
    <d v="2018-11-19T00:00:00"/>
    <x v="409"/>
    <s v="SLOW"/>
    <s v="Second Class"/>
    <s v="AB-10150"/>
    <s v="Aimee Bixby"/>
    <x v="0"/>
    <s v="United States"/>
    <s v="Carrollton"/>
    <x v="5"/>
    <n v="75007"/>
    <x v="2"/>
    <s v="OFF-AR-10003373"/>
    <x v="1"/>
    <x v="6"/>
    <x v="285"/>
    <n v="99.135999999999996"/>
  </r>
  <r>
    <n v="1601"/>
    <s v="CA-2018-158876"/>
    <d v="2018-11-19T00:00:00"/>
    <x v="409"/>
    <s v="SLOW"/>
    <s v="Second Class"/>
    <s v="AB-10150"/>
    <s v="Aimee Bixby"/>
    <x v="0"/>
    <s v="United States"/>
    <s v="Carrollton"/>
    <x v="5"/>
    <n v="75007"/>
    <x v="2"/>
    <s v="FUR-FU-10001967"/>
    <x v="0"/>
    <x v="5"/>
    <x v="291"/>
    <n v="15.992000000000001"/>
  </r>
  <r>
    <n v="1602"/>
    <s v="CA-2017-164672"/>
    <d v="2017-05-08T00:00:00"/>
    <x v="581"/>
    <s v="SLOW"/>
    <s v="Second Class"/>
    <s v="GB-14530"/>
    <s v="George Bell"/>
    <x v="1"/>
    <s v="United States"/>
    <s v="Dover"/>
    <x v="13"/>
    <n v="19901"/>
    <x v="3"/>
    <s v="FUR-FU-10001488"/>
    <x v="0"/>
    <x v="5"/>
    <x v="1031"/>
    <n v="211.96"/>
  </r>
  <r>
    <n v="1603"/>
    <s v="US-2017-132857"/>
    <d v="2017-12-11T00:00:00"/>
    <x v="24"/>
    <s v="FAST"/>
    <s v="Standard Class"/>
    <s v="CA-12775"/>
    <s v="Cynthia Arntzen"/>
    <x v="0"/>
    <s v="United States"/>
    <s v="Smyrna"/>
    <x v="18"/>
    <n v="37167"/>
    <x v="0"/>
    <s v="OFF-AR-10003251"/>
    <x v="1"/>
    <x v="6"/>
    <x v="1032"/>
    <n v="6.6719999999999997"/>
  </r>
  <r>
    <n v="1604"/>
    <s v="CA-2018-116645"/>
    <d v="2018-11-30T00:00:00"/>
    <x v="377"/>
    <s v="FAST"/>
    <s v="Standard Class"/>
    <s v="ME-17725"/>
    <s v="Max Engle"/>
    <x v="0"/>
    <s v="United States"/>
    <s v="Newark"/>
    <x v="13"/>
    <n v="19711"/>
    <x v="3"/>
    <s v="OFF-AR-10001044"/>
    <x v="1"/>
    <x v="6"/>
    <x v="1033"/>
    <n v="155.94"/>
  </r>
  <r>
    <n v="1605"/>
    <s v="US-2017-115819"/>
    <d v="2017-04-19T00:00:00"/>
    <x v="582"/>
    <s v="SLOW"/>
    <s v="Second Class"/>
    <s v="JO-15280"/>
    <s v="Jas O'Carroll"/>
    <x v="0"/>
    <s v="United States"/>
    <s v="Los Angeles"/>
    <x v="1"/>
    <n v="90049"/>
    <x v="1"/>
    <s v="TEC-PH-10004700"/>
    <x v="2"/>
    <x v="7"/>
    <x v="836"/>
    <n v="39.96"/>
  </r>
  <r>
    <n v="1606"/>
    <s v="US-2017-115819"/>
    <d v="2017-04-19T00:00:00"/>
    <x v="582"/>
    <s v="SLOW"/>
    <s v="Second Class"/>
    <s v="JO-15280"/>
    <s v="Jas O'Carroll"/>
    <x v="0"/>
    <s v="United States"/>
    <s v="Los Angeles"/>
    <x v="1"/>
    <n v="90049"/>
    <x v="1"/>
    <s v="OFF-AR-10000823"/>
    <x v="1"/>
    <x v="6"/>
    <x v="1034"/>
    <n v="5.46"/>
  </r>
  <r>
    <n v="1607"/>
    <s v="US-2017-115819"/>
    <d v="2017-04-19T00:00:00"/>
    <x v="582"/>
    <s v="SLOW"/>
    <s v="Second Class"/>
    <s v="JO-15280"/>
    <s v="Jas O'Carroll"/>
    <x v="0"/>
    <s v="United States"/>
    <s v="Los Angeles"/>
    <x v="1"/>
    <n v="90049"/>
    <x v="1"/>
    <s v="OFF-AR-10004456"/>
    <x v="1"/>
    <x v="6"/>
    <x v="1035"/>
    <n v="73.2"/>
  </r>
  <r>
    <n v="1608"/>
    <s v="US-2017-115819"/>
    <d v="2017-04-19T00:00:00"/>
    <x v="582"/>
    <s v="SLOW"/>
    <s v="Second Class"/>
    <s v="JO-15280"/>
    <s v="Jas O'Carroll"/>
    <x v="0"/>
    <s v="United States"/>
    <s v="Los Angeles"/>
    <x v="1"/>
    <n v="90049"/>
    <x v="1"/>
    <s v="OFF-BI-10000050"/>
    <x v="1"/>
    <x v="8"/>
    <x v="340"/>
    <n v="5.84"/>
  </r>
  <r>
    <n v="1609"/>
    <s v="US-2017-115819"/>
    <d v="2017-04-19T00:00:00"/>
    <x v="582"/>
    <s v="SLOW"/>
    <s v="Second Class"/>
    <s v="JO-15280"/>
    <s v="Jas O'Carroll"/>
    <x v="0"/>
    <s v="United States"/>
    <s v="Los Angeles"/>
    <x v="1"/>
    <n v="90049"/>
    <x v="1"/>
    <s v="OFF-PA-10002377"/>
    <x v="1"/>
    <x v="10"/>
    <x v="551"/>
    <n v="22.72"/>
  </r>
  <r>
    <n v="1610"/>
    <s v="US-2017-115819"/>
    <d v="2017-04-19T00:00:00"/>
    <x v="582"/>
    <s v="SLOW"/>
    <s v="Second Class"/>
    <s v="JO-15280"/>
    <s v="Jas O'Carroll"/>
    <x v="0"/>
    <s v="United States"/>
    <s v="Los Angeles"/>
    <x v="1"/>
    <n v="90049"/>
    <x v="1"/>
    <s v="OFF-BI-10000591"/>
    <x v="1"/>
    <x v="8"/>
    <x v="1036"/>
    <n v="9.3360000000000003"/>
  </r>
  <r>
    <n v="1611"/>
    <s v="CA-2015-156349"/>
    <d v="2015-05-26T00:00:00"/>
    <x v="495"/>
    <s v="FAST"/>
    <s v="Standard Class"/>
    <s v="ML-17395"/>
    <s v="Marina Lichtenstein"/>
    <x v="1"/>
    <s v="United States"/>
    <s v="Los Angeles"/>
    <x v="1"/>
    <n v="90008"/>
    <x v="1"/>
    <s v="FUR-BO-10000362"/>
    <x v="0"/>
    <x v="0"/>
    <x v="1028"/>
    <n v="290.666"/>
  </r>
  <r>
    <n v="1612"/>
    <s v="CA-2015-156349"/>
    <d v="2015-05-26T00:00:00"/>
    <x v="495"/>
    <s v="FAST"/>
    <s v="Standard Class"/>
    <s v="ML-17395"/>
    <s v="Marina Lichtenstein"/>
    <x v="1"/>
    <s v="United States"/>
    <s v="Los Angeles"/>
    <x v="1"/>
    <n v="90008"/>
    <x v="1"/>
    <s v="TEC-PH-10000441"/>
    <x v="2"/>
    <x v="7"/>
    <x v="1037"/>
    <n v="201.584"/>
  </r>
  <r>
    <n v="1613"/>
    <s v="CA-2015-156349"/>
    <d v="2015-05-26T00:00:00"/>
    <x v="495"/>
    <s v="FAST"/>
    <s v="Standard Class"/>
    <s v="ML-17395"/>
    <s v="Marina Lichtenstein"/>
    <x v="1"/>
    <s v="United States"/>
    <s v="Los Angeles"/>
    <x v="1"/>
    <n v="90008"/>
    <x v="1"/>
    <s v="TEC-PH-10002726"/>
    <x v="2"/>
    <x v="7"/>
    <x v="65"/>
    <n v="83.983999999999995"/>
  </r>
  <r>
    <n v="1614"/>
    <s v="CA-2018-138380"/>
    <d v="2018-12-21T00:00:00"/>
    <x v="208"/>
    <s v="FAST"/>
    <s v="Standard Class"/>
    <s v="YS-21880"/>
    <s v="Yana Sorensen"/>
    <x v="1"/>
    <s v="United States"/>
    <s v="Oakland"/>
    <x v="1"/>
    <n v="94601"/>
    <x v="1"/>
    <s v="OFF-ST-10003306"/>
    <x v="1"/>
    <x v="4"/>
    <x v="377"/>
    <n v="1000.02"/>
  </r>
  <r>
    <n v="1615"/>
    <s v="US-2017-113509"/>
    <d v="2017-03-15T00:00:00"/>
    <x v="583"/>
    <s v="FAST"/>
    <s v="Standard Class"/>
    <s v="PL-18925"/>
    <s v="Paul Lucas"/>
    <x v="2"/>
    <s v="United States"/>
    <s v="Philadelphia"/>
    <x v="9"/>
    <n v="19143"/>
    <x v="3"/>
    <s v="TEC-AC-10004855"/>
    <x v="2"/>
    <x v="11"/>
    <x v="1038"/>
    <n v="83.975999999999999"/>
  </r>
  <r>
    <n v="1616"/>
    <s v="CA-2016-130022"/>
    <d v="2016-08-10T00:00:00"/>
    <x v="98"/>
    <s v="FAST"/>
    <s v="Standard Class"/>
    <s v="JK-16120"/>
    <s v="Julie Kriz"/>
    <x v="2"/>
    <s v="United States"/>
    <s v="Eagan"/>
    <x v="11"/>
    <n v="55122"/>
    <x v="2"/>
    <s v="OFF-LA-10002787"/>
    <x v="1"/>
    <x v="2"/>
    <x v="537"/>
    <n v="3.75"/>
  </r>
  <r>
    <n v="1617"/>
    <s v="CA-2016-130022"/>
    <d v="2016-08-10T00:00:00"/>
    <x v="98"/>
    <s v="FAST"/>
    <s v="Standard Class"/>
    <s v="JK-16120"/>
    <s v="Julie Kriz"/>
    <x v="2"/>
    <s v="United States"/>
    <s v="Eagan"/>
    <x v="11"/>
    <n v="55122"/>
    <x v="2"/>
    <s v="OFF-LA-10002043"/>
    <x v="1"/>
    <x v="2"/>
    <x v="250"/>
    <n v="41.4"/>
  </r>
  <r>
    <n v="1618"/>
    <s v="CA-2016-130022"/>
    <d v="2016-08-10T00:00:00"/>
    <x v="98"/>
    <s v="FAST"/>
    <s v="Standard Class"/>
    <s v="JK-16120"/>
    <s v="Julie Kriz"/>
    <x v="2"/>
    <s v="United States"/>
    <s v="Eagan"/>
    <x v="11"/>
    <n v="55122"/>
    <x v="2"/>
    <s v="OFF-AR-10001915"/>
    <x v="1"/>
    <x v="6"/>
    <x v="1039"/>
    <n v="29.79"/>
  </r>
  <r>
    <n v="1619"/>
    <s v="US-2017-118780"/>
    <d v="2017-09-10T00:00:00"/>
    <x v="125"/>
    <s v="SLOW"/>
    <s v="Second Class"/>
    <s v="PN-18775"/>
    <s v="Parhena Norris"/>
    <x v="2"/>
    <s v="United States"/>
    <s v="New York City"/>
    <x v="15"/>
    <n v="10011"/>
    <x v="3"/>
    <s v="OFF-ST-10000352"/>
    <x v="1"/>
    <x v="4"/>
    <x v="1040"/>
    <n v="59.48"/>
  </r>
  <r>
    <n v="1620"/>
    <s v="US-2017-118780"/>
    <d v="2017-09-10T00:00:00"/>
    <x v="125"/>
    <s v="SLOW"/>
    <s v="Second Class"/>
    <s v="PN-18775"/>
    <s v="Parhena Norris"/>
    <x v="2"/>
    <s v="United States"/>
    <s v="New York City"/>
    <x v="15"/>
    <n v="10011"/>
    <x v="3"/>
    <s v="OFF-PA-10000575"/>
    <x v="1"/>
    <x v="10"/>
    <x v="1041"/>
    <n v="6.69"/>
  </r>
  <r>
    <n v="1621"/>
    <s v="CA-2018-108560"/>
    <d v="2018-07-08T00:00:00"/>
    <x v="384"/>
    <s v="FAST"/>
    <s v="Standard Class"/>
    <s v="JC-15385"/>
    <s v="Jenna Caffey"/>
    <x v="0"/>
    <s v="United States"/>
    <s v="Kent"/>
    <x v="4"/>
    <n v="98031"/>
    <x v="1"/>
    <s v="FUR-FU-10002937"/>
    <x v="0"/>
    <x v="5"/>
    <x v="1042"/>
    <n v="198.46"/>
  </r>
  <r>
    <n v="1622"/>
    <s v="CA-2018-108560"/>
    <d v="2018-07-08T00:00:00"/>
    <x v="384"/>
    <s v="FAST"/>
    <s v="Standard Class"/>
    <s v="JC-15385"/>
    <s v="Jenna Caffey"/>
    <x v="0"/>
    <s v="United States"/>
    <s v="Kent"/>
    <x v="4"/>
    <n v="98031"/>
    <x v="1"/>
    <s v="OFF-LA-10003930"/>
    <x v="1"/>
    <x v="2"/>
    <x v="498"/>
    <n v="786.48"/>
  </r>
  <r>
    <n v="1623"/>
    <s v="CA-2018-108560"/>
    <d v="2018-07-08T00:00:00"/>
    <x v="384"/>
    <s v="FAST"/>
    <s v="Standard Class"/>
    <s v="JC-15385"/>
    <s v="Jenna Caffey"/>
    <x v="0"/>
    <s v="United States"/>
    <s v="Kent"/>
    <x v="4"/>
    <n v="98031"/>
    <x v="1"/>
    <s v="OFF-BI-10001107"/>
    <x v="1"/>
    <x v="8"/>
    <x v="487"/>
    <n v="23.167999999999999"/>
  </r>
  <r>
    <n v="1624"/>
    <s v="CA-2018-108560"/>
    <d v="2018-07-08T00:00:00"/>
    <x v="384"/>
    <s v="FAST"/>
    <s v="Standard Class"/>
    <s v="JC-15385"/>
    <s v="Jenna Caffey"/>
    <x v="0"/>
    <s v="United States"/>
    <s v="Kent"/>
    <x v="4"/>
    <n v="98031"/>
    <x v="1"/>
    <s v="TEC-AC-10003063"/>
    <x v="2"/>
    <x v="11"/>
    <x v="1043"/>
    <n v="50"/>
  </r>
  <r>
    <n v="1625"/>
    <s v="CA-2016-157084"/>
    <d v="2016-12-19T00:00:00"/>
    <x v="139"/>
    <s v="FAST"/>
    <s v="Standard Class"/>
    <s v="JG-15160"/>
    <s v="James Galang"/>
    <x v="0"/>
    <s v="United States"/>
    <s v="Los Angeles"/>
    <x v="1"/>
    <n v="90049"/>
    <x v="1"/>
    <s v="TEC-PH-10002922"/>
    <x v="2"/>
    <x v="7"/>
    <x v="958"/>
    <n v="675.96"/>
  </r>
  <r>
    <n v="1626"/>
    <s v="CA-2016-157084"/>
    <d v="2016-12-19T00:00:00"/>
    <x v="139"/>
    <s v="FAST"/>
    <s v="Standard Class"/>
    <s v="JG-15160"/>
    <s v="James Galang"/>
    <x v="0"/>
    <s v="United States"/>
    <s v="Los Angeles"/>
    <x v="1"/>
    <n v="90049"/>
    <x v="1"/>
    <s v="TEC-AC-10002049"/>
    <x v="2"/>
    <x v="11"/>
    <x v="1044"/>
    <n v="1265.8499999999999"/>
  </r>
  <r>
    <n v="1627"/>
    <s v="CA-2016-164539"/>
    <d v="2016-11-16T00:00:00"/>
    <x v="584"/>
    <s v="FAST"/>
    <s v="Standard Class"/>
    <s v="PO-19180"/>
    <s v="Philisse Overcash"/>
    <x v="2"/>
    <s v="United States"/>
    <s v="New York City"/>
    <x v="15"/>
    <n v="10011"/>
    <x v="3"/>
    <s v="OFF-AP-10002457"/>
    <x v="1"/>
    <x v="9"/>
    <x v="539"/>
    <n v="523.25"/>
  </r>
  <r>
    <n v="1628"/>
    <s v="CA-2016-143119"/>
    <d v="2016-09-24T00:00:00"/>
    <x v="12"/>
    <s v="FAST"/>
    <s v="Standard Class"/>
    <s v="MC-17275"/>
    <s v="Marc Crier"/>
    <x v="0"/>
    <s v="United States"/>
    <s v="Lafayette"/>
    <x v="28"/>
    <n v="70506"/>
    <x v="0"/>
    <s v="FUR-CH-10001270"/>
    <x v="0"/>
    <x v="1"/>
    <x v="845"/>
    <n v="517.5"/>
  </r>
  <r>
    <n v="1629"/>
    <s v="CA-2018-101049"/>
    <d v="2018-06-21T00:00:00"/>
    <x v="585"/>
    <s v="SLOW"/>
    <s v="Second Class"/>
    <s v="AS-10240"/>
    <s v="Alan Shonely"/>
    <x v="0"/>
    <s v="United States"/>
    <s v="Cleveland"/>
    <x v="24"/>
    <n v="44105"/>
    <x v="3"/>
    <s v="FUR-FU-10004415"/>
    <x v="0"/>
    <x v="5"/>
    <x v="1045"/>
    <n v="17.920000000000002"/>
  </r>
  <r>
    <n v="1630"/>
    <s v="CA-2018-101049"/>
    <d v="2018-06-21T00:00:00"/>
    <x v="585"/>
    <s v="SLOW"/>
    <s v="Second Class"/>
    <s v="AS-10240"/>
    <s v="Alan Shonely"/>
    <x v="0"/>
    <s v="United States"/>
    <s v="Cleveland"/>
    <x v="24"/>
    <n v="44105"/>
    <x v="3"/>
    <s v="OFF-BI-10001510"/>
    <x v="1"/>
    <x v="8"/>
    <x v="696"/>
    <n v="41.256"/>
  </r>
  <r>
    <n v="1631"/>
    <s v="CA-2017-106530"/>
    <d v="2017-05-08T00:00:00"/>
    <x v="586"/>
    <s v="MODERATE"/>
    <s v="Same Day"/>
    <s v="CL-12565"/>
    <s v="Clay Ludtke"/>
    <x v="0"/>
    <s v="United States"/>
    <s v="Cleveland"/>
    <x v="24"/>
    <n v="44105"/>
    <x v="3"/>
    <s v="OFF-ST-10002011"/>
    <x v="1"/>
    <x v="4"/>
    <x v="1046"/>
    <n v="1006.056"/>
  </r>
  <r>
    <n v="1632"/>
    <s v="CA-2017-106530"/>
    <d v="2017-05-08T00:00:00"/>
    <x v="586"/>
    <s v="MODERATE"/>
    <s v="Same Day"/>
    <s v="CL-12565"/>
    <s v="Clay Ludtke"/>
    <x v="0"/>
    <s v="United States"/>
    <s v="Cleveland"/>
    <x v="24"/>
    <n v="44105"/>
    <x v="3"/>
    <s v="OFF-PA-10002986"/>
    <x v="1"/>
    <x v="10"/>
    <x v="472"/>
    <n v="10.688000000000001"/>
  </r>
  <r>
    <n v="1633"/>
    <s v="CA-2017-106530"/>
    <d v="2017-05-08T00:00:00"/>
    <x v="586"/>
    <s v="MODERATE"/>
    <s v="Same Day"/>
    <s v="CL-12565"/>
    <s v="Clay Ludtke"/>
    <x v="0"/>
    <s v="United States"/>
    <s v="Cleveland"/>
    <x v="24"/>
    <n v="44105"/>
    <x v="3"/>
    <s v="OFF-PA-10004451"/>
    <x v="1"/>
    <x v="10"/>
    <x v="488"/>
    <n v="10.368"/>
  </r>
  <r>
    <n v="1634"/>
    <s v="CA-2017-106530"/>
    <d v="2017-05-08T00:00:00"/>
    <x v="586"/>
    <s v="MODERATE"/>
    <s v="Same Day"/>
    <s v="CL-12565"/>
    <s v="Clay Ludtke"/>
    <x v="0"/>
    <s v="United States"/>
    <s v="Cleveland"/>
    <x v="24"/>
    <n v="44105"/>
    <x v="3"/>
    <s v="OFF-ST-10000649"/>
    <x v="1"/>
    <x v="4"/>
    <x v="930"/>
    <n v="25.12"/>
  </r>
  <r>
    <n v="1635"/>
    <s v="CA-2017-106530"/>
    <d v="2017-05-08T00:00:00"/>
    <x v="586"/>
    <s v="MODERATE"/>
    <s v="Same Day"/>
    <s v="CL-12565"/>
    <s v="Clay Ludtke"/>
    <x v="0"/>
    <s v="United States"/>
    <s v="Cleveland"/>
    <x v="24"/>
    <n v="44105"/>
    <x v="3"/>
    <s v="TEC-AC-10001465"/>
    <x v="2"/>
    <x v="11"/>
    <x v="468"/>
    <n v="58.112000000000002"/>
  </r>
  <r>
    <n v="1636"/>
    <s v="CA-2015-168984"/>
    <d v="2015-11-26T00:00:00"/>
    <x v="587"/>
    <s v="FAST"/>
    <s v="Standard Class"/>
    <s v="NW-18400"/>
    <s v="Natalie Webber"/>
    <x v="0"/>
    <s v="United States"/>
    <s v="Tigard"/>
    <x v="21"/>
    <n v="97224"/>
    <x v="1"/>
    <s v="OFF-PA-10001166"/>
    <x v="1"/>
    <x v="10"/>
    <x v="763"/>
    <n v="15.552"/>
  </r>
  <r>
    <n v="1637"/>
    <s v="CA-2015-168984"/>
    <d v="2015-11-26T00:00:00"/>
    <x v="587"/>
    <s v="FAST"/>
    <s v="Standard Class"/>
    <s v="NW-18400"/>
    <s v="Natalie Webber"/>
    <x v="0"/>
    <s v="United States"/>
    <s v="Tigard"/>
    <x v="21"/>
    <n v="97224"/>
    <x v="1"/>
    <s v="OFF-ST-10001097"/>
    <x v="1"/>
    <x v="4"/>
    <x v="734"/>
    <n v="669.08"/>
  </r>
  <r>
    <n v="1638"/>
    <s v="CA-2015-168984"/>
    <d v="2015-11-26T00:00:00"/>
    <x v="587"/>
    <s v="FAST"/>
    <s v="Standard Class"/>
    <s v="NW-18400"/>
    <s v="Natalie Webber"/>
    <x v="0"/>
    <s v="United States"/>
    <s v="Tigard"/>
    <x v="21"/>
    <n v="97224"/>
    <x v="1"/>
    <s v="TEC-PH-10000038"/>
    <x v="2"/>
    <x v="7"/>
    <x v="1047"/>
    <n v="438.33600000000001"/>
  </r>
  <r>
    <n v="1639"/>
    <s v="CA-2017-157266"/>
    <d v="2017-05-26T00:00:00"/>
    <x v="218"/>
    <s v="FAST"/>
    <s v="Standard Class"/>
    <s v="TB-21280"/>
    <s v="Toby Braunhardt"/>
    <x v="0"/>
    <s v="United States"/>
    <s v="Washington"/>
    <x v="40"/>
    <n v="20016"/>
    <x v="3"/>
    <s v="OFF-PA-10002689"/>
    <x v="1"/>
    <x v="10"/>
    <x v="1048"/>
    <n v="19.440000000000001"/>
  </r>
  <r>
    <n v="1640"/>
    <s v="CA-2017-157266"/>
    <d v="2017-05-26T00:00:00"/>
    <x v="218"/>
    <s v="FAST"/>
    <s v="Standard Class"/>
    <s v="TB-21280"/>
    <s v="Toby Braunhardt"/>
    <x v="0"/>
    <s v="United States"/>
    <s v="Washington"/>
    <x v="40"/>
    <n v="20016"/>
    <x v="3"/>
    <s v="OFF-BI-10004728"/>
    <x v="1"/>
    <x v="8"/>
    <x v="534"/>
    <n v="9.64"/>
  </r>
  <r>
    <n v="1641"/>
    <s v="CA-2017-157266"/>
    <d v="2017-05-26T00:00:00"/>
    <x v="218"/>
    <s v="FAST"/>
    <s v="Standard Class"/>
    <s v="TB-21280"/>
    <s v="Toby Braunhardt"/>
    <x v="0"/>
    <s v="United States"/>
    <s v="Washington"/>
    <x v="40"/>
    <n v="20016"/>
    <x v="3"/>
    <s v="OFF-PA-10004675"/>
    <x v="1"/>
    <x v="10"/>
    <x v="68"/>
    <n v="12.7"/>
  </r>
  <r>
    <n v="1643"/>
    <s v="US-2015-134712"/>
    <d v="2015-11-29T00:00:00"/>
    <x v="282"/>
    <s v="FAST"/>
    <s v="Standard Class"/>
    <s v="BS-11380"/>
    <s v="Bill Stewart"/>
    <x v="1"/>
    <s v="United States"/>
    <s v="Skokie"/>
    <x v="10"/>
    <n v="60076"/>
    <x v="2"/>
    <s v="OFF-FA-10003112"/>
    <x v="1"/>
    <x v="13"/>
    <x v="124"/>
    <n v="12.624000000000001"/>
  </r>
  <r>
    <n v="1644"/>
    <s v="CA-2016-111829"/>
    <d v="2016-03-19T00:00:00"/>
    <x v="588"/>
    <s v="MODERATE"/>
    <s v="First Class"/>
    <s v="FH-14365"/>
    <s v="Fred Hopkins"/>
    <x v="1"/>
    <s v="United States"/>
    <s v="Seattle"/>
    <x v="4"/>
    <n v="98115"/>
    <x v="1"/>
    <s v="OFF-ST-10000142"/>
    <x v="1"/>
    <x v="4"/>
    <x v="395"/>
    <n v="1247.6400000000001"/>
  </r>
  <r>
    <n v="1645"/>
    <s v="CA-2016-111829"/>
    <d v="2016-03-19T00:00:00"/>
    <x v="588"/>
    <s v="MODERATE"/>
    <s v="First Class"/>
    <s v="FH-14365"/>
    <s v="Fred Hopkins"/>
    <x v="1"/>
    <s v="United States"/>
    <s v="Seattle"/>
    <x v="4"/>
    <n v="98115"/>
    <x v="1"/>
    <s v="TEC-CO-10001766"/>
    <x v="2"/>
    <x v="16"/>
    <x v="1049"/>
    <n v="3149.93"/>
  </r>
  <r>
    <n v="1646"/>
    <s v="CA-2016-111829"/>
    <d v="2016-03-19T00:00:00"/>
    <x v="588"/>
    <s v="MODERATE"/>
    <s v="First Class"/>
    <s v="FH-14365"/>
    <s v="Fred Hopkins"/>
    <x v="1"/>
    <s v="United States"/>
    <s v="Seattle"/>
    <x v="4"/>
    <n v="98115"/>
    <x v="1"/>
    <s v="OFF-PA-10004359"/>
    <x v="1"/>
    <x v="10"/>
    <x v="1050"/>
    <n v="209.7"/>
  </r>
  <r>
    <n v="1647"/>
    <s v="CA-2016-105221"/>
    <d v="2016-11-01T00:00:00"/>
    <x v="396"/>
    <s v="MODERATE"/>
    <s v="First Class"/>
    <s v="VM-21685"/>
    <s v="Valerie Mitchum"/>
    <x v="2"/>
    <s v="United States"/>
    <s v="Philadelphia"/>
    <x v="9"/>
    <n v="19140"/>
    <x v="3"/>
    <s v="TEC-AC-10002323"/>
    <x v="2"/>
    <x v="11"/>
    <x v="173"/>
    <n v="35.36"/>
  </r>
  <r>
    <n v="1648"/>
    <s v="CA-2016-105221"/>
    <d v="2016-11-01T00:00:00"/>
    <x v="396"/>
    <s v="MODERATE"/>
    <s v="First Class"/>
    <s v="VM-21685"/>
    <s v="Valerie Mitchum"/>
    <x v="2"/>
    <s v="United States"/>
    <s v="Philadelphia"/>
    <x v="9"/>
    <n v="19140"/>
    <x v="3"/>
    <s v="OFF-FA-10001135"/>
    <x v="1"/>
    <x v="13"/>
    <x v="1051"/>
    <n v="3.1680000000000001"/>
  </r>
  <r>
    <n v="1649"/>
    <s v="CA-2016-120341"/>
    <d v="2016-09-26T00:00:00"/>
    <x v="589"/>
    <s v="SLOW"/>
    <s v="Second Class"/>
    <s v="SF-20200"/>
    <s v="Sarah Foster"/>
    <x v="0"/>
    <s v="United States"/>
    <s v="Philadelphia"/>
    <x v="9"/>
    <n v="19143"/>
    <x v="3"/>
    <s v="OFF-BI-10004224"/>
    <x v="1"/>
    <x v="8"/>
    <x v="1052"/>
    <n v="121.104"/>
  </r>
  <r>
    <n v="1650"/>
    <s v="CA-2016-120341"/>
    <d v="2016-09-26T00:00:00"/>
    <x v="589"/>
    <s v="SLOW"/>
    <s v="Second Class"/>
    <s v="SF-20200"/>
    <s v="Sarah Foster"/>
    <x v="0"/>
    <s v="United States"/>
    <s v="Philadelphia"/>
    <x v="9"/>
    <n v="19143"/>
    <x v="3"/>
    <s v="TEC-PH-10003357"/>
    <x v="2"/>
    <x v="7"/>
    <x v="1053"/>
    <n v="45.893999999999998"/>
  </r>
  <r>
    <n v="1651"/>
    <s v="CA-2015-135699"/>
    <d v="2015-08-29T00:00:00"/>
    <x v="590"/>
    <s v="MODERATE"/>
    <s v="Same Day"/>
    <s v="HH-15010"/>
    <s v="Hilary Holden"/>
    <x v="1"/>
    <s v="United States"/>
    <s v="San Francisco"/>
    <x v="1"/>
    <n v="94110"/>
    <x v="1"/>
    <s v="OFF-PA-10004475"/>
    <x v="1"/>
    <x v="10"/>
    <x v="1054"/>
    <n v="109.92"/>
  </r>
  <r>
    <n v="1652"/>
    <s v="CA-2015-135699"/>
    <d v="2015-08-29T00:00:00"/>
    <x v="590"/>
    <s v="MODERATE"/>
    <s v="Same Day"/>
    <s v="HH-15010"/>
    <s v="Hilary Holden"/>
    <x v="1"/>
    <s v="United States"/>
    <s v="San Francisco"/>
    <x v="1"/>
    <n v="94110"/>
    <x v="1"/>
    <s v="OFF-PA-10003001"/>
    <x v="1"/>
    <x v="10"/>
    <x v="1055"/>
    <n v="13.36"/>
  </r>
  <r>
    <n v="1653"/>
    <s v="US-2018-132444"/>
    <d v="2018-11-18T00:00:00"/>
    <x v="409"/>
    <s v="MODERATE"/>
    <s v="First Class"/>
    <s v="CD-12280"/>
    <s v="Christina DeMoss"/>
    <x v="0"/>
    <s v="United States"/>
    <s v="Seattle"/>
    <x v="4"/>
    <n v="98105"/>
    <x v="1"/>
    <s v="OFF-ST-10003442"/>
    <x v="1"/>
    <x v="4"/>
    <x v="83"/>
    <n v="169.68"/>
  </r>
  <r>
    <n v="1654"/>
    <s v="US-2018-132444"/>
    <d v="2018-11-18T00:00:00"/>
    <x v="409"/>
    <s v="MODERATE"/>
    <s v="First Class"/>
    <s v="CD-12280"/>
    <s v="Christina DeMoss"/>
    <x v="0"/>
    <s v="United States"/>
    <s v="Seattle"/>
    <x v="4"/>
    <n v="98105"/>
    <x v="1"/>
    <s v="TEC-AC-10003832"/>
    <x v="2"/>
    <x v="11"/>
    <x v="453"/>
    <n v="132.52000000000001"/>
  </r>
  <r>
    <n v="1655"/>
    <s v="US-2018-132444"/>
    <d v="2018-11-18T00:00:00"/>
    <x v="409"/>
    <s v="MODERATE"/>
    <s v="First Class"/>
    <s v="CD-12280"/>
    <s v="Christina DeMoss"/>
    <x v="0"/>
    <s v="United States"/>
    <s v="Seattle"/>
    <x v="4"/>
    <n v="98105"/>
    <x v="1"/>
    <s v="OFF-FA-10000611"/>
    <x v="1"/>
    <x v="13"/>
    <x v="1056"/>
    <n v="2.96"/>
  </r>
  <r>
    <n v="1656"/>
    <s v="US-2018-132444"/>
    <d v="2018-11-18T00:00:00"/>
    <x v="409"/>
    <s v="MODERATE"/>
    <s v="First Class"/>
    <s v="CD-12280"/>
    <s v="Christina DeMoss"/>
    <x v="0"/>
    <s v="United States"/>
    <s v="Seattle"/>
    <x v="4"/>
    <n v="98105"/>
    <x v="1"/>
    <s v="OFF-BI-10001116"/>
    <x v="1"/>
    <x v="8"/>
    <x v="1057"/>
    <n v="8.4480000000000004"/>
  </r>
  <r>
    <n v="1657"/>
    <s v="US-2018-132444"/>
    <d v="2018-11-18T00:00:00"/>
    <x v="409"/>
    <s v="MODERATE"/>
    <s v="First Class"/>
    <s v="CD-12280"/>
    <s v="Christina DeMoss"/>
    <x v="0"/>
    <s v="United States"/>
    <s v="Seattle"/>
    <x v="4"/>
    <n v="98105"/>
    <x v="1"/>
    <s v="OFF-ST-10000563"/>
    <x v="1"/>
    <x v="4"/>
    <x v="887"/>
    <n v="95.94"/>
  </r>
  <r>
    <n v="1658"/>
    <s v="CA-2015-127159"/>
    <d v="2015-05-12T00:00:00"/>
    <x v="8"/>
    <s v="MODERATE"/>
    <s v="First Class"/>
    <s v="HL-15040"/>
    <s v="Hunter Lopez"/>
    <x v="0"/>
    <s v="United States"/>
    <s v="Milwaukee"/>
    <x v="6"/>
    <n v="53209"/>
    <x v="2"/>
    <s v="FUR-FU-10000010"/>
    <x v="0"/>
    <x v="5"/>
    <x v="517"/>
    <n v="34.79"/>
  </r>
  <r>
    <n v="1659"/>
    <s v="CA-2018-161809"/>
    <d v="2018-01-20T00:00:00"/>
    <x v="429"/>
    <s v="FAST"/>
    <s v="Standard Class"/>
    <s v="TH-21100"/>
    <s v="Thea Hendricks"/>
    <x v="0"/>
    <s v="United States"/>
    <s v="Los Angeles"/>
    <x v="1"/>
    <n v="90045"/>
    <x v="1"/>
    <s v="TEC-PH-10004922"/>
    <x v="2"/>
    <x v="7"/>
    <x v="1058"/>
    <n v="160.77600000000001"/>
  </r>
  <r>
    <n v="1660"/>
    <s v="CA-2018-127285"/>
    <d v="2018-10-30T00:00:00"/>
    <x v="371"/>
    <s v="FAST"/>
    <s v="Standard Class"/>
    <s v="MM-18055"/>
    <s v="Michelle Moray"/>
    <x v="0"/>
    <s v="United States"/>
    <s v="Seattle"/>
    <x v="4"/>
    <n v="98115"/>
    <x v="1"/>
    <s v="OFF-BI-10004330"/>
    <x v="1"/>
    <x v="8"/>
    <x v="789"/>
    <n v="88.751999999999995"/>
  </r>
  <r>
    <n v="1661"/>
    <s v="CA-2018-127285"/>
    <d v="2018-10-30T00:00:00"/>
    <x v="371"/>
    <s v="FAST"/>
    <s v="Standard Class"/>
    <s v="MM-18055"/>
    <s v="Michelle Moray"/>
    <x v="0"/>
    <s v="United States"/>
    <s v="Seattle"/>
    <x v="4"/>
    <n v="98115"/>
    <x v="1"/>
    <s v="OFF-BI-10002072"/>
    <x v="1"/>
    <x v="8"/>
    <x v="823"/>
    <n v="13.904"/>
  </r>
  <r>
    <n v="1662"/>
    <s v="CA-2018-144526"/>
    <d v="2018-04-30T00:00:00"/>
    <x v="591"/>
    <s v="FAST"/>
    <s v="Standard Class"/>
    <s v="QJ-19255"/>
    <s v="Quincy Jones"/>
    <x v="1"/>
    <s v="United States"/>
    <s v="Philadelphia"/>
    <x v="9"/>
    <n v="19143"/>
    <x v="3"/>
    <s v="TEC-PH-10002549"/>
    <x v="2"/>
    <x v="7"/>
    <x v="921"/>
    <n v="677.58"/>
  </r>
  <r>
    <n v="1663"/>
    <s v="CA-2018-144526"/>
    <d v="2018-04-30T00:00:00"/>
    <x v="591"/>
    <s v="FAST"/>
    <s v="Standard Class"/>
    <s v="QJ-19255"/>
    <s v="Quincy Jones"/>
    <x v="1"/>
    <s v="United States"/>
    <s v="Philadelphia"/>
    <x v="9"/>
    <n v="19143"/>
    <x v="3"/>
    <s v="OFF-BI-10002353"/>
    <x v="1"/>
    <x v="8"/>
    <x v="1059"/>
    <n v="13.896000000000001"/>
  </r>
  <r>
    <n v="1664"/>
    <s v="CA-2017-128531"/>
    <d v="2017-11-24T00:00:00"/>
    <x v="481"/>
    <s v="SLOW"/>
    <s v="Second Class"/>
    <s v="NS-18505"/>
    <s v="Neola Schneider"/>
    <x v="0"/>
    <s v="United States"/>
    <s v="Dallas"/>
    <x v="5"/>
    <n v="75217"/>
    <x v="2"/>
    <s v="OFF-ST-10001325"/>
    <x v="1"/>
    <x v="4"/>
    <x v="461"/>
    <n v="41.92"/>
  </r>
  <r>
    <n v="1665"/>
    <s v="CA-2017-128531"/>
    <d v="2017-11-24T00:00:00"/>
    <x v="481"/>
    <s v="SLOW"/>
    <s v="Second Class"/>
    <s v="NS-18505"/>
    <s v="Neola Schneider"/>
    <x v="0"/>
    <s v="United States"/>
    <s v="Dallas"/>
    <x v="5"/>
    <n v="75217"/>
    <x v="2"/>
    <s v="TEC-AC-10002049"/>
    <x v="2"/>
    <x v="11"/>
    <x v="682"/>
    <n v="297.57600000000002"/>
  </r>
  <r>
    <n v="1666"/>
    <s v="CA-2017-128531"/>
    <d v="2017-11-24T00:00:00"/>
    <x v="481"/>
    <s v="SLOW"/>
    <s v="Second Class"/>
    <s v="NS-18505"/>
    <s v="Neola Schneider"/>
    <x v="0"/>
    <s v="United States"/>
    <s v="Dallas"/>
    <x v="5"/>
    <n v="75217"/>
    <x v="2"/>
    <s v="OFF-FA-10002676"/>
    <x v="1"/>
    <x v="13"/>
    <x v="1060"/>
    <n v="4.3440000000000003"/>
  </r>
  <r>
    <n v="1667"/>
    <s v="CA-2017-128531"/>
    <d v="2017-11-24T00:00:00"/>
    <x v="481"/>
    <s v="SLOW"/>
    <s v="Second Class"/>
    <s v="NS-18505"/>
    <s v="Neola Schneider"/>
    <x v="0"/>
    <s v="United States"/>
    <s v="Dallas"/>
    <x v="5"/>
    <n v="75217"/>
    <x v="2"/>
    <s v="TEC-AC-10003023"/>
    <x v="2"/>
    <x v="11"/>
    <x v="1061"/>
    <n v="94.992000000000004"/>
  </r>
  <r>
    <n v="1668"/>
    <s v="CA-2017-128531"/>
    <d v="2017-11-24T00:00:00"/>
    <x v="481"/>
    <s v="SLOW"/>
    <s v="Second Class"/>
    <s v="NS-18505"/>
    <s v="Neola Schneider"/>
    <x v="0"/>
    <s v="United States"/>
    <s v="Dallas"/>
    <x v="5"/>
    <n v="75217"/>
    <x v="2"/>
    <s v="OFF-PA-10000167"/>
    <x v="1"/>
    <x v="10"/>
    <x v="1062"/>
    <n v="74.352000000000004"/>
  </r>
  <r>
    <n v="1669"/>
    <s v="CA-2017-128531"/>
    <d v="2017-11-24T00:00:00"/>
    <x v="481"/>
    <s v="SLOW"/>
    <s v="Second Class"/>
    <s v="NS-18505"/>
    <s v="Neola Schneider"/>
    <x v="0"/>
    <s v="United States"/>
    <s v="Dallas"/>
    <x v="5"/>
    <n v="75217"/>
    <x v="2"/>
    <s v="OFF-AR-10003405"/>
    <x v="1"/>
    <x v="6"/>
    <x v="615"/>
    <n v="14.04"/>
  </r>
  <r>
    <n v="1670"/>
    <s v="US-2016-157154"/>
    <d v="2016-01-10T00:00:00"/>
    <x v="592"/>
    <s v="FAST"/>
    <s v="Standard Class"/>
    <s v="MM-17920"/>
    <s v="Michael Moore"/>
    <x v="0"/>
    <s v="United States"/>
    <s v="New York City"/>
    <x v="15"/>
    <n v="10011"/>
    <x v="3"/>
    <s v="FUR-TA-10001889"/>
    <x v="0"/>
    <x v="3"/>
    <x v="401"/>
    <n v="1018.104"/>
  </r>
  <r>
    <n v="1671"/>
    <s v="CA-2018-159457"/>
    <d v="2018-10-19T00:00:00"/>
    <x v="214"/>
    <s v="FAST"/>
    <s v="Standard Class"/>
    <s v="RD-19480"/>
    <s v="Rick Duston"/>
    <x v="0"/>
    <s v="United States"/>
    <s v="Houston"/>
    <x v="5"/>
    <n v="77095"/>
    <x v="2"/>
    <s v="TEC-PH-10002185"/>
    <x v="2"/>
    <x v="7"/>
    <x v="1063"/>
    <n v="16.68"/>
  </r>
  <r>
    <n v="1672"/>
    <s v="CA-2017-107615"/>
    <d v="2017-03-22T00:00:00"/>
    <x v="593"/>
    <s v="MODERATE"/>
    <s v="First Class"/>
    <s v="RB-19645"/>
    <s v="Robert Barroso"/>
    <x v="1"/>
    <s v="United States"/>
    <s v="North Las Vegas"/>
    <x v="33"/>
    <n v="89031"/>
    <x v="1"/>
    <s v="TEC-AC-10001013"/>
    <x v="2"/>
    <x v="11"/>
    <x v="806"/>
    <n v="58.58"/>
  </r>
  <r>
    <n v="1673"/>
    <s v="CA-2018-111647"/>
    <d v="2018-07-03T00:00:00"/>
    <x v="488"/>
    <s v="FAST"/>
    <s v="Standard Class"/>
    <s v="RD-19585"/>
    <s v="Rob Dowd"/>
    <x v="0"/>
    <s v="United States"/>
    <s v="Plano"/>
    <x v="5"/>
    <n v="75023"/>
    <x v="2"/>
    <s v="TEC-PH-10002726"/>
    <x v="2"/>
    <x v="7"/>
    <x v="65"/>
    <n v="167.96799999999999"/>
  </r>
  <r>
    <n v="1674"/>
    <s v="CA-2016-150560"/>
    <d v="2016-12-11T00:00:00"/>
    <x v="387"/>
    <s v="MODERATE"/>
    <s v="First Class"/>
    <s v="SW-20455"/>
    <s v="Shaun Weien"/>
    <x v="0"/>
    <s v="United States"/>
    <s v="Suffolk"/>
    <x v="17"/>
    <n v="23434"/>
    <x v="0"/>
    <s v="OFF-LA-10003930"/>
    <x v="1"/>
    <x v="2"/>
    <x v="498"/>
    <n v="196.62"/>
  </r>
  <r>
    <n v="1675"/>
    <s v="CA-2016-143077"/>
    <d v="2016-09-17T00:00:00"/>
    <x v="14"/>
    <s v="FAST"/>
    <s v="Standard Class"/>
    <s v="SF-20965"/>
    <s v="Sylvia Foulston"/>
    <x v="1"/>
    <s v="United States"/>
    <s v="Houston"/>
    <x v="5"/>
    <n v="77041"/>
    <x v="2"/>
    <s v="FUR-FU-10003535"/>
    <x v="0"/>
    <x v="5"/>
    <x v="881"/>
    <n v="21.936"/>
  </r>
  <r>
    <n v="1676"/>
    <s v="CA-2016-143077"/>
    <d v="2016-09-17T00:00:00"/>
    <x v="14"/>
    <s v="FAST"/>
    <s v="Standard Class"/>
    <s v="SF-20965"/>
    <s v="Sylvia Foulston"/>
    <x v="1"/>
    <s v="United States"/>
    <s v="Houston"/>
    <x v="5"/>
    <n v="77041"/>
    <x v="2"/>
    <s v="OFF-BI-10000088"/>
    <x v="1"/>
    <x v="8"/>
    <x v="1016"/>
    <n v="6.5880000000000001"/>
  </r>
  <r>
    <n v="1677"/>
    <s v="CA-2017-122728"/>
    <d v="2017-05-18T00:00:00"/>
    <x v="305"/>
    <s v="FAST"/>
    <s v="Standard Class"/>
    <s v="EB-13930"/>
    <s v="Eric Barreto"/>
    <x v="0"/>
    <s v="United States"/>
    <s v="San Francisco"/>
    <x v="1"/>
    <n v="94110"/>
    <x v="1"/>
    <s v="OFF-ST-10000604"/>
    <x v="1"/>
    <x v="4"/>
    <x v="53"/>
    <n v="104.28"/>
  </r>
  <r>
    <n v="1678"/>
    <s v="CA-2017-122728"/>
    <d v="2017-05-18T00:00:00"/>
    <x v="305"/>
    <s v="FAST"/>
    <s v="Standard Class"/>
    <s v="EB-13930"/>
    <s v="Eric Barreto"/>
    <x v="0"/>
    <s v="United States"/>
    <s v="San Francisco"/>
    <x v="1"/>
    <n v="94110"/>
    <x v="1"/>
    <s v="OFF-PA-10004040"/>
    <x v="1"/>
    <x v="10"/>
    <x v="95"/>
    <n v="17.940000000000001"/>
  </r>
  <r>
    <n v="1679"/>
    <s v="CA-2015-122882"/>
    <d v="2015-09-07T00:00:00"/>
    <x v="177"/>
    <s v="FAST"/>
    <s v="Standard Class"/>
    <s v="SB-20290"/>
    <s v="Sean Braxton"/>
    <x v="1"/>
    <s v="United States"/>
    <s v="Philadelphia"/>
    <x v="9"/>
    <n v="19134"/>
    <x v="3"/>
    <s v="OFF-ST-10002344"/>
    <x v="1"/>
    <x v="4"/>
    <x v="850"/>
    <n v="64.784000000000006"/>
  </r>
  <r>
    <n v="1680"/>
    <s v="CA-2015-122882"/>
    <d v="2015-09-07T00:00:00"/>
    <x v="177"/>
    <s v="FAST"/>
    <s v="Standard Class"/>
    <s v="SB-20290"/>
    <s v="Sean Braxton"/>
    <x v="1"/>
    <s v="United States"/>
    <s v="Philadelphia"/>
    <x v="9"/>
    <n v="19134"/>
    <x v="3"/>
    <s v="TEC-PH-10003589"/>
    <x v="2"/>
    <x v="7"/>
    <x v="811"/>
    <n v="32.381999999999998"/>
  </r>
  <r>
    <n v="1681"/>
    <s v="CA-2015-122882"/>
    <d v="2015-09-07T00:00:00"/>
    <x v="177"/>
    <s v="FAST"/>
    <s v="Standard Class"/>
    <s v="SB-20290"/>
    <s v="Sean Braxton"/>
    <x v="1"/>
    <s v="United States"/>
    <s v="Philadelphia"/>
    <x v="9"/>
    <n v="19134"/>
    <x v="3"/>
    <s v="FUR-FU-10000758"/>
    <x v="0"/>
    <x v="5"/>
    <x v="1064"/>
    <n v="42.368000000000002"/>
  </r>
  <r>
    <n v="1682"/>
    <s v="CA-2015-122882"/>
    <d v="2015-09-07T00:00:00"/>
    <x v="177"/>
    <s v="FAST"/>
    <s v="Standard Class"/>
    <s v="SB-20290"/>
    <s v="Sean Braxton"/>
    <x v="1"/>
    <s v="United States"/>
    <s v="Philadelphia"/>
    <x v="9"/>
    <n v="19134"/>
    <x v="3"/>
    <s v="TEC-MA-10004679"/>
    <x v="2"/>
    <x v="15"/>
    <x v="1065"/>
    <n v="399.54"/>
  </r>
  <r>
    <n v="1683"/>
    <s v="US-2017-101497"/>
    <d v="2017-09-29T00:00:00"/>
    <x v="151"/>
    <s v="SLOW"/>
    <s v="Second Class"/>
    <s v="PS-18760"/>
    <s v="Pamela Stobb"/>
    <x v="0"/>
    <s v="United States"/>
    <s v="Los Angeles"/>
    <x v="1"/>
    <n v="90008"/>
    <x v="1"/>
    <s v="OFF-PA-10000176"/>
    <x v="1"/>
    <x v="10"/>
    <x v="627"/>
    <n v="18.97"/>
  </r>
  <r>
    <n v="1684"/>
    <s v="CA-2017-147585"/>
    <d v="2017-11-07T00:00:00"/>
    <x v="355"/>
    <s v="FAST"/>
    <s v="Standard Class"/>
    <s v="CB-12535"/>
    <s v="Claudia Bergmann"/>
    <x v="1"/>
    <s v="United States"/>
    <s v="San Francisco"/>
    <x v="1"/>
    <n v="94110"/>
    <x v="1"/>
    <s v="FUR-FU-10002597"/>
    <x v="0"/>
    <x v="5"/>
    <x v="614"/>
    <n v="14.82"/>
  </r>
  <r>
    <n v="1685"/>
    <s v="CA-2018-149489"/>
    <d v="2018-04-24T00:00:00"/>
    <x v="432"/>
    <s v="MODERATE"/>
    <s v="First Class"/>
    <s v="DK-12835"/>
    <s v="Damala Kotsonis"/>
    <x v="1"/>
    <s v="United States"/>
    <s v="Philadelphia"/>
    <x v="9"/>
    <n v="19143"/>
    <x v="3"/>
    <s v="OFF-AP-10002495"/>
    <x v="1"/>
    <x v="9"/>
    <x v="1066"/>
    <n v="99.28"/>
  </r>
  <r>
    <n v="1686"/>
    <s v="CA-2018-149489"/>
    <d v="2018-04-24T00:00:00"/>
    <x v="432"/>
    <s v="MODERATE"/>
    <s v="First Class"/>
    <s v="DK-12835"/>
    <s v="Damala Kotsonis"/>
    <x v="1"/>
    <s v="United States"/>
    <s v="Philadelphia"/>
    <x v="9"/>
    <n v="19143"/>
    <x v="3"/>
    <s v="OFF-BI-10002813"/>
    <x v="1"/>
    <x v="8"/>
    <x v="898"/>
    <n v="1.1879999999999999"/>
  </r>
  <r>
    <n v="1687"/>
    <s v="CA-2018-149489"/>
    <d v="2018-04-24T00:00:00"/>
    <x v="432"/>
    <s v="MODERATE"/>
    <s v="First Class"/>
    <s v="DK-12835"/>
    <s v="Damala Kotsonis"/>
    <x v="1"/>
    <s v="United States"/>
    <s v="Philadelphia"/>
    <x v="9"/>
    <n v="19143"/>
    <x v="3"/>
    <s v="OFF-BI-10002414"/>
    <x v="1"/>
    <x v="8"/>
    <x v="1067"/>
    <n v="7.5179999999999998"/>
  </r>
  <r>
    <n v="1688"/>
    <s v="CA-2018-143798"/>
    <d v="2018-12-10T00:00:00"/>
    <x v="168"/>
    <s v="MODERATE"/>
    <s v="First Class"/>
    <s v="AW-10840"/>
    <s v="Anthony Witt"/>
    <x v="0"/>
    <s v="United States"/>
    <s v="Philadelphia"/>
    <x v="9"/>
    <n v="19140"/>
    <x v="3"/>
    <s v="OFF-PA-10000788"/>
    <x v="1"/>
    <x v="10"/>
    <x v="725"/>
    <n v="10.368"/>
  </r>
  <r>
    <n v="1689"/>
    <s v="CA-2018-143798"/>
    <d v="2018-12-10T00:00:00"/>
    <x v="168"/>
    <s v="MODERATE"/>
    <s v="First Class"/>
    <s v="AW-10840"/>
    <s v="Anthony Witt"/>
    <x v="0"/>
    <s v="United States"/>
    <s v="Philadelphia"/>
    <x v="9"/>
    <n v="19140"/>
    <x v="3"/>
    <s v="FUR-FU-10004306"/>
    <x v="0"/>
    <x v="5"/>
    <x v="609"/>
    <n v="310.88"/>
  </r>
  <r>
    <n v="1690"/>
    <s v="CA-2015-142839"/>
    <d v="2015-08-16T00:00:00"/>
    <x v="594"/>
    <s v="FAST"/>
    <s v="Standard Class"/>
    <s v="TS-21610"/>
    <s v="Troy Staebel"/>
    <x v="0"/>
    <s v="United States"/>
    <s v="Philadelphia"/>
    <x v="9"/>
    <n v="19143"/>
    <x v="3"/>
    <s v="FUR-TA-10001539"/>
    <x v="0"/>
    <x v="3"/>
    <x v="10"/>
    <n v="853.09199999999998"/>
  </r>
  <r>
    <n v="1691"/>
    <s v="CA-2018-129833"/>
    <d v="2018-12-09T00:00:00"/>
    <x v="158"/>
    <s v="FAST"/>
    <s v="Standard Class"/>
    <s v="HF-14995"/>
    <s v="Herbert Flentye"/>
    <x v="0"/>
    <s v="United States"/>
    <s v="Indianapolis"/>
    <x v="14"/>
    <n v="46203"/>
    <x v="2"/>
    <s v="OFF-PA-10000575"/>
    <x v="1"/>
    <x v="10"/>
    <x v="1041"/>
    <n v="33.450000000000003"/>
  </r>
  <r>
    <n v="1692"/>
    <s v="CA-2018-129833"/>
    <d v="2018-12-09T00:00:00"/>
    <x v="158"/>
    <s v="FAST"/>
    <s v="Standard Class"/>
    <s v="HF-14995"/>
    <s v="Herbert Flentye"/>
    <x v="0"/>
    <s v="United States"/>
    <s v="Indianapolis"/>
    <x v="14"/>
    <n v="46203"/>
    <x v="2"/>
    <s v="OFF-BI-10004182"/>
    <x v="1"/>
    <x v="8"/>
    <x v="72"/>
    <n v="10.4"/>
  </r>
  <r>
    <n v="1693"/>
    <s v="US-2017-154361"/>
    <d v="2017-03-14T00:00:00"/>
    <x v="583"/>
    <s v="FAST"/>
    <s v="Standard Class"/>
    <s v="HZ-14950"/>
    <s v="Henia Zydlo"/>
    <x v="0"/>
    <s v="United States"/>
    <s v="Columbus"/>
    <x v="24"/>
    <n v="43229"/>
    <x v="3"/>
    <s v="FUR-FU-10004020"/>
    <x v="0"/>
    <x v="5"/>
    <x v="483"/>
    <n v="21.88"/>
  </r>
  <r>
    <n v="1694"/>
    <s v="US-2017-158708"/>
    <d v="2017-06-26T00:00:00"/>
    <x v="595"/>
    <s v="SLOW"/>
    <s v="Second Class"/>
    <s v="AB-10255"/>
    <s v="Alejandro Ballentine"/>
    <x v="2"/>
    <s v="United States"/>
    <s v="Plano"/>
    <x v="5"/>
    <n v="75023"/>
    <x v="2"/>
    <s v="TEC-AC-10003133"/>
    <x v="2"/>
    <x v="11"/>
    <x v="1068"/>
    <n v="13.616"/>
  </r>
  <r>
    <n v="1695"/>
    <s v="CA-2016-156335"/>
    <d v="2016-09-25T00:00:00"/>
    <x v="117"/>
    <s v="SLOW"/>
    <s v="Second Class"/>
    <s v="PO-19195"/>
    <s v="Phillina Ober"/>
    <x v="2"/>
    <s v="United States"/>
    <s v="Bayonne"/>
    <x v="30"/>
    <n v="7002"/>
    <x v="3"/>
    <s v="TEC-AC-10002006"/>
    <x v="2"/>
    <x v="11"/>
    <x v="1069"/>
    <n v="63.96"/>
  </r>
  <r>
    <n v="1696"/>
    <s v="CA-2016-156335"/>
    <d v="2016-09-25T00:00:00"/>
    <x v="117"/>
    <s v="SLOW"/>
    <s v="Second Class"/>
    <s v="PO-19195"/>
    <s v="Phillina Ober"/>
    <x v="2"/>
    <s v="United States"/>
    <s v="Bayonne"/>
    <x v="30"/>
    <n v="7002"/>
    <x v="3"/>
    <s v="OFF-BI-10003314"/>
    <x v="1"/>
    <x v="8"/>
    <x v="303"/>
    <n v="14.46"/>
  </r>
  <r>
    <n v="1697"/>
    <s v="CA-2016-156335"/>
    <d v="2016-09-25T00:00:00"/>
    <x v="117"/>
    <s v="SLOW"/>
    <s v="Second Class"/>
    <s v="PO-19195"/>
    <s v="Phillina Ober"/>
    <x v="2"/>
    <s v="United States"/>
    <s v="Bayonne"/>
    <x v="30"/>
    <n v="7002"/>
    <x v="3"/>
    <s v="TEC-PH-10002726"/>
    <x v="2"/>
    <x v="7"/>
    <x v="65"/>
    <n v="104.98"/>
  </r>
  <r>
    <n v="1698"/>
    <s v="CA-2016-148376"/>
    <d v="2016-12-27T00:00:00"/>
    <x v="16"/>
    <s v="FAST"/>
    <s v="Standard Class"/>
    <s v="AG-10900"/>
    <s v="Arthur Gainer"/>
    <x v="0"/>
    <s v="United States"/>
    <s v="Los Angeles"/>
    <x v="1"/>
    <n v="90008"/>
    <x v="1"/>
    <s v="OFF-AP-10000240"/>
    <x v="1"/>
    <x v="9"/>
    <x v="637"/>
    <n v="106.96"/>
  </r>
  <r>
    <n v="1699"/>
    <s v="CA-2016-148376"/>
    <d v="2016-12-27T00:00:00"/>
    <x v="16"/>
    <s v="FAST"/>
    <s v="Standard Class"/>
    <s v="AG-10900"/>
    <s v="Arthur Gainer"/>
    <x v="0"/>
    <s v="United States"/>
    <s v="Los Angeles"/>
    <x v="1"/>
    <n v="90008"/>
    <x v="1"/>
    <s v="OFF-LA-10002381"/>
    <x v="1"/>
    <x v="2"/>
    <x v="1070"/>
    <n v="21.56"/>
  </r>
  <r>
    <n v="1700"/>
    <s v="CA-2015-135657"/>
    <d v="2015-06-03T00:00:00"/>
    <x v="288"/>
    <s v="SLOW"/>
    <s v="Second Class"/>
    <s v="SC-20725"/>
    <s v="Steven Cartwright"/>
    <x v="0"/>
    <s v="United States"/>
    <s v="Seattle"/>
    <x v="4"/>
    <n v="98115"/>
    <x v="1"/>
    <s v="FUR-TA-10004086"/>
    <x v="0"/>
    <x v="3"/>
    <x v="817"/>
    <n v="515.88"/>
  </r>
  <r>
    <n v="1701"/>
    <s v="CA-2016-114069"/>
    <d v="2016-07-13T00:00:00"/>
    <x v="596"/>
    <s v="SLOW"/>
    <s v="Second Class"/>
    <s v="ND-18370"/>
    <s v="Natalie DeCherney"/>
    <x v="0"/>
    <s v="United States"/>
    <s v="New York City"/>
    <x v="15"/>
    <n v="10035"/>
    <x v="3"/>
    <s v="OFF-BI-10000320"/>
    <x v="1"/>
    <x v="8"/>
    <x v="762"/>
    <n v="11.808"/>
  </r>
  <r>
    <n v="1702"/>
    <s v="CA-2016-114069"/>
    <d v="2016-07-13T00:00:00"/>
    <x v="596"/>
    <s v="SLOW"/>
    <s v="Second Class"/>
    <s v="ND-18370"/>
    <s v="Natalie DeCherney"/>
    <x v="0"/>
    <s v="United States"/>
    <s v="New York City"/>
    <x v="15"/>
    <n v="10035"/>
    <x v="3"/>
    <s v="FUR-CH-10000595"/>
    <x v="0"/>
    <x v="1"/>
    <x v="458"/>
    <n v="1931.04"/>
  </r>
  <r>
    <n v="1703"/>
    <s v="CA-2016-114069"/>
    <d v="2016-07-13T00:00:00"/>
    <x v="596"/>
    <s v="SLOW"/>
    <s v="Second Class"/>
    <s v="ND-18370"/>
    <s v="Natalie DeCherney"/>
    <x v="0"/>
    <s v="United States"/>
    <s v="New York City"/>
    <x v="15"/>
    <n v="10035"/>
    <x v="3"/>
    <s v="OFF-PA-10000349"/>
    <x v="1"/>
    <x v="10"/>
    <x v="33"/>
    <n v="9.9600000000000009"/>
  </r>
  <r>
    <n v="1704"/>
    <s v="CA-2015-139857"/>
    <d v="2015-02-02T00:00:00"/>
    <x v="553"/>
    <s v="FAST"/>
    <s v="Standard Class"/>
    <s v="CD-12790"/>
    <s v="Cynthia Delaney"/>
    <x v="2"/>
    <s v="United States"/>
    <s v="San Diego"/>
    <x v="1"/>
    <n v="92037"/>
    <x v="1"/>
    <s v="OFF-FA-10001843"/>
    <x v="1"/>
    <x v="13"/>
    <x v="124"/>
    <n v="12.35"/>
  </r>
  <r>
    <n v="1705"/>
    <s v="CA-2017-106306"/>
    <d v="2017-03-08T00:00:00"/>
    <x v="597"/>
    <s v="MODERATE"/>
    <s v="Same Day"/>
    <s v="PG-18820"/>
    <s v="Patrick Gardner"/>
    <x v="0"/>
    <s v="United States"/>
    <s v="Glendale"/>
    <x v="16"/>
    <n v="85301"/>
    <x v="1"/>
    <s v="OFF-BI-10003676"/>
    <x v="1"/>
    <x v="8"/>
    <x v="809"/>
    <n v="9.702"/>
  </r>
  <r>
    <n v="1706"/>
    <s v="CA-2016-100545"/>
    <d v="2016-11-22T00:00:00"/>
    <x v="6"/>
    <s v="FAST"/>
    <s v="Standard Class"/>
    <s v="IM-15070"/>
    <s v="Irene Maddox"/>
    <x v="0"/>
    <s v="United States"/>
    <s v="Philadelphia"/>
    <x v="9"/>
    <n v="19120"/>
    <x v="3"/>
    <s v="OFF-BI-10003638"/>
    <x v="1"/>
    <x v="8"/>
    <x v="600"/>
    <n v="11.61"/>
  </r>
  <r>
    <n v="1707"/>
    <s v="CA-2018-123491"/>
    <d v="2018-10-30T00:00:00"/>
    <x v="132"/>
    <s v="FAST"/>
    <s v="Standard Class"/>
    <s v="JK-15205"/>
    <s v="Jamie Kunitz"/>
    <x v="0"/>
    <s v="United States"/>
    <s v="San Francisco"/>
    <x v="1"/>
    <n v="94122"/>
    <x v="1"/>
    <s v="OFF-LA-10003077"/>
    <x v="1"/>
    <x v="2"/>
    <x v="1071"/>
    <n v="43.86"/>
  </r>
  <r>
    <n v="1708"/>
    <s v="CA-2018-123491"/>
    <d v="2018-10-30T00:00:00"/>
    <x v="132"/>
    <s v="FAST"/>
    <s v="Standard Class"/>
    <s v="JK-15205"/>
    <s v="Jamie Kunitz"/>
    <x v="0"/>
    <s v="United States"/>
    <s v="San Francisco"/>
    <x v="1"/>
    <n v="94122"/>
    <x v="1"/>
    <s v="TEC-PH-10003505"/>
    <x v="2"/>
    <x v="7"/>
    <x v="894"/>
    <n v="148.47999999999999"/>
  </r>
  <r>
    <n v="1710"/>
    <s v="CA-2018-123491"/>
    <d v="2018-10-30T00:00:00"/>
    <x v="132"/>
    <s v="FAST"/>
    <s v="Standard Class"/>
    <s v="JK-15205"/>
    <s v="Jamie Kunitz"/>
    <x v="0"/>
    <s v="United States"/>
    <s v="San Francisco"/>
    <x v="1"/>
    <n v="94122"/>
    <x v="1"/>
    <s v="FUR-CH-10003061"/>
    <x v="0"/>
    <x v="1"/>
    <x v="50"/>
    <n v="71.992000000000004"/>
  </r>
  <r>
    <n v="1712"/>
    <s v="CA-2018-123491"/>
    <d v="2018-10-30T00:00:00"/>
    <x v="132"/>
    <s v="FAST"/>
    <s v="Standard Class"/>
    <s v="JK-15205"/>
    <s v="Jamie Kunitz"/>
    <x v="0"/>
    <s v="United States"/>
    <s v="San Francisco"/>
    <x v="1"/>
    <n v="94122"/>
    <x v="1"/>
    <s v="OFF-AP-10002684"/>
    <x v="1"/>
    <x v="9"/>
    <x v="163"/>
    <n v="1702.12"/>
  </r>
  <r>
    <n v="1713"/>
    <s v="CA-2016-145401"/>
    <d v="2016-01-30T00:00:00"/>
    <x v="598"/>
    <s v="FAST"/>
    <s v="Standard Class"/>
    <s v="JP-15520"/>
    <s v="Jeremy Pistek"/>
    <x v="0"/>
    <s v="United States"/>
    <s v="Houston"/>
    <x v="5"/>
    <n v="77070"/>
    <x v="2"/>
    <s v="OFF-PA-10004405"/>
    <x v="1"/>
    <x v="10"/>
    <x v="1072"/>
    <n v="14.304"/>
  </r>
  <r>
    <n v="1714"/>
    <s v="US-2018-124968"/>
    <d v="2018-09-08T00:00:00"/>
    <x v="461"/>
    <s v="SLOW"/>
    <s v="Second Class"/>
    <s v="MM-18055"/>
    <s v="Michelle Moray"/>
    <x v="0"/>
    <s v="United States"/>
    <s v="Chicago"/>
    <x v="10"/>
    <n v="60610"/>
    <x v="2"/>
    <s v="FUR-TA-10004289"/>
    <x v="0"/>
    <x v="3"/>
    <x v="184"/>
    <n v="765.625"/>
  </r>
  <r>
    <n v="1715"/>
    <s v="CA-2018-104003"/>
    <d v="2018-10-07T00:00:00"/>
    <x v="599"/>
    <s v="FAST"/>
    <s v="Standard Class"/>
    <s v="DC-13285"/>
    <s v="Debra Catini"/>
    <x v="0"/>
    <s v="United States"/>
    <s v="San Francisco"/>
    <x v="1"/>
    <n v="94110"/>
    <x v="1"/>
    <s v="FUR-BO-10003965"/>
    <x v="0"/>
    <x v="0"/>
    <x v="1073"/>
    <n v="307.666"/>
  </r>
  <r>
    <n v="1716"/>
    <s v="CA-2017-154788"/>
    <d v="2017-04-30T00:00:00"/>
    <x v="600"/>
    <s v="FAST"/>
    <s v="Standard Class"/>
    <s v="JL-15835"/>
    <s v="John Lee"/>
    <x v="0"/>
    <s v="United States"/>
    <s v="New York City"/>
    <x v="15"/>
    <n v="10011"/>
    <x v="3"/>
    <s v="OFF-BI-10003314"/>
    <x v="1"/>
    <x v="8"/>
    <x v="303"/>
    <n v="7.7119999999999997"/>
  </r>
  <r>
    <n v="1717"/>
    <s v="CA-2017-169943"/>
    <d v="2017-05-19T00:00:00"/>
    <x v="305"/>
    <s v="FAST"/>
    <s v="Standard Class"/>
    <s v="BN-11515"/>
    <s v="Bradley Nguyen"/>
    <x v="0"/>
    <s v="United States"/>
    <s v="New York City"/>
    <x v="15"/>
    <n v="10011"/>
    <x v="3"/>
    <s v="OFF-AP-10001563"/>
    <x v="1"/>
    <x v="9"/>
    <x v="525"/>
    <n v="242.9"/>
  </r>
  <r>
    <n v="1718"/>
    <s v="CA-2017-169943"/>
    <d v="2017-05-19T00:00:00"/>
    <x v="305"/>
    <s v="FAST"/>
    <s v="Standard Class"/>
    <s v="BN-11515"/>
    <s v="Bradley Nguyen"/>
    <x v="0"/>
    <s v="United States"/>
    <s v="New York City"/>
    <x v="15"/>
    <n v="10011"/>
    <x v="3"/>
    <s v="OFF-ST-10004123"/>
    <x v="1"/>
    <x v="4"/>
    <x v="71"/>
    <n v="454.9"/>
  </r>
  <r>
    <n v="1719"/>
    <s v="CA-2017-169943"/>
    <d v="2017-05-19T00:00:00"/>
    <x v="305"/>
    <s v="FAST"/>
    <s v="Standard Class"/>
    <s v="BN-11515"/>
    <s v="Bradley Nguyen"/>
    <x v="0"/>
    <s v="United States"/>
    <s v="New York City"/>
    <x v="15"/>
    <n v="10011"/>
    <x v="3"/>
    <s v="FUR-FU-10002088"/>
    <x v="0"/>
    <x v="5"/>
    <x v="1074"/>
    <n v="35.92"/>
  </r>
  <r>
    <n v="1720"/>
    <s v="CA-2017-169943"/>
    <d v="2017-05-19T00:00:00"/>
    <x v="305"/>
    <s v="FAST"/>
    <s v="Standard Class"/>
    <s v="BN-11515"/>
    <s v="Bradley Nguyen"/>
    <x v="0"/>
    <s v="United States"/>
    <s v="New York City"/>
    <x v="15"/>
    <n v="10011"/>
    <x v="3"/>
    <s v="FUR-FU-10000010"/>
    <x v="0"/>
    <x v="5"/>
    <x v="517"/>
    <n v="39.76"/>
  </r>
  <r>
    <n v="1721"/>
    <s v="CA-2017-169943"/>
    <d v="2017-05-19T00:00:00"/>
    <x v="305"/>
    <s v="FAST"/>
    <s v="Standard Class"/>
    <s v="BN-11515"/>
    <s v="Bradley Nguyen"/>
    <x v="0"/>
    <s v="United States"/>
    <s v="New York City"/>
    <x v="15"/>
    <n v="10011"/>
    <x v="3"/>
    <s v="OFF-BI-10002824"/>
    <x v="1"/>
    <x v="8"/>
    <x v="518"/>
    <n v="47.744"/>
  </r>
  <r>
    <n v="1722"/>
    <s v="US-2016-123218"/>
    <d v="2016-12-20T00:00:00"/>
    <x v="601"/>
    <s v="FAST"/>
    <s v="Standard Class"/>
    <s v="KD-16345"/>
    <s v="Katherine Ducich"/>
    <x v="0"/>
    <s v="United States"/>
    <s v="Chicago"/>
    <x v="10"/>
    <n v="60623"/>
    <x v="2"/>
    <s v="TEC-PH-10001061"/>
    <x v="2"/>
    <x v="7"/>
    <x v="815"/>
    <n v="159.98400000000001"/>
  </r>
  <r>
    <n v="1723"/>
    <s v="US-2016-123218"/>
    <d v="2016-12-20T00:00:00"/>
    <x v="601"/>
    <s v="FAST"/>
    <s v="Standard Class"/>
    <s v="KD-16345"/>
    <s v="Katherine Ducich"/>
    <x v="0"/>
    <s v="United States"/>
    <s v="Chicago"/>
    <x v="10"/>
    <n v="60623"/>
    <x v="2"/>
    <s v="TEC-AC-10000736"/>
    <x v="2"/>
    <x v="11"/>
    <x v="1075"/>
    <n v="255.96799999999999"/>
  </r>
  <r>
    <n v="1724"/>
    <s v="US-2016-123218"/>
    <d v="2016-12-20T00:00:00"/>
    <x v="601"/>
    <s v="FAST"/>
    <s v="Standard Class"/>
    <s v="KD-16345"/>
    <s v="Katherine Ducich"/>
    <x v="0"/>
    <s v="United States"/>
    <s v="Chicago"/>
    <x v="10"/>
    <n v="60623"/>
    <x v="2"/>
    <s v="FUR-BO-10003966"/>
    <x v="0"/>
    <x v="0"/>
    <x v="1076"/>
    <n v="359.05799999999999"/>
  </r>
  <r>
    <n v="1725"/>
    <s v="CA-2016-127453"/>
    <d v="2016-12-19T00:00:00"/>
    <x v="602"/>
    <s v="MODERATE"/>
    <s v="First Class"/>
    <s v="JK-15370"/>
    <s v="Jay Kimmel"/>
    <x v="0"/>
    <s v="United States"/>
    <s v="Philadelphia"/>
    <x v="9"/>
    <n v="19143"/>
    <x v="3"/>
    <s v="OFF-AP-10000828"/>
    <x v="1"/>
    <x v="9"/>
    <x v="1077"/>
    <n v="434.35199999999998"/>
  </r>
  <r>
    <n v="1726"/>
    <s v="CA-2016-127453"/>
    <d v="2016-12-19T00:00:00"/>
    <x v="602"/>
    <s v="MODERATE"/>
    <s v="First Class"/>
    <s v="JK-15370"/>
    <s v="Jay Kimmel"/>
    <x v="0"/>
    <s v="United States"/>
    <s v="Philadelphia"/>
    <x v="9"/>
    <n v="19143"/>
    <x v="3"/>
    <s v="OFF-AP-10002906"/>
    <x v="1"/>
    <x v="9"/>
    <x v="1078"/>
    <n v="3.552"/>
  </r>
  <r>
    <n v="1727"/>
    <s v="CA-2016-127453"/>
    <d v="2016-12-19T00:00:00"/>
    <x v="602"/>
    <s v="MODERATE"/>
    <s v="First Class"/>
    <s v="JK-15370"/>
    <s v="Jay Kimmel"/>
    <x v="0"/>
    <s v="United States"/>
    <s v="Philadelphia"/>
    <x v="9"/>
    <n v="19143"/>
    <x v="3"/>
    <s v="OFF-AP-10003860"/>
    <x v="1"/>
    <x v="9"/>
    <x v="1079"/>
    <n v="88.831999999999994"/>
  </r>
  <r>
    <n v="1728"/>
    <s v="US-2018-164056"/>
    <d v="2018-04-29T00:00:00"/>
    <x v="603"/>
    <s v="SLOW"/>
    <s v="Second Class"/>
    <s v="FM-14215"/>
    <s v="Filia McAdams"/>
    <x v="1"/>
    <s v="United States"/>
    <s v="Dublin"/>
    <x v="24"/>
    <n v="43017"/>
    <x v="3"/>
    <s v="FUR-TA-10001307"/>
    <x v="0"/>
    <x v="3"/>
    <x v="1080"/>
    <n v="1048.3499999999999"/>
  </r>
  <r>
    <n v="1729"/>
    <s v="CA-2017-106894"/>
    <d v="2017-02-07T00:00:00"/>
    <x v="604"/>
    <s v="MODERATE"/>
    <s v="Same Day"/>
    <s v="CA-12265"/>
    <s v="Christina Anderson"/>
    <x v="0"/>
    <s v="United States"/>
    <s v="Springfield"/>
    <x v="17"/>
    <n v="22153"/>
    <x v="0"/>
    <s v="TEC-AC-10003063"/>
    <x v="2"/>
    <x v="11"/>
    <x v="1043"/>
    <n v="100"/>
  </r>
  <r>
    <n v="1730"/>
    <s v="CA-2017-106894"/>
    <d v="2017-02-07T00:00:00"/>
    <x v="604"/>
    <s v="MODERATE"/>
    <s v="Same Day"/>
    <s v="CA-12265"/>
    <s v="Christina Anderson"/>
    <x v="0"/>
    <s v="United States"/>
    <s v="Springfield"/>
    <x v="17"/>
    <n v="22153"/>
    <x v="0"/>
    <s v="OFF-LA-10001045"/>
    <x v="1"/>
    <x v="2"/>
    <x v="695"/>
    <n v="7.83"/>
  </r>
  <r>
    <n v="1731"/>
    <s v="CA-2015-125136"/>
    <d v="2015-09-28T00:00:00"/>
    <x v="126"/>
    <s v="FAST"/>
    <s v="Standard Class"/>
    <s v="KD-16495"/>
    <s v="Keith Dawkins"/>
    <x v="1"/>
    <s v="United States"/>
    <s v="Fayetteville"/>
    <x v="3"/>
    <n v="28314"/>
    <x v="0"/>
    <s v="OFF-PA-10001457"/>
    <x v="1"/>
    <x v="10"/>
    <x v="1081"/>
    <n v="96.256"/>
  </r>
  <r>
    <n v="1732"/>
    <s v="CA-2015-125136"/>
    <d v="2015-09-28T00:00:00"/>
    <x v="126"/>
    <s v="FAST"/>
    <s v="Standard Class"/>
    <s v="KD-16495"/>
    <s v="Keith Dawkins"/>
    <x v="1"/>
    <s v="United States"/>
    <s v="Fayetteville"/>
    <x v="3"/>
    <n v="28314"/>
    <x v="0"/>
    <s v="OFF-PA-10001804"/>
    <x v="1"/>
    <x v="10"/>
    <x v="125"/>
    <n v="10.688000000000001"/>
  </r>
  <r>
    <n v="1733"/>
    <s v="US-2017-131149"/>
    <d v="2017-07-10T00:00:00"/>
    <x v="605"/>
    <s v="FAST"/>
    <s v="Standard Class"/>
    <s v="LH-17155"/>
    <s v="Logan Haushalter"/>
    <x v="0"/>
    <s v="United States"/>
    <s v="Dallas"/>
    <x v="5"/>
    <n v="75081"/>
    <x v="2"/>
    <s v="OFF-ST-10000689"/>
    <x v="1"/>
    <x v="4"/>
    <x v="416"/>
    <n v="338.04"/>
  </r>
  <r>
    <n v="1734"/>
    <s v="US-2017-131149"/>
    <d v="2017-07-10T00:00:00"/>
    <x v="605"/>
    <s v="FAST"/>
    <s v="Standard Class"/>
    <s v="LH-17155"/>
    <s v="Logan Haushalter"/>
    <x v="0"/>
    <s v="United States"/>
    <s v="Dallas"/>
    <x v="5"/>
    <n v="75081"/>
    <x v="2"/>
    <s v="OFF-AR-10002135"/>
    <x v="1"/>
    <x v="6"/>
    <x v="276"/>
    <n v="154.24"/>
  </r>
  <r>
    <n v="1735"/>
    <s v="CA-2018-101483"/>
    <d v="2018-07-29T00:00:00"/>
    <x v="606"/>
    <s v="SLOW"/>
    <s v="Second Class"/>
    <s v="AG-10675"/>
    <s v="Anna Gayman"/>
    <x v="0"/>
    <s v="United States"/>
    <s v="Jacksonville"/>
    <x v="3"/>
    <n v="28540"/>
    <x v="0"/>
    <s v="OFF-AP-10002082"/>
    <x v="1"/>
    <x v="9"/>
    <x v="1082"/>
    <n v="34.847999999999999"/>
  </r>
  <r>
    <n v="1736"/>
    <s v="CA-2018-101483"/>
    <d v="2018-07-29T00:00:00"/>
    <x v="606"/>
    <s v="SLOW"/>
    <s v="Second Class"/>
    <s v="AG-10675"/>
    <s v="Anna Gayman"/>
    <x v="0"/>
    <s v="United States"/>
    <s v="Jacksonville"/>
    <x v="3"/>
    <n v="28540"/>
    <x v="0"/>
    <s v="TEC-PH-10003442"/>
    <x v="2"/>
    <x v="7"/>
    <x v="872"/>
    <n v="22"/>
  </r>
  <r>
    <n v="1737"/>
    <s v="CA-2018-101483"/>
    <d v="2018-07-29T00:00:00"/>
    <x v="606"/>
    <s v="SLOW"/>
    <s v="Second Class"/>
    <s v="AG-10675"/>
    <s v="Anna Gayman"/>
    <x v="0"/>
    <s v="United States"/>
    <s v="Jacksonville"/>
    <x v="3"/>
    <n v="28540"/>
    <x v="0"/>
    <s v="OFF-AR-10002833"/>
    <x v="1"/>
    <x v="6"/>
    <x v="6"/>
    <n v="4.3680000000000003"/>
  </r>
  <r>
    <n v="1738"/>
    <s v="CA-2016-130204"/>
    <d v="2016-09-03T00:00:00"/>
    <x v="607"/>
    <s v="FAST"/>
    <s v="Standard Class"/>
    <s v="DB-13120"/>
    <s v="David Bremer"/>
    <x v="1"/>
    <s v="United States"/>
    <s v="San Francisco"/>
    <x v="1"/>
    <n v="94122"/>
    <x v="1"/>
    <s v="OFF-ST-10001325"/>
    <x v="1"/>
    <x v="4"/>
    <x v="461"/>
    <n v="31.44"/>
  </r>
  <r>
    <n v="1739"/>
    <s v="CA-2016-130204"/>
    <d v="2016-09-03T00:00:00"/>
    <x v="607"/>
    <s v="FAST"/>
    <s v="Standard Class"/>
    <s v="DB-13120"/>
    <s v="David Bremer"/>
    <x v="1"/>
    <s v="United States"/>
    <s v="San Francisco"/>
    <x v="1"/>
    <n v="94122"/>
    <x v="1"/>
    <s v="TEC-AC-10003038"/>
    <x v="2"/>
    <x v="11"/>
    <x v="1015"/>
    <n v="17.899999999999999"/>
  </r>
  <r>
    <n v="1740"/>
    <s v="CA-2016-130204"/>
    <d v="2016-09-03T00:00:00"/>
    <x v="607"/>
    <s v="FAST"/>
    <s v="Standard Class"/>
    <s v="DB-13120"/>
    <s v="David Bremer"/>
    <x v="1"/>
    <s v="United States"/>
    <s v="San Francisco"/>
    <x v="1"/>
    <n v="94122"/>
    <x v="1"/>
    <s v="TEC-AC-10003590"/>
    <x v="2"/>
    <x v="11"/>
    <x v="1083"/>
    <n v="129.44999999999999"/>
  </r>
  <r>
    <n v="1741"/>
    <s v="CA-2015-110527"/>
    <d v="2015-08-09T00:00:00"/>
    <x v="127"/>
    <s v="FAST"/>
    <s v="Standard Class"/>
    <s v="ED-13885"/>
    <s v="Emily Ducich"/>
    <x v="2"/>
    <s v="United States"/>
    <s v="San Diego"/>
    <x v="1"/>
    <n v="92037"/>
    <x v="1"/>
    <s v="OFF-LA-10000262"/>
    <x v="1"/>
    <x v="2"/>
    <x v="925"/>
    <n v="20.88"/>
  </r>
  <r>
    <n v="1742"/>
    <s v="CA-2018-152807"/>
    <d v="2018-10-30T00:00:00"/>
    <x v="546"/>
    <s v="FAST"/>
    <s v="Standard Class"/>
    <s v="MC-18100"/>
    <s v="Mick Crebagga"/>
    <x v="0"/>
    <s v="United States"/>
    <s v="Philadelphia"/>
    <x v="9"/>
    <n v="19140"/>
    <x v="3"/>
    <s v="OFF-PA-10004355"/>
    <x v="1"/>
    <x v="10"/>
    <x v="1084"/>
    <n v="20.736000000000001"/>
  </r>
  <r>
    <n v="1743"/>
    <s v="CA-2018-152807"/>
    <d v="2018-10-30T00:00:00"/>
    <x v="546"/>
    <s v="FAST"/>
    <s v="Standard Class"/>
    <s v="MC-18100"/>
    <s v="Mick Crebagga"/>
    <x v="0"/>
    <s v="United States"/>
    <s v="Philadelphia"/>
    <x v="9"/>
    <n v="19140"/>
    <x v="3"/>
    <s v="FUR-FU-10004415"/>
    <x v="0"/>
    <x v="5"/>
    <x v="1045"/>
    <n v="7.1680000000000001"/>
  </r>
  <r>
    <n v="1744"/>
    <s v="CA-2018-152807"/>
    <d v="2018-10-30T00:00:00"/>
    <x v="546"/>
    <s v="FAST"/>
    <s v="Standard Class"/>
    <s v="MC-18100"/>
    <s v="Mick Crebagga"/>
    <x v="0"/>
    <s v="United States"/>
    <s v="Philadelphia"/>
    <x v="9"/>
    <n v="19140"/>
    <x v="3"/>
    <s v="OFF-ST-10002486"/>
    <x v="1"/>
    <x v="4"/>
    <x v="687"/>
    <n v="11.167999999999999"/>
  </r>
  <r>
    <n v="1745"/>
    <s v="CA-2018-152807"/>
    <d v="2018-10-30T00:00:00"/>
    <x v="546"/>
    <s v="FAST"/>
    <s v="Standard Class"/>
    <s v="MC-18100"/>
    <s v="Mick Crebagga"/>
    <x v="0"/>
    <s v="United States"/>
    <s v="Philadelphia"/>
    <x v="9"/>
    <n v="19140"/>
    <x v="3"/>
    <s v="TEC-AC-10001142"/>
    <x v="2"/>
    <x v="11"/>
    <x v="541"/>
    <n v="442.4"/>
  </r>
  <r>
    <n v="1746"/>
    <s v="CA-2015-133270"/>
    <d v="2015-06-06T00:00:00"/>
    <x v="608"/>
    <s v="MODERATE"/>
    <s v="First Class"/>
    <s v="BM-11785"/>
    <s v="Bryan Mills"/>
    <x v="0"/>
    <s v="United States"/>
    <s v="Rochester"/>
    <x v="15"/>
    <n v="14609"/>
    <x v="3"/>
    <s v="OFF-AR-10002656"/>
    <x v="1"/>
    <x v="6"/>
    <x v="155"/>
    <n v="13.36"/>
  </r>
  <r>
    <n v="1747"/>
    <s v="CA-2017-155670"/>
    <d v="2017-08-13T00:00:00"/>
    <x v="609"/>
    <s v="SLOW"/>
    <s v="Second Class"/>
    <s v="EM-14065"/>
    <s v="Erin Mull"/>
    <x v="0"/>
    <s v="United States"/>
    <s v="Jacksonville"/>
    <x v="3"/>
    <n v="28540"/>
    <x v="0"/>
    <s v="OFF-BI-10000138"/>
    <x v="1"/>
    <x v="8"/>
    <x v="593"/>
    <n v="11.231999999999999"/>
  </r>
  <r>
    <n v="1748"/>
    <s v="CA-2017-155670"/>
    <d v="2017-08-13T00:00:00"/>
    <x v="609"/>
    <s v="SLOW"/>
    <s v="Second Class"/>
    <s v="EM-14065"/>
    <s v="Erin Mull"/>
    <x v="0"/>
    <s v="United States"/>
    <s v="Jacksonville"/>
    <x v="3"/>
    <n v="28540"/>
    <x v="0"/>
    <s v="OFF-PA-10004947"/>
    <x v="1"/>
    <x v="10"/>
    <x v="33"/>
    <n v="10.272"/>
  </r>
  <r>
    <n v="1749"/>
    <s v="US-2015-157406"/>
    <d v="2015-04-25T00:00:00"/>
    <x v="610"/>
    <s v="FAST"/>
    <s v="Standard Class"/>
    <s v="DA-13450"/>
    <s v="Dianna Arnett"/>
    <x v="2"/>
    <s v="United States"/>
    <s v="Houston"/>
    <x v="5"/>
    <n v="77095"/>
    <x v="2"/>
    <s v="OFF-PA-10003543"/>
    <x v="1"/>
    <x v="10"/>
    <x v="710"/>
    <n v="10.368"/>
  </r>
  <r>
    <n v="1751"/>
    <s v="CA-2016-139094"/>
    <d v="2016-11-22T00:00:00"/>
    <x v="560"/>
    <s v="FAST"/>
    <s v="Standard Class"/>
    <s v="MO-17800"/>
    <s v="Meg O'Connel"/>
    <x v="2"/>
    <s v="United States"/>
    <s v="San Antonio"/>
    <x v="5"/>
    <n v="78207"/>
    <x v="2"/>
    <s v="FUR-TA-10004607"/>
    <x v="0"/>
    <x v="3"/>
    <x v="1085"/>
    <n v="206.96199999999999"/>
  </r>
  <r>
    <n v="1752"/>
    <s v="CA-2018-168837"/>
    <d v="2018-10-14T00:00:00"/>
    <x v="116"/>
    <s v="MODERATE"/>
    <s v="First Class"/>
    <s v="JW-15955"/>
    <s v="Joni Wasserman"/>
    <x v="0"/>
    <s v="United States"/>
    <s v="Oakland"/>
    <x v="1"/>
    <n v="94601"/>
    <x v="1"/>
    <s v="FUR-FU-10001918"/>
    <x v="0"/>
    <x v="5"/>
    <x v="278"/>
    <n v="9.4600000000000009"/>
  </r>
  <r>
    <n v="1753"/>
    <s v="CA-2018-116715"/>
    <d v="2018-12-02T00:00:00"/>
    <x v="240"/>
    <s v="MODERATE"/>
    <s v="First Class"/>
    <s v="VW-21775"/>
    <s v="Victoria Wilson"/>
    <x v="1"/>
    <s v="United States"/>
    <s v="San Francisco"/>
    <x v="1"/>
    <n v="94122"/>
    <x v="1"/>
    <s v="OFF-ST-10004340"/>
    <x v="1"/>
    <x v="4"/>
    <x v="802"/>
    <n v="559.62"/>
  </r>
  <r>
    <n v="1754"/>
    <s v="CA-2018-116715"/>
    <d v="2018-12-02T00:00:00"/>
    <x v="240"/>
    <s v="MODERATE"/>
    <s v="First Class"/>
    <s v="VW-21775"/>
    <s v="Victoria Wilson"/>
    <x v="1"/>
    <s v="United States"/>
    <s v="San Francisco"/>
    <x v="1"/>
    <n v="94122"/>
    <x v="1"/>
    <s v="OFF-PA-10004475"/>
    <x v="1"/>
    <x v="10"/>
    <x v="1054"/>
    <n v="109.92"/>
  </r>
  <r>
    <n v="1755"/>
    <s v="CA-2018-116715"/>
    <d v="2018-12-02T00:00:00"/>
    <x v="240"/>
    <s v="MODERATE"/>
    <s v="First Class"/>
    <s v="VW-21775"/>
    <s v="Victoria Wilson"/>
    <x v="1"/>
    <s v="United States"/>
    <s v="San Francisco"/>
    <x v="1"/>
    <n v="94122"/>
    <x v="1"/>
    <s v="OFF-PA-10003893"/>
    <x v="1"/>
    <x v="10"/>
    <x v="1086"/>
    <n v="8.56"/>
  </r>
  <r>
    <n v="1756"/>
    <s v="CA-2016-135622"/>
    <d v="2016-12-08T00:00:00"/>
    <x v="222"/>
    <s v="SLOW"/>
    <s v="Second Class"/>
    <s v="TT-21460"/>
    <s v="Tonja Turnell"/>
    <x v="2"/>
    <s v="United States"/>
    <s v="Fort Worth"/>
    <x v="5"/>
    <n v="76106"/>
    <x v="2"/>
    <s v="OFF-PA-10000100"/>
    <x v="1"/>
    <x v="10"/>
    <x v="818"/>
    <n v="360.71199999999999"/>
  </r>
  <r>
    <n v="1757"/>
    <s v="CA-2016-135622"/>
    <d v="2016-12-08T00:00:00"/>
    <x v="222"/>
    <s v="SLOW"/>
    <s v="Second Class"/>
    <s v="TT-21460"/>
    <s v="Tonja Turnell"/>
    <x v="2"/>
    <s v="United States"/>
    <s v="Fort Worth"/>
    <x v="5"/>
    <n v="76106"/>
    <x v="2"/>
    <s v="TEC-PH-10001817"/>
    <x v="2"/>
    <x v="7"/>
    <x v="1087"/>
    <n v="1718.4"/>
  </r>
  <r>
    <n v="1758"/>
    <s v="US-2016-107349"/>
    <d v="2016-07-13T00:00:00"/>
    <x v="596"/>
    <s v="MODERATE"/>
    <s v="First Class"/>
    <s v="SL-20155"/>
    <s v="Sara Luxemburg"/>
    <x v="2"/>
    <s v="United States"/>
    <s v="Houston"/>
    <x v="5"/>
    <n v="77095"/>
    <x v="2"/>
    <s v="OFF-BI-10001765"/>
    <x v="1"/>
    <x v="8"/>
    <x v="977"/>
    <n v="41.567999999999998"/>
  </r>
  <r>
    <n v="1759"/>
    <s v="CA-2015-139017"/>
    <d v="2015-05-11T00:00:00"/>
    <x v="611"/>
    <s v="FAST"/>
    <s v="Standard Class"/>
    <s v="RM-19375"/>
    <s v="Raymond Messe"/>
    <x v="0"/>
    <s v="United States"/>
    <s v="Houston"/>
    <x v="5"/>
    <n v="77095"/>
    <x v="2"/>
    <s v="TEC-AC-10001013"/>
    <x v="2"/>
    <x v="11"/>
    <x v="806"/>
    <n v="46.863999999999997"/>
  </r>
  <r>
    <n v="1760"/>
    <s v="CA-2015-141817"/>
    <d v="2015-01-05T00:00:00"/>
    <x v="612"/>
    <s v="FAST"/>
    <s v="Standard Class"/>
    <s v="MB-18085"/>
    <s v="Mick Brown"/>
    <x v="0"/>
    <s v="United States"/>
    <s v="Philadelphia"/>
    <x v="9"/>
    <n v="19143"/>
    <x v="3"/>
    <s v="OFF-AR-10003478"/>
    <x v="1"/>
    <x v="6"/>
    <x v="351"/>
    <n v="19.536000000000001"/>
  </r>
  <r>
    <n v="1761"/>
    <s v="CA-2016-130785"/>
    <d v="2016-09-05T00:00:00"/>
    <x v="607"/>
    <s v="FAST"/>
    <s v="Standard Class"/>
    <s v="AG-10900"/>
    <s v="Arthur Gainer"/>
    <x v="0"/>
    <s v="United States"/>
    <s v="San Diego"/>
    <x v="1"/>
    <n v="92105"/>
    <x v="1"/>
    <s v="FUR-BO-10000330"/>
    <x v="0"/>
    <x v="0"/>
    <x v="1088"/>
    <n v="411.33199999999999"/>
  </r>
  <r>
    <n v="1762"/>
    <s v="CA-2016-130785"/>
    <d v="2016-09-05T00:00:00"/>
    <x v="607"/>
    <s v="FAST"/>
    <s v="Standard Class"/>
    <s v="AG-10900"/>
    <s v="Arthur Gainer"/>
    <x v="0"/>
    <s v="United States"/>
    <s v="San Diego"/>
    <x v="1"/>
    <n v="92105"/>
    <x v="1"/>
    <s v="OFF-BI-10001900"/>
    <x v="1"/>
    <x v="8"/>
    <x v="1089"/>
    <n v="28.751999999999999"/>
  </r>
  <r>
    <n v="1763"/>
    <s v="CA-2016-130785"/>
    <d v="2016-09-05T00:00:00"/>
    <x v="607"/>
    <s v="FAST"/>
    <s v="Standard Class"/>
    <s v="AG-10900"/>
    <s v="Arthur Gainer"/>
    <x v="0"/>
    <s v="United States"/>
    <s v="San Diego"/>
    <x v="1"/>
    <n v="92105"/>
    <x v="1"/>
    <s v="FUR-BO-10003159"/>
    <x v="0"/>
    <x v="0"/>
    <x v="1090"/>
    <n v="293.19900000000001"/>
  </r>
  <r>
    <n v="1764"/>
    <s v="CA-2017-110254"/>
    <d v="2017-08-04T00:00:00"/>
    <x v="613"/>
    <s v="FAST"/>
    <s v="Standard Class"/>
    <s v="ML-17755"/>
    <s v="Max Ludwig"/>
    <x v="2"/>
    <s v="United States"/>
    <s v="Suffolk"/>
    <x v="17"/>
    <n v="23434"/>
    <x v="0"/>
    <s v="OFF-SU-10002573"/>
    <x v="1"/>
    <x v="14"/>
    <x v="346"/>
    <n v="35.06"/>
  </r>
  <r>
    <n v="1765"/>
    <s v="CA-2017-110254"/>
    <d v="2017-08-04T00:00:00"/>
    <x v="613"/>
    <s v="FAST"/>
    <s v="Standard Class"/>
    <s v="ML-17755"/>
    <s v="Max Ludwig"/>
    <x v="2"/>
    <s v="United States"/>
    <s v="Suffolk"/>
    <x v="17"/>
    <n v="23434"/>
    <x v="0"/>
    <s v="OFF-LA-10004484"/>
    <x v="1"/>
    <x v="2"/>
    <x v="605"/>
    <n v="4.13"/>
  </r>
  <r>
    <n v="1766"/>
    <s v="CA-2017-110254"/>
    <d v="2017-08-04T00:00:00"/>
    <x v="613"/>
    <s v="FAST"/>
    <s v="Standard Class"/>
    <s v="ML-17755"/>
    <s v="Max Ludwig"/>
    <x v="2"/>
    <s v="United States"/>
    <s v="Suffolk"/>
    <x v="17"/>
    <n v="23434"/>
    <x v="0"/>
    <s v="FUR-FU-10001591"/>
    <x v="0"/>
    <x v="5"/>
    <x v="1091"/>
    <n v="109.8"/>
  </r>
  <r>
    <n v="1767"/>
    <s v="CA-2017-110254"/>
    <d v="2017-08-04T00:00:00"/>
    <x v="613"/>
    <s v="FAST"/>
    <s v="Standard Class"/>
    <s v="ML-17755"/>
    <s v="Max Ludwig"/>
    <x v="2"/>
    <s v="United States"/>
    <s v="Suffolk"/>
    <x v="17"/>
    <n v="23434"/>
    <x v="0"/>
    <s v="OFF-LA-10002034"/>
    <x v="1"/>
    <x v="2"/>
    <x v="1092"/>
    <n v="9.82"/>
  </r>
  <r>
    <n v="1768"/>
    <s v="US-2015-158057"/>
    <d v="2015-03-22T00:00:00"/>
    <x v="614"/>
    <s v="FAST"/>
    <s v="Standard Class"/>
    <s v="CC-12685"/>
    <s v="Craig Carroll"/>
    <x v="0"/>
    <s v="United States"/>
    <s v="Greensboro"/>
    <x v="3"/>
    <n v="27405"/>
    <x v="0"/>
    <s v="OFF-BI-10004410"/>
    <x v="1"/>
    <x v="8"/>
    <x v="47"/>
    <n v="7.6440000000000001"/>
  </r>
  <r>
    <n v="1769"/>
    <s v="US-2015-158057"/>
    <d v="2015-03-22T00:00:00"/>
    <x v="614"/>
    <s v="FAST"/>
    <s v="Standard Class"/>
    <s v="CC-12685"/>
    <s v="Craig Carroll"/>
    <x v="0"/>
    <s v="United States"/>
    <s v="Greensboro"/>
    <x v="3"/>
    <n v="27405"/>
    <x v="0"/>
    <s v="OFF-BI-10002735"/>
    <x v="1"/>
    <x v="8"/>
    <x v="138"/>
    <n v="51.465000000000003"/>
  </r>
  <r>
    <n v="1770"/>
    <s v="CA-2018-146024"/>
    <d v="2018-03-02T00:00:00"/>
    <x v="493"/>
    <s v="FAST"/>
    <s v="Standard Class"/>
    <s v="SC-20770"/>
    <s v="Stewart Carmichael"/>
    <x v="1"/>
    <s v="United States"/>
    <s v="Dallas"/>
    <x v="5"/>
    <n v="75081"/>
    <x v="2"/>
    <s v="OFF-SU-10001935"/>
    <x v="1"/>
    <x v="14"/>
    <x v="321"/>
    <n v="6.976"/>
  </r>
  <r>
    <n v="1771"/>
    <s v="CA-2018-146024"/>
    <d v="2018-03-02T00:00:00"/>
    <x v="493"/>
    <s v="FAST"/>
    <s v="Standard Class"/>
    <s v="SC-20770"/>
    <s v="Stewart Carmichael"/>
    <x v="1"/>
    <s v="United States"/>
    <s v="Dallas"/>
    <x v="5"/>
    <n v="75081"/>
    <x v="2"/>
    <s v="OFF-BI-10003291"/>
    <x v="1"/>
    <x v="8"/>
    <x v="43"/>
    <n v="12.222"/>
  </r>
  <r>
    <n v="1772"/>
    <s v="CA-2017-129686"/>
    <d v="2017-11-27T00:00:00"/>
    <x v="532"/>
    <s v="SLOW"/>
    <s v="Second Class"/>
    <s v="GG-14650"/>
    <s v="Greg Guthrie"/>
    <x v="1"/>
    <s v="United States"/>
    <s v="Chicago"/>
    <x v="10"/>
    <n v="60623"/>
    <x v="2"/>
    <s v="OFF-ST-10004337"/>
    <x v="1"/>
    <x v="4"/>
    <x v="832"/>
    <n v="97.983999999999995"/>
  </r>
  <r>
    <n v="1773"/>
    <s v="CA-2017-129686"/>
    <d v="2017-11-27T00:00:00"/>
    <x v="532"/>
    <s v="SLOW"/>
    <s v="Second Class"/>
    <s v="GG-14650"/>
    <s v="Greg Guthrie"/>
    <x v="1"/>
    <s v="United States"/>
    <s v="Chicago"/>
    <x v="10"/>
    <n v="60623"/>
    <x v="2"/>
    <s v="TEC-AC-10001266"/>
    <x v="2"/>
    <x v="11"/>
    <x v="193"/>
    <n v="62.4"/>
  </r>
  <r>
    <n v="1774"/>
    <s v="CA-2015-118976"/>
    <d v="2015-04-28T00:00:00"/>
    <x v="615"/>
    <s v="FAST"/>
    <s v="Standard Class"/>
    <s v="MY-18295"/>
    <s v="Muhammed Yedwab"/>
    <x v="1"/>
    <s v="United States"/>
    <s v="Baltimore"/>
    <x v="39"/>
    <n v="21215"/>
    <x v="3"/>
    <s v="OFF-BI-10001628"/>
    <x v="1"/>
    <x v="8"/>
    <x v="1093"/>
    <n v="20.86"/>
  </r>
  <r>
    <n v="1775"/>
    <s v="CA-2015-118976"/>
    <d v="2015-04-28T00:00:00"/>
    <x v="615"/>
    <s v="FAST"/>
    <s v="Standard Class"/>
    <s v="MY-18295"/>
    <s v="Muhammed Yedwab"/>
    <x v="1"/>
    <s v="United States"/>
    <s v="Baltimore"/>
    <x v="39"/>
    <n v="21215"/>
    <x v="3"/>
    <s v="OFF-ST-10000877"/>
    <x v="1"/>
    <x v="4"/>
    <x v="1094"/>
    <n v="497.61"/>
  </r>
  <r>
    <n v="1776"/>
    <s v="CA-2015-118976"/>
    <d v="2015-04-28T00:00:00"/>
    <x v="615"/>
    <s v="FAST"/>
    <s v="Standard Class"/>
    <s v="MY-18295"/>
    <s v="Muhammed Yedwab"/>
    <x v="1"/>
    <s v="United States"/>
    <s v="Baltimore"/>
    <x v="39"/>
    <n v="21215"/>
    <x v="3"/>
    <s v="OFF-AR-10004752"/>
    <x v="1"/>
    <x v="6"/>
    <x v="1095"/>
    <n v="5.34"/>
  </r>
  <r>
    <n v="1777"/>
    <s v="CA-2015-118976"/>
    <d v="2015-04-28T00:00:00"/>
    <x v="615"/>
    <s v="FAST"/>
    <s v="Standard Class"/>
    <s v="MY-18295"/>
    <s v="Muhammed Yedwab"/>
    <x v="1"/>
    <s v="United States"/>
    <s v="Baltimore"/>
    <x v="39"/>
    <n v="21215"/>
    <x v="3"/>
    <s v="OFF-LA-10000452"/>
    <x v="1"/>
    <x v="2"/>
    <x v="797"/>
    <n v="3.15"/>
  </r>
  <r>
    <n v="1778"/>
    <s v="CA-2016-105347"/>
    <d v="2016-11-24T00:00:00"/>
    <x v="616"/>
    <s v="FAST"/>
    <s v="Standard Class"/>
    <s v="DP-13000"/>
    <s v="Darren Powers"/>
    <x v="0"/>
    <s v="United States"/>
    <s v="Los Angeles"/>
    <x v="1"/>
    <n v="90004"/>
    <x v="1"/>
    <s v="OFF-PA-10000675"/>
    <x v="1"/>
    <x v="10"/>
    <x v="1096"/>
    <n v="368.91"/>
  </r>
  <r>
    <n v="1779"/>
    <s v="CA-2016-105347"/>
    <d v="2016-11-24T00:00:00"/>
    <x v="616"/>
    <s v="FAST"/>
    <s v="Standard Class"/>
    <s v="DP-13000"/>
    <s v="Darren Powers"/>
    <x v="0"/>
    <s v="United States"/>
    <s v="Los Angeles"/>
    <x v="1"/>
    <n v="90004"/>
    <x v="1"/>
    <s v="OFF-AR-10003045"/>
    <x v="1"/>
    <x v="6"/>
    <x v="415"/>
    <n v="14.7"/>
  </r>
  <r>
    <n v="1780"/>
    <s v="CA-2017-124667"/>
    <d v="2017-11-11T00:00:00"/>
    <x v="617"/>
    <s v="FAST"/>
    <s v="Standard Class"/>
    <s v="BD-11770"/>
    <s v="Bryan Davis"/>
    <x v="0"/>
    <s v="United States"/>
    <s v="New York City"/>
    <x v="15"/>
    <n v="10011"/>
    <x v="3"/>
    <s v="TEC-AC-10003447"/>
    <x v="2"/>
    <x v="11"/>
    <x v="791"/>
    <n v="59.97"/>
  </r>
  <r>
    <n v="1781"/>
    <s v="CA-2017-124667"/>
    <d v="2017-11-11T00:00:00"/>
    <x v="617"/>
    <s v="FAST"/>
    <s v="Standard Class"/>
    <s v="BD-11770"/>
    <s v="Bryan Davis"/>
    <x v="0"/>
    <s v="United States"/>
    <s v="New York City"/>
    <x v="15"/>
    <n v="10011"/>
    <x v="3"/>
    <s v="OFF-ST-10002276"/>
    <x v="1"/>
    <x v="4"/>
    <x v="221"/>
    <n v="83.36"/>
  </r>
  <r>
    <n v="1782"/>
    <s v="CA-2016-111094"/>
    <d v="2016-07-09T00:00:00"/>
    <x v="618"/>
    <s v="FAST"/>
    <s v="Standard Class"/>
    <s v="CB-12535"/>
    <s v="Claudia Bergmann"/>
    <x v="1"/>
    <s v="United States"/>
    <s v="Franklin"/>
    <x v="31"/>
    <n v="2038"/>
    <x v="3"/>
    <s v="OFF-PA-10001609"/>
    <x v="1"/>
    <x v="10"/>
    <x v="1097"/>
    <n v="6.58"/>
  </r>
  <r>
    <n v="1783"/>
    <s v="CA-2016-111094"/>
    <d v="2016-07-09T00:00:00"/>
    <x v="618"/>
    <s v="FAST"/>
    <s v="Standard Class"/>
    <s v="CB-12535"/>
    <s v="Claudia Bergmann"/>
    <x v="1"/>
    <s v="United States"/>
    <s v="Franklin"/>
    <x v="31"/>
    <n v="2038"/>
    <x v="3"/>
    <s v="OFF-BI-10001597"/>
    <x v="1"/>
    <x v="8"/>
    <x v="784"/>
    <n v="122.94"/>
  </r>
  <r>
    <n v="1784"/>
    <s v="CA-2018-166317"/>
    <d v="2018-09-22T00:00:00"/>
    <x v="254"/>
    <s v="FAST"/>
    <s v="Standard Class"/>
    <s v="JE-15610"/>
    <s v="Jim Epp"/>
    <x v="1"/>
    <s v="United States"/>
    <s v="Milwaukee"/>
    <x v="6"/>
    <n v="53209"/>
    <x v="2"/>
    <s v="OFF-PA-10004475"/>
    <x v="1"/>
    <x v="10"/>
    <x v="1054"/>
    <n v="219.84"/>
  </r>
  <r>
    <n v="1785"/>
    <s v="CA-2018-166317"/>
    <d v="2018-09-22T00:00:00"/>
    <x v="254"/>
    <s v="FAST"/>
    <s v="Standard Class"/>
    <s v="JE-15610"/>
    <s v="Jim Epp"/>
    <x v="1"/>
    <s v="United States"/>
    <s v="Milwaukee"/>
    <x v="6"/>
    <n v="53209"/>
    <x v="2"/>
    <s v="TEC-AC-10004510"/>
    <x v="2"/>
    <x v="11"/>
    <x v="937"/>
    <n v="98.16"/>
  </r>
  <r>
    <n v="1786"/>
    <s v="CA-2018-166317"/>
    <d v="2018-09-22T00:00:00"/>
    <x v="254"/>
    <s v="FAST"/>
    <s v="Standard Class"/>
    <s v="JE-15610"/>
    <s v="Jim Epp"/>
    <x v="1"/>
    <s v="United States"/>
    <s v="Milwaukee"/>
    <x v="6"/>
    <n v="53209"/>
    <x v="2"/>
    <s v="OFF-BI-10002976"/>
    <x v="1"/>
    <x v="8"/>
    <x v="842"/>
    <n v="33.04"/>
  </r>
  <r>
    <n v="1787"/>
    <s v="CA-2018-166317"/>
    <d v="2018-09-22T00:00:00"/>
    <x v="254"/>
    <s v="FAST"/>
    <s v="Standard Class"/>
    <s v="JE-15610"/>
    <s v="Jim Epp"/>
    <x v="1"/>
    <s v="United States"/>
    <s v="Milwaukee"/>
    <x v="6"/>
    <n v="53209"/>
    <x v="2"/>
    <s v="TEC-PH-10001615"/>
    <x v="2"/>
    <x v="7"/>
    <x v="1098"/>
    <n v="86.97"/>
  </r>
  <r>
    <n v="1788"/>
    <s v="CA-2016-154326"/>
    <d v="2016-02-15T00:00:00"/>
    <x v="619"/>
    <s v="FAST"/>
    <s v="Standard Class"/>
    <s v="RP-19855"/>
    <s v="Roy Phan"/>
    <x v="1"/>
    <s v="United States"/>
    <s v="Kenosha"/>
    <x v="6"/>
    <n v="53142"/>
    <x v="2"/>
    <s v="TEC-PH-10001819"/>
    <x v="2"/>
    <x v="7"/>
    <x v="798"/>
    <n v="134.97"/>
  </r>
  <r>
    <n v="1789"/>
    <s v="CA-2016-154326"/>
    <d v="2016-02-15T00:00:00"/>
    <x v="619"/>
    <s v="FAST"/>
    <s v="Standard Class"/>
    <s v="RP-19855"/>
    <s v="Roy Phan"/>
    <x v="1"/>
    <s v="United States"/>
    <s v="Kenosha"/>
    <x v="6"/>
    <n v="53142"/>
    <x v="2"/>
    <s v="TEC-PH-10000560"/>
    <x v="2"/>
    <x v="7"/>
    <x v="739"/>
    <n v="699.98"/>
  </r>
  <r>
    <n v="1790"/>
    <s v="CA-2016-154326"/>
    <d v="2016-02-15T00:00:00"/>
    <x v="619"/>
    <s v="FAST"/>
    <s v="Standard Class"/>
    <s v="RP-19855"/>
    <s v="Roy Phan"/>
    <x v="1"/>
    <s v="United States"/>
    <s v="Kenosha"/>
    <x v="6"/>
    <n v="53142"/>
    <x v="2"/>
    <s v="TEC-AC-10004568"/>
    <x v="2"/>
    <x v="11"/>
    <x v="1099"/>
    <n v="139.94999999999999"/>
  </r>
  <r>
    <n v="1791"/>
    <s v="CA-2015-102008"/>
    <d v="2015-09-30T00:00:00"/>
    <x v="620"/>
    <s v="FAST"/>
    <s v="Standard Class"/>
    <s v="RA-19915"/>
    <s v="Russell Applegate"/>
    <x v="0"/>
    <s v="United States"/>
    <s v="New York City"/>
    <x v="15"/>
    <n v="10011"/>
    <x v="3"/>
    <s v="OFF-PA-10004092"/>
    <x v="1"/>
    <x v="10"/>
    <x v="581"/>
    <n v="48.94"/>
  </r>
  <r>
    <n v="1792"/>
    <s v="CA-2015-120474"/>
    <d v="2015-12-01T00:00:00"/>
    <x v="543"/>
    <s v="MODERATE"/>
    <s v="First Class"/>
    <s v="RP-19390"/>
    <s v="Resi PÃ¶lking"/>
    <x v="0"/>
    <s v="United States"/>
    <s v="Madison"/>
    <x v="6"/>
    <n v="53711"/>
    <x v="2"/>
    <s v="FUR-CH-10001854"/>
    <x v="0"/>
    <x v="1"/>
    <x v="1100"/>
    <n v="2807.84"/>
  </r>
  <r>
    <n v="1793"/>
    <s v="CA-2015-120474"/>
    <d v="2015-12-01T00:00:00"/>
    <x v="543"/>
    <s v="MODERATE"/>
    <s v="First Class"/>
    <s v="RP-19390"/>
    <s v="Resi PÃ¶lking"/>
    <x v="0"/>
    <s v="United States"/>
    <s v="Madison"/>
    <x v="6"/>
    <n v="53711"/>
    <x v="2"/>
    <s v="OFF-AR-10000475"/>
    <x v="1"/>
    <x v="6"/>
    <x v="1101"/>
    <n v="46.64"/>
  </r>
  <r>
    <n v="1794"/>
    <s v="CA-2015-104773"/>
    <d v="2015-12-08T00:00:00"/>
    <x v="621"/>
    <s v="FAST"/>
    <s v="Standard Class"/>
    <s v="TB-21175"/>
    <s v="Thomas Boland"/>
    <x v="1"/>
    <s v="United States"/>
    <s v="Houston"/>
    <x v="5"/>
    <n v="77041"/>
    <x v="2"/>
    <s v="OFF-ST-10000777"/>
    <x v="1"/>
    <x v="4"/>
    <x v="113"/>
    <n v="60.415999999999997"/>
  </r>
  <r>
    <n v="1795"/>
    <s v="CA-2017-140774"/>
    <d v="2017-09-05T00:00:00"/>
    <x v="164"/>
    <s v="FAST"/>
    <s v="Standard Class"/>
    <s v="BE-11455"/>
    <s v="Brad Eason"/>
    <x v="2"/>
    <s v="United States"/>
    <s v="Olathe"/>
    <x v="41"/>
    <n v="66062"/>
    <x v="2"/>
    <s v="OFF-AR-10004022"/>
    <x v="1"/>
    <x v="6"/>
    <x v="891"/>
    <n v="107.94"/>
  </r>
  <r>
    <n v="1796"/>
    <s v="US-2018-139465"/>
    <d v="2018-08-27T00:00:00"/>
    <x v="622"/>
    <s v="MODERATE"/>
    <s v="First Class"/>
    <s v="MR-17545"/>
    <s v="Mathew Reese"/>
    <x v="2"/>
    <s v="United States"/>
    <s v="New York City"/>
    <x v="15"/>
    <n v="10024"/>
    <x v="3"/>
    <s v="OFF-ST-10002352"/>
    <x v="1"/>
    <x v="4"/>
    <x v="840"/>
    <n v="63.84"/>
  </r>
  <r>
    <n v="1797"/>
    <s v="US-2018-139465"/>
    <d v="2018-08-27T00:00:00"/>
    <x v="622"/>
    <s v="MODERATE"/>
    <s v="First Class"/>
    <s v="MR-17545"/>
    <s v="Mathew Reese"/>
    <x v="2"/>
    <s v="United States"/>
    <s v="New York City"/>
    <x v="15"/>
    <n v="10024"/>
    <x v="3"/>
    <s v="TEC-PH-10000455"/>
    <x v="2"/>
    <x v="7"/>
    <x v="1102"/>
    <n v="347.97"/>
  </r>
  <r>
    <n v="1798"/>
    <s v="US-2018-139465"/>
    <d v="2018-08-27T00:00:00"/>
    <x v="622"/>
    <s v="MODERATE"/>
    <s v="First Class"/>
    <s v="MR-17545"/>
    <s v="Mathew Reese"/>
    <x v="2"/>
    <s v="United States"/>
    <s v="New York City"/>
    <x v="15"/>
    <n v="10024"/>
    <x v="3"/>
    <s v="OFF-BI-10003910"/>
    <x v="1"/>
    <x v="8"/>
    <x v="8"/>
    <n v="37.008000000000003"/>
  </r>
  <r>
    <n v="1799"/>
    <s v="CA-2017-100965"/>
    <d v="2017-07-07T00:00:00"/>
    <x v="623"/>
    <s v="FAST"/>
    <s v="Standard Class"/>
    <s v="RM-19375"/>
    <s v="Raymond Messe"/>
    <x v="0"/>
    <s v="United States"/>
    <s v="San Jose"/>
    <x v="1"/>
    <n v="95123"/>
    <x v="1"/>
    <s v="FUR-FU-10003039"/>
    <x v="0"/>
    <x v="5"/>
    <x v="474"/>
    <n v="215.65"/>
  </r>
  <r>
    <n v="1800"/>
    <s v="CA-2017-121034"/>
    <d v="2017-08-08T00:00:00"/>
    <x v="624"/>
    <s v="SLOW"/>
    <s v="Second Class"/>
    <s v="JF-15565"/>
    <s v="Jill Fjeld"/>
    <x v="0"/>
    <s v="United States"/>
    <s v="Dallas"/>
    <x v="5"/>
    <n v="75081"/>
    <x v="2"/>
    <s v="OFF-FA-10000585"/>
    <x v="1"/>
    <x v="13"/>
    <x v="199"/>
    <n v="11.167999999999999"/>
  </r>
  <r>
    <n v="1801"/>
    <s v="CA-2017-121034"/>
    <d v="2017-08-08T00:00:00"/>
    <x v="624"/>
    <s v="SLOW"/>
    <s v="Second Class"/>
    <s v="JF-15565"/>
    <s v="Jill Fjeld"/>
    <x v="0"/>
    <s v="United States"/>
    <s v="Dallas"/>
    <x v="5"/>
    <n v="75081"/>
    <x v="2"/>
    <s v="OFF-PA-10001994"/>
    <x v="1"/>
    <x v="10"/>
    <x v="1103"/>
    <n v="53.951999999999998"/>
  </r>
  <r>
    <n v="1802"/>
    <s v="CA-2017-149461"/>
    <d v="2017-11-13T00:00:00"/>
    <x v="422"/>
    <s v="FAST"/>
    <s v="Standard Class"/>
    <s v="AS-10135"/>
    <s v="Adrian Shami"/>
    <x v="2"/>
    <s v="United States"/>
    <s v="Auburn"/>
    <x v="4"/>
    <n v="98002"/>
    <x v="1"/>
    <s v="FUR-FU-10004270"/>
    <x v="0"/>
    <x v="5"/>
    <x v="981"/>
    <n v="4.18"/>
  </r>
  <r>
    <n v="1803"/>
    <s v="CA-2018-158379"/>
    <d v="2018-09-22T00:00:00"/>
    <x v="254"/>
    <s v="SLOW"/>
    <s v="Second Class"/>
    <s v="JA-15970"/>
    <s v="Joseph Airdo"/>
    <x v="0"/>
    <s v="United States"/>
    <s v="Philadelphia"/>
    <x v="9"/>
    <n v="19134"/>
    <x v="3"/>
    <s v="OFF-BI-10002498"/>
    <x v="1"/>
    <x v="8"/>
    <x v="430"/>
    <n v="5.6070000000000002"/>
  </r>
  <r>
    <n v="1804"/>
    <s v="CA-2018-158379"/>
    <d v="2018-09-22T00:00:00"/>
    <x v="254"/>
    <s v="SLOW"/>
    <s v="Second Class"/>
    <s v="JA-15970"/>
    <s v="Joseph Airdo"/>
    <x v="0"/>
    <s v="United States"/>
    <s v="Philadelphia"/>
    <x v="9"/>
    <n v="19134"/>
    <x v="3"/>
    <s v="OFF-SU-10002881"/>
    <x v="1"/>
    <x v="14"/>
    <x v="456"/>
    <n v="4663.7359999999999"/>
  </r>
  <r>
    <n v="1805"/>
    <s v="CA-2018-158379"/>
    <d v="2018-09-22T00:00:00"/>
    <x v="254"/>
    <s v="SLOW"/>
    <s v="Second Class"/>
    <s v="JA-15970"/>
    <s v="Joseph Airdo"/>
    <x v="0"/>
    <s v="United States"/>
    <s v="Philadelphia"/>
    <x v="9"/>
    <n v="19134"/>
    <x v="3"/>
    <s v="TEC-AC-10002926"/>
    <x v="2"/>
    <x v="11"/>
    <x v="1104"/>
    <n v="79.983999999999995"/>
  </r>
  <r>
    <n v="1806"/>
    <s v="US-2017-116729"/>
    <d v="2017-12-25T00:00:00"/>
    <x v="469"/>
    <s v="MODERATE"/>
    <s v="First Class"/>
    <s v="GK-14620"/>
    <s v="Grace Kelly"/>
    <x v="1"/>
    <s v="United States"/>
    <s v="Los Angeles"/>
    <x v="1"/>
    <n v="90049"/>
    <x v="1"/>
    <s v="TEC-PH-10002200"/>
    <x v="2"/>
    <x v="7"/>
    <x v="862"/>
    <n v="2575.944"/>
  </r>
  <r>
    <n v="1807"/>
    <s v="US-2017-116729"/>
    <d v="2017-12-25T00:00:00"/>
    <x v="469"/>
    <s v="MODERATE"/>
    <s v="First Class"/>
    <s v="GK-14620"/>
    <s v="Grace Kelly"/>
    <x v="1"/>
    <s v="United States"/>
    <s v="Los Angeles"/>
    <x v="1"/>
    <n v="90049"/>
    <x v="1"/>
    <s v="OFF-PA-10002005"/>
    <x v="1"/>
    <x v="10"/>
    <x v="500"/>
    <n v="45.36"/>
  </r>
  <r>
    <n v="1808"/>
    <s v="US-2017-116729"/>
    <d v="2017-12-25T00:00:00"/>
    <x v="469"/>
    <s v="MODERATE"/>
    <s v="First Class"/>
    <s v="GK-14620"/>
    <s v="Grace Kelly"/>
    <x v="1"/>
    <s v="United States"/>
    <s v="Los Angeles"/>
    <x v="1"/>
    <n v="90049"/>
    <x v="1"/>
    <s v="TEC-AC-10001465"/>
    <x v="2"/>
    <x v="11"/>
    <x v="468"/>
    <n v="254.24"/>
  </r>
  <r>
    <n v="1809"/>
    <s v="CA-2017-164938"/>
    <d v="2017-02-11T00:00:00"/>
    <x v="625"/>
    <s v="MODERATE"/>
    <s v="First Class"/>
    <s v="PB-19210"/>
    <s v="Phillip Breyer"/>
    <x v="1"/>
    <s v="United States"/>
    <s v="Tulsa"/>
    <x v="26"/>
    <n v="74133"/>
    <x v="2"/>
    <s v="TEC-PH-10004897"/>
    <x v="2"/>
    <x v="7"/>
    <x v="1105"/>
    <n v="69.930000000000007"/>
  </r>
  <r>
    <n v="1810"/>
    <s v="CA-2017-165484"/>
    <d v="2017-10-23T00:00:00"/>
    <x v="153"/>
    <s v="FAST"/>
    <s v="Standard Class"/>
    <s v="HK-14890"/>
    <s v="Heather Kirkland"/>
    <x v="1"/>
    <s v="United States"/>
    <s v="Chicago"/>
    <x v="10"/>
    <n v="60610"/>
    <x v="2"/>
    <s v="FUR-FU-10001196"/>
    <x v="0"/>
    <x v="5"/>
    <x v="1106"/>
    <n v="16.155999999999999"/>
  </r>
  <r>
    <n v="1811"/>
    <s v="CA-2017-165484"/>
    <d v="2017-10-23T00:00:00"/>
    <x v="153"/>
    <s v="FAST"/>
    <s v="Standard Class"/>
    <s v="HK-14890"/>
    <s v="Heather Kirkland"/>
    <x v="1"/>
    <s v="United States"/>
    <s v="Chicago"/>
    <x v="10"/>
    <n v="60610"/>
    <x v="2"/>
    <s v="OFF-PA-10000595"/>
    <x v="1"/>
    <x v="10"/>
    <x v="1107"/>
    <n v="54.816000000000003"/>
  </r>
  <r>
    <n v="1812"/>
    <s v="CA-2015-132612"/>
    <d v="2015-06-09T00:00:00"/>
    <x v="626"/>
    <s v="SLOW"/>
    <s v="Second Class"/>
    <s v="FO-14305"/>
    <s v="Frank Olsen"/>
    <x v="0"/>
    <s v="United States"/>
    <s v="Harrisonburg"/>
    <x v="17"/>
    <n v="22801"/>
    <x v="0"/>
    <s v="FUR-TA-10004534"/>
    <x v="0"/>
    <x v="3"/>
    <x v="117"/>
    <n v="1441.3"/>
  </r>
  <r>
    <n v="1813"/>
    <s v="US-2018-161193"/>
    <d v="2018-11-20T00:00:00"/>
    <x v="176"/>
    <s v="FAST"/>
    <s v="Standard Class"/>
    <s v="BT-11680"/>
    <s v="Brian Thompson"/>
    <x v="0"/>
    <s v="United States"/>
    <s v="Newark"/>
    <x v="24"/>
    <n v="43055"/>
    <x v="3"/>
    <s v="FUR-FU-10001861"/>
    <x v="0"/>
    <x v="5"/>
    <x v="270"/>
    <n v="77.599999999999994"/>
  </r>
  <r>
    <n v="1814"/>
    <s v="US-2018-161193"/>
    <d v="2018-11-20T00:00:00"/>
    <x v="176"/>
    <s v="FAST"/>
    <s v="Standard Class"/>
    <s v="BT-11680"/>
    <s v="Brian Thompson"/>
    <x v="0"/>
    <s v="United States"/>
    <s v="Newark"/>
    <x v="24"/>
    <n v="43055"/>
    <x v="3"/>
    <s v="FUR-FU-10000206"/>
    <x v="0"/>
    <x v="5"/>
    <x v="389"/>
    <n v="4.6559999999999997"/>
  </r>
  <r>
    <n v="1815"/>
    <s v="CA-2016-131597"/>
    <d v="2016-09-14T00:00:00"/>
    <x v="627"/>
    <s v="FAST"/>
    <s v="Standard Class"/>
    <s v="SP-20620"/>
    <s v="Stefania Perrino"/>
    <x v="1"/>
    <s v="United States"/>
    <s v="Los Angeles"/>
    <x v="1"/>
    <n v="90045"/>
    <x v="1"/>
    <s v="FUR-TA-10002607"/>
    <x v="0"/>
    <x v="3"/>
    <x v="219"/>
    <n v="170.136"/>
  </r>
  <r>
    <n v="1816"/>
    <s v="CA-2016-164833"/>
    <d v="2016-06-04T00:00:00"/>
    <x v="628"/>
    <s v="MODERATE"/>
    <s v="Same Day"/>
    <s v="LL-16840"/>
    <s v="Lauren Leatherbury"/>
    <x v="0"/>
    <s v="United States"/>
    <s v="Seattle"/>
    <x v="4"/>
    <n v="98105"/>
    <x v="1"/>
    <s v="OFF-LA-10000443"/>
    <x v="1"/>
    <x v="2"/>
    <x v="1108"/>
    <n v="7.38"/>
  </r>
  <r>
    <n v="1817"/>
    <s v="CA-2016-164833"/>
    <d v="2016-06-04T00:00:00"/>
    <x v="628"/>
    <s v="MODERATE"/>
    <s v="Same Day"/>
    <s v="LL-16840"/>
    <s v="Lauren Leatherbury"/>
    <x v="0"/>
    <s v="United States"/>
    <s v="Seattle"/>
    <x v="4"/>
    <n v="98105"/>
    <x v="1"/>
    <s v="OFF-AR-10004685"/>
    <x v="1"/>
    <x v="6"/>
    <x v="178"/>
    <n v="9.26"/>
  </r>
  <r>
    <n v="1818"/>
    <s v="CA-2016-125423"/>
    <d v="2016-12-13T00:00:00"/>
    <x v="629"/>
    <s v="SLOW"/>
    <s v="Second Class"/>
    <s v="MC-17575"/>
    <s v="Matt Collins"/>
    <x v="0"/>
    <s v="United States"/>
    <s v="Los Angeles"/>
    <x v="1"/>
    <n v="90036"/>
    <x v="1"/>
    <s v="OFF-LA-10001771"/>
    <x v="1"/>
    <x v="2"/>
    <x v="1109"/>
    <n v="9.9600000000000009"/>
  </r>
  <r>
    <n v="1819"/>
    <s v="US-2015-130379"/>
    <d v="2015-05-25T00:00:00"/>
    <x v="630"/>
    <s v="FAST"/>
    <s v="Standard Class"/>
    <s v="JL-15235"/>
    <s v="Janet Lee"/>
    <x v="0"/>
    <s v="United States"/>
    <s v="Chicago"/>
    <x v="10"/>
    <n v="60623"/>
    <x v="2"/>
    <s v="OFF-AP-10001394"/>
    <x v="1"/>
    <x v="9"/>
    <x v="1110"/>
    <n v="75.599999999999994"/>
  </r>
  <r>
    <n v="1820"/>
    <s v="US-2015-130379"/>
    <d v="2015-05-25T00:00:00"/>
    <x v="630"/>
    <s v="FAST"/>
    <s v="Standard Class"/>
    <s v="JL-15235"/>
    <s v="Janet Lee"/>
    <x v="0"/>
    <s v="United States"/>
    <s v="Chicago"/>
    <x v="10"/>
    <n v="60623"/>
    <x v="2"/>
    <s v="FUR-FU-10002553"/>
    <x v="0"/>
    <x v="5"/>
    <x v="1111"/>
    <n v="29.32"/>
  </r>
  <r>
    <n v="1821"/>
    <s v="CA-2017-168956"/>
    <d v="2017-02-16T00:00:00"/>
    <x v="631"/>
    <s v="FAST"/>
    <s v="Standard Class"/>
    <s v="EA-14035"/>
    <s v="Erin Ashbrook"/>
    <x v="1"/>
    <s v="United States"/>
    <s v="Chicago"/>
    <x v="10"/>
    <n v="60623"/>
    <x v="2"/>
    <s v="OFF-AP-10004233"/>
    <x v="1"/>
    <x v="9"/>
    <x v="1112"/>
    <n v="92.063999999999993"/>
  </r>
  <r>
    <n v="1822"/>
    <s v="CA-2017-168956"/>
    <d v="2017-02-16T00:00:00"/>
    <x v="631"/>
    <s v="FAST"/>
    <s v="Standard Class"/>
    <s v="EA-14035"/>
    <s v="Erin Ashbrook"/>
    <x v="1"/>
    <s v="United States"/>
    <s v="Chicago"/>
    <x v="10"/>
    <n v="60623"/>
    <x v="2"/>
    <s v="OFF-FA-10000304"/>
    <x v="1"/>
    <x v="13"/>
    <x v="51"/>
    <n v="6.976"/>
  </r>
  <r>
    <n v="1823"/>
    <s v="CA-2017-168956"/>
    <d v="2017-02-16T00:00:00"/>
    <x v="631"/>
    <s v="FAST"/>
    <s v="Standard Class"/>
    <s v="EA-14035"/>
    <s v="Erin Ashbrook"/>
    <x v="1"/>
    <s v="United States"/>
    <s v="Chicago"/>
    <x v="10"/>
    <n v="60623"/>
    <x v="2"/>
    <s v="FUR-CH-10004754"/>
    <x v="0"/>
    <x v="1"/>
    <x v="1113"/>
    <n v="62.957999999999998"/>
  </r>
  <r>
    <n v="1824"/>
    <s v="CA-2017-168956"/>
    <d v="2017-02-16T00:00:00"/>
    <x v="631"/>
    <s v="FAST"/>
    <s v="Standard Class"/>
    <s v="EA-14035"/>
    <s v="Erin Ashbrook"/>
    <x v="1"/>
    <s v="United States"/>
    <s v="Chicago"/>
    <x v="10"/>
    <n v="60623"/>
    <x v="2"/>
    <s v="OFF-PA-10000809"/>
    <x v="1"/>
    <x v="10"/>
    <x v="1114"/>
    <n v="5.1840000000000002"/>
  </r>
  <r>
    <n v="1825"/>
    <s v="CA-2017-167507"/>
    <d v="2017-12-22T00:00:00"/>
    <x v="469"/>
    <s v="FAST"/>
    <s v="Standard Class"/>
    <s v="SA-20830"/>
    <s v="Sue Ann Reed"/>
    <x v="0"/>
    <s v="United States"/>
    <s v="Redmond"/>
    <x v="21"/>
    <n v="97756"/>
    <x v="1"/>
    <s v="OFF-BI-10003694"/>
    <x v="1"/>
    <x v="8"/>
    <x v="843"/>
    <n v="31.32"/>
  </r>
  <r>
    <n v="1827"/>
    <s v="CA-2017-167507"/>
    <d v="2017-12-22T00:00:00"/>
    <x v="469"/>
    <s v="FAST"/>
    <s v="Standard Class"/>
    <s v="SA-20830"/>
    <s v="Sue Ann Reed"/>
    <x v="0"/>
    <s v="United States"/>
    <s v="Redmond"/>
    <x v="21"/>
    <n v="97756"/>
    <x v="1"/>
    <s v="FUR-FU-10002878"/>
    <x v="0"/>
    <x v="5"/>
    <x v="1115"/>
    <n v="22.783999999999999"/>
  </r>
  <r>
    <n v="1828"/>
    <s v="CA-2017-109344"/>
    <d v="2017-02-08T00:00:00"/>
    <x v="632"/>
    <s v="SLOW"/>
    <s v="Second Class"/>
    <s v="CH-12070"/>
    <s v="Cathy Hwang"/>
    <x v="2"/>
    <s v="United States"/>
    <s v="Raleigh"/>
    <x v="3"/>
    <n v="27604"/>
    <x v="0"/>
    <s v="TEC-PH-10002624"/>
    <x v="2"/>
    <x v="7"/>
    <x v="1116"/>
    <n v="1127.9760000000001"/>
  </r>
  <r>
    <n v="1829"/>
    <s v="US-2016-140851"/>
    <d v="2016-07-13T00:00:00"/>
    <x v="596"/>
    <s v="SLOW"/>
    <s v="Second Class"/>
    <s v="ND-18460"/>
    <s v="Neil Ducich"/>
    <x v="1"/>
    <s v="United States"/>
    <s v="Macon"/>
    <x v="32"/>
    <n v="31204"/>
    <x v="0"/>
    <s v="OFF-PA-10000019"/>
    <x v="1"/>
    <x v="10"/>
    <x v="698"/>
    <n v="38.880000000000003"/>
  </r>
  <r>
    <n v="1830"/>
    <s v="CA-2015-103373"/>
    <d v="2015-05-18T00:00:00"/>
    <x v="633"/>
    <s v="FAST"/>
    <s v="Standard Class"/>
    <s v="BS-11755"/>
    <s v="Bruce Stewart"/>
    <x v="0"/>
    <s v="United States"/>
    <s v="Cleveland"/>
    <x v="24"/>
    <n v="44105"/>
    <x v="3"/>
    <s v="TEC-PH-10002885"/>
    <x v="2"/>
    <x v="7"/>
    <x v="1117"/>
    <n v="779.79600000000005"/>
  </r>
  <r>
    <n v="1831"/>
    <s v="CA-2018-145884"/>
    <d v="2018-10-21T00:00:00"/>
    <x v="563"/>
    <s v="MODERATE"/>
    <s v="Same Day"/>
    <s v="SL-20155"/>
    <s v="Sara Luxemburg"/>
    <x v="2"/>
    <s v="United States"/>
    <s v="Muskogee"/>
    <x v="26"/>
    <n v="74403"/>
    <x v="2"/>
    <s v="TEC-PH-10000895"/>
    <x v="2"/>
    <x v="7"/>
    <x v="1118"/>
    <n v="1439.92"/>
  </r>
  <r>
    <n v="1832"/>
    <s v="CA-2018-145884"/>
    <d v="2018-10-21T00:00:00"/>
    <x v="563"/>
    <s v="MODERATE"/>
    <s v="Same Day"/>
    <s v="SL-20155"/>
    <s v="Sara Luxemburg"/>
    <x v="2"/>
    <s v="United States"/>
    <s v="Muskogee"/>
    <x v="26"/>
    <n v="74403"/>
    <x v="2"/>
    <s v="FUR-TA-10002356"/>
    <x v="0"/>
    <x v="3"/>
    <x v="722"/>
    <n v="262.11"/>
  </r>
  <r>
    <n v="1833"/>
    <s v="CA-2016-131422"/>
    <d v="2016-11-05T00:00:00"/>
    <x v="216"/>
    <s v="FAST"/>
    <s v="Standard Class"/>
    <s v="GB-14530"/>
    <s v="George Bell"/>
    <x v="1"/>
    <s v="United States"/>
    <s v="Monroe"/>
    <x v="3"/>
    <n v="28110"/>
    <x v="0"/>
    <s v="FUR-CH-10001270"/>
    <x v="0"/>
    <x v="1"/>
    <x v="845"/>
    <n v="207"/>
  </r>
  <r>
    <n v="1834"/>
    <s v="CA-2018-162691"/>
    <d v="2018-08-01T00:00:00"/>
    <x v="634"/>
    <s v="FAST"/>
    <s v="Standard Class"/>
    <s v="AS-10045"/>
    <s v="Aaron Smayling"/>
    <x v="1"/>
    <s v="United States"/>
    <s v="Austin"/>
    <x v="5"/>
    <n v="78745"/>
    <x v="2"/>
    <s v="TEC-MA-10000488"/>
    <x v="2"/>
    <x v="15"/>
    <x v="1119"/>
    <n v="1439.982"/>
  </r>
  <r>
    <n v="1835"/>
    <s v="CA-2018-162691"/>
    <d v="2018-08-01T00:00:00"/>
    <x v="634"/>
    <s v="FAST"/>
    <s v="Standard Class"/>
    <s v="AS-10045"/>
    <s v="Aaron Smayling"/>
    <x v="1"/>
    <s v="United States"/>
    <s v="Austin"/>
    <x v="5"/>
    <n v="78745"/>
    <x v="2"/>
    <s v="OFF-PA-10003729"/>
    <x v="1"/>
    <x v="10"/>
    <x v="1120"/>
    <n v="36.287999999999997"/>
  </r>
  <r>
    <n v="1836"/>
    <s v="CA-2015-141278"/>
    <d v="2015-06-21T00:00:00"/>
    <x v="635"/>
    <s v="MODERATE"/>
    <s v="First Class"/>
    <s v="RM-19375"/>
    <s v="Raymond Messe"/>
    <x v="0"/>
    <s v="United States"/>
    <s v="Meriden"/>
    <x v="29"/>
    <n v="6450"/>
    <x v="3"/>
    <s v="OFF-AR-10003056"/>
    <x v="1"/>
    <x v="6"/>
    <x v="18"/>
    <n v="21.4"/>
  </r>
  <r>
    <n v="1837"/>
    <s v="CA-2018-122693"/>
    <d v="2018-02-19T00:00:00"/>
    <x v="636"/>
    <s v="SLOW"/>
    <s v="Second Class"/>
    <s v="NH-18610"/>
    <s v="Nicole Hansen"/>
    <x v="1"/>
    <s v="United States"/>
    <s v="Roswell"/>
    <x v="32"/>
    <n v="30076"/>
    <x v="0"/>
    <s v="OFF-AP-10002518"/>
    <x v="1"/>
    <x v="9"/>
    <x v="156"/>
    <n v="1245.8599999999999"/>
  </r>
  <r>
    <n v="1838"/>
    <s v="CA-2015-117345"/>
    <d v="2015-08-01T00:00:00"/>
    <x v="89"/>
    <s v="FAST"/>
    <s v="Standard Class"/>
    <s v="BF-10975"/>
    <s v="Barbara Fisher"/>
    <x v="1"/>
    <s v="United States"/>
    <s v="Charlotte"/>
    <x v="3"/>
    <n v="28205"/>
    <x v="0"/>
    <s v="OFF-LA-10000240"/>
    <x v="1"/>
    <x v="2"/>
    <x v="2"/>
    <n v="17.544"/>
  </r>
  <r>
    <n v="1840"/>
    <s v="CA-2015-117345"/>
    <d v="2015-08-01T00:00:00"/>
    <x v="89"/>
    <s v="FAST"/>
    <s v="Standard Class"/>
    <s v="BF-10975"/>
    <s v="Barbara Fisher"/>
    <x v="1"/>
    <s v="United States"/>
    <s v="Charlotte"/>
    <x v="3"/>
    <n v="28205"/>
    <x v="0"/>
    <s v="OFF-AP-10001005"/>
    <x v="1"/>
    <x v="9"/>
    <x v="1121"/>
    <n v="62.92"/>
  </r>
  <r>
    <n v="1841"/>
    <s v="CA-2015-117345"/>
    <d v="2015-08-01T00:00:00"/>
    <x v="89"/>
    <s v="FAST"/>
    <s v="Standard Class"/>
    <s v="BF-10975"/>
    <s v="Barbara Fisher"/>
    <x v="1"/>
    <s v="United States"/>
    <s v="Charlotte"/>
    <x v="3"/>
    <n v="28205"/>
    <x v="0"/>
    <s v="OFF-PA-10002377"/>
    <x v="1"/>
    <x v="10"/>
    <x v="123"/>
    <n v="78.304000000000002"/>
  </r>
  <r>
    <n v="1842"/>
    <s v="CA-2017-157763"/>
    <d v="2017-07-18T00:00:00"/>
    <x v="637"/>
    <s v="FAST"/>
    <s v="Standard Class"/>
    <s v="KH-16330"/>
    <s v="Katharine Harms"/>
    <x v="1"/>
    <s v="United States"/>
    <s v="Bowling Green"/>
    <x v="0"/>
    <n v="42104"/>
    <x v="0"/>
    <s v="FUR-CH-10000988"/>
    <x v="0"/>
    <x v="1"/>
    <x v="1122"/>
    <n v="140.81"/>
  </r>
  <r>
    <n v="1843"/>
    <s v="CA-2016-135391"/>
    <d v="2016-02-09T00:00:00"/>
    <x v="638"/>
    <s v="SLOW"/>
    <s v="Second Class"/>
    <s v="FA-14230"/>
    <s v="Frank Atkinson"/>
    <x v="1"/>
    <s v="United States"/>
    <s v="San Antonio"/>
    <x v="5"/>
    <n v="78207"/>
    <x v="2"/>
    <s v="OFF-LA-10001074"/>
    <x v="1"/>
    <x v="2"/>
    <x v="295"/>
    <n v="40.095999999999997"/>
  </r>
  <r>
    <n v="1844"/>
    <s v="CA-2016-135391"/>
    <d v="2016-02-09T00:00:00"/>
    <x v="638"/>
    <s v="SLOW"/>
    <s v="Second Class"/>
    <s v="FA-14230"/>
    <s v="Frank Atkinson"/>
    <x v="1"/>
    <s v="United States"/>
    <s v="San Antonio"/>
    <x v="5"/>
    <n v="78207"/>
    <x v="2"/>
    <s v="FUR-FU-10001986"/>
    <x v="0"/>
    <x v="5"/>
    <x v="1123"/>
    <n v="40.783999999999999"/>
  </r>
  <r>
    <n v="1845"/>
    <s v="US-2018-113852"/>
    <d v="2018-07-29T00:00:00"/>
    <x v="639"/>
    <s v="FAST"/>
    <s v="Standard Class"/>
    <s v="GW-14605"/>
    <s v="Giulietta Weimer"/>
    <x v="0"/>
    <s v="United States"/>
    <s v="Seattle"/>
    <x v="4"/>
    <n v="98115"/>
    <x v="1"/>
    <s v="TEC-AC-10003027"/>
    <x v="2"/>
    <x v="11"/>
    <x v="25"/>
    <n v="90.57"/>
  </r>
  <r>
    <n v="1846"/>
    <s v="US-2018-158512"/>
    <d v="2018-01-12T00:00:00"/>
    <x v="640"/>
    <s v="SLOW"/>
    <s v="Second Class"/>
    <s v="DA-13450"/>
    <s v="Dianna Arnett"/>
    <x v="2"/>
    <s v="United States"/>
    <s v="Washington"/>
    <x v="40"/>
    <n v="20016"/>
    <x v="3"/>
    <s v="OFF-PA-10001804"/>
    <x v="1"/>
    <x v="10"/>
    <x v="125"/>
    <n v="40.08"/>
  </r>
  <r>
    <n v="1847"/>
    <s v="US-2018-158512"/>
    <d v="2018-01-12T00:00:00"/>
    <x v="640"/>
    <s v="SLOW"/>
    <s v="Second Class"/>
    <s v="DA-13450"/>
    <s v="Dianna Arnett"/>
    <x v="2"/>
    <s v="United States"/>
    <s v="Washington"/>
    <x v="40"/>
    <n v="20016"/>
    <x v="3"/>
    <s v="FUR-FU-10004973"/>
    <x v="0"/>
    <x v="5"/>
    <x v="1124"/>
    <n v="37.68"/>
  </r>
  <r>
    <n v="1848"/>
    <s v="CA-2018-128370"/>
    <d v="2018-09-10T00:00:00"/>
    <x v="641"/>
    <s v="MODERATE"/>
    <s v="Same Day"/>
    <s v="FH-14275"/>
    <s v="Frank Hawley"/>
    <x v="1"/>
    <s v="United States"/>
    <s v="Los Angeles"/>
    <x v="1"/>
    <n v="90004"/>
    <x v="1"/>
    <s v="FUR-CH-10002602"/>
    <x v="0"/>
    <x v="1"/>
    <x v="286"/>
    <n v="362.35199999999998"/>
  </r>
  <r>
    <n v="1849"/>
    <s v="CA-2018-128370"/>
    <d v="2018-09-10T00:00:00"/>
    <x v="641"/>
    <s v="MODERATE"/>
    <s v="Same Day"/>
    <s v="FH-14275"/>
    <s v="Frank Hawley"/>
    <x v="1"/>
    <s v="United States"/>
    <s v="Los Angeles"/>
    <x v="1"/>
    <n v="90004"/>
    <x v="1"/>
    <s v="OFF-BI-10004140"/>
    <x v="1"/>
    <x v="8"/>
    <x v="302"/>
    <n v="7.1840000000000002"/>
  </r>
  <r>
    <n v="1850"/>
    <s v="CA-2016-160472"/>
    <d v="2016-07-20T00:00:00"/>
    <x v="642"/>
    <s v="SLOW"/>
    <s v="Second Class"/>
    <s v="RK-19300"/>
    <s v="Ralph Kennedy"/>
    <x v="0"/>
    <s v="United States"/>
    <s v="South Bend"/>
    <x v="14"/>
    <n v="46614"/>
    <x v="2"/>
    <s v="OFF-ST-10000464"/>
    <x v="1"/>
    <x v="4"/>
    <x v="1125"/>
    <n v="34.76"/>
  </r>
  <r>
    <n v="1851"/>
    <s v="CA-2016-160472"/>
    <d v="2016-07-20T00:00:00"/>
    <x v="642"/>
    <s v="SLOW"/>
    <s v="Second Class"/>
    <s v="RK-19300"/>
    <s v="Ralph Kennedy"/>
    <x v="0"/>
    <s v="United States"/>
    <s v="South Bend"/>
    <x v="14"/>
    <n v="46614"/>
    <x v="2"/>
    <s v="TEC-AC-10002253"/>
    <x v="2"/>
    <x v="11"/>
    <x v="566"/>
    <n v="831.2"/>
  </r>
  <r>
    <n v="1852"/>
    <s v="CA-2016-160472"/>
    <d v="2016-07-20T00:00:00"/>
    <x v="642"/>
    <s v="SLOW"/>
    <s v="Second Class"/>
    <s v="RK-19300"/>
    <s v="Ralph Kennedy"/>
    <x v="0"/>
    <s v="United States"/>
    <s v="South Bend"/>
    <x v="14"/>
    <n v="46614"/>
    <x v="2"/>
    <s v="OFF-PA-10000528"/>
    <x v="1"/>
    <x v="10"/>
    <x v="1126"/>
    <n v="26.4"/>
  </r>
  <r>
    <n v="1853"/>
    <s v="CA-2016-160472"/>
    <d v="2016-07-20T00:00:00"/>
    <x v="642"/>
    <s v="SLOW"/>
    <s v="Second Class"/>
    <s v="RK-19300"/>
    <s v="Ralph Kennedy"/>
    <x v="0"/>
    <s v="United States"/>
    <s v="South Bend"/>
    <x v="14"/>
    <n v="46614"/>
    <x v="2"/>
    <s v="OFF-EN-10000483"/>
    <x v="1"/>
    <x v="12"/>
    <x v="366"/>
    <n v="106.75"/>
  </r>
  <r>
    <n v="1854"/>
    <s v="CA-2016-160472"/>
    <d v="2016-07-20T00:00:00"/>
    <x v="642"/>
    <s v="SLOW"/>
    <s v="Second Class"/>
    <s v="RK-19300"/>
    <s v="Ralph Kennedy"/>
    <x v="0"/>
    <s v="United States"/>
    <s v="South Bend"/>
    <x v="14"/>
    <n v="46614"/>
    <x v="2"/>
    <s v="OFF-PA-10003129"/>
    <x v="1"/>
    <x v="10"/>
    <x v="1127"/>
    <n v="97.82"/>
  </r>
  <r>
    <n v="1855"/>
    <s v="CA-2016-160472"/>
    <d v="2016-07-20T00:00:00"/>
    <x v="642"/>
    <s v="SLOW"/>
    <s v="Second Class"/>
    <s v="RK-19300"/>
    <s v="Ralph Kennedy"/>
    <x v="0"/>
    <s v="United States"/>
    <s v="South Bend"/>
    <x v="14"/>
    <n v="46614"/>
    <x v="2"/>
    <s v="OFF-ST-10003442"/>
    <x v="1"/>
    <x v="4"/>
    <x v="83"/>
    <n v="141.4"/>
  </r>
  <r>
    <n v="1856"/>
    <s v="CA-2015-114643"/>
    <d v="2015-06-13T00:00:00"/>
    <x v="643"/>
    <s v="FAST"/>
    <s v="Standard Class"/>
    <s v="FM-14215"/>
    <s v="Filia McAdams"/>
    <x v="1"/>
    <s v="United States"/>
    <s v="Los Angeles"/>
    <x v="1"/>
    <n v="90032"/>
    <x v="1"/>
    <s v="OFF-AR-10003631"/>
    <x v="1"/>
    <x v="6"/>
    <x v="758"/>
    <n v="14.52"/>
  </r>
  <r>
    <n v="1857"/>
    <s v="US-2018-158218"/>
    <d v="2018-05-12T00:00:00"/>
    <x v="644"/>
    <s v="SLOW"/>
    <s v="Second Class"/>
    <s v="AC-10420"/>
    <s v="Alyssa Crouse"/>
    <x v="1"/>
    <s v="United States"/>
    <s v="Houston"/>
    <x v="5"/>
    <n v="77041"/>
    <x v="2"/>
    <s v="OFF-ST-10000563"/>
    <x v="1"/>
    <x v="4"/>
    <x v="887"/>
    <n v="127.92"/>
  </r>
  <r>
    <n v="1858"/>
    <s v="US-2018-158218"/>
    <d v="2018-05-12T00:00:00"/>
    <x v="644"/>
    <s v="SLOW"/>
    <s v="Second Class"/>
    <s v="AC-10420"/>
    <s v="Alyssa Crouse"/>
    <x v="1"/>
    <s v="United States"/>
    <s v="Houston"/>
    <x v="5"/>
    <n v="77041"/>
    <x v="2"/>
    <s v="OFF-BI-10002133"/>
    <x v="1"/>
    <x v="8"/>
    <x v="1128"/>
    <n v="34.24"/>
  </r>
  <r>
    <n v="1859"/>
    <s v="CA-2016-121608"/>
    <d v="2016-09-03T00:00:00"/>
    <x v="302"/>
    <s v="MODERATE"/>
    <s v="First Class"/>
    <s v="JB-15400"/>
    <s v="Jennifer Braxton"/>
    <x v="1"/>
    <s v="United States"/>
    <s v="Bristol"/>
    <x v="29"/>
    <n v="6010"/>
    <x v="3"/>
    <s v="OFF-AP-10002311"/>
    <x v="1"/>
    <x v="9"/>
    <x v="14"/>
    <n v="137.62"/>
  </r>
  <r>
    <n v="1860"/>
    <s v="CA-2016-121608"/>
    <d v="2016-09-03T00:00:00"/>
    <x v="302"/>
    <s v="MODERATE"/>
    <s v="First Class"/>
    <s v="JB-15400"/>
    <s v="Jennifer Braxton"/>
    <x v="1"/>
    <s v="United States"/>
    <s v="Bristol"/>
    <x v="29"/>
    <n v="6010"/>
    <x v="3"/>
    <s v="TEC-PH-10004959"/>
    <x v="2"/>
    <x v="7"/>
    <x v="1129"/>
    <n v="100.49"/>
  </r>
  <r>
    <n v="1861"/>
    <s v="US-2018-121251"/>
    <d v="2018-03-26T00:00:00"/>
    <x v="645"/>
    <s v="MODERATE"/>
    <s v="First Class"/>
    <s v="GM-14440"/>
    <s v="Gary McGarr"/>
    <x v="0"/>
    <s v="United States"/>
    <s v="New York City"/>
    <x v="15"/>
    <n v="10009"/>
    <x v="3"/>
    <s v="FUR-BO-10001918"/>
    <x v="0"/>
    <x v="0"/>
    <x v="1130"/>
    <n v="257.56799999999998"/>
  </r>
  <r>
    <n v="1862"/>
    <s v="US-2018-121251"/>
    <d v="2018-03-26T00:00:00"/>
    <x v="645"/>
    <s v="MODERATE"/>
    <s v="First Class"/>
    <s v="GM-14440"/>
    <s v="Gary McGarr"/>
    <x v="0"/>
    <s v="United States"/>
    <s v="New York City"/>
    <x v="15"/>
    <n v="10009"/>
    <x v="3"/>
    <s v="TEC-PH-10004896"/>
    <x v="2"/>
    <x v="7"/>
    <x v="170"/>
    <n v="119.96"/>
  </r>
  <r>
    <n v="1863"/>
    <s v="CA-2015-151078"/>
    <d v="2015-11-12T00:00:00"/>
    <x v="646"/>
    <s v="MODERATE"/>
    <s v="Same Day"/>
    <s v="RF-19840"/>
    <s v="Roy FranzÃ¶sisch"/>
    <x v="0"/>
    <s v="United States"/>
    <s v="San Antonio"/>
    <x v="5"/>
    <n v="78207"/>
    <x v="2"/>
    <s v="OFF-ST-10001328"/>
    <x v="1"/>
    <x v="4"/>
    <x v="174"/>
    <n v="49.631999999999998"/>
  </r>
  <r>
    <n v="1864"/>
    <s v="US-2017-100839"/>
    <d v="2017-10-13T00:00:00"/>
    <x v="647"/>
    <s v="FAST"/>
    <s v="Standard Class"/>
    <s v="NC-18625"/>
    <s v="Noah Childs"/>
    <x v="1"/>
    <s v="United States"/>
    <s v="Aurora"/>
    <x v="22"/>
    <n v="80013"/>
    <x v="1"/>
    <s v="FUR-TA-10004575"/>
    <x v="0"/>
    <x v="3"/>
    <x v="304"/>
    <n v="727.45"/>
  </r>
  <r>
    <n v="1865"/>
    <s v="US-2017-100839"/>
    <d v="2017-10-13T00:00:00"/>
    <x v="647"/>
    <s v="FAST"/>
    <s v="Standard Class"/>
    <s v="NC-18625"/>
    <s v="Noah Childs"/>
    <x v="1"/>
    <s v="United States"/>
    <s v="Aurora"/>
    <x v="22"/>
    <n v="80013"/>
    <x v="1"/>
    <s v="FUR-FU-10001617"/>
    <x v="0"/>
    <x v="5"/>
    <x v="1131"/>
    <n v="24.96"/>
  </r>
  <r>
    <n v="1866"/>
    <s v="US-2018-116659"/>
    <d v="2018-11-12T00:00:00"/>
    <x v="44"/>
    <s v="MODERATE"/>
    <s v="Same Day"/>
    <s v="NG-18355"/>
    <s v="Nat Gilpin"/>
    <x v="1"/>
    <s v="United States"/>
    <s v="Newark"/>
    <x v="24"/>
    <n v="43055"/>
    <x v="3"/>
    <s v="TEC-PH-10002824"/>
    <x v="2"/>
    <x v="7"/>
    <x v="1132"/>
    <n v="370.78199999999998"/>
  </r>
  <r>
    <n v="1867"/>
    <s v="CA-2018-118857"/>
    <d v="2018-04-15T00:00:00"/>
    <x v="648"/>
    <s v="MODERATE"/>
    <s v="First Class"/>
    <s v="AH-10075"/>
    <s v="Adam Hart"/>
    <x v="1"/>
    <s v="United States"/>
    <s v="Henderson"/>
    <x v="33"/>
    <n v="89015"/>
    <x v="1"/>
    <s v="FUR-FU-10004460"/>
    <x v="0"/>
    <x v="5"/>
    <x v="779"/>
    <n v="196.45"/>
  </r>
  <r>
    <n v="1868"/>
    <s v="CA-2016-127110"/>
    <d v="2016-06-25T00:00:00"/>
    <x v="649"/>
    <s v="FAST"/>
    <s v="Standard Class"/>
    <s v="CH-12070"/>
    <s v="Cathy Hwang"/>
    <x v="2"/>
    <s v="United States"/>
    <s v="Philadelphia"/>
    <x v="9"/>
    <n v="19143"/>
    <x v="3"/>
    <s v="OFF-PA-10003309"/>
    <x v="1"/>
    <x v="10"/>
    <x v="1133"/>
    <n v="31.103999999999999"/>
  </r>
  <r>
    <n v="1869"/>
    <s v="CA-2016-127110"/>
    <d v="2016-06-25T00:00:00"/>
    <x v="649"/>
    <s v="FAST"/>
    <s v="Standard Class"/>
    <s v="CH-12070"/>
    <s v="Cathy Hwang"/>
    <x v="2"/>
    <s v="United States"/>
    <s v="Philadelphia"/>
    <x v="9"/>
    <n v="19143"/>
    <x v="3"/>
    <s v="OFF-ST-10002554"/>
    <x v="1"/>
    <x v="4"/>
    <x v="1134"/>
    <n v="78.256"/>
  </r>
  <r>
    <n v="1870"/>
    <s v="CA-2017-148201"/>
    <d v="2017-08-26T00:00:00"/>
    <x v="650"/>
    <s v="SLOW"/>
    <s v="Second Class"/>
    <s v="CC-12145"/>
    <s v="Charles Crestani"/>
    <x v="0"/>
    <s v="United States"/>
    <s v="Seattle"/>
    <x v="4"/>
    <n v="98103"/>
    <x v="1"/>
    <s v="OFF-PA-10000019"/>
    <x v="1"/>
    <x v="10"/>
    <x v="698"/>
    <n v="6.48"/>
  </r>
  <r>
    <n v="1871"/>
    <s v="CA-2015-116932"/>
    <d v="2015-07-21T00:00:00"/>
    <x v="651"/>
    <s v="FAST"/>
    <s v="Standard Class"/>
    <s v="ME-18010"/>
    <s v="Michelle Ellison"/>
    <x v="1"/>
    <s v="United States"/>
    <s v="San Francisco"/>
    <x v="1"/>
    <n v="94122"/>
    <x v="1"/>
    <s v="OFF-AR-10002067"/>
    <x v="1"/>
    <x v="6"/>
    <x v="1135"/>
    <n v="99.2"/>
  </r>
  <r>
    <n v="1872"/>
    <s v="CA-2015-116932"/>
    <d v="2015-07-21T00:00:00"/>
    <x v="651"/>
    <s v="FAST"/>
    <s v="Standard Class"/>
    <s v="ME-18010"/>
    <s v="Michelle Ellison"/>
    <x v="1"/>
    <s v="United States"/>
    <s v="San Francisco"/>
    <x v="1"/>
    <n v="94122"/>
    <x v="1"/>
    <s v="FUR-CH-10001215"/>
    <x v="0"/>
    <x v="1"/>
    <x v="435"/>
    <n v="801.56799999999998"/>
  </r>
  <r>
    <n v="1873"/>
    <s v="CA-2015-116932"/>
    <d v="2015-07-21T00:00:00"/>
    <x v="651"/>
    <s v="FAST"/>
    <s v="Standard Class"/>
    <s v="ME-18010"/>
    <s v="Michelle Ellison"/>
    <x v="1"/>
    <s v="United States"/>
    <s v="San Francisco"/>
    <x v="1"/>
    <n v="94122"/>
    <x v="1"/>
    <s v="FUR-TA-10004175"/>
    <x v="0"/>
    <x v="3"/>
    <x v="1136"/>
    <n v="272.84800000000001"/>
  </r>
  <r>
    <n v="1874"/>
    <s v="CA-2018-142888"/>
    <d v="2018-11-21T00:00:00"/>
    <x v="652"/>
    <s v="FAST"/>
    <s v="Standard Class"/>
    <s v="BP-11230"/>
    <s v="Benjamin Patterson"/>
    <x v="0"/>
    <s v="United States"/>
    <s v="Spokane"/>
    <x v="4"/>
    <n v="99207"/>
    <x v="1"/>
    <s v="FUR-TA-10004767"/>
    <x v="0"/>
    <x v="3"/>
    <x v="1137"/>
    <n v="70.98"/>
  </r>
  <r>
    <n v="1875"/>
    <s v="CA-2015-147914"/>
    <d v="2015-06-04T00:00:00"/>
    <x v="608"/>
    <s v="FAST"/>
    <s v="Standard Class"/>
    <s v="MP-17470"/>
    <s v="Mark Packer"/>
    <x v="2"/>
    <s v="United States"/>
    <s v="Columbus"/>
    <x v="24"/>
    <n v="43229"/>
    <x v="3"/>
    <s v="OFF-PA-10001685"/>
    <x v="1"/>
    <x v="10"/>
    <x v="33"/>
    <n v="16.224"/>
  </r>
  <r>
    <n v="1876"/>
    <s v="US-2017-112977"/>
    <d v="2017-03-10T00:00:00"/>
    <x v="66"/>
    <s v="FAST"/>
    <s v="Standard Class"/>
    <s v="CJ-12010"/>
    <s v="Caroline Jumper"/>
    <x v="0"/>
    <s v="United States"/>
    <s v="Long Beach"/>
    <x v="15"/>
    <n v="11561"/>
    <x v="3"/>
    <s v="FUR-BO-10003272"/>
    <x v="0"/>
    <x v="0"/>
    <x v="576"/>
    <n v="176.78399999999999"/>
  </r>
  <r>
    <n v="1877"/>
    <s v="CA-2018-112039"/>
    <d v="2018-03-25T00:00:00"/>
    <x v="653"/>
    <s v="FAST"/>
    <s v="Standard Class"/>
    <s v="JC-15775"/>
    <s v="John Castell"/>
    <x v="0"/>
    <s v="United States"/>
    <s v="San Antonio"/>
    <x v="5"/>
    <n v="78207"/>
    <x v="2"/>
    <s v="TEC-PH-10000984"/>
    <x v="2"/>
    <x v="7"/>
    <x v="460"/>
    <n v="470.37599999999998"/>
  </r>
  <r>
    <n v="1878"/>
    <s v="CA-2018-118885"/>
    <d v="2018-12-29T00:00:00"/>
    <x v="114"/>
    <s v="FAST"/>
    <s v="Standard Class"/>
    <s v="JG-15160"/>
    <s v="James Galang"/>
    <x v="0"/>
    <s v="United States"/>
    <s v="Los Angeles"/>
    <x v="1"/>
    <n v="90049"/>
    <x v="1"/>
    <s v="FUR-CH-10002880"/>
    <x v="0"/>
    <x v="1"/>
    <x v="794"/>
    <n v="393.56799999999998"/>
  </r>
  <r>
    <n v="1879"/>
    <s v="CA-2018-118885"/>
    <d v="2018-12-29T00:00:00"/>
    <x v="114"/>
    <s v="FAST"/>
    <s v="Standard Class"/>
    <s v="JG-15160"/>
    <s v="James Galang"/>
    <x v="0"/>
    <s v="United States"/>
    <s v="Los Angeles"/>
    <x v="1"/>
    <n v="90049"/>
    <x v="1"/>
    <s v="TEC-PH-10002563"/>
    <x v="2"/>
    <x v="7"/>
    <x v="198"/>
    <n v="302.37599999999998"/>
  </r>
  <r>
    <n v="1880"/>
    <s v="US-2018-166611"/>
    <d v="2018-03-28T00:00:00"/>
    <x v="503"/>
    <s v="FAST"/>
    <s v="Standard Class"/>
    <s v="CK-12760"/>
    <s v="Cyma Kinney"/>
    <x v="1"/>
    <s v="United States"/>
    <s v="Jacksonville"/>
    <x v="2"/>
    <n v="32216"/>
    <x v="0"/>
    <s v="OFF-BI-10001191"/>
    <x v="1"/>
    <x v="8"/>
    <x v="962"/>
    <n v="68.742000000000004"/>
  </r>
  <r>
    <n v="1881"/>
    <s v="CA-2016-109512"/>
    <d v="2016-03-05T00:00:00"/>
    <x v="654"/>
    <s v="MODERATE"/>
    <s v="Same Day"/>
    <s v="LF-17185"/>
    <s v="Luke Foster"/>
    <x v="0"/>
    <s v="United States"/>
    <s v="New York City"/>
    <x v="15"/>
    <n v="10011"/>
    <x v="3"/>
    <s v="OFF-EN-10002621"/>
    <x v="1"/>
    <x v="12"/>
    <x v="149"/>
    <n v="29.34"/>
  </r>
  <r>
    <n v="1882"/>
    <s v="CA-2016-109512"/>
    <d v="2016-03-05T00:00:00"/>
    <x v="654"/>
    <s v="MODERATE"/>
    <s v="Same Day"/>
    <s v="LF-17185"/>
    <s v="Luke Foster"/>
    <x v="0"/>
    <s v="United States"/>
    <s v="New York City"/>
    <x v="15"/>
    <n v="10011"/>
    <x v="3"/>
    <s v="FUR-CH-10001146"/>
    <x v="0"/>
    <x v="1"/>
    <x v="63"/>
    <n v="383.60700000000003"/>
  </r>
  <r>
    <n v="1883"/>
    <s v="CA-2016-109512"/>
    <d v="2016-03-05T00:00:00"/>
    <x v="654"/>
    <s v="MODERATE"/>
    <s v="Same Day"/>
    <s v="LF-17185"/>
    <s v="Luke Foster"/>
    <x v="0"/>
    <s v="United States"/>
    <s v="New York City"/>
    <x v="15"/>
    <n v="10011"/>
    <x v="3"/>
    <s v="OFF-ST-10000689"/>
    <x v="1"/>
    <x v="4"/>
    <x v="416"/>
    <n v="563.4"/>
  </r>
  <r>
    <n v="1884"/>
    <s v="CA-2017-118570"/>
    <d v="2017-11-13T00:00:00"/>
    <x v="397"/>
    <s v="FAST"/>
    <s v="Standard Class"/>
    <s v="CC-12430"/>
    <s v="Chuck Clark"/>
    <x v="2"/>
    <s v="United States"/>
    <s v="Philadelphia"/>
    <x v="9"/>
    <n v="19143"/>
    <x v="3"/>
    <s v="OFF-PA-10001289"/>
    <x v="1"/>
    <x v="10"/>
    <x v="945"/>
    <n v="217.05600000000001"/>
  </r>
  <r>
    <n v="1885"/>
    <s v="CA-2018-154718"/>
    <d v="2018-01-19T00:00:00"/>
    <x v="184"/>
    <s v="SLOW"/>
    <s v="Second Class"/>
    <s v="DL-12865"/>
    <s v="Dan Lawera"/>
    <x v="0"/>
    <s v="United States"/>
    <s v="Keller"/>
    <x v="5"/>
    <n v="76248"/>
    <x v="2"/>
    <s v="OFF-LA-10003714"/>
    <x v="1"/>
    <x v="2"/>
    <x v="1138"/>
    <n v="6"/>
  </r>
  <r>
    <n v="1886"/>
    <s v="CA-2017-147578"/>
    <d v="2017-04-22T00:00:00"/>
    <x v="407"/>
    <s v="SLOW"/>
    <s v="Second Class"/>
    <s v="PG-18895"/>
    <s v="Paul Gonzalez"/>
    <x v="0"/>
    <s v="United States"/>
    <s v="San Francisco"/>
    <x v="1"/>
    <n v="94122"/>
    <x v="1"/>
    <s v="FUR-FU-10001889"/>
    <x v="0"/>
    <x v="5"/>
    <x v="1139"/>
    <n v="31.56"/>
  </r>
  <r>
    <n v="1887"/>
    <s v="CA-2015-140165"/>
    <d v="2015-05-13T00:00:00"/>
    <x v="8"/>
    <s v="MODERATE"/>
    <s v="First Class"/>
    <s v="EH-14005"/>
    <s v="Erica Hernandez"/>
    <x v="2"/>
    <s v="United States"/>
    <s v="Hialeah"/>
    <x v="2"/>
    <n v="33012"/>
    <x v="0"/>
    <s v="OFF-FA-10002815"/>
    <x v="1"/>
    <x v="13"/>
    <x v="124"/>
    <n v="7.1040000000000001"/>
  </r>
  <r>
    <n v="1888"/>
    <s v="CA-2015-140165"/>
    <d v="2015-05-13T00:00:00"/>
    <x v="8"/>
    <s v="MODERATE"/>
    <s v="First Class"/>
    <s v="EH-14005"/>
    <s v="Erica Hernandez"/>
    <x v="2"/>
    <s v="United States"/>
    <s v="Hialeah"/>
    <x v="2"/>
    <n v="33012"/>
    <x v="0"/>
    <s v="OFF-BI-10004519"/>
    <x v="1"/>
    <x v="8"/>
    <x v="873"/>
    <n v="398.35199999999998"/>
  </r>
  <r>
    <n v="1889"/>
    <s v="CA-2015-142587"/>
    <d v="2015-10-21T00:00:00"/>
    <x v="655"/>
    <s v="MODERATE"/>
    <s v="First Class"/>
    <s v="TB-21520"/>
    <s v="Tracy Blumstein"/>
    <x v="0"/>
    <s v="United States"/>
    <s v="Fairfield"/>
    <x v="24"/>
    <n v="45014"/>
    <x v="3"/>
    <s v="OFF-AP-10004708"/>
    <x v="1"/>
    <x v="9"/>
    <x v="503"/>
    <n v="121.792"/>
  </r>
  <r>
    <n v="1890"/>
    <s v="CA-2015-142587"/>
    <d v="2015-10-21T00:00:00"/>
    <x v="655"/>
    <s v="MODERATE"/>
    <s v="First Class"/>
    <s v="TB-21520"/>
    <s v="Tracy Blumstein"/>
    <x v="0"/>
    <s v="United States"/>
    <s v="Fairfield"/>
    <x v="24"/>
    <n v="45014"/>
    <x v="3"/>
    <s v="FUR-TA-10000617"/>
    <x v="0"/>
    <x v="3"/>
    <x v="336"/>
    <n v="409.59"/>
  </r>
  <r>
    <n v="1891"/>
    <s v="CA-2015-157623"/>
    <d v="2015-03-14T00:00:00"/>
    <x v="656"/>
    <s v="FAST"/>
    <s v="Standard Class"/>
    <s v="DK-13225"/>
    <s v="Dean Katz"/>
    <x v="1"/>
    <s v="United States"/>
    <s v="Huntington Beach"/>
    <x v="1"/>
    <n v="92646"/>
    <x v="1"/>
    <s v="OFF-PA-10001204"/>
    <x v="1"/>
    <x v="10"/>
    <x v="513"/>
    <n v="10.56"/>
  </r>
  <r>
    <n v="1892"/>
    <s v="CA-2015-157623"/>
    <d v="2015-03-14T00:00:00"/>
    <x v="656"/>
    <s v="FAST"/>
    <s v="Standard Class"/>
    <s v="DK-13225"/>
    <s v="Dean Katz"/>
    <x v="1"/>
    <s v="United States"/>
    <s v="Huntington Beach"/>
    <x v="1"/>
    <n v="92646"/>
    <x v="1"/>
    <s v="OFF-AR-10003723"/>
    <x v="1"/>
    <x v="6"/>
    <x v="1140"/>
    <n v="3.38"/>
  </r>
  <r>
    <n v="1893"/>
    <s v="CA-2018-145310"/>
    <d v="2018-12-22T00:00:00"/>
    <x v="467"/>
    <s v="SLOW"/>
    <s v="Second Class"/>
    <s v="JP-15520"/>
    <s v="Jeremy Pistek"/>
    <x v="0"/>
    <s v="United States"/>
    <s v="Port Orange"/>
    <x v="2"/>
    <n v="32127"/>
    <x v="0"/>
    <s v="OFF-EN-10002621"/>
    <x v="1"/>
    <x v="12"/>
    <x v="149"/>
    <n v="7.8239999999999998"/>
  </r>
  <r>
    <n v="1894"/>
    <s v="CA-2017-100083"/>
    <d v="2017-11-24T00:00:00"/>
    <x v="532"/>
    <s v="FAST"/>
    <s v="Standard Class"/>
    <s v="CD-11980"/>
    <s v="Carol Darley"/>
    <x v="0"/>
    <s v="United States"/>
    <s v="Medford"/>
    <x v="21"/>
    <n v="97504"/>
    <x v="1"/>
    <s v="OFF-PA-10000241"/>
    <x v="1"/>
    <x v="10"/>
    <x v="1141"/>
    <n v="24.783999999999999"/>
  </r>
  <r>
    <n v="1895"/>
    <s v="US-2018-108063"/>
    <d v="2018-12-02T00:00:00"/>
    <x v="240"/>
    <s v="MODERATE"/>
    <s v="First Class"/>
    <s v="AS-10090"/>
    <s v="Adam Shillingsburg"/>
    <x v="0"/>
    <s v="United States"/>
    <s v="Charlottesville"/>
    <x v="17"/>
    <n v="22901"/>
    <x v="0"/>
    <s v="OFF-AR-10001446"/>
    <x v="1"/>
    <x v="6"/>
    <x v="1142"/>
    <n v="34.65"/>
  </r>
  <r>
    <n v="1896"/>
    <s v="CA-2016-109197"/>
    <d v="2016-12-31T00:00:00"/>
    <x v="657"/>
    <s v="FAST"/>
    <s v="Standard Class"/>
    <s v="JO-15280"/>
    <s v="Jas O'Carroll"/>
    <x v="0"/>
    <s v="United States"/>
    <s v="Missoula"/>
    <x v="37"/>
    <n v="59801"/>
    <x v="1"/>
    <s v="OFF-BI-10004632"/>
    <x v="1"/>
    <x v="8"/>
    <x v="558"/>
    <n v="487.98399999999998"/>
  </r>
  <r>
    <n v="1897"/>
    <s v="CA-2018-141789"/>
    <d v="2018-10-03T00:00:00"/>
    <x v="297"/>
    <s v="MODERATE"/>
    <s v="First Class"/>
    <s v="AC-10450"/>
    <s v="Amy Cox"/>
    <x v="0"/>
    <s v="United States"/>
    <s v="Minneapolis"/>
    <x v="11"/>
    <n v="55407"/>
    <x v="2"/>
    <s v="OFF-BI-10001359"/>
    <x v="1"/>
    <x v="8"/>
    <x v="1143"/>
    <n v="1793.98"/>
  </r>
  <r>
    <n v="1898"/>
    <s v="CA-2015-169775"/>
    <d v="2015-08-29T00:00:00"/>
    <x v="658"/>
    <s v="SLOW"/>
    <s v="Second Class"/>
    <s v="RA-19945"/>
    <s v="Ryan Akin"/>
    <x v="0"/>
    <s v="United States"/>
    <s v="Miami"/>
    <x v="2"/>
    <n v="33178"/>
    <x v="0"/>
    <s v="OFF-EN-10001749"/>
    <x v="1"/>
    <x v="12"/>
    <x v="1144"/>
    <n v="29.808"/>
  </r>
  <r>
    <n v="1899"/>
    <s v="CA-2015-169775"/>
    <d v="2015-08-29T00:00:00"/>
    <x v="658"/>
    <s v="SLOW"/>
    <s v="Second Class"/>
    <s v="RA-19945"/>
    <s v="Ryan Akin"/>
    <x v="0"/>
    <s v="United States"/>
    <s v="Miami"/>
    <x v="2"/>
    <n v="33178"/>
    <x v="0"/>
    <s v="OFF-BI-10004390"/>
    <x v="1"/>
    <x v="8"/>
    <x v="1145"/>
    <n v="505.17599999999999"/>
  </r>
  <r>
    <n v="1900"/>
    <s v="CA-2015-169775"/>
    <d v="2015-08-29T00:00:00"/>
    <x v="658"/>
    <s v="SLOW"/>
    <s v="Second Class"/>
    <s v="RA-19945"/>
    <s v="Ryan Akin"/>
    <x v="0"/>
    <s v="United States"/>
    <s v="Miami"/>
    <x v="2"/>
    <n v="33178"/>
    <x v="0"/>
    <s v="FUR-TA-10001857"/>
    <x v="0"/>
    <x v="3"/>
    <x v="428"/>
    <n v="174.05850000000001"/>
  </r>
  <r>
    <n v="1901"/>
    <s v="CA-2017-140543"/>
    <d v="2017-06-29T00:00:00"/>
    <x v="479"/>
    <s v="SLOW"/>
    <s v="Second Class"/>
    <s v="Co-12640"/>
    <s v="Corey-Lock"/>
    <x v="0"/>
    <s v="United States"/>
    <s v="Florence"/>
    <x v="20"/>
    <n v="29501"/>
    <x v="0"/>
    <s v="OFF-ST-10000563"/>
    <x v="1"/>
    <x v="4"/>
    <x v="887"/>
    <n v="191.88"/>
  </r>
  <r>
    <n v="1902"/>
    <s v="CA-2017-151141"/>
    <d v="2017-08-20T00:00:00"/>
    <x v="316"/>
    <s v="MODERATE"/>
    <s v="First Class"/>
    <s v="DW-13480"/>
    <s v="Dianna Wilson"/>
    <x v="2"/>
    <s v="United States"/>
    <s v="Detroit"/>
    <x v="12"/>
    <n v="48205"/>
    <x v="2"/>
    <s v="TEC-PH-10004924"/>
    <x v="2"/>
    <x v="7"/>
    <x v="1146"/>
    <n v="14.78"/>
  </r>
  <r>
    <n v="1903"/>
    <s v="CA-2018-167094"/>
    <d v="2018-10-21T00:00:00"/>
    <x v="659"/>
    <s v="MODERATE"/>
    <s v="First Class"/>
    <s v="DK-12835"/>
    <s v="Damala Kotsonis"/>
    <x v="1"/>
    <s v="United States"/>
    <s v="Springfield"/>
    <x v="21"/>
    <n v="97477"/>
    <x v="1"/>
    <s v="OFF-PA-10003953"/>
    <x v="1"/>
    <x v="10"/>
    <x v="631"/>
    <n v="5.1840000000000002"/>
  </r>
  <r>
    <n v="1904"/>
    <s v="CA-2018-167094"/>
    <d v="2018-10-21T00:00:00"/>
    <x v="659"/>
    <s v="MODERATE"/>
    <s v="First Class"/>
    <s v="DK-12835"/>
    <s v="Damala Kotsonis"/>
    <x v="1"/>
    <s v="United States"/>
    <s v="Springfield"/>
    <x v="21"/>
    <n v="97477"/>
    <x v="1"/>
    <s v="FUR-CH-10000155"/>
    <x v="0"/>
    <x v="1"/>
    <x v="1147"/>
    <n v="478.48"/>
  </r>
  <r>
    <n v="1905"/>
    <s v="CA-2018-167094"/>
    <d v="2018-10-21T00:00:00"/>
    <x v="659"/>
    <s v="MODERATE"/>
    <s v="First Class"/>
    <s v="DK-12835"/>
    <s v="Damala Kotsonis"/>
    <x v="1"/>
    <s v="United States"/>
    <s v="Springfield"/>
    <x v="21"/>
    <n v="97477"/>
    <x v="1"/>
    <s v="TEC-AC-10003116"/>
    <x v="2"/>
    <x v="11"/>
    <x v="913"/>
    <n v="28.4"/>
  </r>
  <r>
    <n v="1906"/>
    <s v="CA-2018-154410"/>
    <d v="2018-10-21T00:00:00"/>
    <x v="187"/>
    <s v="MODERATE"/>
    <s v="First Class"/>
    <s v="MD-17860"/>
    <s v="Michael Dominguez"/>
    <x v="1"/>
    <s v="United States"/>
    <s v="Indianapolis"/>
    <x v="14"/>
    <n v="46203"/>
    <x v="2"/>
    <s v="OFF-ST-10002743"/>
    <x v="1"/>
    <x v="4"/>
    <x v="408"/>
    <n v="909.12"/>
  </r>
  <r>
    <n v="1907"/>
    <s v="US-2017-150567"/>
    <d v="2017-05-17T00:00:00"/>
    <x v="660"/>
    <s v="FAST"/>
    <s v="Standard Class"/>
    <s v="RP-19855"/>
    <s v="Roy Phan"/>
    <x v="1"/>
    <s v="United States"/>
    <s v="Apopka"/>
    <x v="2"/>
    <n v="32712"/>
    <x v="0"/>
    <s v="OFF-BI-10001757"/>
    <x v="1"/>
    <x v="8"/>
    <x v="1148"/>
    <n v="2.952"/>
  </r>
  <r>
    <n v="1908"/>
    <s v="US-2017-150567"/>
    <d v="2017-05-17T00:00:00"/>
    <x v="660"/>
    <s v="FAST"/>
    <s v="Standard Class"/>
    <s v="RP-19855"/>
    <s v="Roy Phan"/>
    <x v="1"/>
    <s v="United States"/>
    <s v="Apopka"/>
    <x v="2"/>
    <n v="32712"/>
    <x v="0"/>
    <s v="OFF-BI-10000069"/>
    <x v="1"/>
    <x v="8"/>
    <x v="481"/>
    <n v="27.018000000000001"/>
  </r>
  <r>
    <n v="1909"/>
    <s v="CA-2016-157959"/>
    <d v="2016-02-03T00:00:00"/>
    <x v="598"/>
    <s v="MODERATE"/>
    <s v="First Class"/>
    <s v="RW-19540"/>
    <s v="Rick Wilson"/>
    <x v="1"/>
    <s v="United States"/>
    <s v="Los Angeles"/>
    <x v="1"/>
    <n v="90008"/>
    <x v="1"/>
    <s v="FUR-FU-10004093"/>
    <x v="0"/>
    <x v="5"/>
    <x v="1149"/>
    <n v="136.91999999999999"/>
  </r>
  <r>
    <n v="1910"/>
    <s v="CA-2018-105886"/>
    <d v="2018-12-18T00:00:00"/>
    <x v="348"/>
    <s v="FAST"/>
    <s v="Standard Class"/>
    <s v="DB-13660"/>
    <s v="Duane Benoit"/>
    <x v="0"/>
    <s v="United States"/>
    <s v="Oceanside"/>
    <x v="15"/>
    <n v="11572"/>
    <x v="3"/>
    <s v="FUR-FU-10001037"/>
    <x v="0"/>
    <x v="5"/>
    <x v="1150"/>
    <n v="18.96"/>
  </r>
  <r>
    <n v="1911"/>
    <s v="CA-2017-105963"/>
    <d v="2017-11-15T00:00:00"/>
    <x v="406"/>
    <s v="FAST"/>
    <s v="Standard Class"/>
    <s v="SC-20770"/>
    <s v="Stewart Carmichael"/>
    <x v="1"/>
    <s v="United States"/>
    <s v="Los Angeles"/>
    <x v="1"/>
    <n v="90008"/>
    <x v="1"/>
    <s v="TEC-AC-10003832"/>
    <x v="2"/>
    <x v="11"/>
    <x v="453"/>
    <n v="99.39"/>
  </r>
  <r>
    <n v="1912"/>
    <s v="CA-2018-121503"/>
    <d v="2018-07-03T00:00:00"/>
    <x v="661"/>
    <s v="SLOW"/>
    <s v="Second Class"/>
    <s v="FH-14275"/>
    <s v="Frank Hawley"/>
    <x v="1"/>
    <s v="United States"/>
    <s v="Houston"/>
    <x v="5"/>
    <n v="77041"/>
    <x v="2"/>
    <s v="OFF-PA-10001878"/>
    <x v="1"/>
    <x v="10"/>
    <x v="1151"/>
    <n v="273.89600000000002"/>
  </r>
  <r>
    <n v="1913"/>
    <s v="CA-2018-121503"/>
    <d v="2018-07-03T00:00:00"/>
    <x v="661"/>
    <s v="SLOW"/>
    <s v="Second Class"/>
    <s v="FH-14275"/>
    <s v="Frank Hawley"/>
    <x v="1"/>
    <s v="United States"/>
    <s v="Houston"/>
    <x v="5"/>
    <n v="77041"/>
    <x v="2"/>
    <s v="TEC-MA-10003674"/>
    <x v="2"/>
    <x v="15"/>
    <x v="1152"/>
    <n v="597.13199999999995"/>
  </r>
  <r>
    <n v="1914"/>
    <s v="CA-2015-103366"/>
    <d v="2015-01-15T00:00:00"/>
    <x v="662"/>
    <s v="MODERATE"/>
    <s v="First Class"/>
    <s v="EH-13990"/>
    <s v="Erica Hackney"/>
    <x v="0"/>
    <s v="United States"/>
    <s v="Roswell"/>
    <x v="32"/>
    <n v="30076"/>
    <x v="0"/>
    <s v="TEC-AC-10003628"/>
    <x v="2"/>
    <x v="11"/>
    <x v="242"/>
    <n v="149.94999999999999"/>
  </r>
  <r>
    <n v="1915"/>
    <s v="CA-2018-124597"/>
    <d v="2018-04-30T00:00:00"/>
    <x v="663"/>
    <s v="FAST"/>
    <s v="Standard Class"/>
    <s v="AS-10630"/>
    <s v="Ann Steele"/>
    <x v="2"/>
    <s v="United States"/>
    <s v="Boynton Beach"/>
    <x v="2"/>
    <n v="33437"/>
    <x v="0"/>
    <s v="OFF-LA-10003190"/>
    <x v="1"/>
    <x v="2"/>
    <x v="1153"/>
    <n v="4.6079999999999997"/>
  </r>
  <r>
    <n v="1916"/>
    <s v="CA-2018-124597"/>
    <d v="2018-04-30T00:00:00"/>
    <x v="663"/>
    <s v="FAST"/>
    <s v="Standard Class"/>
    <s v="AS-10630"/>
    <s v="Ann Steele"/>
    <x v="2"/>
    <s v="United States"/>
    <s v="Boynton Beach"/>
    <x v="2"/>
    <n v="33437"/>
    <x v="0"/>
    <s v="OFF-AR-10002280"/>
    <x v="1"/>
    <x v="6"/>
    <x v="758"/>
    <n v="15.528"/>
  </r>
  <r>
    <n v="1917"/>
    <s v="CA-2018-124597"/>
    <d v="2018-04-30T00:00:00"/>
    <x v="663"/>
    <s v="FAST"/>
    <s v="Standard Class"/>
    <s v="AS-10630"/>
    <s v="Ann Steele"/>
    <x v="2"/>
    <s v="United States"/>
    <s v="Boynton Beach"/>
    <x v="2"/>
    <n v="33437"/>
    <x v="0"/>
    <s v="OFF-LA-10001569"/>
    <x v="1"/>
    <x v="2"/>
    <x v="626"/>
    <n v="11.952"/>
  </r>
  <r>
    <n v="1918"/>
    <s v="CA-2016-105634"/>
    <d v="2016-11-08T00:00:00"/>
    <x v="664"/>
    <s v="FAST"/>
    <s v="Standard Class"/>
    <s v="HA-14905"/>
    <s v="Helen Abelman"/>
    <x v="0"/>
    <s v="United States"/>
    <s v="Franklin"/>
    <x v="31"/>
    <n v="2038"/>
    <x v="3"/>
    <s v="OFF-AR-10001573"/>
    <x v="1"/>
    <x v="6"/>
    <x v="365"/>
    <n v="11.65"/>
  </r>
  <r>
    <n v="1919"/>
    <s v="CA-2016-123673"/>
    <d v="2016-10-30T00:00:00"/>
    <x v="665"/>
    <s v="SLOW"/>
    <s v="Second Class"/>
    <s v="CH-12070"/>
    <s v="Cathy Hwang"/>
    <x v="2"/>
    <s v="United States"/>
    <s v="Detroit"/>
    <x v="12"/>
    <n v="48227"/>
    <x v="2"/>
    <s v="TEC-PH-10001809"/>
    <x v="2"/>
    <x v="7"/>
    <x v="1154"/>
    <n v="299.89999999999998"/>
  </r>
  <r>
    <n v="1920"/>
    <s v="US-2018-111423"/>
    <d v="2018-08-17T00:00:00"/>
    <x v="666"/>
    <s v="MODERATE"/>
    <s v="First Class"/>
    <s v="EH-13765"/>
    <s v="Edward Hooks"/>
    <x v="1"/>
    <s v="United States"/>
    <s v="Watertown"/>
    <x v="15"/>
    <n v="13601"/>
    <x v="3"/>
    <s v="OFF-BI-10003091"/>
    <x v="1"/>
    <x v="8"/>
    <x v="1155"/>
    <n v="895.92"/>
  </r>
  <r>
    <n v="1921"/>
    <s v="US-2018-111423"/>
    <d v="2018-08-17T00:00:00"/>
    <x v="666"/>
    <s v="MODERATE"/>
    <s v="First Class"/>
    <s v="EH-13765"/>
    <s v="Edward Hooks"/>
    <x v="1"/>
    <s v="United States"/>
    <s v="Watertown"/>
    <x v="15"/>
    <n v="13601"/>
    <x v="3"/>
    <s v="FUR-CH-10003981"/>
    <x v="0"/>
    <x v="1"/>
    <x v="1156"/>
    <n v="462.56400000000002"/>
  </r>
  <r>
    <n v="1922"/>
    <s v="CA-2016-125178"/>
    <d v="2016-10-03T00:00:00"/>
    <x v="255"/>
    <s v="FAST"/>
    <s v="Standard Class"/>
    <s v="MZ-17515"/>
    <s v="Mary Zewe"/>
    <x v="1"/>
    <s v="United States"/>
    <s v="Reading"/>
    <x v="9"/>
    <n v="19601"/>
    <x v="3"/>
    <s v="OFF-ST-10002562"/>
    <x v="1"/>
    <x v="4"/>
    <x v="670"/>
    <n v="15.007999999999999"/>
  </r>
  <r>
    <n v="1923"/>
    <s v="CA-2017-156685"/>
    <d v="2017-07-08T00:00:00"/>
    <x v="667"/>
    <s v="SLOW"/>
    <s v="Second Class"/>
    <s v="SC-20230"/>
    <s v="Scot Coram"/>
    <x v="1"/>
    <s v="United States"/>
    <s v="Arlington"/>
    <x v="5"/>
    <n v="76017"/>
    <x v="2"/>
    <s v="TEC-PH-10004345"/>
    <x v="2"/>
    <x v="7"/>
    <x v="1157"/>
    <n v="863.64"/>
  </r>
  <r>
    <n v="1924"/>
    <s v="CA-2017-156685"/>
    <d v="2017-07-08T00:00:00"/>
    <x v="667"/>
    <s v="SLOW"/>
    <s v="Second Class"/>
    <s v="SC-20230"/>
    <s v="Scot Coram"/>
    <x v="1"/>
    <s v="United States"/>
    <s v="Arlington"/>
    <x v="5"/>
    <n v="76017"/>
    <x v="2"/>
    <s v="OFF-AR-10000588"/>
    <x v="1"/>
    <x v="6"/>
    <x v="390"/>
    <n v="47.616"/>
  </r>
  <r>
    <n v="1925"/>
    <s v="CA-2018-126865"/>
    <d v="2018-12-05T00:00:00"/>
    <x v="93"/>
    <s v="SLOW"/>
    <s v="Second Class"/>
    <s v="NP-18325"/>
    <s v="Naresj Patel"/>
    <x v="0"/>
    <s v="United States"/>
    <s v="San Diego"/>
    <x v="1"/>
    <n v="92024"/>
    <x v="1"/>
    <s v="OFF-PA-10003039"/>
    <x v="1"/>
    <x v="10"/>
    <x v="328"/>
    <n v="92.94"/>
  </r>
  <r>
    <n v="1926"/>
    <s v="CA-2018-102834"/>
    <d v="2018-03-09T00:00:00"/>
    <x v="668"/>
    <s v="FAST"/>
    <s v="Standard Class"/>
    <s v="LW-16990"/>
    <s v="Lindsay Williams"/>
    <x v="1"/>
    <s v="United States"/>
    <s v="San Francisco"/>
    <x v="1"/>
    <n v="94110"/>
    <x v="1"/>
    <s v="TEC-AC-10001908"/>
    <x v="2"/>
    <x v="11"/>
    <x v="290"/>
    <n v="199.98"/>
  </r>
  <r>
    <n v="1927"/>
    <s v="US-2017-139710"/>
    <d v="2017-06-09T00:00:00"/>
    <x v="35"/>
    <s v="FAST"/>
    <s v="Standard Class"/>
    <s v="GM-14680"/>
    <s v="Greg Matthias"/>
    <x v="0"/>
    <s v="United States"/>
    <s v="Los Angeles"/>
    <x v="1"/>
    <n v="90045"/>
    <x v="1"/>
    <s v="TEC-PH-10001198"/>
    <x v="2"/>
    <x v="7"/>
    <x v="1158"/>
    <n v="177.48"/>
  </r>
  <r>
    <n v="1928"/>
    <s v="CA-2018-121538"/>
    <d v="2018-11-28T00:00:00"/>
    <x v="669"/>
    <s v="MODERATE"/>
    <s v="First Class"/>
    <s v="RH-19495"/>
    <s v="Rick Hansen"/>
    <x v="0"/>
    <s v="United States"/>
    <s v="Denver"/>
    <x v="22"/>
    <n v="80219"/>
    <x v="1"/>
    <s v="OFF-PA-10004071"/>
    <x v="1"/>
    <x v="10"/>
    <x v="407"/>
    <n v="88.768000000000001"/>
  </r>
  <r>
    <n v="1929"/>
    <s v="US-2018-101539"/>
    <d v="2018-03-16T00:00:00"/>
    <x v="670"/>
    <s v="SLOW"/>
    <s v="Second Class"/>
    <s v="VM-21685"/>
    <s v="Valerie Mitchum"/>
    <x v="2"/>
    <s v="United States"/>
    <s v="Seattle"/>
    <x v="4"/>
    <n v="98105"/>
    <x v="1"/>
    <s v="OFF-PA-10001972"/>
    <x v="1"/>
    <x v="10"/>
    <x v="1159"/>
    <n v="6.48"/>
  </r>
  <r>
    <n v="1930"/>
    <s v="US-2018-101539"/>
    <d v="2018-03-16T00:00:00"/>
    <x v="670"/>
    <s v="SLOW"/>
    <s v="Second Class"/>
    <s v="VM-21685"/>
    <s v="Valerie Mitchum"/>
    <x v="2"/>
    <s v="United States"/>
    <s v="Seattle"/>
    <x v="4"/>
    <n v="98105"/>
    <x v="1"/>
    <s v="OFF-ST-10004180"/>
    <x v="1"/>
    <x v="4"/>
    <x v="239"/>
    <n v="46.51"/>
  </r>
  <r>
    <n v="1931"/>
    <s v="US-2018-101539"/>
    <d v="2018-03-16T00:00:00"/>
    <x v="670"/>
    <s v="SLOW"/>
    <s v="Second Class"/>
    <s v="VM-21685"/>
    <s v="Valerie Mitchum"/>
    <x v="2"/>
    <s v="United States"/>
    <s v="Seattle"/>
    <x v="4"/>
    <n v="98105"/>
    <x v="1"/>
    <s v="TEC-PH-10004165"/>
    <x v="2"/>
    <x v="7"/>
    <x v="879"/>
    <n v="659.976"/>
  </r>
  <r>
    <n v="1932"/>
    <s v="CA-2017-152121"/>
    <d v="2017-11-27T00:00:00"/>
    <x v="532"/>
    <s v="SLOW"/>
    <s v="Second Class"/>
    <s v="CC-12670"/>
    <s v="Craig Carreira"/>
    <x v="0"/>
    <s v="United States"/>
    <s v="Scottsdale"/>
    <x v="16"/>
    <n v="85254"/>
    <x v="1"/>
    <s v="TEC-PH-10002483"/>
    <x v="2"/>
    <x v="7"/>
    <x v="1160"/>
    <n v="271.99200000000002"/>
  </r>
  <r>
    <n v="1933"/>
    <s v="CA-2018-161200"/>
    <d v="2018-08-06T00:00:00"/>
    <x v="671"/>
    <s v="SLOW"/>
    <s v="Second Class"/>
    <s v="SV-20365"/>
    <s v="Seth Vernon"/>
    <x v="0"/>
    <s v="United States"/>
    <s v="Lafayette"/>
    <x v="28"/>
    <n v="70506"/>
    <x v="0"/>
    <s v="FUR-BO-10000468"/>
    <x v="0"/>
    <x v="0"/>
    <x v="1161"/>
    <n v="145.74"/>
  </r>
  <r>
    <n v="1934"/>
    <s v="CA-2018-161200"/>
    <d v="2018-08-06T00:00:00"/>
    <x v="671"/>
    <s v="SLOW"/>
    <s v="Second Class"/>
    <s v="SV-20365"/>
    <s v="Seth Vernon"/>
    <x v="0"/>
    <s v="United States"/>
    <s v="Lafayette"/>
    <x v="28"/>
    <n v="70506"/>
    <x v="0"/>
    <s v="FUR-FU-10001706"/>
    <x v="0"/>
    <x v="5"/>
    <x v="49"/>
    <n v="15.4"/>
  </r>
  <r>
    <n v="1935"/>
    <s v="CA-2018-101245"/>
    <d v="2018-11-27T00:00:00"/>
    <x v="107"/>
    <s v="FAST"/>
    <s v="Standard Class"/>
    <s v="LW-16990"/>
    <s v="Lindsay Williams"/>
    <x v="1"/>
    <s v="United States"/>
    <s v="San Francisco"/>
    <x v="1"/>
    <n v="94109"/>
    <x v="1"/>
    <s v="OFF-PA-10003129"/>
    <x v="1"/>
    <x v="10"/>
    <x v="1127"/>
    <n v="244.55"/>
  </r>
  <r>
    <n v="1936"/>
    <s v="CA-2018-101245"/>
    <d v="2018-11-27T00:00:00"/>
    <x v="107"/>
    <s v="FAST"/>
    <s v="Standard Class"/>
    <s v="LW-16990"/>
    <s v="Lindsay Williams"/>
    <x v="1"/>
    <s v="United States"/>
    <s v="San Francisco"/>
    <x v="1"/>
    <n v="94109"/>
    <x v="1"/>
    <s v="TEC-AC-10001284"/>
    <x v="2"/>
    <x v="11"/>
    <x v="1162"/>
    <n v="166.16"/>
  </r>
  <r>
    <n v="1937"/>
    <s v="CA-2016-141768"/>
    <d v="2016-05-25T00:00:00"/>
    <x v="672"/>
    <s v="SLOW"/>
    <s v="Second Class"/>
    <s v="NP-18685"/>
    <s v="Nora Pelletier"/>
    <x v="2"/>
    <s v="United States"/>
    <s v="San Francisco"/>
    <x v="1"/>
    <n v="94109"/>
    <x v="1"/>
    <s v="FUR-FU-10002268"/>
    <x v="0"/>
    <x v="5"/>
    <x v="854"/>
    <n v="14.73"/>
  </r>
  <r>
    <n v="1938"/>
    <s v="CA-2017-112109"/>
    <d v="2017-07-08T00:00:00"/>
    <x v="292"/>
    <s v="FAST"/>
    <s v="Standard Class"/>
    <s v="JE-15715"/>
    <s v="Joe Elijah"/>
    <x v="0"/>
    <s v="United States"/>
    <s v="Broomfield"/>
    <x v="22"/>
    <n v="80020"/>
    <x v="1"/>
    <s v="OFF-BI-10002082"/>
    <x v="1"/>
    <x v="8"/>
    <x v="1163"/>
    <n v="19.968"/>
  </r>
  <r>
    <n v="1939"/>
    <s v="CA-2017-112109"/>
    <d v="2017-07-08T00:00:00"/>
    <x v="292"/>
    <s v="FAST"/>
    <s v="Standard Class"/>
    <s v="JE-15715"/>
    <s v="Joe Elijah"/>
    <x v="0"/>
    <s v="United States"/>
    <s v="Broomfield"/>
    <x v="22"/>
    <n v="80020"/>
    <x v="1"/>
    <s v="OFF-ST-10001505"/>
    <x v="1"/>
    <x v="4"/>
    <x v="1164"/>
    <n v="33.488"/>
  </r>
  <r>
    <n v="1940"/>
    <s v="CA-2017-112109"/>
    <d v="2017-07-08T00:00:00"/>
    <x v="292"/>
    <s v="FAST"/>
    <s v="Standard Class"/>
    <s v="JE-15715"/>
    <s v="Joe Elijah"/>
    <x v="0"/>
    <s v="United States"/>
    <s v="Broomfield"/>
    <x v="22"/>
    <n v="80020"/>
    <x v="1"/>
    <s v="OFF-BI-10001634"/>
    <x v="1"/>
    <x v="8"/>
    <x v="24"/>
    <n v="8.7360000000000007"/>
  </r>
  <r>
    <n v="1941"/>
    <s v="CA-2017-112109"/>
    <d v="2017-07-08T00:00:00"/>
    <x v="292"/>
    <s v="FAST"/>
    <s v="Standard Class"/>
    <s v="JE-15715"/>
    <s v="Joe Elijah"/>
    <x v="0"/>
    <s v="United States"/>
    <s v="Broomfield"/>
    <x v="22"/>
    <n v="80020"/>
    <x v="1"/>
    <s v="FUR-CH-10004287"/>
    <x v="0"/>
    <x v="1"/>
    <x v="154"/>
    <n v="662.88"/>
  </r>
  <r>
    <n v="1942"/>
    <s v="CA-2018-144064"/>
    <d v="2018-08-29T00:00:00"/>
    <x v="152"/>
    <s v="MODERATE"/>
    <s v="First Class"/>
    <s v="CP-12085"/>
    <s v="Cathy Prescott"/>
    <x v="1"/>
    <s v="United States"/>
    <s v="Quincy"/>
    <x v="10"/>
    <n v="62301"/>
    <x v="2"/>
    <s v="OFF-LA-10004544"/>
    <x v="1"/>
    <x v="2"/>
    <x v="194"/>
    <n v="47.36"/>
  </r>
  <r>
    <n v="1943"/>
    <s v="CA-2018-144064"/>
    <d v="2018-08-29T00:00:00"/>
    <x v="152"/>
    <s v="MODERATE"/>
    <s v="First Class"/>
    <s v="CP-12085"/>
    <s v="Cathy Prescott"/>
    <x v="1"/>
    <s v="United States"/>
    <s v="Quincy"/>
    <x v="10"/>
    <n v="62301"/>
    <x v="2"/>
    <s v="OFF-ST-10004507"/>
    <x v="1"/>
    <x v="4"/>
    <x v="447"/>
    <n v="27.44"/>
  </r>
  <r>
    <n v="1944"/>
    <s v="CA-2018-144064"/>
    <d v="2018-08-29T00:00:00"/>
    <x v="152"/>
    <s v="MODERATE"/>
    <s v="First Class"/>
    <s v="CP-12085"/>
    <s v="Cathy Prescott"/>
    <x v="1"/>
    <s v="United States"/>
    <s v="Quincy"/>
    <x v="10"/>
    <n v="62301"/>
    <x v="2"/>
    <s v="OFF-BI-10002012"/>
    <x v="1"/>
    <x v="8"/>
    <x v="736"/>
    <n v="3.24"/>
  </r>
  <r>
    <n v="1945"/>
    <s v="CA-2017-108581"/>
    <d v="2017-06-20T00:00:00"/>
    <x v="673"/>
    <s v="FAST"/>
    <s v="Standard Class"/>
    <s v="EA-14035"/>
    <s v="Erin Ashbrook"/>
    <x v="1"/>
    <s v="United States"/>
    <s v="Carrollton"/>
    <x v="5"/>
    <n v="75007"/>
    <x v="2"/>
    <s v="TEC-AC-10001109"/>
    <x v="2"/>
    <x v="11"/>
    <x v="990"/>
    <n v="95.968000000000004"/>
  </r>
  <r>
    <n v="1946"/>
    <s v="CA-2017-108581"/>
    <d v="2017-06-20T00:00:00"/>
    <x v="673"/>
    <s v="FAST"/>
    <s v="Standard Class"/>
    <s v="EA-14035"/>
    <s v="Erin Ashbrook"/>
    <x v="1"/>
    <s v="United States"/>
    <s v="Carrollton"/>
    <x v="5"/>
    <n v="75007"/>
    <x v="2"/>
    <s v="OFF-PA-10000809"/>
    <x v="1"/>
    <x v="10"/>
    <x v="1114"/>
    <n v="10.368"/>
  </r>
  <r>
    <n v="1947"/>
    <s v="CA-2018-157987"/>
    <d v="2018-09-02T00:00:00"/>
    <x v="369"/>
    <s v="FAST"/>
    <s v="Standard Class"/>
    <s v="AC-10615"/>
    <s v="Ann Chong"/>
    <x v="1"/>
    <s v="United States"/>
    <s v="New York City"/>
    <x v="15"/>
    <n v="10009"/>
    <x v="3"/>
    <s v="OFF-AR-10000658"/>
    <x v="1"/>
    <x v="6"/>
    <x v="326"/>
    <n v="23.1"/>
  </r>
  <r>
    <n v="1948"/>
    <s v="CA-2018-157987"/>
    <d v="2018-09-02T00:00:00"/>
    <x v="369"/>
    <s v="FAST"/>
    <s v="Standard Class"/>
    <s v="AC-10615"/>
    <s v="Ann Chong"/>
    <x v="1"/>
    <s v="United States"/>
    <s v="New York City"/>
    <x v="15"/>
    <n v="10009"/>
    <x v="3"/>
    <s v="FUR-FU-10001196"/>
    <x v="0"/>
    <x v="5"/>
    <x v="1106"/>
    <n v="11.54"/>
  </r>
  <r>
    <n v="1949"/>
    <s v="CA-2018-157987"/>
    <d v="2018-09-02T00:00:00"/>
    <x v="369"/>
    <s v="FAST"/>
    <s v="Standard Class"/>
    <s v="AC-10615"/>
    <s v="Ann Chong"/>
    <x v="1"/>
    <s v="United States"/>
    <s v="New York City"/>
    <x v="15"/>
    <n v="10009"/>
    <x v="3"/>
    <s v="FUR-TA-10001889"/>
    <x v="0"/>
    <x v="3"/>
    <x v="401"/>
    <n v="254.52600000000001"/>
  </r>
  <r>
    <n v="1950"/>
    <s v="CA-2018-157987"/>
    <d v="2018-09-02T00:00:00"/>
    <x v="369"/>
    <s v="FAST"/>
    <s v="Standard Class"/>
    <s v="AC-10615"/>
    <s v="Ann Chong"/>
    <x v="1"/>
    <s v="United States"/>
    <s v="New York City"/>
    <x v="15"/>
    <n v="10009"/>
    <x v="3"/>
    <s v="OFF-AP-10000358"/>
    <x v="1"/>
    <x v="9"/>
    <x v="91"/>
    <n v="12.98"/>
  </r>
  <r>
    <n v="1951"/>
    <s v="CA-2018-157987"/>
    <d v="2018-09-02T00:00:00"/>
    <x v="369"/>
    <s v="FAST"/>
    <s v="Standard Class"/>
    <s v="AC-10615"/>
    <s v="Ann Chong"/>
    <x v="1"/>
    <s v="United States"/>
    <s v="New York City"/>
    <x v="15"/>
    <n v="10009"/>
    <x v="3"/>
    <s v="OFF-BI-10004970"/>
    <x v="1"/>
    <x v="8"/>
    <x v="901"/>
    <n v="26.431999999999999"/>
  </r>
  <r>
    <n v="1952"/>
    <s v="CA-2018-157987"/>
    <d v="2018-09-02T00:00:00"/>
    <x v="369"/>
    <s v="FAST"/>
    <s v="Standard Class"/>
    <s v="AC-10615"/>
    <s v="Ann Chong"/>
    <x v="1"/>
    <s v="United States"/>
    <s v="New York City"/>
    <x v="15"/>
    <n v="10009"/>
    <x v="3"/>
    <s v="TEC-PH-10003885"/>
    <x v="2"/>
    <x v="7"/>
    <x v="766"/>
    <n v="197.97"/>
  </r>
  <r>
    <n v="1953"/>
    <s v="CA-2018-157987"/>
    <d v="2018-09-02T00:00:00"/>
    <x v="369"/>
    <s v="FAST"/>
    <s v="Standard Class"/>
    <s v="AC-10615"/>
    <s v="Ann Chong"/>
    <x v="1"/>
    <s v="United States"/>
    <s v="New York City"/>
    <x v="15"/>
    <n v="10009"/>
    <x v="3"/>
    <s v="OFF-LA-10001641"/>
    <x v="1"/>
    <x v="2"/>
    <x v="1013"/>
    <n v="18.899999999999999"/>
  </r>
  <r>
    <n v="1954"/>
    <s v="CA-2018-157987"/>
    <d v="2018-09-02T00:00:00"/>
    <x v="369"/>
    <s v="FAST"/>
    <s v="Standard Class"/>
    <s v="AC-10615"/>
    <s v="Ann Chong"/>
    <x v="1"/>
    <s v="United States"/>
    <s v="New York City"/>
    <x v="15"/>
    <n v="10009"/>
    <x v="3"/>
    <s v="FUR-CH-10003379"/>
    <x v="0"/>
    <x v="1"/>
    <x v="454"/>
    <n v="1282.4100000000001"/>
  </r>
  <r>
    <n v="1955"/>
    <s v="CA-2018-157987"/>
    <d v="2018-09-02T00:00:00"/>
    <x v="369"/>
    <s v="FAST"/>
    <s v="Standard Class"/>
    <s v="AC-10615"/>
    <s v="Ann Chong"/>
    <x v="1"/>
    <s v="United States"/>
    <s v="New York City"/>
    <x v="15"/>
    <n v="10009"/>
    <x v="3"/>
    <s v="OFF-AR-10004582"/>
    <x v="1"/>
    <x v="6"/>
    <x v="1165"/>
    <n v="4.92"/>
  </r>
  <r>
    <n v="1956"/>
    <s v="CA-2018-157987"/>
    <d v="2018-09-02T00:00:00"/>
    <x v="369"/>
    <s v="FAST"/>
    <s v="Standard Class"/>
    <s v="AC-10615"/>
    <s v="Ann Chong"/>
    <x v="1"/>
    <s v="United States"/>
    <s v="New York City"/>
    <x v="15"/>
    <n v="10009"/>
    <x v="3"/>
    <s v="TEC-AC-10002842"/>
    <x v="2"/>
    <x v="11"/>
    <x v="1166"/>
    <n v="238"/>
  </r>
  <r>
    <n v="1957"/>
    <s v="CA-2018-157987"/>
    <d v="2018-09-02T00:00:00"/>
    <x v="369"/>
    <s v="FAST"/>
    <s v="Standard Class"/>
    <s v="AC-10615"/>
    <s v="Ann Chong"/>
    <x v="1"/>
    <s v="United States"/>
    <s v="New York City"/>
    <x v="15"/>
    <n v="10009"/>
    <x v="3"/>
    <s v="TEC-AC-10000109"/>
    <x v="2"/>
    <x v="11"/>
    <x v="197"/>
    <n v="167.97"/>
  </r>
  <r>
    <n v="1958"/>
    <s v="CA-2018-157987"/>
    <d v="2018-09-02T00:00:00"/>
    <x v="369"/>
    <s v="FAST"/>
    <s v="Standard Class"/>
    <s v="AC-10615"/>
    <s v="Ann Chong"/>
    <x v="1"/>
    <s v="United States"/>
    <s v="New York City"/>
    <x v="15"/>
    <n v="10009"/>
    <x v="3"/>
    <s v="OFF-PA-10003893"/>
    <x v="1"/>
    <x v="10"/>
    <x v="1086"/>
    <n v="17.12"/>
  </r>
  <r>
    <n v="1960"/>
    <s v="CA-2018-110905"/>
    <d v="2018-09-10T00:00:00"/>
    <x v="17"/>
    <s v="SLOW"/>
    <s v="Second Class"/>
    <s v="RW-19690"/>
    <s v="Robert Waldorf"/>
    <x v="0"/>
    <s v="United States"/>
    <s v="Springfield"/>
    <x v="25"/>
    <n v="65807"/>
    <x v="2"/>
    <s v="OFF-AP-10004785"/>
    <x v="1"/>
    <x v="9"/>
    <x v="1167"/>
    <n v="33.99"/>
  </r>
  <r>
    <n v="1961"/>
    <s v="CA-2018-110905"/>
    <d v="2018-09-10T00:00:00"/>
    <x v="17"/>
    <s v="SLOW"/>
    <s v="Second Class"/>
    <s v="RW-19690"/>
    <s v="Robert Waldorf"/>
    <x v="0"/>
    <s v="United States"/>
    <s v="Springfield"/>
    <x v="25"/>
    <n v="65807"/>
    <x v="2"/>
    <s v="TEC-AC-10003023"/>
    <x v="2"/>
    <x v="11"/>
    <x v="1061"/>
    <n v="296.85000000000002"/>
  </r>
  <r>
    <n v="1962"/>
    <s v="CA-2018-110905"/>
    <d v="2018-09-10T00:00:00"/>
    <x v="17"/>
    <s v="SLOW"/>
    <s v="Second Class"/>
    <s v="RW-19690"/>
    <s v="Robert Waldorf"/>
    <x v="0"/>
    <s v="United States"/>
    <s v="Springfield"/>
    <x v="25"/>
    <n v="65807"/>
    <x v="2"/>
    <s v="TEC-AC-10002217"/>
    <x v="2"/>
    <x v="11"/>
    <x v="1168"/>
    <n v="112.8"/>
  </r>
  <r>
    <n v="1963"/>
    <s v="CA-2018-110905"/>
    <d v="2018-09-10T00:00:00"/>
    <x v="17"/>
    <s v="SLOW"/>
    <s v="Second Class"/>
    <s v="RW-19690"/>
    <s v="Robert Waldorf"/>
    <x v="0"/>
    <s v="United States"/>
    <s v="Springfield"/>
    <x v="25"/>
    <n v="65807"/>
    <x v="2"/>
    <s v="OFF-BI-10002954"/>
    <x v="1"/>
    <x v="8"/>
    <x v="1169"/>
    <n v="13.71"/>
  </r>
  <r>
    <n v="1964"/>
    <s v="CA-2018-110905"/>
    <d v="2018-09-10T00:00:00"/>
    <x v="17"/>
    <s v="SLOW"/>
    <s v="Second Class"/>
    <s v="RW-19690"/>
    <s v="Robert Waldorf"/>
    <x v="0"/>
    <s v="United States"/>
    <s v="Springfield"/>
    <x v="25"/>
    <n v="65807"/>
    <x v="2"/>
    <s v="OFF-PA-10002586"/>
    <x v="1"/>
    <x v="10"/>
    <x v="999"/>
    <n v="24.9"/>
  </r>
  <r>
    <n v="1965"/>
    <s v="CA-2018-110905"/>
    <d v="2018-09-10T00:00:00"/>
    <x v="17"/>
    <s v="SLOW"/>
    <s v="Second Class"/>
    <s v="RW-19690"/>
    <s v="Robert Waldorf"/>
    <x v="0"/>
    <s v="United States"/>
    <s v="Springfield"/>
    <x v="25"/>
    <n v="65807"/>
    <x v="2"/>
    <s v="OFF-ST-10000025"/>
    <x v="1"/>
    <x v="4"/>
    <x v="608"/>
    <n v="286.29000000000002"/>
  </r>
  <r>
    <n v="1966"/>
    <s v="CA-2018-110905"/>
    <d v="2018-09-10T00:00:00"/>
    <x v="17"/>
    <s v="SLOW"/>
    <s v="Second Class"/>
    <s v="RW-19690"/>
    <s v="Robert Waldorf"/>
    <x v="0"/>
    <s v="United States"/>
    <s v="Springfield"/>
    <x v="25"/>
    <n v="65807"/>
    <x v="2"/>
    <s v="OFF-AP-10003281"/>
    <x v="1"/>
    <x v="9"/>
    <x v="1170"/>
    <n v="24.18"/>
  </r>
  <r>
    <n v="1967"/>
    <s v="CA-2018-165841"/>
    <d v="2018-12-21T00:00:00"/>
    <x v="674"/>
    <s v="FAST"/>
    <s v="Standard Class"/>
    <s v="DB-13210"/>
    <s v="Dean Braden"/>
    <x v="0"/>
    <s v="United States"/>
    <s v="Paterson"/>
    <x v="30"/>
    <n v="7501"/>
    <x v="3"/>
    <s v="TEC-PH-10002103"/>
    <x v="2"/>
    <x v="7"/>
    <x v="529"/>
    <n v="281.97000000000003"/>
  </r>
  <r>
    <n v="1968"/>
    <s v="CA-2018-165841"/>
    <d v="2018-12-21T00:00:00"/>
    <x v="674"/>
    <s v="FAST"/>
    <s v="Standard Class"/>
    <s v="DB-13210"/>
    <s v="Dean Braden"/>
    <x v="0"/>
    <s v="United States"/>
    <s v="Paterson"/>
    <x v="30"/>
    <n v="7501"/>
    <x v="3"/>
    <s v="OFF-SU-10000898"/>
    <x v="1"/>
    <x v="14"/>
    <x v="1171"/>
    <n v="69.5"/>
  </r>
  <r>
    <n v="1969"/>
    <s v="CA-2018-165841"/>
    <d v="2018-12-21T00:00:00"/>
    <x v="674"/>
    <s v="FAST"/>
    <s v="Standard Class"/>
    <s v="DB-13210"/>
    <s v="Dean Braden"/>
    <x v="0"/>
    <s v="United States"/>
    <s v="Paterson"/>
    <x v="30"/>
    <n v="7501"/>
    <x v="3"/>
    <s v="OFF-PA-10001144"/>
    <x v="1"/>
    <x v="10"/>
    <x v="159"/>
    <n v="166.44"/>
  </r>
  <r>
    <n v="1970"/>
    <s v="CA-2018-117485"/>
    <d v="2018-09-23T00:00:00"/>
    <x v="287"/>
    <s v="FAST"/>
    <s v="Standard Class"/>
    <s v="BD-11320"/>
    <s v="Bill Donatelli"/>
    <x v="0"/>
    <s v="United States"/>
    <s v="Tulsa"/>
    <x v="26"/>
    <n v="74133"/>
    <x v="2"/>
    <s v="TEC-AC-10004659"/>
    <x v="2"/>
    <x v="11"/>
    <x v="168"/>
    <n v="291.95999999999998"/>
  </r>
  <r>
    <n v="1971"/>
    <s v="CA-2018-140242"/>
    <d v="2018-05-06T00:00:00"/>
    <x v="675"/>
    <s v="FAST"/>
    <s v="Standard Class"/>
    <s v="ML-17755"/>
    <s v="Max Ludwig"/>
    <x v="2"/>
    <s v="United States"/>
    <s v="Chicago"/>
    <x v="10"/>
    <n v="60623"/>
    <x v="2"/>
    <s v="OFF-AR-10004752"/>
    <x v="1"/>
    <x v="6"/>
    <x v="1095"/>
    <n v="6.4080000000000004"/>
  </r>
  <r>
    <n v="1972"/>
    <s v="CA-2018-140242"/>
    <d v="2018-05-06T00:00:00"/>
    <x v="675"/>
    <s v="FAST"/>
    <s v="Standard Class"/>
    <s v="ML-17755"/>
    <s v="Max Ludwig"/>
    <x v="2"/>
    <s v="United States"/>
    <s v="Chicago"/>
    <x v="10"/>
    <n v="60623"/>
    <x v="2"/>
    <s v="TEC-AC-10004659"/>
    <x v="2"/>
    <x v="11"/>
    <x v="168"/>
    <n v="408.74400000000003"/>
  </r>
  <r>
    <n v="1973"/>
    <s v="CA-2015-148950"/>
    <d v="2015-12-14T00:00:00"/>
    <x v="547"/>
    <s v="FAST"/>
    <s v="Standard Class"/>
    <s v="JD-16015"/>
    <s v="Joy Daniels"/>
    <x v="0"/>
    <s v="United States"/>
    <s v="Chicago"/>
    <x v="10"/>
    <n v="60610"/>
    <x v="2"/>
    <s v="OFF-BI-10001249"/>
    <x v="1"/>
    <x v="8"/>
    <x v="1172"/>
    <n v="5.1040000000000001"/>
  </r>
  <r>
    <n v="1974"/>
    <s v="CA-2015-148950"/>
    <d v="2015-12-14T00:00:00"/>
    <x v="547"/>
    <s v="FAST"/>
    <s v="Standard Class"/>
    <s v="JD-16015"/>
    <s v="Joy Daniels"/>
    <x v="0"/>
    <s v="United States"/>
    <s v="Chicago"/>
    <x v="10"/>
    <n v="60610"/>
    <x v="2"/>
    <s v="OFF-FA-10003059"/>
    <x v="1"/>
    <x v="13"/>
    <x v="788"/>
    <n v="2.8959999999999999"/>
  </r>
  <r>
    <n v="1975"/>
    <s v="CA-2015-148950"/>
    <d v="2015-12-14T00:00:00"/>
    <x v="547"/>
    <s v="FAST"/>
    <s v="Standard Class"/>
    <s v="JD-16015"/>
    <s v="Joy Daniels"/>
    <x v="0"/>
    <s v="United States"/>
    <s v="Chicago"/>
    <x v="10"/>
    <n v="60610"/>
    <x v="2"/>
    <s v="TEC-AC-10002718"/>
    <x v="2"/>
    <x v="11"/>
    <x v="1173"/>
    <n v="35.015999999999998"/>
  </r>
  <r>
    <n v="1976"/>
    <s v="CA-2015-110408"/>
    <d v="2015-10-18T00:00:00"/>
    <x v="676"/>
    <s v="SLOW"/>
    <s v="Second Class"/>
    <s v="AS-10225"/>
    <s v="Alan Schoenberger"/>
    <x v="1"/>
    <s v="United States"/>
    <s v="Montgomery"/>
    <x v="19"/>
    <n v="36116"/>
    <x v="0"/>
    <s v="OFF-ST-10001522"/>
    <x v="1"/>
    <x v="4"/>
    <x v="192"/>
    <n v="275.97000000000003"/>
  </r>
  <r>
    <n v="1977"/>
    <s v="CA-2015-110408"/>
    <d v="2015-10-18T00:00:00"/>
    <x v="676"/>
    <s v="SLOW"/>
    <s v="Second Class"/>
    <s v="AS-10225"/>
    <s v="Alan Schoenberger"/>
    <x v="1"/>
    <s v="United States"/>
    <s v="Montgomery"/>
    <x v="19"/>
    <n v="36116"/>
    <x v="0"/>
    <s v="TEC-PH-10002352"/>
    <x v="2"/>
    <x v="7"/>
    <x v="1174"/>
    <n v="1394.95"/>
  </r>
  <r>
    <n v="1978"/>
    <s v="CA-2015-110408"/>
    <d v="2015-10-18T00:00:00"/>
    <x v="676"/>
    <s v="SLOW"/>
    <s v="Second Class"/>
    <s v="AS-10225"/>
    <s v="Alan Schoenberger"/>
    <x v="1"/>
    <s v="United States"/>
    <s v="Montgomery"/>
    <x v="19"/>
    <n v="36116"/>
    <x v="0"/>
    <s v="FUR-CH-10003774"/>
    <x v="0"/>
    <x v="1"/>
    <x v="1175"/>
    <n v="545.88"/>
  </r>
  <r>
    <n v="1979"/>
    <s v="CA-2016-109939"/>
    <d v="2016-05-08T00:00:00"/>
    <x v="677"/>
    <s v="FAST"/>
    <s v="Standard Class"/>
    <s v="AA-10375"/>
    <s v="Allen Armold"/>
    <x v="0"/>
    <s v="United States"/>
    <s v="Salem"/>
    <x v="21"/>
    <n v="97301"/>
    <x v="1"/>
    <s v="OFF-AR-10000127"/>
    <x v="1"/>
    <x v="6"/>
    <x v="1176"/>
    <n v="5.2480000000000002"/>
  </r>
  <r>
    <n v="1980"/>
    <s v="CA-2017-112669"/>
    <d v="2017-04-14T00:00:00"/>
    <x v="678"/>
    <s v="MODERATE"/>
    <s v="Same Day"/>
    <s v="KT-16465"/>
    <s v="Kean Takahito"/>
    <x v="0"/>
    <s v="United States"/>
    <s v="Glendale"/>
    <x v="16"/>
    <n v="85301"/>
    <x v="1"/>
    <s v="FUR-CH-10004086"/>
    <x v="0"/>
    <x v="1"/>
    <x v="279"/>
    <n v="933.53599999999994"/>
  </r>
  <r>
    <n v="1981"/>
    <s v="CA-2017-112669"/>
    <d v="2017-04-14T00:00:00"/>
    <x v="678"/>
    <s v="MODERATE"/>
    <s v="Same Day"/>
    <s v="KT-16465"/>
    <s v="Kean Takahito"/>
    <x v="0"/>
    <s v="United States"/>
    <s v="Glendale"/>
    <x v="16"/>
    <n v="85301"/>
    <x v="1"/>
    <s v="OFF-ST-10001228"/>
    <x v="1"/>
    <x v="4"/>
    <x v="226"/>
    <n v="42.975999999999999"/>
  </r>
  <r>
    <n v="1983"/>
    <s v="CA-2015-122749"/>
    <d v="2015-12-03T00:00:00"/>
    <x v="79"/>
    <s v="FAST"/>
    <s v="Standard Class"/>
    <s v="NG-18430"/>
    <s v="Nathan Gelder"/>
    <x v="0"/>
    <s v="United States"/>
    <s v="Oklahoma City"/>
    <x v="26"/>
    <n v="73120"/>
    <x v="2"/>
    <s v="TEC-PH-10003811"/>
    <x v="2"/>
    <x v="7"/>
    <x v="1177"/>
    <n v="479.96"/>
  </r>
  <r>
    <n v="1984"/>
    <s v="CA-2015-164721"/>
    <d v="2015-11-25T00:00:00"/>
    <x v="679"/>
    <s v="SLOW"/>
    <s v="Second Class"/>
    <s v="LW-16825"/>
    <s v="Laurel Workman"/>
    <x v="1"/>
    <s v="United States"/>
    <s v="Brentwood"/>
    <x v="1"/>
    <n v="94513"/>
    <x v="1"/>
    <s v="OFF-AP-10000240"/>
    <x v="1"/>
    <x v="9"/>
    <x v="637"/>
    <n v="320.88"/>
  </r>
  <r>
    <n v="1985"/>
    <s v="CA-2015-164721"/>
    <d v="2015-11-25T00:00:00"/>
    <x v="679"/>
    <s v="SLOW"/>
    <s v="Second Class"/>
    <s v="LW-16825"/>
    <s v="Laurel Workman"/>
    <x v="1"/>
    <s v="United States"/>
    <s v="Brentwood"/>
    <x v="1"/>
    <n v="94513"/>
    <x v="1"/>
    <s v="FUR-FU-10001940"/>
    <x v="0"/>
    <x v="5"/>
    <x v="217"/>
    <n v="23.88"/>
  </r>
  <r>
    <n v="1986"/>
    <s v="CA-2015-164721"/>
    <d v="2015-11-25T00:00:00"/>
    <x v="679"/>
    <s v="SLOW"/>
    <s v="Second Class"/>
    <s v="LW-16825"/>
    <s v="Laurel Workman"/>
    <x v="1"/>
    <s v="United States"/>
    <s v="Brentwood"/>
    <x v="1"/>
    <n v="94513"/>
    <x v="1"/>
    <s v="OFF-PA-10000575"/>
    <x v="1"/>
    <x v="10"/>
    <x v="1041"/>
    <n v="26.76"/>
  </r>
  <r>
    <n v="1987"/>
    <s v="CA-2017-147417"/>
    <d v="2017-07-25T00:00:00"/>
    <x v="327"/>
    <s v="MODERATE"/>
    <s v="First Class"/>
    <s v="CB-12415"/>
    <s v="Christy Brittain"/>
    <x v="0"/>
    <s v="United States"/>
    <s v="Columbus"/>
    <x v="24"/>
    <n v="43229"/>
    <x v="3"/>
    <s v="TEC-CO-10001449"/>
    <x v="2"/>
    <x v="16"/>
    <x v="301"/>
    <n v="1439.9760000000001"/>
  </r>
  <r>
    <n v="1988"/>
    <s v="CA-2016-127509"/>
    <d v="2016-11-09T00:00:00"/>
    <x v="680"/>
    <s v="FAST"/>
    <s v="Standard Class"/>
    <s v="AS-10090"/>
    <s v="Adam Shillingsburg"/>
    <x v="0"/>
    <s v="United States"/>
    <s v="Springfield"/>
    <x v="25"/>
    <n v="65807"/>
    <x v="2"/>
    <s v="OFF-BI-10002393"/>
    <x v="1"/>
    <x v="8"/>
    <x v="1178"/>
    <n v="17.22"/>
  </r>
  <r>
    <n v="1989"/>
    <s v="CA-2016-127509"/>
    <d v="2016-11-09T00:00:00"/>
    <x v="680"/>
    <s v="FAST"/>
    <s v="Standard Class"/>
    <s v="AS-10090"/>
    <s v="Adam Shillingsburg"/>
    <x v="0"/>
    <s v="United States"/>
    <s v="Springfield"/>
    <x v="25"/>
    <n v="65807"/>
    <x v="2"/>
    <s v="FUR-TA-10002855"/>
    <x v="0"/>
    <x v="3"/>
    <x v="1179"/>
    <n v="1024.3800000000001"/>
  </r>
  <r>
    <n v="1991"/>
    <s v="CA-2016-127509"/>
    <d v="2016-11-09T00:00:00"/>
    <x v="680"/>
    <s v="FAST"/>
    <s v="Standard Class"/>
    <s v="AS-10090"/>
    <s v="Adam Shillingsburg"/>
    <x v="0"/>
    <s v="United States"/>
    <s v="Springfield"/>
    <x v="25"/>
    <n v="65807"/>
    <x v="2"/>
    <s v="OFF-PA-10002160"/>
    <x v="1"/>
    <x v="10"/>
    <x v="1180"/>
    <n v="17.34"/>
  </r>
  <r>
    <n v="1992"/>
    <s v="CA-2018-111374"/>
    <d v="2018-02-24T00:00:00"/>
    <x v="457"/>
    <s v="FAST"/>
    <s v="Standard Class"/>
    <s v="CB-12415"/>
    <s v="Christy Brittain"/>
    <x v="0"/>
    <s v="United States"/>
    <s v="Philadelphia"/>
    <x v="9"/>
    <n v="19134"/>
    <x v="3"/>
    <s v="OFF-BI-10004970"/>
    <x v="1"/>
    <x v="8"/>
    <x v="901"/>
    <n v="4.9560000000000004"/>
  </r>
  <r>
    <n v="1993"/>
    <s v="CA-2018-133648"/>
    <d v="2018-06-25T00:00:00"/>
    <x v="352"/>
    <s v="FAST"/>
    <s v="Standard Class"/>
    <s v="ML-17755"/>
    <s v="Max Ludwig"/>
    <x v="2"/>
    <s v="United States"/>
    <s v="Springfield"/>
    <x v="21"/>
    <n v="97477"/>
    <x v="1"/>
    <s v="OFF-LA-10003923"/>
    <x v="1"/>
    <x v="2"/>
    <x v="419"/>
    <n v="71.040000000000006"/>
  </r>
  <r>
    <n v="1994"/>
    <s v="CA-2018-133648"/>
    <d v="2018-06-25T00:00:00"/>
    <x v="352"/>
    <s v="FAST"/>
    <s v="Standard Class"/>
    <s v="ML-17755"/>
    <s v="Max Ludwig"/>
    <x v="2"/>
    <s v="United States"/>
    <s v="Springfield"/>
    <x v="21"/>
    <n v="97477"/>
    <x v="1"/>
    <s v="OFF-AR-10002257"/>
    <x v="1"/>
    <x v="6"/>
    <x v="1181"/>
    <n v="5.3440000000000003"/>
  </r>
  <r>
    <n v="1995"/>
    <s v="CA-2018-133648"/>
    <d v="2018-06-25T00:00:00"/>
    <x v="352"/>
    <s v="FAST"/>
    <s v="Standard Class"/>
    <s v="ML-17755"/>
    <s v="Max Ludwig"/>
    <x v="2"/>
    <s v="United States"/>
    <s v="Springfield"/>
    <x v="21"/>
    <n v="97477"/>
    <x v="1"/>
    <s v="OFF-FA-10004395"/>
    <x v="1"/>
    <x v="13"/>
    <x v="1182"/>
    <n v="11.304"/>
  </r>
  <r>
    <n v="1997"/>
    <s v="US-2018-147221"/>
    <d v="2018-12-02T00:00:00"/>
    <x v="377"/>
    <s v="SLOW"/>
    <s v="Second Class"/>
    <s v="JS-16030"/>
    <s v="Joy Smith"/>
    <x v="0"/>
    <s v="United States"/>
    <s v="Houston"/>
    <x v="5"/>
    <n v="77036"/>
    <x v="2"/>
    <s v="FUR-FU-10004020"/>
    <x v="0"/>
    <x v="5"/>
    <x v="483"/>
    <n v="8.7520000000000007"/>
  </r>
  <r>
    <n v="1998"/>
    <s v="CA-2015-131905"/>
    <d v="2015-02-06T00:00:00"/>
    <x v="681"/>
    <s v="MODERATE"/>
    <s v="First Class"/>
    <s v="ND-18460"/>
    <s v="Neil Ducich"/>
    <x v="1"/>
    <s v="United States"/>
    <s v="Chesapeake"/>
    <x v="17"/>
    <n v="23320"/>
    <x v="0"/>
    <s v="OFF-LA-10002787"/>
    <x v="1"/>
    <x v="2"/>
    <x v="537"/>
    <n v="15"/>
  </r>
  <r>
    <n v="1999"/>
    <s v="CA-2015-131905"/>
    <d v="2015-02-06T00:00:00"/>
    <x v="681"/>
    <s v="MODERATE"/>
    <s v="First Class"/>
    <s v="ND-18460"/>
    <s v="Neil Ducich"/>
    <x v="1"/>
    <s v="United States"/>
    <s v="Chesapeake"/>
    <x v="17"/>
    <n v="23320"/>
    <x v="0"/>
    <s v="TEC-PH-10003645"/>
    <x v="2"/>
    <x v="7"/>
    <x v="292"/>
    <n v="161.61000000000001"/>
  </r>
  <r>
    <n v="2000"/>
    <s v="CA-2015-131905"/>
    <d v="2015-02-06T00:00:00"/>
    <x v="681"/>
    <s v="MODERATE"/>
    <s v="First Class"/>
    <s v="ND-18460"/>
    <s v="Neil Ducich"/>
    <x v="1"/>
    <s v="United States"/>
    <s v="Chesapeake"/>
    <x v="17"/>
    <n v="23320"/>
    <x v="0"/>
    <s v="TEC-PH-10001615"/>
    <x v="2"/>
    <x v="7"/>
    <x v="1098"/>
    <n v="144.94999999999999"/>
  </r>
  <r>
    <n v="2001"/>
    <s v="CA-2018-166128"/>
    <d v="2018-04-11T00:00:00"/>
    <x v="648"/>
    <s v="FAST"/>
    <s v="Standard Class"/>
    <s v="LW-17215"/>
    <s v="Luke Weiss"/>
    <x v="0"/>
    <s v="United States"/>
    <s v="Pasadena"/>
    <x v="1"/>
    <n v="91104"/>
    <x v="1"/>
    <s v="TEC-AC-10001767"/>
    <x v="2"/>
    <x v="11"/>
    <x v="93"/>
    <n v="199.95"/>
  </r>
  <r>
    <n v="2002"/>
    <s v="CA-2018-166128"/>
    <d v="2018-04-11T00:00:00"/>
    <x v="648"/>
    <s v="FAST"/>
    <s v="Standard Class"/>
    <s v="LW-17215"/>
    <s v="Luke Weiss"/>
    <x v="0"/>
    <s v="United States"/>
    <s v="Pasadena"/>
    <x v="1"/>
    <n v="91104"/>
    <x v="1"/>
    <s v="OFF-AR-10001221"/>
    <x v="1"/>
    <x v="6"/>
    <x v="1025"/>
    <n v="41.86"/>
  </r>
  <r>
    <n v="2003"/>
    <s v="CA-2018-163510"/>
    <d v="2018-12-25T00:00:00"/>
    <x v="674"/>
    <s v="SLOW"/>
    <s v="Second Class"/>
    <s v="JW-15955"/>
    <s v="Joni Wasserman"/>
    <x v="0"/>
    <s v="United States"/>
    <s v="Louisville"/>
    <x v="0"/>
    <n v="40214"/>
    <x v="0"/>
    <s v="OFF-ST-10000563"/>
    <x v="1"/>
    <x v="4"/>
    <x v="887"/>
    <n v="95.94"/>
  </r>
  <r>
    <n v="2004"/>
    <s v="CA-2018-163510"/>
    <d v="2018-12-25T00:00:00"/>
    <x v="674"/>
    <s v="SLOW"/>
    <s v="Second Class"/>
    <s v="JW-15955"/>
    <s v="Joni Wasserman"/>
    <x v="0"/>
    <s v="United States"/>
    <s v="Louisville"/>
    <x v="0"/>
    <n v="40214"/>
    <x v="0"/>
    <s v="FUR-CH-10001146"/>
    <x v="0"/>
    <x v="1"/>
    <x v="63"/>
    <n v="304.45"/>
  </r>
  <r>
    <n v="2005"/>
    <s v="US-2018-143028"/>
    <d v="2018-04-11T00:00:00"/>
    <x v="648"/>
    <s v="FAST"/>
    <s v="Standard Class"/>
    <s v="SC-20050"/>
    <s v="Sample Company A"/>
    <x v="2"/>
    <s v="United States"/>
    <s v="Lubbock"/>
    <x v="5"/>
    <n v="79424"/>
    <x v="2"/>
    <s v="OFF-BI-10004738"/>
    <x v="1"/>
    <x v="8"/>
    <x v="89"/>
    <n v="11.364000000000001"/>
  </r>
  <r>
    <n v="2006"/>
    <s v="CA-2015-111150"/>
    <d v="2015-12-31T00:00:00"/>
    <x v="123"/>
    <s v="FAST"/>
    <s v="Standard Class"/>
    <s v="RW-19630"/>
    <s v="Rob Williams"/>
    <x v="1"/>
    <s v="United States"/>
    <s v="Columbia"/>
    <x v="25"/>
    <n v="65203"/>
    <x v="2"/>
    <s v="OFF-AR-10000034"/>
    <x v="1"/>
    <x v="6"/>
    <x v="738"/>
    <n v="29.68"/>
  </r>
  <r>
    <n v="2007"/>
    <s v="CA-2015-111150"/>
    <d v="2015-12-31T00:00:00"/>
    <x v="123"/>
    <s v="FAST"/>
    <s v="Standard Class"/>
    <s v="RW-19630"/>
    <s v="Rob Williams"/>
    <x v="1"/>
    <s v="United States"/>
    <s v="Columbia"/>
    <x v="25"/>
    <n v="65203"/>
    <x v="2"/>
    <s v="TEC-AC-10000290"/>
    <x v="2"/>
    <x v="11"/>
    <x v="230"/>
    <n v="47.53"/>
  </r>
  <r>
    <n v="2008"/>
    <s v="CA-2018-165386"/>
    <d v="2018-08-03T00:00:00"/>
    <x v="459"/>
    <s v="MODERATE"/>
    <s v="First Class"/>
    <s v="CM-12190"/>
    <s v="Charlotte Melton"/>
    <x v="0"/>
    <s v="United States"/>
    <s v="Chicago"/>
    <x v="10"/>
    <n v="60623"/>
    <x v="2"/>
    <s v="FUR-BO-10003034"/>
    <x v="0"/>
    <x v="0"/>
    <x v="1183"/>
    <n v="183.37200000000001"/>
  </r>
  <r>
    <n v="2009"/>
    <s v="CA-2015-116407"/>
    <d v="2015-11-15T00:00:00"/>
    <x v="682"/>
    <s v="FAST"/>
    <s v="Standard Class"/>
    <s v="JF-15190"/>
    <s v="Jamie Frazer"/>
    <x v="0"/>
    <s v="United States"/>
    <s v="Johnson City"/>
    <x v="18"/>
    <n v="37604"/>
    <x v="0"/>
    <s v="OFF-AR-10001315"/>
    <x v="1"/>
    <x v="6"/>
    <x v="1011"/>
    <n v="4.2240000000000002"/>
  </r>
  <r>
    <n v="2011"/>
    <s v="CA-2015-116407"/>
    <d v="2015-11-15T00:00:00"/>
    <x v="682"/>
    <s v="FAST"/>
    <s v="Standard Class"/>
    <s v="JF-15190"/>
    <s v="Jamie Frazer"/>
    <x v="0"/>
    <s v="United States"/>
    <s v="Johnson City"/>
    <x v="18"/>
    <n v="37604"/>
    <x v="0"/>
    <s v="OFF-PA-10002137"/>
    <x v="1"/>
    <x v="10"/>
    <x v="554"/>
    <n v="24.896000000000001"/>
  </r>
  <r>
    <n v="2012"/>
    <s v="CA-2016-155761"/>
    <d v="2016-12-11T00:00:00"/>
    <x v="222"/>
    <s v="MODERATE"/>
    <s v="Same Day"/>
    <s v="SC-20800"/>
    <s v="Stuart Calhoun"/>
    <x v="0"/>
    <s v="United States"/>
    <s v="Houston"/>
    <x v="5"/>
    <n v="77041"/>
    <x v="2"/>
    <s v="TEC-AC-10001606"/>
    <x v="2"/>
    <x v="11"/>
    <x v="578"/>
    <n v="159.98400000000001"/>
  </r>
  <r>
    <n v="2013"/>
    <s v="CA-2016-155761"/>
    <d v="2016-12-11T00:00:00"/>
    <x v="222"/>
    <s v="MODERATE"/>
    <s v="Same Day"/>
    <s v="SC-20800"/>
    <s v="Stuart Calhoun"/>
    <x v="0"/>
    <s v="United States"/>
    <s v="Houston"/>
    <x v="5"/>
    <n v="77041"/>
    <x v="2"/>
    <s v="OFF-ST-10000943"/>
    <x v="1"/>
    <x v="4"/>
    <x v="1184"/>
    <n v="46.344000000000001"/>
  </r>
  <r>
    <n v="2014"/>
    <s v="CA-2017-145905"/>
    <d v="2017-09-18T00:00:00"/>
    <x v="30"/>
    <s v="FAST"/>
    <s v="Standard Class"/>
    <s v="AM-10705"/>
    <s v="Anne McFarland"/>
    <x v="0"/>
    <s v="United States"/>
    <s v="Auburn"/>
    <x v="19"/>
    <n v="36830"/>
    <x v="0"/>
    <s v="FUR-CH-10001854"/>
    <x v="0"/>
    <x v="1"/>
    <x v="1100"/>
    <n v="350.98"/>
  </r>
  <r>
    <n v="2015"/>
    <s v="CA-2017-145905"/>
    <d v="2017-09-18T00:00:00"/>
    <x v="30"/>
    <s v="FAST"/>
    <s v="Standard Class"/>
    <s v="AM-10705"/>
    <s v="Anne McFarland"/>
    <x v="0"/>
    <s v="United States"/>
    <s v="Auburn"/>
    <x v="19"/>
    <n v="36830"/>
    <x v="0"/>
    <s v="OFF-PA-10000533"/>
    <x v="1"/>
    <x v="10"/>
    <x v="1185"/>
    <n v="13.08"/>
  </r>
  <r>
    <n v="2016"/>
    <s v="CA-2017-145905"/>
    <d v="2017-09-18T00:00:00"/>
    <x v="30"/>
    <s v="FAST"/>
    <s v="Standard Class"/>
    <s v="AM-10705"/>
    <s v="Anne McFarland"/>
    <x v="0"/>
    <s v="United States"/>
    <s v="Auburn"/>
    <x v="19"/>
    <n v="36830"/>
    <x v="0"/>
    <s v="OFF-ST-10003716"/>
    <x v="1"/>
    <x v="4"/>
    <x v="882"/>
    <n v="900.08"/>
  </r>
  <r>
    <n v="2017"/>
    <s v="CA-2016-113110"/>
    <d v="2016-03-19T00:00:00"/>
    <x v="322"/>
    <s v="FAST"/>
    <s v="Standard Class"/>
    <s v="BK-11260"/>
    <s v="Berenike Kampe"/>
    <x v="0"/>
    <s v="United States"/>
    <s v="San Bernardino"/>
    <x v="1"/>
    <n v="92404"/>
    <x v="1"/>
    <s v="OFF-BI-10000088"/>
    <x v="1"/>
    <x v="8"/>
    <x v="1016"/>
    <n v="17.568000000000001"/>
  </r>
  <r>
    <n v="2018"/>
    <s v="CA-2016-113110"/>
    <d v="2016-03-19T00:00:00"/>
    <x v="322"/>
    <s v="FAST"/>
    <s v="Standard Class"/>
    <s v="BK-11260"/>
    <s v="Berenike Kampe"/>
    <x v="0"/>
    <s v="United States"/>
    <s v="San Bernardino"/>
    <x v="1"/>
    <n v="92404"/>
    <x v="1"/>
    <s v="OFF-LA-10000240"/>
    <x v="1"/>
    <x v="2"/>
    <x v="2"/>
    <n v="14.62"/>
  </r>
  <r>
    <n v="2019"/>
    <s v="CA-2016-113110"/>
    <d v="2016-03-19T00:00:00"/>
    <x v="322"/>
    <s v="FAST"/>
    <s v="Standard Class"/>
    <s v="BK-11260"/>
    <s v="Berenike Kampe"/>
    <x v="0"/>
    <s v="United States"/>
    <s v="San Bernardino"/>
    <x v="1"/>
    <n v="92404"/>
    <x v="1"/>
    <s v="OFF-SU-10001165"/>
    <x v="1"/>
    <x v="14"/>
    <x v="1030"/>
    <n v="33.36"/>
  </r>
  <r>
    <n v="2020"/>
    <s v="CA-2016-113110"/>
    <d v="2016-03-19T00:00:00"/>
    <x v="322"/>
    <s v="FAST"/>
    <s v="Standard Class"/>
    <s v="BK-11260"/>
    <s v="Berenike Kampe"/>
    <x v="0"/>
    <s v="United States"/>
    <s v="San Bernardino"/>
    <x v="1"/>
    <n v="92404"/>
    <x v="1"/>
    <s v="OFF-PA-10002749"/>
    <x v="1"/>
    <x v="10"/>
    <x v="182"/>
    <n v="40.14"/>
  </r>
  <r>
    <n v="2021"/>
    <s v="CA-2017-168354"/>
    <d v="2017-09-19T00:00:00"/>
    <x v="683"/>
    <s v="MODERATE"/>
    <s v="First Class"/>
    <s v="RH-19510"/>
    <s v="Rick Huthwaite"/>
    <x v="2"/>
    <s v="United States"/>
    <s v="Providence"/>
    <x v="34"/>
    <n v="2908"/>
    <x v="3"/>
    <s v="OFF-ST-10001490"/>
    <x v="1"/>
    <x v="4"/>
    <x v="508"/>
    <n v="1606.23"/>
  </r>
  <r>
    <n v="2022"/>
    <s v="CA-2017-168354"/>
    <d v="2017-09-19T00:00:00"/>
    <x v="683"/>
    <s v="MODERATE"/>
    <s v="First Class"/>
    <s v="RH-19510"/>
    <s v="Rick Huthwaite"/>
    <x v="2"/>
    <s v="United States"/>
    <s v="Providence"/>
    <x v="34"/>
    <n v="2908"/>
    <x v="3"/>
    <s v="OFF-PA-10002377"/>
    <x v="1"/>
    <x v="10"/>
    <x v="551"/>
    <n v="17.04"/>
  </r>
  <r>
    <n v="2023"/>
    <s v="CA-2017-168354"/>
    <d v="2017-09-19T00:00:00"/>
    <x v="683"/>
    <s v="MODERATE"/>
    <s v="First Class"/>
    <s v="RH-19510"/>
    <s v="Rick Huthwaite"/>
    <x v="2"/>
    <s v="United States"/>
    <s v="Providence"/>
    <x v="34"/>
    <n v="2908"/>
    <x v="3"/>
    <s v="OFF-BI-10004826"/>
    <x v="1"/>
    <x v="8"/>
    <x v="715"/>
    <n v="49.53"/>
  </r>
  <r>
    <n v="2024"/>
    <s v="CA-2017-168354"/>
    <d v="2017-09-19T00:00:00"/>
    <x v="683"/>
    <s v="MODERATE"/>
    <s v="First Class"/>
    <s v="RH-19510"/>
    <s v="Rick Huthwaite"/>
    <x v="2"/>
    <s v="United States"/>
    <s v="Providence"/>
    <x v="34"/>
    <n v="2908"/>
    <x v="3"/>
    <s v="FUR-CH-10004675"/>
    <x v="0"/>
    <x v="1"/>
    <x v="622"/>
    <n v="872.32"/>
  </r>
  <r>
    <n v="2025"/>
    <s v="US-2018-111241"/>
    <d v="2018-08-20T00:00:00"/>
    <x v="552"/>
    <s v="SLOW"/>
    <s v="Second Class"/>
    <s v="GM-14500"/>
    <s v="Gene McClure"/>
    <x v="0"/>
    <s v="United States"/>
    <s v="Fresno"/>
    <x v="1"/>
    <n v="93727"/>
    <x v="1"/>
    <s v="OFF-BI-10002867"/>
    <x v="1"/>
    <x v="8"/>
    <x v="956"/>
    <n v="239.12"/>
  </r>
  <r>
    <n v="2026"/>
    <s v="CA-2016-114237"/>
    <d v="2016-03-13T00:00:00"/>
    <x v="684"/>
    <s v="MODERATE"/>
    <s v="First Class"/>
    <s v="MC-17275"/>
    <s v="Marc Crier"/>
    <x v="0"/>
    <s v="United States"/>
    <s v="Seattle"/>
    <x v="4"/>
    <n v="98103"/>
    <x v="1"/>
    <s v="FUR-BO-10004409"/>
    <x v="0"/>
    <x v="0"/>
    <x v="618"/>
    <n v="141.96"/>
  </r>
  <r>
    <n v="2027"/>
    <s v="CA-2017-113516"/>
    <d v="2017-09-08T00:00:00"/>
    <x v="164"/>
    <s v="SLOW"/>
    <s v="Second Class"/>
    <s v="VM-21685"/>
    <s v="Valerie Mitchum"/>
    <x v="2"/>
    <s v="United States"/>
    <s v="Lancaster"/>
    <x v="1"/>
    <n v="93534"/>
    <x v="1"/>
    <s v="OFF-BI-10002225"/>
    <x v="1"/>
    <x v="8"/>
    <x v="334"/>
    <n v="33.024000000000001"/>
  </r>
  <r>
    <n v="2028"/>
    <s v="CA-2017-113516"/>
    <d v="2017-09-08T00:00:00"/>
    <x v="164"/>
    <s v="SLOW"/>
    <s v="Second Class"/>
    <s v="VM-21685"/>
    <s v="Valerie Mitchum"/>
    <x v="2"/>
    <s v="United States"/>
    <s v="Lancaster"/>
    <x v="1"/>
    <n v="93534"/>
    <x v="1"/>
    <s v="OFF-BI-10001989"/>
    <x v="1"/>
    <x v="8"/>
    <x v="532"/>
    <n v="67.135999999999996"/>
  </r>
  <r>
    <n v="2029"/>
    <s v="CA-2016-117961"/>
    <d v="2016-11-26T00:00:00"/>
    <x v="26"/>
    <s v="FAST"/>
    <s v="Standard Class"/>
    <s v="GP-14740"/>
    <s v="Guy Phonely"/>
    <x v="1"/>
    <s v="United States"/>
    <s v="Leominster"/>
    <x v="31"/>
    <n v="1453"/>
    <x v="3"/>
    <s v="OFF-BI-10000343"/>
    <x v="1"/>
    <x v="8"/>
    <x v="181"/>
    <n v="14.73"/>
  </r>
  <r>
    <n v="2030"/>
    <s v="CA-2016-117961"/>
    <d v="2016-11-26T00:00:00"/>
    <x v="26"/>
    <s v="FAST"/>
    <s v="Standard Class"/>
    <s v="GP-14740"/>
    <s v="Guy Phonely"/>
    <x v="1"/>
    <s v="United States"/>
    <s v="Leominster"/>
    <x v="31"/>
    <n v="1453"/>
    <x v="3"/>
    <s v="OFF-ST-10001172"/>
    <x v="1"/>
    <x v="4"/>
    <x v="1186"/>
    <n v="104.9"/>
  </r>
  <r>
    <n v="2031"/>
    <s v="CA-2016-117961"/>
    <d v="2016-11-26T00:00:00"/>
    <x v="26"/>
    <s v="FAST"/>
    <s v="Standard Class"/>
    <s v="GP-14740"/>
    <s v="Guy Phonely"/>
    <x v="1"/>
    <s v="United States"/>
    <s v="Leominster"/>
    <x v="31"/>
    <n v="1453"/>
    <x v="3"/>
    <s v="OFF-BI-10003707"/>
    <x v="1"/>
    <x v="8"/>
    <x v="770"/>
    <n v="61.04"/>
  </r>
  <r>
    <n v="2032"/>
    <s v="CA-2016-117961"/>
    <d v="2016-11-26T00:00:00"/>
    <x v="26"/>
    <s v="FAST"/>
    <s v="Standard Class"/>
    <s v="GP-14740"/>
    <s v="Guy Phonely"/>
    <x v="1"/>
    <s v="United States"/>
    <s v="Leominster"/>
    <x v="31"/>
    <n v="1453"/>
    <x v="3"/>
    <s v="OFF-PA-10001274"/>
    <x v="1"/>
    <x v="10"/>
    <x v="1002"/>
    <n v="10.95"/>
  </r>
  <r>
    <n v="2033"/>
    <s v="CA-2017-128923"/>
    <d v="2017-12-09T00:00:00"/>
    <x v="10"/>
    <s v="FAST"/>
    <s v="Standard Class"/>
    <s v="GB-14530"/>
    <s v="George Bell"/>
    <x v="1"/>
    <s v="United States"/>
    <s v="Fort Worth"/>
    <x v="5"/>
    <n v="76106"/>
    <x v="2"/>
    <s v="OFF-PA-10002250"/>
    <x v="1"/>
    <x v="10"/>
    <x v="693"/>
    <n v="9.3919999999999995"/>
  </r>
  <r>
    <n v="2034"/>
    <s v="CA-2017-128923"/>
    <d v="2017-12-09T00:00:00"/>
    <x v="10"/>
    <s v="FAST"/>
    <s v="Standard Class"/>
    <s v="GB-14530"/>
    <s v="George Bell"/>
    <x v="1"/>
    <s v="United States"/>
    <s v="Fort Worth"/>
    <x v="5"/>
    <n v="76106"/>
    <x v="2"/>
    <s v="OFF-AR-10000475"/>
    <x v="1"/>
    <x v="6"/>
    <x v="1101"/>
    <n v="9.3279999999999994"/>
  </r>
  <r>
    <n v="2035"/>
    <s v="CA-2018-162481"/>
    <d v="2018-09-25T00:00:00"/>
    <x v="287"/>
    <s v="FAST"/>
    <s v="Standard Class"/>
    <s v="CT-11995"/>
    <s v="Carol Triggs"/>
    <x v="0"/>
    <s v="United States"/>
    <s v="Rochester"/>
    <x v="11"/>
    <n v="55901"/>
    <x v="2"/>
    <s v="OFF-BI-10002976"/>
    <x v="1"/>
    <x v="8"/>
    <x v="842"/>
    <n v="8.26"/>
  </r>
  <r>
    <n v="2036"/>
    <s v="CA-2018-162481"/>
    <d v="2018-09-25T00:00:00"/>
    <x v="287"/>
    <s v="FAST"/>
    <s v="Standard Class"/>
    <s v="CT-11995"/>
    <s v="Carol Triggs"/>
    <x v="0"/>
    <s v="United States"/>
    <s v="Rochester"/>
    <x v="11"/>
    <n v="55901"/>
    <x v="2"/>
    <s v="FUR-CH-10003061"/>
    <x v="0"/>
    <x v="1"/>
    <x v="50"/>
    <n v="269.97000000000003"/>
  </r>
  <r>
    <n v="2037"/>
    <s v="CA-2016-119214"/>
    <d v="2016-01-23T00:00:00"/>
    <x v="685"/>
    <s v="FAST"/>
    <s v="Standard Class"/>
    <s v="CW-11905"/>
    <s v="Carl Weiss"/>
    <x v="2"/>
    <s v="United States"/>
    <s v="Bozeman"/>
    <x v="37"/>
    <n v="59715"/>
    <x v="1"/>
    <s v="OFF-PA-10002893"/>
    <x v="1"/>
    <x v="10"/>
    <x v="356"/>
    <n v="29.04"/>
  </r>
  <r>
    <n v="2038"/>
    <s v="CA-2016-119214"/>
    <d v="2016-01-23T00:00:00"/>
    <x v="685"/>
    <s v="FAST"/>
    <s v="Standard Class"/>
    <s v="CW-11905"/>
    <s v="Carl Weiss"/>
    <x v="2"/>
    <s v="United States"/>
    <s v="Bozeman"/>
    <x v="37"/>
    <n v="59715"/>
    <x v="1"/>
    <s v="OFF-LA-10003077"/>
    <x v="1"/>
    <x v="2"/>
    <x v="1071"/>
    <n v="14.62"/>
  </r>
  <r>
    <n v="2039"/>
    <s v="CA-2016-122287"/>
    <d v="2016-06-18T00:00:00"/>
    <x v="686"/>
    <s v="FAST"/>
    <s v="Standard Class"/>
    <s v="SN-20560"/>
    <s v="Skye Norling"/>
    <x v="2"/>
    <s v="United States"/>
    <s v="Peoria"/>
    <x v="16"/>
    <n v="85345"/>
    <x v="1"/>
    <s v="OFF-PA-10001661"/>
    <x v="1"/>
    <x v="10"/>
    <x v="1187"/>
    <n v="11.952"/>
  </r>
  <r>
    <n v="2040"/>
    <s v="CA-2016-122287"/>
    <d v="2016-06-18T00:00:00"/>
    <x v="686"/>
    <s v="FAST"/>
    <s v="Standard Class"/>
    <s v="SN-20560"/>
    <s v="Skye Norling"/>
    <x v="2"/>
    <s v="United States"/>
    <s v="Peoria"/>
    <x v="16"/>
    <n v="85345"/>
    <x v="1"/>
    <s v="OFF-BI-10004656"/>
    <x v="1"/>
    <x v="8"/>
    <x v="849"/>
    <n v="4.5359999999999996"/>
  </r>
  <r>
    <n v="2041"/>
    <s v="CA-2016-122287"/>
    <d v="2016-06-18T00:00:00"/>
    <x v="686"/>
    <s v="FAST"/>
    <s v="Standard Class"/>
    <s v="SN-20560"/>
    <s v="Skye Norling"/>
    <x v="2"/>
    <s v="United States"/>
    <s v="Peoria"/>
    <x v="16"/>
    <n v="85345"/>
    <x v="1"/>
    <s v="OFF-BI-10003707"/>
    <x v="1"/>
    <x v="8"/>
    <x v="770"/>
    <n v="9.1560000000000006"/>
  </r>
  <r>
    <n v="2042"/>
    <s v="CA-2016-122287"/>
    <d v="2016-06-18T00:00:00"/>
    <x v="686"/>
    <s v="FAST"/>
    <s v="Standard Class"/>
    <s v="SN-20560"/>
    <s v="Skye Norling"/>
    <x v="2"/>
    <s v="United States"/>
    <s v="Peoria"/>
    <x v="16"/>
    <n v="85345"/>
    <x v="1"/>
    <s v="FUR-FU-10004973"/>
    <x v="0"/>
    <x v="5"/>
    <x v="1124"/>
    <n v="75.36"/>
  </r>
  <r>
    <n v="2043"/>
    <s v="CA-2016-104493"/>
    <d v="2016-10-02T00:00:00"/>
    <x v="687"/>
    <s v="FAST"/>
    <s v="Standard Class"/>
    <s v="EB-13705"/>
    <s v="Ed Braxton"/>
    <x v="1"/>
    <s v="United States"/>
    <s v="San Diego"/>
    <x v="1"/>
    <n v="92105"/>
    <x v="1"/>
    <s v="OFF-BI-10004817"/>
    <x v="1"/>
    <x v="8"/>
    <x v="1188"/>
    <n v="57.503999999999998"/>
  </r>
  <r>
    <n v="2044"/>
    <s v="US-2018-158946"/>
    <d v="2018-11-18T00:00:00"/>
    <x v="121"/>
    <s v="FAST"/>
    <s v="Standard Class"/>
    <s v="JW-15220"/>
    <s v="Jane Waco"/>
    <x v="1"/>
    <s v="United States"/>
    <s v="Lakewood"/>
    <x v="24"/>
    <n v="44107"/>
    <x v="3"/>
    <s v="OFF-AR-10001860"/>
    <x v="1"/>
    <x v="6"/>
    <x v="900"/>
    <n v="38.863999999999997"/>
  </r>
  <r>
    <n v="2045"/>
    <s v="CA-2015-129168"/>
    <d v="2015-08-17T00:00:00"/>
    <x v="688"/>
    <s v="FAST"/>
    <s v="Standard Class"/>
    <s v="KB-16585"/>
    <s v="Ken Black"/>
    <x v="1"/>
    <s v="United States"/>
    <s v="Houston"/>
    <x v="5"/>
    <n v="77095"/>
    <x v="2"/>
    <s v="OFF-PA-10001639"/>
    <x v="1"/>
    <x v="10"/>
    <x v="964"/>
    <n v="15.552"/>
  </r>
  <r>
    <n v="2046"/>
    <s v="CA-2017-131835"/>
    <d v="2017-07-17T00:00:00"/>
    <x v="245"/>
    <s v="FAST"/>
    <s v="Standard Class"/>
    <s v="MC-17590"/>
    <s v="Matt Collister"/>
    <x v="1"/>
    <s v="United States"/>
    <s v="Perth Amboy"/>
    <x v="30"/>
    <n v="8861"/>
    <x v="3"/>
    <s v="OFF-AP-10004487"/>
    <x v="1"/>
    <x v="9"/>
    <x v="709"/>
    <n v="162.63999999999999"/>
  </r>
  <r>
    <n v="2047"/>
    <s v="CA-2017-131835"/>
    <d v="2017-07-17T00:00:00"/>
    <x v="245"/>
    <s v="FAST"/>
    <s v="Standard Class"/>
    <s v="MC-17590"/>
    <s v="Matt Collister"/>
    <x v="1"/>
    <s v="United States"/>
    <s v="Perth Amboy"/>
    <x v="30"/>
    <n v="8861"/>
    <x v="3"/>
    <s v="TEC-PH-10001760"/>
    <x v="2"/>
    <x v="7"/>
    <x v="252"/>
    <n v="597"/>
  </r>
  <r>
    <n v="2048"/>
    <s v="CA-2017-131835"/>
    <d v="2017-07-17T00:00:00"/>
    <x v="245"/>
    <s v="FAST"/>
    <s v="Standard Class"/>
    <s v="MC-17590"/>
    <s v="Matt Collister"/>
    <x v="1"/>
    <s v="United States"/>
    <s v="Perth Amboy"/>
    <x v="30"/>
    <n v="8861"/>
    <x v="3"/>
    <s v="OFF-PA-10004071"/>
    <x v="1"/>
    <x v="10"/>
    <x v="407"/>
    <n v="55.48"/>
  </r>
  <r>
    <n v="2049"/>
    <s v="CA-2016-142237"/>
    <d v="2016-07-11T00:00:00"/>
    <x v="618"/>
    <s v="MODERATE"/>
    <s v="First Class"/>
    <s v="CK-12595"/>
    <s v="Clytie Kelty"/>
    <x v="0"/>
    <s v="United States"/>
    <s v="Philadelphia"/>
    <x v="9"/>
    <n v="19134"/>
    <x v="3"/>
    <s v="FUR-FU-10004848"/>
    <x v="0"/>
    <x v="5"/>
    <x v="28"/>
    <n v="289.8"/>
  </r>
  <r>
    <n v="2050"/>
    <s v="CA-2016-142237"/>
    <d v="2016-07-11T00:00:00"/>
    <x v="618"/>
    <s v="MODERATE"/>
    <s v="First Class"/>
    <s v="CK-12595"/>
    <s v="Clytie Kelty"/>
    <x v="0"/>
    <s v="United States"/>
    <s v="Philadelphia"/>
    <x v="9"/>
    <n v="19134"/>
    <x v="3"/>
    <s v="OFF-BI-10004022"/>
    <x v="1"/>
    <x v="8"/>
    <x v="741"/>
    <n v="2.5019999999999998"/>
  </r>
  <r>
    <n v="2052"/>
    <s v="CA-2016-142237"/>
    <d v="2016-07-11T00:00:00"/>
    <x v="618"/>
    <s v="MODERATE"/>
    <s v="First Class"/>
    <s v="CK-12595"/>
    <s v="Clytie Kelty"/>
    <x v="0"/>
    <s v="United States"/>
    <s v="Philadelphia"/>
    <x v="9"/>
    <n v="19134"/>
    <x v="3"/>
    <s v="FUR-CH-10003833"/>
    <x v="0"/>
    <x v="1"/>
    <x v="1189"/>
    <n v="341.488"/>
  </r>
  <r>
    <n v="2053"/>
    <s v="CA-2016-142237"/>
    <d v="2016-07-11T00:00:00"/>
    <x v="618"/>
    <s v="MODERATE"/>
    <s v="First Class"/>
    <s v="CK-12595"/>
    <s v="Clytie Kelty"/>
    <x v="0"/>
    <s v="United States"/>
    <s v="Philadelphia"/>
    <x v="9"/>
    <n v="19134"/>
    <x v="3"/>
    <s v="OFF-AR-10003732"/>
    <x v="1"/>
    <x v="6"/>
    <x v="318"/>
    <n v="11.12"/>
  </r>
  <r>
    <n v="2054"/>
    <s v="CA-2016-142237"/>
    <d v="2016-07-11T00:00:00"/>
    <x v="618"/>
    <s v="MODERATE"/>
    <s v="First Class"/>
    <s v="CK-12595"/>
    <s v="Clytie Kelty"/>
    <x v="0"/>
    <s v="United States"/>
    <s v="Philadelphia"/>
    <x v="9"/>
    <n v="19134"/>
    <x v="3"/>
    <s v="FUR-FU-10003142"/>
    <x v="0"/>
    <x v="5"/>
    <x v="1190"/>
    <n v="25.344000000000001"/>
  </r>
  <r>
    <n v="2055"/>
    <s v="CA-2017-136434"/>
    <d v="2017-12-01T00:00:00"/>
    <x v="438"/>
    <s v="FAST"/>
    <s v="Standard Class"/>
    <s v="RD-19480"/>
    <s v="Rick Duston"/>
    <x v="0"/>
    <s v="United States"/>
    <s v="Richmond"/>
    <x v="14"/>
    <n v="47374"/>
    <x v="2"/>
    <s v="FUR-FU-10001196"/>
    <x v="0"/>
    <x v="5"/>
    <x v="1106"/>
    <n v="17.309999999999999"/>
  </r>
  <r>
    <n v="2056"/>
    <s v="CA-2018-120376"/>
    <d v="2018-12-22T00:00:00"/>
    <x v="208"/>
    <s v="MODERATE"/>
    <s v="First Class"/>
    <s v="TP-21130"/>
    <s v="Theone Pippenger"/>
    <x v="0"/>
    <s v="United States"/>
    <s v="Detroit"/>
    <x v="12"/>
    <n v="48227"/>
    <x v="2"/>
    <s v="TEC-AC-10001114"/>
    <x v="2"/>
    <x v="11"/>
    <x v="1191"/>
    <n v="199.95"/>
  </r>
  <r>
    <n v="2057"/>
    <s v="CA-2018-120376"/>
    <d v="2018-12-22T00:00:00"/>
    <x v="208"/>
    <s v="MODERATE"/>
    <s v="First Class"/>
    <s v="TP-21130"/>
    <s v="Theone Pippenger"/>
    <x v="0"/>
    <s v="United States"/>
    <s v="Detroit"/>
    <x v="12"/>
    <n v="48227"/>
    <x v="2"/>
    <s v="FUR-CH-10002335"/>
    <x v="0"/>
    <x v="1"/>
    <x v="616"/>
    <n v="1586.69"/>
  </r>
  <r>
    <n v="2058"/>
    <s v="CA-2018-120376"/>
    <d v="2018-12-22T00:00:00"/>
    <x v="208"/>
    <s v="MODERATE"/>
    <s v="First Class"/>
    <s v="TP-21130"/>
    <s v="Theone Pippenger"/>
    <x v="0"/>
    <s v="United States"/>
    <s v="Detroit"/>
    <x v="12"/>
    <n v="48227"/>
    <x v="2"/>
    <s v="TEC-AC-10000844"/>
    <x v="2"/>
    <x v="11"/>
    <x v="102"/>
    <n v="84.99"/>
  </r>
  <r>
    <n v="2059"/>
    <s v="CA-2018-120376"/>
    <d v="2018-12-22T00:00:00"/>
    <x v="208"/>
    <s v="MODERATE"/>
    <s v="First Class"/>
    <s v="TP-21130"/>
    <s v="Theone Pippenger"/>
    <x v="0"/>
    <s v="United States"/>
    <s v="Detroit"/>
    <x v="12"/>
    <n v="48227"/>
    <x v="2"/>
    <s v="FUR-TA-10004534"/>
    <x v="0"/>
    <x v="3"/>
    <x v="117"/>
    <n v="411.8"/>
  </r>
  <r>
    <n v="2060"/>
    <s v="CA-2015-106439"/>
    <d v="2015-10-31T00:00:00"/>
    <x v="689"/>
    <s v="FAST"/>
    <s v="Standard Class"/>
    <s v="GG-14650"/>
    <s v="Greg Guthrie"/>
    <x v="1"/>
    <s v="United States"/>
    <s v="Los Angeles"/>
    <x v="1"/>
    <n v="90049"/>
    <x v="1"/>
    <s v="OFF-FA-10002975"/>
    <x v="1"/>
    <x v="13"/>
    <x v="124"/>
    <n v="11.34"/>
  </r>
  <r>
    <n v="2061"/>
    <s v="CA-2015-106439"/>
    <d v="2015-10-31T00:00:00"/>
    <x v="689"/>
    <s v="FAST"/>
    <s v="Standard Class"/>
    <s v="GG-14650"/>
    <s v="Greg Guthrie"/>
    <x v="1"/>
    <s v="United States"/>
    <s v="Los Angeles"/>
    <x v="1"/>
    <n v="90049"/>
    <x v="1"/>
    <s v="OFF-ST-10003996"/>
    <x v="1"/>
    <x v="4"/>
    <x v="1192"/>
    <n v="80.3"/>
  </r>
  <r>
    <n v="2062"/>
    <s v="CA-2015-106439"/>
    <d v="2015-10-31T00:00:00"/>
    <x v="689"/>
    <s v="FAST"/>
    <s v="Standard Class"/>
    <s v="GG-14650"/>
    <s v="Greg Guthrie"/>
    <x v="1"/>
    <s v="United States"/>
    <s v="Los Angeles"/>
    <x v="1"/>
    <n v="90049"/>
    <x v="1"/>
    <s v="OFF-BI-10002571"/>
    <x v="1"/>
    <x v="8"/>
    <x v="1193"/>
    <n v="15.968"/>
  </r>
  <r>
    <n v="2063"/>
    <s v="CA-2015-106439"/>
    <d v="2015-10-31T00:00:00"/>
    <x v="689"/>
    <s v="FAST"/>
    <s v="Standard Class"/>
    <s v="GG-14650"/>
    <s v="Greg Guthrie"/>
    <x v="1"/>
    <s v="United States"/>
    <s v="Los Angeles"/>
    <x v="1"/>
    <n v="90049"/>
    <x v="1"/>
    <s v="OFF-PA-10000477"/>
    <x v="1"/>
    <x v="10"/>
    <x v="1194"/>
    <n v="64.739999999999995"/>
  </r>
  <r>
    <n v="2064"/>
    <s v="CA-2015-106439"/>
    <d v="2015-10-31T00:00:00"/>
    <x v="689"/>
    <s v="FAST"/>
    <s v="Standard Class"/>
    <s v="GG-14650"/>
    <s v="Greg Guthrie"/>
    <x v="1"/>
    <s v="United States"/>
    <s v="Los Angeles"/>
    <x v="1"/>
    <n v="90049"/>
    <x v="1"/>
    <s v="OFF-BI-10004209"/>
    <x v="1"/>
    <x v="8"/>
    <x v="1195"/>
    <n v="19.295999999999999"/>
  </r>
  <r>
    <n v="2065"/>
    <s v="CA-2015-106439"/>
    <d v="2015-10-31T00:00:00"/>
    <x v="689"/>
    <s v="FAST"/>
    <s v="Standard Class"/>
    <s v="GG-14650"/>
    <s v="Greg Guthrie"/>
    <x v="1"/>
    <s v="United States"/>
    <s v="Los Angeles"/>
    <x v="1"/>
    <n v="90049"/>
    <x v="1"/>
    <s v="OFF-ST-10001963"/>
    <x v="1"/>
    <x v="4"/>
    <x v="527"/>
    <n v="405.64"/>
  </r>
  <r>
    <n v="2066"/>
    <s v="CA-2015-106439"/>
    <d v="2015-10-31T00:00:00"/>
    <x v="689"/>
    <s v="FAST"/>
    <s v="Standard Class"/>
    <s v="GG-14650"/>
    <s v="Greg Guthrie"/>
    <x v="1"/>
    <s v="United States"/>
    <s v="Los Angeles"/>
    <x v="1"/>
    <n v="90049"/>
    <x v="1"/>
    <s v="FUR-CH-10003833"/>
    <x v="0"/>
    <x v="1"/>
    <x v="1189"/>
    <n v="146.352"/>
  </r>
  <r>
    <n v="2067"/>
    <s v="CA-2015-106439"/>
    <d v="2015-10-31T00:00:00"/>
    <x v="689"/>
    <s v="FAST"/>
    <s v="Standard Class"/>
    <s v="GG-14650"/>
    <s v="Greg Guthrie"/>
    <x v="1"/>
    <s v="United States"/>
    <s v="Los Angeles"/>
    <x v="1"/>
    <n v="90049"/>
    <x v="1"/>
    <s v="TEC-AC-10004568"/>
    <x v="2"/>
    <x v="11"/>
    <x v="1099"/>
    <n v="251.91"/>
  </r>
  <r>
    <n v="2068"/>
    <s v="CA-2015-106439"/>
    <d v="2015-10-31T00:00:00"/>
    <x v="689"/>
    <s v="FAST"/>
    <s v="Standard Class"/>
    <s v="GG-14650"/>
    <s v="Greg Guthrie"/>
    <x v="1"/>
    <s v="United States"/>
    <s v="Los Angeles"/>
    <x v="1"/>
    <n v="90049"/>
    <x v="1"/>
    <s v="OFF-AR-10001419"/>
    <x v="1"/>
    <x v="6"/>
    <x v="998"/>
    <n v="12.39"/>
  </r>
  <r>
    <n v="2069"/>
    <s v="CA-2016-133452"/>
    <d v="2016-04-13T00:00:00"/>
    <x v="690"/>
    <s v="FAST"/>
    <s v="Standard Class"/>
    <s v="ZC-21910"/>
    <s v="Zuschuss Carroll"/>
    <x v="0"/>
    <s v="United States"/>
    <s v="Pomona"/>
    <x v="1"/>
    <n v="91767"/>
    <x v="1"/>
    <s v="TEC-AC-10002800"/>
    <x v="2"/>
    <x v="11"/>
    <x v="1196"/>
    <n v="199.96"/>
  </r>
  <r>
    <n v="2070"/>
    <s v="CA-2016-133452"/>
    <d v="2016-04-13T00:00:00"/>
    <x v="690"/>
    <s v="FAST"/>
    <s v="Standard Class"/>
    <s v="ZC-21910"/>
    <s v="Zuschuss Carroll"/>
    <x v="0"/>
    <s v="United States"/>
    <s v="Pomona"/>
    <x v="1"/>
    <n v="91767"/>
    <x v="1"/>
    <s v="FUR-TA-10003954"/>
    <x v="0"/>
    <x v="3"/>
    <x v="1197"/>
    <n v="710.83199999999999"/>
  </r>
  <r>
    <n v="2071"/>
    <s v="CA-2017-146521"/>
    <d v="2017-07-21T00:00:00"/>
    <x v="637"/>
    <s v="SLOW"/>
    <s v="Second Class"/>
    <s v="CC-12610"/>
    <s v="Corey Catlett"/>
    <x v="1"/>
    <s v="United States"/>
    <s v="Philadelphia"/>
    <x v="9"/>
    <n v="19134"/>
    <x v="3"/>
    <s v="OFF-BI-10000301"/>
    <x v="1"/>
    <x v="8"/>
    <x v="612"/>
    <n v="1.9410000000000001"/>
  </r>
  <r>
    <n v="2072"/>
    <s v="US-2018-110996"/>
    <d v="2018-11-20T00:00:00"/>
    <x v="652"/>
    <s v="FAST"/>
    <s v="Standard Class"/>
    <s v="KA-16525"/>
    <s v="Kelly Andreada"/>
    <x v="0"/>
    <s v="United States"/>
    <s v="Ontario"/>
    <x v="1"/>
    <n v="91761"/>
    <x v="1"/>
    <s v="FUR-CH-10003956"/>
    <x v="0"/>
    <x v="1"/>
    <x v="360"/>
    <n v="283.92"/>
  </r>
  <r>
    <n v="2073"/>
    <s v="CA-2017-129693"/>
    <d v="2017-11-26T00:00:00"/>
    <x v="81"/>
    <s v="FAST"/>
    <s v="Standard Class"/>
    <s v="TC-20980"/>
    <s v="Tamara Chand"/>
    <x v="1"/>
    <s v="United States"/>
    <s v="Seattle"/>
    <x v="4"/>
    <n v="98105"/>
    <x v="1"/>
    <s v="OFF-BI-10002954"/>
    <x v="1"/>
    <x v="8"/>
    <x v="1169"/>
    <n v="7.3120000000000003"/>
  </r>
  <r>
    <n v="2074"/>
    <s v="CA-2018-122504"/>
    <d v="2018-11-07T00:00:00"/>
    <x v="44"/>
    <s v="SLOW"/>
    <s v="Second Class"/>
    <s v="DB-13270"/>
    <s v="Deborah Brumfield"/>
    <x v="2"/>
    <s v="United States"/>
    <s v="Brentwood"/>
    <x v="1"/>
    <n v="94513"/>
    <x v="1"/>
    <s v="TEC-AC-10003289"/>
    <x v="2"/>
    <x v="11"/>
    <x v="1198"/>
    <n v="59.97"/>
  </r>
  <r>
    <n v="2075"/>
    <s v="CA-2018-122504"/>
    <d v="2018-11-07T00:00:00"/>
    <x v="44"/>
    <s v="SLOW"/>
    <s v="Second Class"/>
    <s v="DB-13270"/>
    <s v="Deborah Brumfield"/>
    <x v="2"/>
    <s v="United States"/>
    <s v="Brentwood"/>
    <x v="1"/>
    <n v="94513"/>
    <x v="1"/>
    <s v="TEC-PH-10002468"/>
    <x v="2"/>
    <x v="7"/>
    <x v="1199"/>
    <n v="761.54399999999998"/>
  </r>
  <r>
    <n v="2076"/>
    <s v="CA-2015-131051"/>
    <d v="2015-12-01T00:00:00"/>
    <x v="691"/>
    <s v="FAST"/>
    <s v="Standard Class"/>
    <s v="TR-21325"/>
    <s v="Toby Ritter"/>
    <x v="0"/>
    <s v="United States"/>
    <s v="San Francisco"/>
    <x v="1"/>
    <n v="94122"/>
    <x v="1"/>
    <s v="FUR-FU-10001861"/>
    <x v="0"/>
    <x v="5"/>
    <x v="270"/>
    <n v="58.2"/>
  </r>
  <r>
    <n v="2077"/>
    <s v="CA-2018-140676"/>
    <d v="2018-09-12T00:00:00"/>
    <x v="17"/>
    <s v="MODERATE"/>
    <s v="First Class"/>
    <s v="BF-11080"/>
    <s v="Bart Folk"/>
    <x v="0"/>
    <s v="United States"/>
    <s v="Baltimore"/>
    <x v="39"/>
    <n v="21215"/>
    <x v="3"/>
    <s v="OFF-PA-10004082"/>
    <x v="1"/>
    <x v="10"/>
    <x v="222"/>
    <n v="39.9"/>
  </r>
  <r>
    <n v="2078"/>
    <s v="CA-2018-140676"/>
    <d v="2018-09-12T00:00:00"/>
    <x v="17"/>
    <s v="MODERATE"/>
    <s v="First Class"/>
    <s v="BF-11080"/>
    <s v="Bart Folk"/>
    <x v="0"/>
    <s v="United States"/>
    <s v="Baltimore"/>
    <x v="39"/>
    <n v="21215"/>
    <x v="3"/>
    <s v="OFF-AP-10000358"/>
    <x v="1"/>
    <x v="9"/>
    <x v="91"/>
    <n v="90.86"/>
  </r>
  <r>
    <n v="2079"/>
    <s v="CA-2018-140676"/>
    <d v="2018-09-12T00:00:00"/>
    <x v="17"/>
    <s v="MODERATE"/>
    <s v="First Class"/>
    <s v="BF-11080"/>
    <s v="Bart Folk"/>
    <x v="0"/>
    <s v="United States"/>
    <s v="Baltimore"/>
    <x v="39"/>
    <n v="21215"/>
    <x v="3"/>
    <s v="OFF-PA-10004243"/>
    <x v="1"/>
    <x v="10"/>
    <x v="269"/>
    <n v="94.85"/>
  </r>
  <r>
    <n v="2080"/>
    <s v="CA-2016-120103"/>
    <d v="2016-12-24T00:00:00"/>
    <x v="692"/>
    <s v="FAST"/>
    <s v="Standard Class"/>
    <s v="MS-17365"/>
    <s v="Maribeth Schnelling"/>
    <x v="0"/>
    <s v="United States"/>
    <s v="Phoenix"/>
    <x v="16"/>
    <n v="85023"/>
    <x v="1"/>
    <s v="OFF-PA-10001295"/>
    <x v="1"/>
    <x v="10"/>
    <x v="1200"/>
    <n v="106.232"/>
  </r>
  <r>
    <n v="2081"/>
    <s v="CA-2016-120103"/>
    <d v="2016-12-24T00:00:00"/>
    <x v="692"/>
    <s v="FAST"/>
    <s v="Standard Class"/>
    <s v="MS-17365"/>
    <s v="Maribeth Schnelling"/>
    <x v="0"/>
    <s v="United States"/>
    <s v="Phoenix"/>
    <x v="16"/>
    <n v="85023"/>
    <x v="1"/>
    <s v="TEC-PH-10002170"/>
    <x v="2"/>
    <x v="7"/>
    <x v="587"/>
    <n v="111.98399999999999"/>
  </r>
  <r>
    <n v="2082"/>
    <s v="CA-2016-120103"/>
    <d v="2016-12-24T00:00:00"/>
    <x v="692"/>
    <s v="FAST"/>
    <s v="Standard Class"/>
    <s v="MS-17365"/>
    <s v="Maribeth Schnelling"/>
    <x v="0"/>
    <s v="United States"/>
    <s v="Phoenix"/>
    <x v="16"/>
    <n v="85023"/>
    <x v="1"/>
    <s v="FUR-FU-10002885"/>
    <x v="0"/>
    <x v="5"/>
    <x v="748"/>
    <n v="7.7119999999999997"/>
  </r>
  <r>
    <n v="2083"/>
    <s v="CA-2018-104647"/>
    <d v="2018-02-23T00:00:00"/>
    <x v="693"/>
    <s v="FAST"/>
    <s v="Standard Class"/>
    <s v="CK-12595"/>
    <s v="Clytie Kelty"/>
    <x v="0"/>
    <s v="United States"/>
    <s v="Los Angeles"/>
    <x v="1"/>
    <n v="90008"/>
    <x v="1"/>
    <s v="OFF-PA-10002870"/>
    <x v="1"/>
    <x v="10"/>
    <x v="886"/>
    <n v="37.44"/>
  </r>
  <r>
    <n v="2084"/>
    <s v="CA-2015-110352"/>
    <d v="2015-11-23T00:00:00"/>
    <x v="694"/>
    <s v="FAST"/>
    <s v="Standard Class"/>
    <s v="ED-13885"/>
    <s v="Emily Ducich"/>
    <x v="2"/>
    <s v="United States"/>
    <s v="Houston"/>
    <x v="5"/>
    <n v="77036"/>
    <x v="2"/>
    <s v="OFF-LA-10003923"/>
    <x v="1"/>
    <x v="2"/>
    <x v="419"/>
    <n v="23.68"/>
  </r>
  <r>
    <n v="2085"/>
    <s v="CA-2017-140501"/>
    <d v="2017-06-23T00:00:00"/>
    <x v="695"/>
    <s v="FAST"/>
    <s v="Standard Class"/>
    <s v="IM-15070"/>
    <s v="Irene Maddox"/>
    <x v="0"/>
    <s v="United States"/>
    <s v="New York City"/>
    <x v="15"/>
    <n v="10009"/>
    <x v="3"/>
    <s v="OFF-LA-10003510"/>
    <x v="1"/>
    <x v="2"/>
    <x v="569"/>
    <n v="122.12"/>
  </r>
  <r>
    <n v="2086"/>
    <s v="CA-2017-140501"/>
    <d v="2017-06-23T00:00:00"/>
    <x v="695"/>
    <s v="FAST"/>
    <s v="Standard Class"/>
    <s v="IM-15070"/>
    <s v="Irene Maddox"/>
    <x v="0"/>
    <s v="United States"/>
    <s v="New York City"/>
    <x v="15"/>
    <n v="10009"/>
    <x v="3"/>
    <s v="OFF-LA-10000248"/>
    <x v="1"/>
    <x v="2"/>
    <x v="1201"/>
    <n v="18.45"/>
  </r>
  <r>
    <n v="2087"/>
    <s v="CA-2017-140501"/>
    <d v="2017-06-23T00:00:00"/>
    <x v="695"/>
    <s v="FAST"/>
    <s v="Standard Class"/>
    <s v="IM-15070"/>
    <s v="Irene Maddox"/>
    <x v="0"/>
    <s v="United States"/>
    <s v="New York City"/>
    <x v="15"/>
    <n v="10009"/>
    <x v="3"/>
    <s v="OFF-ST-10000060"/>
    <x v="1"/>
    <x v="4"/>
    <x v="384"/>
    <n v="324.89999999999998"/>
  </r>
  <r>
    <n v="2088"/>
    <s v="CA-2017-140501"/>
    <d v="2017-06-23T00:00:00"/>
    <x v="695"/>
    <s v="FAST"/>
    <s v="Standard Class"/>
    <s v="IM-15070"/>
    <s v="Irene Maddox"/>
    <x v="0"/>
    <s v="United States"/>
    <s v="New York City"/>
    <x v="15"/>
    <n v="10009"/>
    <x v="3"/>
    <s v="OFF-PA-10003129"/>
    <x v="1"/>
    <x v="10"/>
    <x v="1127"/>
    <n v="146.72999999999999"/>
  </r>
  <r>
    <n v="2089"/>
    <s v="CA-2017-140501"/>
    <d v="2017-06-23T00:00:00"/>
    <x v="695"/>
    <s v="FAST"/>
    <s v="Standard Class"/>
    <s v="IM-15070"/>
    <s v="Irene Maddox"/>
    <x v="0"/>
    <s v="United States"/>
    <s v="New York City"/>
    <x v="15"/>
    <n v="10009"/>
    <x v="3"/>
    <s v="OFF-FA-10004076"/>
    <x v="1"/>
    <x v="13"/>
    <x v="1202"/>
    <n v="3.96"/>
  </r>
  <r>
    <n v="2090"/>
    <s v="CA-2016-139290"/>
    <d v="2016-10-26T00:00:00"/>
    <x v="696"/>
    <s v="FAST"/>
    <s v="Standard Class"/>
    <s v="MY-17380"/>
    <s v="Maribeth Yedwab"/>
    <x v="1"/>
    <s v="United States"/>
    <s v="Rancho Cucamonga"/>
    <x v="1"/>
    <n v="91730"/>
    <x v="1"/>
    <s v="OFF-LA-10004008"/>
    <x v="1"/>
    <x v="2"/>
    <x v="1203"/>
    <n v="5.76"/>
  </r>
  <r>
    <n v="2091"/>
    <s v="CA-2018-166142"/>
    <d v="2018-07-15T00:00:00"/>
    <x v="697"/>
    <s v="FAST"/>
    <s v="Standard Class"/>
    <s v="MM-17260"/>
    <s v="Magdelene Morse"/>
    <x v="0"/>
    <s v="United States"/>
    <s v="Wilmington"/>
    <x v="13"/>
    <n v="19805"/>
    <x v="3"/>
    <s v="OFF-BI-10004094"/>
    <x v="1"/>
    <x v="8"/>
    <x v="596"/>
    <n v="26.55"/>
  </r>
  <r>
    <n v="2092"/>
    <s v="CA-2018-166142"/>
    <d v="2018-07-15T00:00:00"/>
    <x v="697"/>
    <s v="FAST"/>
    <s v="Standard Class"/>
    <s v="MM-17260"/>
    <s v="Magdelene Morse"/>
    <x v="0"/>
    <s v="United States"/>
    <s v="Wilmington"/>
    <x v="13"/>
    <n v="19805"/>
    <x v="3"/>
    <s v="FUR-TA-10004607"/>
    <x v="0"/>
    <x v="3"/>
    <x v="1085"/>
    <n v="310.44299999999998"/>
  </r>
  <r>
    <n v="2093"/>
    <s v="CA-2015-145926"/>
    <d v="2015-11-17T00:00:00"/>
    <x v="682"/>
    <s v="FAST"/>
    <s v="Standard Class"/>
    <s v="MP-17470"/>
    <s v="Mark Packer"/>
    <x v="2"/>
    <s v="United States"/>
    <s v="Moorhead"/>
    <x v="11"/>
    <n v="56560"/>
    <x v="2"/>
    <s v="FUR-CH-10004289"/>
    <x v="0"/>
    <x v="1"/>
    <x v="967"/>
    <n v="479.9"/>
  </r>
  <r>
    <n v="2094"/>
    <s v="CA-2016-149678"/>
    <d v="2016-04-13T00:00:00"/>
    <x v="366"/>
    <s v="SLOW"/>
    <s v="Second Class"/>
    <s v="AW-10840"/>
    <s v="Anthony Witt"/>
    <x v="0"/>
    <s v="United States"/>
    <s v="Farmington"/>
    <x v="27"/>
    <n v="87401"/>
    <x v="1"/>
    <s v="OFF-SU-10004498"/>
    <x v="1"/>
    <x v="14"/>
    <x v="495"/>
    <n v="12.88"/>
  </r>
  <r>
    <n v="2095"/>
    <s v="US-2016-164357"/>
    <d v="2016-11-25T00:00:00"/>
    <x v="698"/>
    <s v="FAST"/>
    <s v="Standard Class"/>
    <s v="SF-20065"/>
    <s v="Sandra Flanagan"/>
    <x v="0"/>
    <s v="United States"/>
    <s v="Wilmington"/>
    <x v="3"/>
    <n v="28403"/>
    <x v="0"/>
    <s v="OFF-AR-10001177"/>
    <x v="1"/>
    <x v="6"/>
    <x v="1204"/>
    <n v="13.12"/>
  </r>
  <r>
    <n v="2096"/>
    <s v="US-2017-146570"/>
    <d v="2017-05-15T00:00:00"/>
    <x v="312"/>
    <s v="FAST"/>
    <s v="Standard Class"/>
    <s v="SN-20710"/>
    <s v="Steve Nguyen"/>
    <x v="2"/>
    <s v="United States"/>
    <s v="Jackson"/>
    <x v="35"/>
    <n v="39212"/>
    <x v="0"/>
    <s v="OFF-BI-10001718"/>
    <x v="1"/>
    <x v="8"/>
    <x v="1205"/>
    <n v="511.84"/>
  </r>
  <r>
    <n v="2097"/>
    <s v="US-2017-146570"/>
    <d v="2017-05-15T00:00:00"/>
    <x v="312"/>
    <s v="FAST"/>
    <s v="Standard Class"/>
    <s v="SN-20710"/>
    <s v="Steve Nguyen"/>
    <x v="2"/>
    <s v="United States"/>
    <s v="Jackson"/>
    <x v="35"/>
    <n v="39212"/>
    <x v="0"/>
    <s v="OFF-AR-10004602"/>
    <x v="1"/>
    <x v="6"/>
    <x v="1206"/>
    <n v="91.96"/>
  </r>
  <r>
    <n v="2098"/>
    <s v="US-2017-146570"/>
    <d v="2017-05-15T00:00:00"/>
    <x v="312"/>
    <s v="FAST"/>
    <s v="Standard Class"/>
    <s v="SN-20710"/>
    <s v="Steve Nguyen"/>
    <x v="2"/>
    <s v="United States"/>
    <s v="Jackson"/>
    <x v="35"/>
    <n v="39212"/>
    <x v="0"/>
    <s v="OFF-AR-10003856"/>
    <x v="1"/>
    <x v="6"/>
    <x v="439"/>
    <n v="8.34"/>
  </r>
  <r>
    <n v="2099"/>
    <s v="CA-2018-124401"/>
    <d v="2018-09-07T00:00:00"/>
    <x v="229"/>
    <s v="FAST"/>
    <s v="Standard Class"/>
    <s v="RD-19900"/>
    <s v="Ruben Dartt"/>
    <x v="0"/>
    <s v="United States"/>
    <s v="Portland"/>
    <x v="21"/>
    <n v="97206"/>
    <x v="1"/>
    <s v="OFF-ST-10000649"/>
    <x v="1"/>
    <x v="4"/>
    <x v="930"/>
    <n v="37.68"/>
  </r>
  <r>
    <n v="2100"/>
    <s v="CA-2018-124401"/>
    <d v="2018-09-07T00:00:00"/>
    <x v="229"/>
    <s v="FAST"/>
    <s v="Standard Class"/>
    <s v="RD-19900"/>
    <s v="Ruben Dartt"/>
    <x v="0"/>
    <s v="United States"/>
    <s v="Portland"/>
    <x v="21"/>
    <n v="97206"/>
    <x v="1"/>
    <s v="TEC-AC-10002926"/>
    <x v="2"/>
    <x v="11"/>
    <x v="1104"/>
    <n v="279.94400000000002"/>
  </r>
  <r>
    <n v="2101"/>
    <s v="US-2015-140116"/>
    <d v="2015-03-10T00:00:00"/>
    <x v="699"/>
    <s v="FAST"/>
    <s v="Standard Class"/>
    <s v="KT-16480"/>
    <s v="Kean Thornton"/>
    <x v="0"/>
    <s v="United States"/>
    <s v="Denver"/>
    <x v="22"/>
    <n v="80219"/>
    <x v="1"/>
    <s v="OFF-ST-10000078"/>
    <x v="1"/>
    <x v="4"/>
    <x v="1207"/>
    <n v="636.40800000000002"/>
  </r>
  <r>
    <n v="2102"/>
    <s v="US-2015-140116"/>
    <d v="2015-03-10T00:00:00"/>
    <x v="699"/>
    <s v="FAST"/>
    <s v="Standard Class"/>
    <s v="KT-16480"/>
    <s v="Kean Thornton"/>
    <x v="0"/>
    <s v="United States"/>
    <s v="Denver"/>
    <x v="22"/>
    <n v="80219"/>
    <x v="1"/>
    <s v="OFF-AR-10001044"/>
    <x v="1"/>
    <x v="6"/>
    <x v="1033"/>
    <n v="83.168000000000006"/>
  </r>
  <r>
    <n v="2103"/>
    <s v="CA-2015-123295"/>
    <d v="2015-07-18T00:00:00"/>
    <x v="700"/>
    <s v="MODERATE"/>
    <s v="Same Day"/>
    <s v="AH-10120"/>
    <s v="Adrian Hane"/>
    <x v="2"/>
    <s v="United States"/>
    <s v="Tucson"/>
    <x v="16"/>
    <n v="85705"/>
    <x v="1"/>
    <s v="FUR-CH-10002372"/>
    <x v="0"/>
    <x v="1"/>
    <x v="387"/>
    <n v="259.13600000000002"/>
  </r>
  <r>
    <n v="2104"/>
    <s v="CA-2018-167101"/>
    <d v="2018-03-24T00:00:00"/>
    <x v="701"/>
    <s v="SLOW"/>
    <s v="Second Class"/>
    <s v="BM-11650"/>
    <s v="Brian Moss"/>
    <x v="1"/>
    <s v="United States"/>
    <s v="New York City"/>
    <x v="15"/>
    <n v="10009"/>
    <x v="3"/>
    <s v="OFF-PA-10000357"/>
    <x v="1"/>
    <x v="10"/>
    <x v="1208"/>
    <n v="221.92"/>
  </r>
  <r>
    <n v="2105"/>
    <s v="CA-2018-167101"/>
    <d v="2018-03-24T00:00:00"/>
    <x v="701"/>
    <s v="SLOW"/>
    <s v="Second Class"/>
    <s v="BM-11650"/>
    <s v="Brian Moss"/>
    <x v="1"/>
    <s v="United States"/>
    <s v="New York City"/>
    <x v="15"/>
    <n v="10009"/>
    <x v="3"/>
    <s v="TEC-AC-10001266"/>
    <x v="2"/>
    <x v="11"/>
    <x v="193"/>
    <n v="26"/>
  </r>
  <r>
    <n v="2106"/>
    <s v="US-2015-167633"/>
    <d v="2015-09-30T00:00:00"/>
    <x v="702"/>
    <s v="FAST"/>
    <s v="Standard Class"/>
    <s v="BW-11200"/>
    <s v="Ben Wallace"/>
    <x v="0"/>
    <s v="United States"/>
    <s v="Boynton Beach"/>
    <x v="2"/>
    <n v="33437"/>
    <x v="0"/>
    <s v="OFF-PA-10004888"/>
    <x v="1"/>
    <x v="10"/>
    <x v="952"/>
    <n v="15.552"/>
  </r>
  <r>
    <n v="2107"/>
    <s v="US-2015-152723"/>
    <d v="2015-09-26T00:00:00"/>
    <x v="313"/>
    <s v="MODERATE"/>
    <s v="Same Day"/>
    <s v="HG-14965"/>
    <s v="Henry Goldwyn"/>
    <x v="1"/>
    <s v="United States"/>
    <s v="Mesquite"/>
    <x v="5"/>
    <n v="75150"/>
    <x v="2"/>
    <s v="OFF-BI-10003460"/>
    <x v="1"/>
    <x v="8"/>
    <x v="232"/>
    <n v="0.876"/>
  </r>
  <r>
    <n v="2108"/>
    <s v="CA-2016-164882"/>
    <d v="2016-10-31T00:00:00"/>
    <x v="703"/>
    <s v="MODERATE"/>
    <s v="Same Day"/>
    <s v="SG-20080"/>
    <s v="Sandra Glassco"/>
    <x v="0"/>
    <s v="United States"/>
    <s v="Redlands"/>
    <x v="1"/>
    <n v="92374"/>
    <x v="1"/>
    <s v="OFF-PA-10000157"/>
    <x v="1"/>
    <x v="10"/>
    <x v="361"/>
    <n v="19.98"/>
  </r>
  <r>
    <n v="2109"/>
    <s v="CA-2016-164882"/>
    <d v="2016-10-31T00:00:00"/>
    <x v="703"/>
    <s v="MODERATE"/>
    <s v="Same Day"/>
    <s v="SG-20080"/>
    <s v="Sandra Glassco"/>
    <x v="0"/>
    <s v="United States"/>
    <s v="Redlands"/>
    <x v="1"/>
    <n v="92374"/>
    <x v="1"/>
    <s v="OFF-BI-10004519"/>
    <x v="1"/>
    <x v="8"/>
    <x v="873"/>
    <n v="398.35199999999998"/>
  </r>
  <r>
    <n v="2110"/>
    <s v="CA-2016-164882"/>
    <d v="2016-10-31T00:00:00"/>
    <x v="703"/>
    <s v="MODERATE"/>
    <s v="Same Day"/>
    <s v="SG-20080"/>
    <s v="Sandra Glassco"/>
    <x v="0"/>
    <s v="United States"/>
    <s v="Redlands"/>
    <x v="1"/>
    <n v="92374"/>
    <x v="1"/>
    <s v="OFF-AR-10004272"/>
    <x v="1"/>
    <x v="6"/>
    <x v="1209"/>
    <n v="5.04"/>
  </r>
  <r>
    <n v="2111"/>
    <s v="CA-2016-164882"/>
    <d v="2016-10-31T00:00:00"/>
    <x v="703"/>
    <s v="MODERATE"/>
    <s v="Same Day"/>
    <s v="SG-20080"/>
    <s v="Sandra Glassco"/>
    <x v="0"/>
    <s v="United States"/>
    <s v="Redlands"/>
    <x v="1"/>
    <n v="92374"/>
    <x v="1"/>
    <s v="OFF-FA-10000585"/>
    <x v="1"/>
    <x v="13"/>
    <x v="199"/>
    <n v="17.45"/>
  </r>
  <r>
    <n v="2112"/>
    <s v="CA-2016-164882"/>
    <d v="2016-10-31T00:00:00"/>
    <x v="703"/>
    <s v="MODERATE"/>
    <s v="Same Day"/>
    <s v="SG-20080"/>
    <s v="Sandra Glassco"/>
    <x v="0"/>
    <s v="United States"/>
    <s v="Redlands"/>
    <x v="1"/>
    <n v="92374"/>
    <x v="1"/>
    <s v="FUR-CH-10004218"/>
    <x v="0"/>
    <x v="1"/>
    <x v="37"/>
    <n v="323.13600000000002"/>
  </r>
  <r>
    <n v="2113"/>
    <s v="CA-2016-164882"/>
    <d v="2016-10-31T00:00:00"/>
    <x v="703"/>
    <s v="MODERATE"/>
    <s v="Same Day"/>
    <s v="SG-20080"/>
    <s v="Sandra Glassco"/>
    <x v="0"/>
    <s v="United States"/>
    <s v="Redlands"/>
    <x v="1"/>
    <n v="92374"/>
    <x v="1"/>
    <s v="OFF-SU-10004231"/>
    <x v="1"/>
    <x v="14"/>
    <x v="547"/>
    <n v="29.7"/>
  </r>
  <r>
    <n v="2114"/>
    <s v="CA-2016-164882"/>
    <d v="2016-10-31T00:00:00"/>
    <x v="703"/>
    <s v="MODERATE"/>
    <s v="Same Day"/>
    <s v="SG-20080"/>
    <s v="Sandra Glassco"/>
    <x v="0"/>
    <s v="United States"/>
    <s v="Redlands"/>
    <x v="1"/>
    <n v="92374"/>
    <x v="1"/>
    <s v="TEC-PH-10001578"/>
    <x v="2"/>
    <x v="7"/>
    <x v="1210"/>
    <n v="1295.8399999999999"/>
  </r>
  <r>
    <n v="2115"/>
    <s v="CA-2016-164882"/>
    <d v="2016-10-31T00:00:00"/>
    <x v="703"/>
    <s v="MODERATE"/>
    <s v="Same Day"/>
    <s v="SG-20080"/>
    <s v="Sandra Glassco"/>
    <x v="0"/>
    <s v="United States"/>
    <s v="Redlands"/>
    <x v="1"/>
    <n v="92374"/>
    <x v="1"/>
    <s v="OFF-ST-10003638"/>
    <x v="1"/>
    <x v="4"/>
    <x v="1211"/>
    <n v="46.84"/>
  </r>
  <r>
    <n v="2116"/>
    <s v="CA-2016-164882"/>
    <d v="2016-10-31T00:00:00"/>
    <x v="703"/>
    <s v="MODERATE"/>
    <s v="Same Day"/>
    <s v="SG-20080"/>
    <s v="Sandra Glassco"/>
    <x v="0"/>
    <s v="United States"/>
    <s v="Redlands"/>
    <x v="1"/>
    <n v="92374"/>
    <x v="1"/>
    <s v="FUR-BO-10002213"/>
    <x v="0"/>
    <x v="0"/>
    <x v="1212"/>
    <n v="425.83300000000003"/>
  </r>
  <r>
    <n v="2117"/>
    <s v="CA-2016-159786"/>
    <d v="2016-10-12T00:00:00"/>
    <x v="332"/>
    <s v="SLOW"/>
    <s v="Second Class"/>
    <s v="RK-19300"/>
    <s v="Ralph Kennedy"/>
    <x v="0"/>
    <s v="United States"/>
    <s v="Rochester"/>
    <x v="15"/>
    <n v="14609"/>
    <x v="3"/>
    <s v="FUR-TA-10001307"/>
    <x v="0"/>
    <x v="3"/>
    <x v="1080"/>
    <n v="209.67"/>
  </r>
  <r>
    <n v="2118"/>
    <s v="CA-2017-130267"/>
    <d v="2017-09-19T00:00:00"/>
    <x v="30"/>
    <s v="FAST"/>
    <s v="Standard Class"/>
    <s v="SW-20245"/>
    <s v="Scot Wooten"/>
    <x v="0"/>
    <s v="United States"/>
    <s v="Stockton"/>
    <x v="1"/>
    <n v="95207"/>
    <x v="1"/>
    <s v="OFF-PA-10002222"/>
    <x v="1"/>
    <x v="10"/>
    <x v="386"/>
    <n v="159.88"/>
  </r>
  <r>
    <n v="2119"/>
    <s v="CA-2018-155460"/>
    <d v="2018-04-13T00:00:00"/>
    <x v="337"/>
    <s v="MODERATE"/>
    <s v="First Class"/>
    <s v="RW-19630"/>
    <s v="Rob Williams"/>
    <x v="1"/>
    <s v="United States"/>
    <s v="Seattle"/>
    <x v="4"/>
    <n v="98105"/>
    <x v="1"/>
    <s v="OFF-PA-10002479"/>
    <x v="1"/>
    <x v="10"/>
    <x v="214"/>
    <n v="5.28"/>
  </r>
  <r>
    <n v="2120"/>
    <s v="CA-2018-155460"/>
    <d v="2018-04-13T00:00:00"/>
    <x v="337"/>
    <s v="MODERATE"/>
    <s v="First Class"/>
    <s v="RW-19630"/>
    <s v="Rob Williams"/>
    <x v="1"/>
    <s v="United States"/>
    <s v="Seattle"/>
    <x v="4"/>
    <n v="98105"/>
    <x v="1"/>
    <s v="OFF-BI-10003091"/>
    <x v="1"/>
    <x v="8"/>
    <x v="1155"/>
    <n v="895.92"/>
  </r>
  <r>
    <n v="2121"/>
    <s v="US-2018-168690"/>
    <d v="2018-01-07T00:00:00"/>
    <x v="704"/>
    <s v="FAST"/>
    <s v="Standard Class"/>
    <s v="TS-21085"/>
    <s v="Thais Sissman"/>
    <x v="0"/>
    <s v="United States"/>
    <s v="Ormond Beach"/>
    <x v="2"/>
    <n v="32174"/>
    <x v="0"/>
    <s v="OFF-BI-10000145"/>
    <x v="1"/>
    <x v="8"/>
    <x v="729"/>
    <n v="2.8079999999999998"/>
  </r>
  <r>
    <n v="2122"/>
    <s v="CA-2018-158246"/>
    <d v="2018-11-09T00:00:00"/>
    <x v="328"/>
    <s v="MODERATE"/>
    <s v="First Class"/>
    <s v="JB-15400"/>
    <s v="Jennifer Braxton"/>
    <x v="1"/>
    <s v="United States"/>
    <s v="Sunnyvale"/>
    <x v="1"/>
    <n v="94086"/>
    <x v="1"/>
    <s v="FUR-CH-10003061"/>
    <x v="0"/>
    <x v="1"/>
    <x v="50"/>
    <n v="215.976"/>
  </r>
  <r>
    <n v="2123"/>
    <s v="CA-2018-167381"/>
    <d v="2018-09-22T00:00:00"/>
    <x v="705"/>
    <s v="SLOW"/>
    <s v="Second Class"/>
    <s v="EH-14005"/>
    <s v="Erica Hernandez"/>
    <x v="2"/>
    <s v="United States"/>
    <s v="Lansing"/>
    <x v="12"/>
    <n v="48911"/>
    <x v="2"/>
    <s v="FUR-BO-10001972"/>
    <x v="0"/>
    <x v="0"/>
    <x v="359"/>
    <n v="241.96"/>
  </r>
  <r>
    <n v="2124"/>
    <s v="CA-2018-167381"/>
    <d v="2018-09-22T00:00:00"/>
    <x v="705"/>
    <s v="SLOW"/>
    <s v="Second Class"/>
    <s v="EH-14005"/>
    <s v="Erica Hernandez"/>
    <x v="2"/>
    <s v="United States"/>
    <s v="Lansing"/>
    <x v="12"/>
    <n v="48911"/>
    <x v="2"/>
    <s v="OFF-LA-10000134"/>
    <x v="1"/>
    <x v="2"/>
    <x v="82"/>
    <n v="27.72"/>
  </r>
  <r>
    <n v="2125"/>
    <s v="CA-2018-144862"/>
    <d v="2018-12-01T00:00:00"/>
    <x v="240"/>
    <s v="FAST"/>
    <s v="Standard Class"/>
    <s v="EH-14005"/>
    <s v="Erica Hernandez"/>
    <x v="2"/>
    <s v="United States"/>
    <s v="Philadelphia"/>
    <x v="9"/>
    <n v="19143"/>
    <x v="3"/>
    <s v="OFF-EN-10003040"/>
    <x v="1"/>
    <x v="12"/>
    <x v="1213"/>
    <n v="104.68"/>
  </r>
  <r>
    <n v="2126"/>
    <s v="CA-2018-144862"/>
    <d v="2018-12-01T00:00:00"/>
    <x v="240"/>
    <s v="FAST"/>
    <s v="Standard Class"/>
    <s v="EH-14005"/>
    <s v="Erica Hernandez"/>
    <x v="2"/>
    <s v="United States"/>
    <s v="Philadelphia"/>
    <x v="9"/>
    <n v="19143"/>
    <x v="3"/>
    <s v="TEC-PH-10000923"/>
    <x v="2"/>
    <x v="7"/>
    <x v="1214"/>
    <n v="62.957999999999998"/>
  </r>
  <r>
    <n v="2127"/>
    <s v="CA-2015-126032"/>
    <d v="2015-06-23T00:00:00"/>
    <x v="430"/>
    <s v="FAST"/>
    <s v="Standard Class"/>
    <s v="BS-11665"/>
    <s v="Brian Stugart"/>
    <x v="0"/>
    <s v="United States"/>
    <s v="Philadelphia"/>
    <x v="9"/>
    <n v="19143"/>
    <x v="3"/>
    <s v="TEC-AC-10000158"/>
    <x v="2"/>
    <x v="11"/>
    <x v="349"/>
    <n v="86.376000000000005"/>
  </r>
  <r>
    <n v="2128"/>
    <s v="CA-2016-134859"/>
    <d v="2016-10-04T00:00:00"/>
    <x v="255"/>
    <s v="FAST"/>
    <s v="Standard Class"/>
    <s v="JK-16120"/>
    <s v="Julie Kriz"/>
    <x v="2"/>
    <s v="United States"/>
    <s v="Philadelphia"/>
    <x v="9"/>
    <n v="19134"/>
    <x v="3"/>
    <s v="FUR-FU-10003623"/>
    <x v="0"/>
    <x v="5"/>
    <x v="1215"/>
    <n v="64.944000000000003"/>
  </r>
  <r>
    <n v="2129"/>
    <s v="CA-2016-134859"/>
    <d v="2016-10-04T00:00:00"/>
    <x v="255"/>
    <s v="FAST"/>
    <s v="Standard Class"/>
    <s v="JK-16120"/>
    <s v="Julie Kriz"/>
    <x v="2"/>
    <s v="United States"/>
    <s v="Philadelphia"/>
    <x v="9"/>
    <n v="19134"/>
    <x v="3"/>
    <s v="OFF-PA-10001293"/>
    <x v="1"/>
    <x v="10"/>
    <x v="979"/>
    <n v="20.736000000000001"/>
  </r>
  <r>
    <n v="2130"/>
    <s v="US-2015-114188"/>
    <d v="2015-05-20T00:00:00"/>
    <x v="706"/>
    <s v="SLOW"/>
    <s v="Second Class"/>
    <s v="RF-19345"/>
    <s v="Randy Ferguson"/>
    <x v="1"/>
    <s v="United States"/>
    <s v="Dover"/>
    <x v="38"/>
    <n v="3820"/>
    <x v="3"/>
    <s v="OFF-AP-10000124"/>
    <x v="1"/>
    <x v="9"/>
    <x v="1216"/>
    <n v="33.28"/>
  </r>
  <r>
    <n v="2131"/>
    <s v="US-2015-114188"/>
    <d v="2015-05-20T00:00:00"/>
    <x v="706"/>
    <s v="SLOW"/>
    <s v="Second Class"/>
    <s v="RF-19345"/>
    <s v="Randy Ferguson"/>
    <x v="1"/>
    <s v="United States"/>
    <s v="Dover"/>
    <x v="38"/>
    <n v="3820"/>
    <x v="3"/>
    <s v="OFF-AR-10004511"/>
    <x v="1"/>
    <x v="6"/>
    <x v="1217"/>
    <n v="38.520000000000003"/>
  </r>
  <r>
    <n v="2133"/>
    <s v="CA-2016-156524"/>
    <d v="2016-11-20T00:00:00"/>
    <x v="6"/>
    <s v="FAST"/>
    <s v="Standard Class"/>
    <s v="DL-12865"/>
    <s v="Dan Lawera"/>
    <x v="0"/>
    <s v="United States"/>
    <s v="New York City"/>
    <x v="15"/>
    <n v="10011"/>
    <x v="3"/>
    <s v="OFF-PA-10003883"/>
    <x v="1"/>
    <x v="10"/>
    <x v="1218"/>
    <n v="19.649999999999999"/>
  </r>
  <r>
    <n v="2134"/>
    <s v="CA-2016-122210"/>
    <d v="2016-11-30T00:00:00"/>
    <x v="106"/>
    <s v="FAST"/>
    <s v="Standard Class"/>
    <s v="WB-21850"/>
    <s v="William Brown"/>
    <x v="0"/>
    <s v="United States"/>
    <s v="Philadelphia"/>
    <x v="9"/>
    <n v="19134"/>
    <x v="3"/>
    <s v="OFF-BI-10003656"/>
    <x v="1"/>
    <x v="8"/>
    <x v="13"/>
    <n v="152.99100000000001"/>
  </r>
  <r>
    <n v="2135"/>
    <s v="CA-2016-122210"/>
    <d v="2016-11-30T00:00:00"/>
    <x v="106"/>
    <s v="FAST"/>
    <s v="Standard Class"/>
    <s v="WB-21850"/>
    <s v="William Brown"/>
    <x v="0"/>
    <s v="United States"/>
    <s v="Philadelphia"/>
    <x v="9"/>
    <n v="19134"/>
    <x v="3"/>
    <s v="OFF-FA-10000053"/>
    <x v="1"/>
    <x v="13"/>
    <x v="946"/>
    <n v="10.584"/>
  </r>
  <r>
    <n v="2136"/>
    <s v="CA-2016-122210"/>
    <d v="2016-11-30T00:00:00"/>
    <x v="106"/>
    <s v="FAST"/>
    <s v="Standard Class"/>
    <s v="WB-21850"/>
    <s v="William Brown"/>
    <x v="0"/>
    <s v="United States"/>
    <s v="Philadelphia"/>
    <x v="9"/>
    <n v="19134"/>
    <x v="3"/>
    <s v="TEC-PH-10002807"/>
    <x v="2"/>
    <x v="7"/>
    <x v="1219"/>
    <n v="94.92"/>
  </r>
  <r>
    <n v="2137"/>
    <s v="CA-2016-156377"/>
    <d v="2016-12-31T00:00:00"/>
    <x v="707"/>
    <s v="FAST"/>
    <s v="Standard Class"/>
    <s v="TB-21625"/>
    <s v="Trudy Brown"/>
    <x v="0"/>
    <s v="United States"/>
    <s v="Grand Prairie"/>
    <x v="5"/>
    <n v="75051"/>
    <x v="2"/>
    <s v="FUR-FU-10002364"/>
    <x v="0"/>
    <x v="5"/>
    <x v="1220"/>
    <n v="14.76"/>
  </r>
  <r>
    <n v="2138"/>
    <s v="CA-2016-156377"/>
    <d v="2016-12-31T00:00:00"/>
    <x v="707"/>
    <s v="FAST"/>
    <s v="Standard Class"/>
    <s v="TB-21625"/>
    <s v="Trudy Brown"/>
    <x v="0"/>
    <s v="United States"/>
    <s v="Grand Prairie"/>
    <x v="5"/>
    <n v="75051"/>
    <x v="2"/>
    <s v="OFF-BI-10002954"/>
    <x v="1"/>
    <x v="8"/>
    <x v="1169"/>
    <n v="3.6560000000000001"/>
  </r>
  <r>
    <n v="2139"/>
    <s v="US-2018-157896"/>
    <d v="2018-11-16T00:00:00"/>
    <x v="38"/>
    <s v="MODERATE"/>
    <s v="Same Day"/>
    <s v="CB-12415"/>
    <s v="Christy Brittain"/>
    <x v="0"/>
    <s v="United States"/>
    <s v="New York City"/>
    <x v="15"/>
    <n v="10009"/>
    <x v="3"/>
    <s v="OFF-PA-10004092"/>
    <x v="1"/>
    <x v="10"/>
    <x v="581"/>
    <n v="146.82"/>
  </r>
  <r>
    <n v="2140"/>
    <s v="CA-2015-159520"/>
    <d v="2015-06-06T00:00:00"/>
    <x v="626"/>
    <s v="FAST"/>
    <s v="Standard Class"/>
    <s v="GT-14635"/>
    <s v="Grant Thornton"/>
    <x v="1"/>
    <s v="United States"/>
    <s v="Long Beach"/>
    <x v="15"/>
    <n v="11561"/>
    <x v="3"/>
    <s v="OFF-BI-10003982"/>
    <x v="1"/>
    <x v="8"/>
    <x v="343"/>
    <n v="149.54400000000001"/>
  </r>
  <r>
    <n v="2141"/>
    <s v="CA-2015-159520"/>
    <d v="2015-06-06T00:00:00"/>
    <x v="626"/>
    <s v="FAST"/>
    <s v="Standard Class"/>
    <s v="GT-14635"/>
    <s v="Grant Thornton"/>
    <x v="1"/>
    <s v="United States"/>
    <s v="Long Beach"/>
    <x v="15"/>
    <n v="11561"/>
    <x v="3"/>
    <s v="OFF-SU-10001664"/>
    <x v="1"/>
    <x v="14"/>
    <x v="1221"/>
    <n v="17.14"/>
  </r>
  <r>
    <n v="2142"/>
    <s v="CA-2015-159520"/>
    <d v="2015-06-06T00:00:00"/>
    <x v="626"/>
    <s v="FAST"/>
    <s v="Standard Class"/>
    <s v="GT-14635"/>
    <s v="Grant Thornton"/>
    <x v="1"/>
    <s v="United States"/>
    <s v="Long Beach"/>
    <x v="15"/>
    <n v="11561"/>
    <x v="3"/>
    <s v="FUR-TA-10003238"/>
    <x v="0"/>
    <x v="3"/>
    <x v="1222"/>
    <n v="991.76400000000001"/>
  </r>
  <r>
    <n v="2143"/>
    <s v="CA-2017-155481"/>
    <d v="2017-09-01T00:00:00"/>
    <x v="342"/>
    <s v="FAST"/>
    <s v="Standard Class"/>
    <s v="DK-13225"/>
    <s v="Dean Katz"/>
    <x v="1"/>
    <s v="United States"/>
    <s v="Philadelphia"/>
    <x v="9"/>
    <n v="19140"/>
    <x v="3"/>
    <s v="OFF-PA-10004675"/>
    <x v="1"/>
    <x v="10"/>
    <x v="68"/>
    <n v="30.48"/>
  </r>
  <r>
    <n v="2144"/>
    <s v="CA-2017-155481"/>
    <d v="2017-09-01T00:00:00"/>
    <x v="342"/>
    <s v="FAST"/>
    <s v="Standard Class"/>
    <s v="DK-13225"/>
    <s v="Dean Katz"/>
    <x v="1"/>
    <s v="United States"/>
    <s v="Philadelphia"/>
    <x v="9"/>
    <n v="19140"/>
    <x v="3"/>
    <s v="TEC-PH-10002293"/>
    <x v="2"/>
    <x v="7"/>
    <x v="122"/>
    <n v="23.988"/>
  </r>
  <r>
    <n v="2145"/>
    <s v="CA-2017-155481"/>
    <d v="2017-09-01T00:00:00"/>
    <x v="342"/>
    <s v="FAST"/>
    <s v="Standard Class"/>
    <s v="DK-13225"/>
    <s v="Dean Katz"/>
    <x v="1"/>
    <s v="United States"/>
    <s v="Philadelphia"/>
    <x v="9"/>
    <n v="19140"/>
    <x v="3"/>
    <s v="OFF-FA-10002780"/>
    <x v="1"/>
    <x v="13"/>
    <x v="124"/>
    <n v="16.687999999999999"/>
  </r>
  <r>
    <n v="2146"/>
    <s v="US-2017-152051"/>
    <d v="2017-06-25T00:00:00"/>
    <x v="595"/>
    <s v="FAST"/>
    <s v="Standard Class"/>
    <s v="TS-21160"/>
    <s v="Theresa Swint"/>
    <x v="1"/>
    <s v="United States"/>
    <s v="York"/>
    <x v="9"/>
    <n v="17403"/>
    <x v="3"/>
    <s v="FUR-CH-10002965"/>
    <x v="0"/>
    <x v="1"/>
    <x v="224"/>
    <n v="422.05799999999999"/>
  </r>
  <r>
    <n v="2147"/>
    <s v="US-2017-152051"/>
    <d v="2017-06-25T00:00:00"/>
    <x v="595"/>
    <s v="FAST"/>
    <s v="Standard Class"/>
    <s v="TS-21160"/>
    <s v="Theresa Swint"/>
    <x v="1"/>
    <s v="United States"/>
    <s v="York"/>
    <x v="9"/>
    <n v="17403"/>
    <x v="3"/>
    <s v="OFF-BI-10004781"/>
    <x v="1"/>
    <x v="8"/>
    <x v="129"/>
    <n v="38.088000000000001"/>
  </r>
  <r>
    <n v="2148"/>
    <s v="US-2017-152051"/>
    <d v="2017-06-25T00:00:00"/>
    <x v="595"/>
    <s v="FAST"/>
    <s v="Standard Class"/>
    <s v="TS-21160"/>
    <s v="Theresa Swint"/>
    <x v="1"/>
    <s v="United States"/>
    <s v="York"/>
    <x v="9"/>
    <n v="17403"/>
    <x v="3"/>
    <s v="OFF-ST-10001713"/>
    <x v="1"/>
    <x v="4"/>
    <x v="44"/>
    <n v="254.352"/>
  </r>
  <r>
    <n v="2149"/>
    <s v="CA-2015-141607"/>
    <d v="2015-12-12T00:00:00"/>
    <x v="708"/>
    <s v="FAST"/>
    <s v="Standard Class"/>
    <s v="WB-21850"/>
    <s v="William Brown"/>
    <x v="0"/>
    <s v="United States"/>
    <s v="Concord"/>
    <x v="1"/>
    <n v="94521"/>
    <x v="1"/>
    <s v="FUR-FU-10003975"/>
    <x v="0"/>
    <x v="5"/>
    <x v="769"/>
    <n v="43.31"/>
  </r>
  <r>
    <n v="2150"/>
    <s v="CA-2018-102771"/>
    <d v="2018-03-31T00:00:00"/>
    <x v="709"/>
    <s v="FAST"/>
    <s v="Standard Class"/>
    <s v="DO-13435"/>
    <s v="Denny Ordway"/>
    <x v="0"/>
    <s v="United States"/>
    <s v="New York City"/>
    <x v="15"/>
    <n v="10035"/>
    <x v="3"/>
    <s v="TEC-PH-10001536"/>
    <x v="2"/>
    <x v="7"/>
    <x v="1223"/>
    <n v="84.95"/>
  </r>
  <r>
    <n v="2151"/>
    <s v="US-2018-139969"/>
    <d v="2018-11-19T00:00:00"/>
    <x v="176"/>
    <s v="FAST"/>
    <s v="Standard Class"/>
    <s v="AF-10870"/>
    <s v="Art Ferguson"/>
    <x v="0"/>
    <s v="United States"/>
    <s v="College Station"/>
    <x v="5"/>
    <n v="77840"/>
    <x v="2"/>
    <s v="FUR-CH-10001973"/>
    <x v="0"/>
    <x v="1"/>
    <x v="889"/>
    <n v="233.05799999999999"/>
  </r>
  <r>
    <n v="2152"/>
    <s v="CA-2015-167360"/>
    <d v="2015-11-24T00:00:00"/>
    <x v="694"/>
    <s v="SLOW"/>
    <s v="Second Class"/>
    <s v="RB-19435"/>
    <s v="Richard Bierner"/>
    <x v="0"/>
    <s v="United States"/>
    <s v="Saint Louis"/>
    <x v="25"/>
    <n v="63116"/>
    <x v="2"/>
    <s v="TEC-AC-10001772"/>
    <x v="2"/>
    <x v="11"/>
    <x v="396"/>
    <n v="111.79"/>
  </r>
  <r>
    <n v="2153"/>
    <s v="CA-2016-123505"/>
    <d v="2016-11-22T00:00:00"/>
    <x v="6"/>
    <s v="FAST"/>
    <s v="Standard Class"/>
    <s v="AR-10540"/>
    <s v="Andy Reiter"/>
    <x v="0"/>
    <s v="United States"/>
    <s v="Quincy"/>
    <x v="31"/>
    <n v="2169"/>
    <x v="3"/>
    <s v="OFF-PA-10002586"/>
    <x v="1"/>
    <x v="10"/>
    <x v="999"/>
    <n v="14.94"/>
  </r>
  <r>
    <n v="2154"/>
    <s v="CA-2017-117282"/>
    <d v="2017-07-14T00:00:00"/>
    <x v="460"/>
    <s v="FAST"/>
    <s v="Standard Class"/>
    <s v="DR-12880"/>
    <s v="Dan Reichenbach"/>
    <x v="1"/>
    <s v="United States"/>
    <s v="New York City"/>
    <x v="15"/>
    <n v="10009"/>
    <x v="3"/>
    <s v="OFF-BI-10004094"/>
    <x v="1"/>
    <x v="8"/>
    <x v="596"/>
    <n v="14.16"/>
  </r>
  <r>
    <n v="2155"/>
    <s v="US-2017-120460"/>
    <d v="2017-04-30T00:00:00"/>
    <x v="710"/>
    <s v="FAST"/>
    <s v="Standard Class"/>
    <s v="BF-11170"/>
    <s v="Ben Ferrer"/>
    <x v="2"/>
    <s v="United States"/>
    <s v="Dallas"/>
    <x v="5"/>
    <n v="75081"/>
    <x v="2"/>
    <s v="FUR-FU-10004973"/>
    <x v="0"/>
    <x v="5"/>
    <x v="1124"/>
    <n v="22.608000000000001"/>
  </r>
  <r>
    <n v="2156"/>
    <s v="CA-2017-111115"/>
    <d v="2017-07-25T00:00:00"/>
    <x v="327"/>
    <s v="SLOW"/>
    <s v="Second Class"/>
    <s v="LB-16735"/>
    <s v="Larry Blacks"/>
    <x v="0"/>
    <s v="United States"/>
    <s v="Los Angeles"/>
    <x v="1"/>
    <n v="90032"/>
    <x v="1"/>
    <s v="OFF-FA-10000624"/>
    <x v="1"/>
    <x v="13"/>
    <x v="289"/>
    <n v="21.48"/>
  </r>
  <r>
    <n v="2157"/>
    <s v="CA-2015-124646"/>
    <d v="2015-06-22T00:00:00"/>
    <x v="635"/>
    <s v="MODERATE"/>
    <s v="First Class"/>
    <s v="DV-13465"/>
    <s v="Dianna Vittorini"/>
    <x v="0"/>
    <s v="United States"/>
    <s v="Minneapolis"/>
    <x v="11"/>
    <n v="55407"/>
    <x v="2"/>
    <s v="OFF-ST-10001097"/>
    <x v="1"/>
    <x v="4"/>
    <x v="734"/>
    <n v="501.81"/>
  </r>
  <r>
    <n v="2158"/>
    <s v="CA-2015-124646"/>
    <d v="2015-06-22T00:00:00"/>
    <x v="635"/>
    <s v="MODERATE"/>
    <s v="First Class"/>
    <s v="DV-13465"/>
    <s v="Dianna Vittorini"/>
    <x v="0"/>
    <s v="United States"/>
    <s v="Minneapolis"/>
    <x v="11"/>
    <n v="55407"/>
    <x v="2"/>
    <s v="OFF-ST-10001469"/>
    <x v="1"/>
    <x v="4"/>
    <x v="391"/>
    <n v="161.94"/>
  </r>
  <r>
    <n v="2159"/>
    <s v="CA-2018-148166"/>
    <d v="2018-10-21T00:00:00"/>
    <x v="214"/>
    <s v="FAST"/>
    <s v="Standard Class"/>
    <s v="NK-18490"/>
    <s v="Neil Knudson"/>
    <x v="2"/>
    <s v="United States"/>
    <s v="Deltona"/>
    <x v="2"/>
    <n v="32725"/>
    <x v="0"/>
    <s v="OFF-AR-10004956"/>
    <x v="1"/>
    <x v="6"/>
    <x v="1224"/>
    <n v="17.856000000000002"/>
  </r>
  <r>
    <n v="2160"/>
    <s v="CA-2017-159737"/>
    <d v="2017-09-03T00:00:00"/>
    <x v="410"/>
    <s v="FAST"/>
    <s v="Standard Class"/>
    <s v="CS-11950"/>
    <s v="Carlos Soltero"/>
    <x v="0"/>
    <s v="United States"/>
    <s v="Chicago"/>
    <x v="10"/>
    <n v="60610"/>
    <x v="2"/>
    <s v="OFF-BI-10004236"/>
    <x v="1"/>
    <x v="8"/>
    <x v="884"/>
    <n v="8.8079999999999998"/>
  </r>
  <r>
    <n v="2161"/>
    <s v="CA-2017-141019"/>
    <d v="2017-05-14T00:00:00"/>
    <x v="200"/>
    <s v="MODERATE"/>
    <s v="Same Day"/>
    <s v="LH-17155"/>
    <s v="Logan Haushalter"/>
    <x v="0"/>
    <s v="United States"/>
    <s v="Cincinnati"/>
    <x v="24"/>
    <n v="45231"/>
    <x v="3"/>
    <s v="FUR-FU-10002937"/>
    <x v="0"/>
    <x v="5"/>
    <x v="1042"/>
    <n v="79.384"/>
  </r>
  <r>
    <n v="2162"/>
    <s v="CA-2017-101938"/>
    <d v="2017-01-07T00:00:00"/>
    <x v="711"/>
    <s v="FAST"/>
    <s v="Standard Class"/>
    <s v="DW-13480"/>
    <s v="Dianna Wilson"/>
    <x v="2"/>
    <s v="United States"/>
    <s v="Oakland"/>
    <x v="1"/>
    <n v="94601"/>
    <x v="1"/>
    <s v="OFF-AR-10003696"/>
    <x v="1"/>
    <x v="6"/>
    <x v="1225"/>
    <n v="34.58"/>
  </r>
  <r>
    <n v="2163"/>
    <s v="CA-2018-166296"/>
    <d v="2018-03-13T00:00:00"/>
    <x v="712"/>
    <s v="FAST"/>
    <s v="Standard Class"/>
    <s v="KF-16285"/>
    <s v="Karen Ferguson"/>
    <x v="2"/>
    <s v="United States"/>
    <s v="Manteca"/>
    <x v="1"/>
    <n v="95336"/>
    <x v="1"/>
    <s v="OFF-PA-10004359"/>
    <x v="1"/>
    <x v="10"/>
    <x v="1050"/>
    <n v="314.55"/>
  </r>
  <r>
    <n v="2164"/>
    <s v="CA-2017-154018"/>
    <d v="2017-10-13T00:00:00"/>
    <x v="60"/>
    <s v="FAST"/>
    <s v="Standard Class"/>
    <s v="HA-14920"/>
    <s v="Helen Andreada"/>
    <x v="0"/>
    <s v="United States"/>
    <s v="Laredo"/>
    <x v="5"/>
    <n v="78041"/>
    <x v="2"/>
    <s v="TEC-AC-10002402"/>
    <x v="2"/>
    <x v="11"/>
    <x v="644"/>
    <n v="191.976"/>
  </r>
  <r>
    <n v="2165"/>
    <s v="CA-2017-154018"/>
    <d v="2017-10-13T00:00:00"/>
    <x v="60"/>
    <s v="FAST"/>
    <s v="Standard Class"/>
    <s v="HA-14920"/>
    <s v="Helen Andreada"/>
    <x v="0"/>
    <s v="United States"/>
    <s v="Laredo"/>
    <x v="5"/>
    <n v="78041"/>
    <x v="2"/>
    <s v="OFF-PA-10000551"/>
    <x v="1"/>
    <x v="10"/>
    <x v="1226"/>
    <n v="8.2880000000000003"/>
  </r>
  <r>
    <n v="2166"/>
    <s v="CA-2017-154018"/>
    <d v="2017-10-13T00:00:00"/>
    <x v="60"/>
    <s v="FAST"/>
    <s v="Standard Class"/>
    <s v="HA-14920"/>
    <s v="Helen Andreada"/>
    <x v="0"/>
    <s v="United States"/>
    <s v="Laredo"/>
    <x v="5"/>
    <n v="78041"/>
    <x v="2"/>
    <s v="FUR-FU-10003394"/>
    <x v="0"/>
    <x v="5"/>
    <x v="572"/>
    <n v="139.91999999999999"/>
  </r>
  <r>
    <n v="2167"/>
    <s v="CA-2017-154018"/>
    <d v="2017-10-13T00:00:00"/>
    <x v="60"/>
    <s v="FAST"/>
    <s v="Standard Class"/>
    <s v="HA-14920"/>
    <s v="Helen Andreada"/>
    <x v="0"/>
    <s v="United States"/>
    <s v="Laredo"/>
    <x v="5"/>
    <n v="78041"/>
    <x v="2"/>
    <s v="OFF-AR-10002067"/>
    <x v="1"/>
    <x v="6"/>
    <x v="1135"/>
    <n v="15.872"/>
  </r>
  <r>
    <n v="2168"/>
    <s v="CA-2017-154018"/>
    <d v="2017-10-13T00:00:00"/>
    <x v="60"/>
    <s v="FAST"/>
    <s v="Standard Class"/>
    <s v="HA-14920"/>
    <s v="Helen Andreada"/>
    <x v="0"/>
    <s v="United States"/>
    <s v="Laredo"/>
    <x v="5"/>
    <n v="78041"/>
    <x v="2"/>
    <s v="OFF-BI-10004140"/>
    <x v="1"/>
    <x v="8"/>
    <x v="302"/>
    <n v="6.2859999999999996"/>
  </r>
  <r>
    <n v="2169"/>
    <s v="CA-2018-117870"/>
    <d v="2018-01-27T00:00:00"/>
    <x v="713"/>
    <s v="SLOW"/>
    <s v="Second Class"/>
    <s v="JH-15820"/>
    <s v="John Huston"/>
    <x v="0"/>
    <s v="United States"/>
    <s v="Kent"/>
    <x v="24"/>
    <n v="44240"/>
    <x v="3"/>
    <s v="OFF-AR-10004078"/>
    <x v="1"/>
    <x v="6"/>
    <x v="502"/>
    <n v="14.016"/>
  </r>
  <r>
    <n v="2170"/>
    <s v="CA-2018-117870"/>
    <d v="2018-01-27T00:00:00"/>
    <x v="713"/>
    <s v="SLOW"/>
    <s v="Second Class"/>
    <s v="JH-15820"/>
    <s v="John Huston"/>
    <x v="0"/>
    <s v="United States"/>
    <s v="Kent"/>
    <x v="24"/>
    <n v="44240"/>
    <x v="3"/>
    <s v="TEC-AC-10000927"/>
    <x v="2"/>
    <x v="11"/>
    <x v="688"/>
    <n v="71.975999999999999"/>
  </r>
  <r>
    <n v="2171"/>
    <s v="CA-2018-117870"/>
    <d v="2018-01-27T00:00:00"/>
    <x v="713"/>
    <s v="SLOW"/>
    <s v="Second Class"/>
    <s v="JH-15820"/>
    <s v="John Huston"/>
    <x v="0"/>
    <s v="United States"/>
    <s v="Kent"/>
    <x v="24"/>
    <n v="44240"/>
    <x v="3"/>
    <s v="TEC-PH-10003931"/>
    <x v="2"/>
    <x v="7"/>
    <x v="157"/>
    <n v="107.982"/>
  </r>
  <r>
    <n v="2172"/>
    <s v="US-2018-137491"/>
    <d v="2018-11-19T00:00:00"/>
    <x v="652"/>
    <s v="FAST"/>
    <s v="Standard Class"/>
    <s v="LC-16930"/>
    <s v="Linda Cazamias"/>
    <x v="1"/>
    <s v="United States"/>
    <s v="San Angelo"/>
    <x v="5"/>
    <n v="76903"/>
    <x v="2"/>
    <s v="FUR-CH-10004675"/>
    <x v="0"/>
    <x v="1"/>
    <x v="622"/>
    <n v="305.31200000000001"/>
  </r>
  <r>
    <n v="2173"/>
    <s v="CA-2015-152296"/>
    <d v="2015-08-01T00:00:00"/>
    <x v="714"/>
    <s v="MODERATE"/>
    <s v="First Class"/>
    <s v="IL-15100"/>
    <s v="Ivan Liston"/>
    <x v="0"/>
    <s v="United States"/>
    <s v="San Francisco"/>
    <x v="1"/>
    <n v="94122"/>
    <x v="1"/>
    <s v="OFF-BI-10004506"/>
    <x v="1"/>
    <x v="8"/>
    <x v="1227"/>
    <n v="19.751999999999999"/>
  </r>
  <r>
    <n v="2174"/>
    <s v="CA-2017-112025"/>
    <d v="2017-07-30T00:00:00"/>
    <x v="715"/>
    <s v="FAST"/>
    <s v="Standard Class"/>
    <s v="LS-16975"/>
    <s v="Lindsay Shagiari"/>
    <x v="2"/>
    <s v="United States"/>
    <s v="Houston"/>
    <x v="5"/>
    <n v="77070"/>
    <x v="2"/>
    <s v="OFF-BI-10002353"/>
    <x v="1"/>
    <x v="8"/>
    <x v="1059"/>
    <n v="9.2639999999999993"/>
  </r>
  <r>
    <n v="2175"/>
    <s v="CA-2016-132507"/>
    <d v="2016-07-30T00:00:00"/>
    <x v="716"/>
    <s v="SLOW"/>
    <s v="Second Class"/>
    <s v="CC-12610"/>
    <s v="Corey Catlett"/>
    <x v="1"/>
    <s v="United States"/>
    <s v="Houston"/>
    <x v="5"/>
    <n v="77041"/>
    <x v="2"/>
    <s v="OFF-ST-10000943"/>
    <x v="1"/>
    <x v="4"/>
    <x v="1184"/>
    <n v="61.792000000000002"/>
  </r>
  <r>
    <n v="2176"/>
    <s v="CA-2017-125738"/>
    <d v="2017-10-15T00:00:00"/>
    <x v="148"/>
    <s v="FAST"/>
    <s v="Standard Class"/>
    <s v="PB-18805"/>
    <s v="Patrick Bzostek"/>
    <x v="2"/>
    <s v="United States"/>
    <s v="Salt Lake City"/>
    <x v="7"/>
    <n v="84106"/>
    <x v="1"/>
    <s v="OFF-PA-10000740"/>
    <x v="1"/>
    <x v="10"/>
    <x v="1228"/>
    <n v="45.68"/>
  </r>
  <r>
    <n v="2177"/>
    <s v="CA-2017-125738"/>
    <d v="2017-10-15T00:00:00"/>
    <x v="148"/>
    <s v="FAST"/>
    <s v="Standard Class"/>
    <s v="PB-18805"/>
    <s v="Patrick Bzostek"/>
    <x v="2"/>
    <s v="United States"/>
    <s v="Salt Lake City"/>
    <x v="7"/>
    <n v="84106"/>
    <x v="1"/>
    <s v="OFF-PA-10003001"/>
    <x v="1"/>
    <x v="10"/>
    <x v="1055"/>
    <n v="60.12"/>
  </r>
  <r>
    <n v="2178"/>
    <s v="CA-2017-125738"/>
    <d v="2017-10-15T00:00:00"/>
    <x v="148"/>
    <s v="FAST"/>
    <s v="Standard Class"/>
    <s v="PB-18805"/>
    <s v="Patrick Bzostek"/>
    <x v="2"/>
    <s v="United States"/>
    <s v="Salt Lake City"/>
    <x v="7"/>
    <n v="84106"/>
    <x v="1"/>
    <s v="OFF-BI-10001628"/>
    <x v="1"/>
    <x v="8"/>
    <x v="1093"/>
    <n v="41.72"/>
  </r>
  <r>
    <n v="2179"/>
    <s v="CA-2017-125738"/>
    <d v="2017-10-15T00:00:00"/>
    <x v="148"/>
    <s v="FAST"/>
    <s v="Standard Class"/>
    <s v="PB-18805"/>
    <s v="Patrick Bzostek"/>
    <x v="2"/>
    <s v="United States"/>
    <s v="Salt Lake City"/>
    <x v="7"/>
    <n v="84106"/>
    <x v="1"/>
    <s v="OFF-PA-10001509"/>
    <x v="1"/>
    <x v="10"/>
    <x v="412"/>
    <n v="71.599999999999994"/>
  </r>
  <r>
    <n v="2180"/>
    <s v="CA-2017-128818"/>
    <d v="2017-05-07T00:00:00"/>
    <x v="717"/>
    <s v="FAST"/>
    <s v="Standard Class"/>
    <s v="CJ-12010"/>
    <s v="Caroline Jumper"/>
    <x v="0"/>
    <s v="United States"/>
    <s v="New York City"/>
    <x v="15"/>
    <n v="10009"/>
    <x v="3"/>
    <s v="OFF-BI-10000309"/>
    <x v="1"/>
    <x v="8"/>
    <x v="332"/>
    <n v="85.231999999999999"/>
  </r>
  <r>
    <n v="2181"/>
    <s v="CA-2017-128818"/>
    <d v="2017-05-07T00:00:00"/>
    <x v="717"/>
    <s v="FAST"/>
    <s v="Standard Class"/>
    <s v="CJ-12010"/>
    <s v="Caroline Jumper"/>
    <x v="0"/>
    <s v="United States"/>
    <s v="New York City"/>
    <x v="15"/>
    <n v="10009"/>
    <x v="3"/>
    <s v="OFF-LA-10003923"/>
    <x v="1"/>
    <x v="2"/>
    <x v="419"/>
    <n v="44.4"/>
  </r>
  <r>
    <n v="2182"/>
    <s v="CA-2017-128818"/>
    <d v="2017-05-07T00:00:00"/>
    <x v="717"/>
    <s v="FAST"/>
    <s v="Standard Class"/>
    <s v="CJ-12010"/>
    <s v="Caroline Jumper"/>
    <x v="0"/>
    <s v="United States"/>
    <s v="New York City"/>
    <x v="15"/>
    <n v="10009"/>
    <x v="3"/>
    <s v="FUR-CH-10002084"/>
    <x v="0"/>
    <x v="1"/>
    <x v="1229"/>
    <n v="442.76400000000001"/>
  </r>
  <r>
    <n v="2183"/>
    <s v="CA-2017-128818"/>
    <d v="2017-05-07T00:00:00"/>
    <x v="717"/>
    <s v="FAST"/>
    <s v="Standard Class"/>
    <s v="CJ-12010"/>
    <s v="Caroline Jumper"/>
    <x v="0"/>
    <s v="United States"/>
    <s v="New York City"/>
    <x v="15"/>
    <n v="10009"/>
    <x v="3"/>
    <s v="TEC-MA-10000488"/>
    <x v="2"/>
    <x v="15"/>
    <x v="1119"/>
    <n v="3999.95"/>
  </r>
  <r>
    <n v="2184"/>
    <s v="CA-2017-128818"/>
    <d v="2017-05-07T00:00:00"/>
    <x v="717"/>
    <s v="FAST"/>
    <s v="Standard Class"/>
    <s v="CJ-12010"/>
    <s v="Caroline Jumper"/>
    <x v="0"/>
    <s v="United States"/>
    <s v="New York City"/>
    <x v="15"/>
    <n v="10009"/>
    <x v="3"/>
    <s v="TEC-AC-10001767"/>
    <x v="2"/>
    <x v="11"/>
    <x v="93"/>
    <n v="199.95"/>
  </r>
  <r>
    <n v="2185"/>
    <s v="CA-2017-128818"/>
    <d v="2017-05-07T00:00:00"/>
    <x v="717"/>
    <s v="FAST"/>
    <s v="Standard Class"/>
    <s v="CJ-12010"/>
    <s v="Caroline Jumper"/>
    <x v="0"/>
    <s v="United States"/>
    <s v="New York City"/>
    <x v="15"/>
    <n v="10009"/>
    <x v="3"/>
    <s v="FUR-FU-10001940"/>
    <x v="0"/>
    <x v="5"/>
    <x v="217"/>
    <n v="63.68"/>
  </r>
  <r>
    <n v="2186"/>
    <s v="CA-2018-124576"/>
    <d v="2018-08-01T00:00:00"/>
    <x v="459"/>
    <s v="SLOW"/>
    <s v="Second Class"/>
    <s v="HK-14890"/>
    <s v="Heather Kirkland"/>
    <x v="1"/>
    <s v="United States"/>
    <s v="Salinas"/>
    <x v="1"/>
    <n v="93905"/>
    <x v="1"/>
    <s v="OFF-BI-10002735"/>
    <x v="1"/>
    <x v="8"/>
    <x v="138"/>
    <n v="54.896000000000001"/>
  </r>
  <r>
    <n v="2187"/>
    <s v="CA-2017-101378"/>
    <d v="2017-07-14T00:00:00"/>
    <x v="605"/>
    <s v="MODERATE"/>
    <s v="Same Day"/>
    <s v="RH-19600"/>
    <s v="Rob Haberlin"/>
    <x v="0"/>
    <s v="United States"/>
    <s v="Huntsville"/>
    <x v="19"/>
    <n v="35810"/>
    <x v="0"/>
    <s v="TEC-AC-10002345"/>
    <x v="2"/>
    <x v="11"/>
    <x v="171"/>
    <n v="29"/>
  </r>
  <r>
    <n v="2188"/>
    <s v="CA-2018-143063"/>
    <d v="2018-08-10T00:00:00"/>
    <x v="718"/>
    <s v="FAST"/>
    <s v="Standard Class"/>
    <s v="IL-15100"/>
    <s v="Ivan Liston"/>
    <x v="0"/>
    <s v="United States"/>
    <s v="Columbus"/>
    <x v="14"/>
    <n v="47201"/>
    <x v="2"/>
    <s v="OFF-EN-10003134"/>
    <x v="1"/>
    <x v="12"/>
    <x v="149"/>
    <n v="70.08"/>
  </r>
  <r>
    <n v="2189"/>
    <s v="CA-2018-143063"/>
    <d v="2018-08-10T00:00:00"/>
    <x v="718"/>
    <s v="FAST"/>
    <s v="Standard Class"/>
    <s v="IL-15100"/>
    <s v="Ivan Liston"/>
    <x v="0"/>
    <s v="United States"/>
    <s v="Columbus"/>
    <x v="14"/>
    <n v="47201"/>
    <x v="2"/>
    <s v="FUR-FU-10003708"/>
    <x v="0"/>
    <x v="5"/>
    <x v="70"/>
    <n v="121.3"/>
  </r>
  <r>
    <n v="2190"/>
    <s v="CA-2018-143063"/>
    <d v="2018-08-10T00:00:00"/>
    <x v="718"/>
    <s v="FAST"/>
    <s v="Standard Class"/>
    <s v="IL-15100"/>
    <s v="Ivan Liston"/>
    <x v="0"/>
    <s v="United States"/>
    <s v="Columbus"/>
    <x v="14"/>
    <n v="47201"/>
    <x v="2"/>
    <s v="TEC-PH-10003645"/>
    <x v="2"/>
    <x v="7"/>
    <x v="292"/>
    <n v="1454.49"/>
  </r>
  <r>
    <n v="2191"/>
    <s v="CA-2017-118913"/>
    <d v="2017-06-25T00:00:00"/>
    <x v="595"/>
    <s v="FAST"/>
    <s v="Standard Class"/>
    <s v="AS-10240"/>
    <s v="Alan Shonely"/>
    <x v="0"/>
    <s v="United States"/>
    <s v="Los Angeles"/>
    <x v="1"/>
    <n v="90049"/>
    <x v="1"/>
    <s v="OFF-AP-10000692"/>
    <x v="1"/>
    <x v="9"/>
    <x v="1230"/>
    <n v="60.81"/>
  </r>
  <r>
    <n v="2192"/>
    <s v="CA-2017-128412"/>
    <d v="2017-12-10T00:00:00"/>
    <x v="24"/>
    <s v="FAST"/>
    <s v="Standard Class"/>
    <s v="AP-10915"/>
    <s v="Arthur Prichep"/>
    <x v="0"/>
    <s v="United States"/>
    <s v="Seattle"/>
    <x v="4"/>
    <n v="98105"/>
    <x v="1"/>
    <s v="OFF-BI-10001718"/>
    <x v="1"/>
    <x v="8"/>
    <x v="1205"/>
    <n v="153.55199999999999"/>
  </r>
  <r>
    <n v="2193"/>
    <s v="CA-2017-128412"/>
    <d v="2017-12-10T00:00:00"/>
    <x v="24"/>
    <s v="FAST"/>
    <s v="Standard Class"/>
    <s v="AP-10915"/>
    <s v="Arthur Prichep"/>
    <x v="0"/>
    <s v="United States"/>
    <s v="Seattle"/>
    <x v="4"/>
    <n v="98105"/>
    <x v="1"/>
    <s v="OFF-AP-10002082"/>
    <x v="1"/>
    <x v="9"/>
    <x v="1082"/>
    <n v="65.34"/>
  </r>
  <r>
    <n v="2194"/>
    <s v="CA-2017-128412"/>
    <d v="2017-12-10T00:00:00"/>
    <x v="24"/>
    <s v="FAST"/>
    <s v="Standard Class"/>
    <s v="AP-10915"/>
    <s v="Arthur Prichep"/>
    <x v="0"/>
    <s v="United States"/>
    <s v="Seattle"/>
    <x v="4"/>
    <n v="98105"/>
    <x v="1"/>
    <s v="OFF-PA-10001125"/>
    <x v="1"/>
    <x v="10"/>
    <x v="1003"/>
    <n v="123.92"/>
  </r>
  <r>
    <n v="2195"/>
    <s v="CA-2017-128412"/>
    <d v="2017-12-10T00:00:00"/>
    <x v="24"/>
    <s v="FAST"/>
    <s v="Standard Class"/>
    <s v="AP-10915"/>
    <s v="Arthur Prichep"/>
    <x v="0"/>
    <s v="United States"/>
    <s v="Seattle"/>
    <x v="4"/>
    <n v="98105"/>
    <x v="1"/>
    <s v="OFF-AP-10000252"/>
    <x v="1"/>
    <x v="9"/>
    <x v="1231"/>
    <n v="35.1"/>
  </r>
  <r>
    <n v="2196"/>
    <s v="CA-2017-128412"/>
    <d v="2017-12-10T00:00:00"/>
    <x v="24"/>
    <s v="FAST"/>
    <s v="Standard Class"/>
    <s v="AP-10915"/>
    <s v="Arthur Prichep"/>
    <x v="0"/>
    <s v="United States"/>
    <s v="Seattle"/>
    <x v="4"/>
    <n v="98105"/>
    <x v="1"/>
    <s v="TEC-AC-10003038"/>
    <x v="2"/>
    <x v="11"/>
    <x v="1015"/>
    <n v="44.75"/>
  </r>
  <r>
    <n v="2197"/>
    <s v="CA-2017-136483"/>
    <d v="2017-12-01T00:00:00"/>
    <x v="294"/>
    <s v="FAST"/>
    <s v="Standard Class"/>
    <s v="AG-10390"/>
    <s v="Allen Goldenen"/>
    <x v="0"/>
    <s v="United States"/>
    <s v="Knoxville"/>
    <x v="18"/>
    <n v="37918"/>
    <x v="0"/>
    <s v="OFF-AR-10000940"/>
    <x v="1"/>
    <x v="6"/>
    <x v="131"/>
    <n v="4.7039999999999997"/>
  </r>
  <r>
    <n v="2198"/>
    <s v="CA-2015-163013"/>
    <d v="2015-11-28T00:00:00"/>
    <x v="282"/>
    <s v="FAST"/>
    <s v="Standard Class"/>
    <s v="BF-11080"/>
    <s v="Bart Folk"/>
    <x v="0"/>
    <s v="United States"/>
    <s v="Montgomery"/>
    <x v="19"/>
    <n v="36116"/>
    <x v="0"/>
    <s v="OFF-AR-10001954"/>
    <x v="1"/>
    <x v="6"/>
    <x v="552"/>
    <n v="14.67"/>
  </r>
  <r>
    <n v="2199"/>
    <s v="CA-2016-135363"/>
    <d v="2016-03-28T00:00:00"/>
    <x v="278"/>
    <s v="FAST"/>
    <s v="Standard Class"/>
    <s v="CK-12205"/>
    <s v="Chloris Kastensmidt"/>
    <x v="0"/>
    <s v="United States"/>
    <s v="Philadelphia"/>
    <x v="9"/>
    <n v="19120"/>
    <x v="3"/>
    <s v="OFF-PA-10003177"/>
    <x v="1"/>
    <x v="10"/>
    <x v="86"/>
    <n v="15.552"/>
  </r>
  <r>
    <n v="2200"/>
    <s v="CA-2016-135363"/>
    <d v="2016-03-28T00:00:00"/>
    <x v="278"/>
    <s v="FAST"/>
    <s v="Standard Class"/>
    <s v="CK-12205"/>
    <s v="Chloris Kastensmidt"/>
    <x v="0"/>
    <s v="United States"/>
    <s v="Philadelphia"/>
    <x v="9"/>
    <n v="19120"/>
    <x v="3"/>
    <s v="OFF-PA-10000533"/>
    <x v="1"/>
    <x v="10"/>
    <x v="1185"/>
    <n v="5.2320000000000002"/>
  </r>
  <r>
    <n v="2202"/>
    <s v="US-2015-165659"/>
    <d v="2015-06-01T00:00:00"/>
    <x v="103"/>
    <s v="FAST"/>
    <s v="Standard Class"/>
    <s v="LT-17110"/>
    <s v="Liz Thompson"/>
    <x v="0"/>
    <s v="United States"/>
    <s v="Little Rock"/>
    <x v="36"/>
    <n v="72209"/>
    <x v="0"/>
    <s v="TEC-PH-10002563"/>
    <x v="2"/>
    <x v="7"/>
    <x v="198"/>
    <n v="881.93"/>
  </r>
  <r>
    <n v="2203"/>
    <s v="CA-2016-138002"/>
    <d v="2016-09-06T00:00:00"/>
    <x v="63"/>
    <s v="FAST"/>
    <s v="Standard Class"/>
    <s v="BT-11305"/>
    <s v="Beth Thompson"/>
    <x v="2"/>
    <s v="United States"/>
    <s v="Seattle"/>
    <x v="4"/>
    <n v="98103"/>
    <x v="1"/>
    <s v="OFF-BI-10002160"/>
    <x v="1"/>
    <x v="8"/>
    <x v="310"/>
    <n v="6.0960000000000001"/>
  </r>
  <r>
    <n v="2204"/>
    <s v="CA-2016-138002"/>
    <d v="2016-09-06T00:00:00"/>
    <x v="63"/>
    <s v="FAST"/>
    <s v="Standard Class"/>
    <s v="BT-11305"/>
    <s v="Beth Thompson"/>
    <x v="2"/>
    <s v="United States"/>
    <s v="Seattle"/>
    <x v="4"/>
    <n v="98103"/>
    <x v="1"/>
    <s v="FUR-FU-10004748"/>
    <x v="0"/>
    <x v="5"/>
    <x v="1232"/>
    <n v="191.82"/>
  </r>
  <r>
    <n v="2205"/>
    <s v="CA-2016-128860"/>
    <d v="2016-06-29T00:00:00"/>
    <x v="413"/>
    <s v="FAST"/>
    <s v="Standard Class"/>
    <s v="SC-20725"/>
    <s v="Steven Cartwright"/>
    <x v="0"/>
    <s v="United States"/>
    <s v="Lancaster"/>
    <x v="9"/>
    <n v="17602"/>
    <x v="3"/>
    <s v="FUR-FU-10001473"/>
    <x v="0"/>
    <x v="5"/>
    <x v="1233"/>
    <n v="20.103999999999999"/>
  </r>
  <r>
    <n v="2206"/>
    <s v="CA-2017-164350"/>
    <d v="2017-09-10T00:00:00"/>
    <x v="719"/>
    <s v="SLOW"/>
    <s v="Second Class"/>
    <s v="CG-12040"/>
    <s v="Catherine Glotzbach"/>
    <x v="2"/>
    <s v="United States"/>
    <s v="Bristol"/>
    <x v="18"/>
    <n v="37620"/>
    <x v="0"/>
    <s v="OFF-AR-10000538"/>
    <x v="1"/>
    <x v="6"/>
    <x v="1234"/>
    <n v="67.56"/>
  </r>
  <r>
    <n v="2207"/>
    <s v="US-2015-103905"/>
    <d v="2015-07-14T00:00:00"/>
    <x v="720"/>
    <s v="FAST"/>
    <s v="Standard Class"/>
    <s v="AW-10930"/>
    <s v="Arthur Wiediger"/>
    <x v="2"/>
    <s v="United States"/>
    <s v="Aurora"/>
    <x v="10"/>
    <n v="60505"/>
    <x v="2"/>
    <s v="OFF-BI-10001098"/>
    <x v="1"/>
    <x v="8"/>
    <x v="400"/>
    <n v="29.931999999999999"/>
  </r>
  <r>
    <n v="2208"/>
    <s v="US-2015-103905"/>
    <d v="2015-07-14T00:00:00"/>
    <x v="720"/>
    <s v="FAST"/>
    <s v="Standard Class"/>
    <s v="AW-10930"/>
    <s v="Arthur Wiediger"/>
    <x v="2"/>
    <s v="United States"/>
    <s v="Aurora"/>
    <x v="10"/>
    <n v="60505"/>
    <x v="2"/>
    <s v="TEC-PH-10001552"/>
    <x v="2"/>
    <x v="7"/>
    <x v="176"/>
    <n v="38.271999999999998"/>
  </r>
  <r>
    <n v="2209"/>
    <s v="CA-2016-129854"/>
    <d v="2016-08-22T00:00:00"/>
    <x v="721"/>
    <s v="FAST"/>
    <s v="Standard Class"/>
    <s v="RB-19705"/>
    <s v="Roger Barcio"/>
    <x v="2"/>
    <s v="United States"/>
    <s v="New York City"/>
    <x v="15"/>
    <n v="10009"/>
    <x v="3"/>
    <s v="OFF-AR-10000390"/>
    <x v="1"/>
    <x v="6"/>
    <x v="101"/>
    <n v="16.52"/>
  </r>
  <r>
    <n v="2210"/>
    <s v="CA-2015-125556"/>
    <d v="2015-11-14T00:00:00"/>
    <x v="722"/>
    <s v="SLOW"/>
    <s v="Second Class"/>
    <s v="ML-17410"/>
    <s v="Maris LaWare"/>
    <x v="0"/>
    <s v="United States"/>
    <s v="Fairfield"/>
    <x v="29"/>
    <n v="6824"/>
    <x v="3"/>
    <s v="TEC-PH-10001079"/>
    <x v="2"/>
    <x v="7"/>
    <x v="1235"/>
    <n v="832.93"/>
  </r>
  <r>
    <n v="2211"/>
    <s v="CA-2015-125556"/>
    <d v="2015-11-14T00:00:00"/>
    <x v="722"/>
    <s v="SLOW"/>
    <s v="Second Class"/>
    <s v="ML-17410"/>
    <s v="Maris LaWare"/>
    <x v="0"/>
    <s v="United States"/>
    <s v="Fairfield"/>
    <x v="29"/>
    <n v="6824"/>
    <x v="3"/>
    <s v="OFF-BI-10003460"/>
    <x v="1"/>
    <x v="8"/>
    <x v="232"/>
    <n v="43.8"/>
  </r>
  <r>
    <n v="2212"/>
    <s v="CA-2017-162313"/>
    <d v="2017-11-27T00:00:00"/>
    <x v="723"/>
    <s v="MODERATE"/>
    <s v="First Class"/>
    <s v="VB-21745"/>
    <s v="Victoria Brennan"/>
    <x v="1"/>
    <s v="United States"/>
    <s v="Lincoln Park"/>
    <x v="12"/>
    <n v="48146"/>
    <x v="2"/>
    <s v="OFF-AP-10003842"/>
    <x v="1"/>
    <x v="9"/>
    <x v="1236"/>
    <n v="167.292"/>
  </r>
  <r>
    <n v="2213"/>
    <s v="CA-2018-107874"/>
    <d v="2018-11-21T00:00:00"/>
    <x v="652"/>
    <s v="FAST"/>
    <s v="Standard Class"/>
    <s v="SW-20275"/>
    <s v="Scott Williamson"/>
    <x v="0"/>
    <s v="United States"/>
    <s v="New York City"/>
    <x v="15"/>
    <n v="10035"/>
    <x v="3"/>
    <s v="FUR-FU-10003535"/>
    <x v="0"/>
    <x v="5"/>
    <x v="881"/>
    <n v="27.42"/>
  </r>
  <r>
    <n v="2214"/>
    <s v="CA-2018-129378"/>
    <d v="2018-10-01T00:00:00"/>
    <x v="724"/>
    <s v="MODERATE"/>
    <s v="First Class"/>
    <s v="NS-18505"/>
    <s v="Neola Schneider"/>
    <x v="0"/>
    <s v="United States"/>
    <s v="San Jose"/>
    <x v="1"/>
    <n v="95123"/>
    <x v="1"/>
    <s v="OFF-BI-10002012"/>
    <x v="1"/>
    <x v="8"/>
    <x v="736"/>
    <n v="1.44"/>
  </r>
  <r>
    <n v="2215"/>
    <s v="CA-2018-129378"/>
    <d v="2018-10-01T00:00:00"/>
    <x v="724"/>
    <s v="MODERATE"/>
    <s v="First Class"/>
    <s v="NS-18505"/>
    <s v="Neola Schneider"/>
    <x v="0"/>
    <s v="United States"/>
    <s v="San Jose"/>
    <x v="1"/>
    <n v="95123"/>
    <x v="1"/>
    <s v="OFF-BI-10001922"/>
    <x v="1"/>
    <x v="8"/>
    <x v="300"/>
    <n v="61.776000000000003"/>
  </r>
  <r>
    <n v="2216"/>
    <s v="CA-2018-129378"/>
    <d v="2018-10-01T00:00:00"/>
    <x v="724"/>
    <s v="MODERATE"/>
    <s v="First Class"/>
    <s v="NS-18505"/>
    <s v="Neola Schneider"/>
    <x v="0"/>
    <s v="United States"/>
    <s v="San Jose"/>
    <x v="1"/>
    <n v="95123"/>
    <x v="1"/>
    <s v="OFF-AP-10000576"/>
    <x v="1"/>
    <x v="9"/>
    <x v="835"/>
    <n v="241.96"/>
  </r>
  <r>
    <n v="2217"/>
    <s v="CA-2018-129378"/>
    <d v="2018-10-01T00:00:00"/>
    <x v="724"/>
    <s v="MODERATE"/>
    <s v="First Class"/>
    <s v="NS-18505"/>
    <s v="Neola Schneider"/>
    <x v="0"/>
    <s v="United States"/>
    <s v="San Jose"/>
    <x v="1"/>
    <n v="95123"/>
    <x v="1"/>
    <s v="FUR-CH-10000553"/>
    <x v="0"/>
    <x v="1"/>
    <x v="1237"/>
    <n v="108.608"/>
  </r>
  <r>
    <n v="2218"/>
    <s v="CA-2015-151953"/>
    <d v="2015-09-20T00:00:00"/>
    <x v="58"/>
    <s v="FAST"/>
    <s v="Standard Class"/>
    <s v="DB-13555"/>
    <s v="Dorothy Badders"/>
    <x v="1"/>
    <s v="United States"/>
    <s v="Jacksonville"/>
    <x v="2"/>
    <n v="32216"/>
    <x v="0"/>
    <s v="OFF-AR-10003469"/>
    <x v="1"/>
    <x v="6"/>
    <x v="1238"/>
    <n v="2.8159999999999998"/>
  </r>
  <r>
    <n v="2219"/>
    <s v="CA-2018-130841"/>
    <d v="2018-07-28T00:00:00"/>
    <x v="606"/>
    <s v="FAST"/>
    <s v="Standard Class"/>
    <s v="MH-17620"/>
    <s v="Matt Hagelstein"/>
    <x v="1"/>
    <s v="United States"/>
    <s v="San Francisco"/>
    <x v="1"/>
    <n v="94110"/>
    <x v="1"/>
    <s v="OFF-BI-10000145"/>
    <x v="1"/>
    <x v="8"/>
    <x v="729"/>
    <n v="9.984"/>
  </r>
  <r>
    <n v="2220"/>
    <s v="CA-2018-130841"/>
    <d v="2018-07-28T00:00:00"/>
    <x v="606"/>
    <s v="FAST"/>
    <s v="Standard Class"/>
    <s v="MH-17620"/>
    <s v="Matt Hagelstein"/>
    <x v="1"/>
    <s v="United States"/>
    <s v="San Francisco"/>
    <x v="1"/>
    <n v="94110"/>
    <x v="1"/>
    <s v="OFF-ST-10001580"/>
    <x v="1"/>
    <x v="4"/>
    <x v="347"/>
    <n v="14.98"/>
  </r>
  <r>
    <n v="2221"/>
    <s v="CA-2018-130841"/>
    <d v="2018-07-28T00:00:00"/>
    <x v="606"/>
    <s v="FAST"/>
    <s v="Standard Class"/>
    <s v="MH-17620"/>
    <s v="Matt Hagelstein"/>
    <x v="1"/>
    <s v="United States"/>
    <s v="San Francisco"/>
    <x v="1"/>
    <n v="94110"/>
    <x v="1"/>
    <s v="TEC-PH-10001817"/>
    <x v="2"/>
    <x v="7"/>
    <x v="1087"/>
    <n v="1145.5999999999999"/>
  </r>
  <r>
    <n v="2222"/>
    <s v="CA-2016-131884"/>
    <d v="2016-12-06T00:00:00"/>
    <x v="725"/>
    <s v="MODERATE"/>
    <s v="Same Day"/>
    <s v="DK-13375"/>
    <s v="Dennis Kane"/>
    <x v="0"/>
    <s v="United States"/>
    <s v="Marion"/>
    <x v="24"/>
    <n v="43302"/>
    <x v="3"/>
    <s v="TEC-PH-10001578"/>
    <x v="2"/>
    <x v="7"/>
    <x v="1210"/>
    <n v="485.94"/>
  </r>
  <r>
    <n v="2223"/>
    <s v="CA-2016-131884"/>
    <d v="2016-12-06T00:00:00"/>
    <x v="725"/>
    <s v="MODERATE"/>
    <s v="Same Day"/>
    <s v="DK-13375"/>
    <s v="Dennis Kane"/>
    <x v="0"/>
    <s v="United States"/>
    <s v="Marion"/>
    <x v="24"/>
    <n v="43302"/>
    <x v="3"/>
    <s v="OFF-AR-10004078"/>
    <x v="1"/>
    <x v="6"/>
    <x v="502"/>
    <n v="37.375999999999998"/>
  </r>
  <r>
    <n v="2224"/>
    <s v="CA-2016-131884"/>
    <d v="2016-12-06T00:00:00"/>
    <x v="725"/>
    <s v="MODERATE"/>
    <s v="Same Day"/>
    <s v="DK-13375"/>
    <s v="Dennis Kane"/>
    <x v="0"/>
    <s v="United States"/>
    <s v="Marion"/>
    <x v="24"/>
    <n v="43302"/>
    <x v="3"/>
    <s v="FUR-CH-10004860"/>
    <x v="0"/>
    <x v="1"/>
    <x v="207"/>
    <n v="70.686000000000007"/>
  </r>
  <r>
    <n v="2225"/>
    <s v="CA-2018-121909"/>
    <d v="2018-07-31T00:00:00"/>
    <x v="726"/>
    <s v="FAST"/>
    <s v="Standard Class"/>
    <s v="EA-14035"/>
    <s v="Erin Ashbrook"/>
    <x v="1"/>
    <s v="United States"/>
    <s v="Philadelphia"/>
    <x v="9"/>
    <n v="19134"/>
    <x v="3"/>
    <s v="OFF-PA-10003790"/>
    <x v="1"/>
    <x v="10"/>
    <x v="1239"/>
    <n v="54.816000000000003"/>
  </r>
  <r>
    <n v="2226"/>
    <s v="CA-2017-106383"/>
    <d v="2017-03-19T00:00:00"/>
    <x v="201"/>
    <s v="SLOW"/>
    <s v="Second Class"/>
    <s v="BT-11440"/>
    <s v="Bobby Trafton"/>
    <x v="0"/>
    <s v="United States"/>
    <s v="Littleton"/>
    <x v="22"/>
    <n v="80122"/>
    <x v="1"/>
    <s v="FUR-BO-10002202"/>
    <x v="0"/>
    <x v="0"/>
    <x v="1240"/>
    <n v="72.293999999999997"/>
  </r>
  <r>
    <n v="2227"/>
    <s v="CA-2018-130771"/>
    <d v="2018-07-29T00:00:00"/>
    <x v="259"/>
    <s v="FAST"/>
    <s v="Standard Class"/>
    <s v="LA-16780"/>
    <s v="Laura Armstrong"/>
    <x v="1"/>
    <s v="United States"/>
    <s v="Austin"/>
    <x v="5"/>
    <n v="78745"/>
    <x v="2"/>
    <s v="OFF-FA-10003059"/>
    <x v="1"/>
    <x v="13"/>
    <x v="788"/>
    <n v="2.8959999999999999"/>
  </r>
  <r>
    <n v="2228"/>
    <s v="CA-2018-130771"/>
    <d v="2018-07-29T00:00:00"/>
    <x v="259"/>
    <s v="FAST"/>
    <s v="Standard Class"/>
    <s v="LA-16780"/>
    <s v="Laura Armstrong"/>
    <x v="1"/>
    <s v="United States"/>
    <s v="Austin"/>
    <x v="5"/>
    <n v="78745"/>
    <x v="2"/>
    <s v="TEC-PH-10002496"/>
    <x v="2"/>
    <x v="7"/>
    <x v="485"/>
    <n v="124.792"/>
  </r>
  <r>
    <n v="2229"/>
    <s v="CA-2017-139157"/>
    <d v="2017-10-01T00:00:00"/>
    <x v="727"/>
    <s v="FAST"/>
    <s v="Standard Class"/>
    <s v="GM-14680"/>
    <s v="Greg Matthias"/>
    <x v="0"/>
    <s v="United States"/>
    <s v="New York City"/>
    <x v="15"/>
    <n v="10024"/>
    <x v="3"/>
    <s v="FUR-TA-10003238"/>
    <x v="0"/>
    <x v="3"/>
    <x v="1222"/>
    <n v="330.58800000000002"/>
  </r>
  <r>
    <n v="2230"/>
    <s v="CA-2015-128055"/>
    <d v="2015-03-31T00:00:00"/>
    <x v="728"/>
    <s v="FAST"/>
    <s v="Standard Class"/>
    <s v="AA-10315"/>
    <s v="Alex Avila"/>
    <x v="0"/>
    <s v="United States"/>
    <s v="San Francisco"/>
    <x v="1"/>
    <n v="94122"/>
    <x v="1"/>
    <s v="OFF-BI-10004390"/>
    <x v="1"/>
    <x v="8"/>
    <x v="1145"/>
    <n v="673.56799999999998"/>
  </r>
  <r>
    <n v="2231"/>
    <s v="CA-2015-128055"/>
    <d v="2015-03-31T00:00:00"/>
    <x v="728"/>
    <s v="FAST"/>
    <s v="Standard Class"/>
    <s v="AA-10315"/>
    <s v="Alex Avila"/>
    <x v="0"/>
    <s v="United States"/>
    <s v="San Francisco"/>
    <x v="1"/>
    <n v="94122"/>
    <x v="1"/>
    <s v="OFF-AP-10002765"/>
    <x v="1"/>
    <x v="9"/>
    <x v="1241"/>
    <n v="52.98"/>
  </r>
  <r>
    <n v="2232"/>
    <s v="CA-2018-157091"/>
    <d v="2018-06-26T00:00:00"/>
    <x v="551"/>
    <s v="FAST"/>
    <s v="Standard Class"/>
    <s v="DB-13405"/>
    <s v="Denny Blanton"/>
    <x v="0"/>
    <s v="United States"/>
    <s v="La Porte"/>
    <x v="14"/>
    <n v="46350"/>
    <x v="2"/>
    <s v="FUR-FU-10000293"/>
    <x v="0"/>
    <x v="5"/>
    <x v="777"/>
    <n v="526.45000000000005"/>
  </r>
  <r>
    <n v="2233"/>
    <s v="CA-2018-132122"/>
    <d v="2018-07-09T00:00:00"/>
    <x v="729"/>
    <s v="FAST"/>
    <s v="Standard Class"/>
    <s v="JH-15820"/>
    <s v="John Huston"/>
    <x v="0"/>
    <s v="United States"/>
    <s v="Chicago"/>
    <x v="10"/>
    <n v="60610"/>
    <x v="2"/>
    <s v="OFF-ST-10003692"/>
    <x v="1"/>
    <x v="4"/>
    <x v="1242"/>
    <n v="228.92"/>
  </r>
  <r>
    <n v="2234"/>
    <s v="CA-2016-123232"/>
    <d v="2016-12-14T00:00:00"/>
    <x v="310"/>
    <s v="SLOW"/>
    <s v="Second Class"/>
    <s v="DJ-13630"/>
    <s v="Doug Jacobs"/>
    <x v="0"/>
    <s v="United States"/>
    <s v="Portland"/>
    <x v="21"/>
    <n v="97206"/>
    <x v="1"/>
    <s v="TEC-PH-10001051"/>
    <x v="2"/>
    <x v="7"/>
    <x v="1243"/>
    <n v="319.96800000000002"/>
  </r>
  <r>
    <n v="2235"/>
    <s v="CA-2018-104066"/>
    <d v="2018-12-05T00:00:00"/>
    <x v="234"/>
    <s v="FAST"/>
    <s v="Standard Class"/>
    <s v="QJ-19255"/>
    <s v="Quincy Jones"/>
    <x v="1"/>
    <s v="United States"/>
    <s v="Burlington"/>
    <x v="42"/>
    <m/>
    <x v="3"/>
    <s v="TEC-AC-10001013"/>
    <x v="2"/>
    <x v="11"/>
    <x v="806"/>
    <n v="205.03"/>
  </r>
  <r>
    <n v="2236"/>
    <s v="CA-2016-145849"/>
    <d v="2016-09-15T00:00:00"/>
    <x v="730"/>
    <s v="SLOW"/>
    <s v="Second Class"/>
    <s v="CT-11995"/>
    <s v="Carol Triggs"/>
    <x v="0"/>
    <s v="United States"/>
    <s v="Indianapolis"/>
    <x v="14"/>
    <n v="46203"/>
    <x v="2"/>
    <s v="OFF-ST-10000025"/>
    <x v="1"/>
    <x v="4"/>
    <x v="608"/>
    <n v="190.86"/>
  </r>
  <r>
    <n v="2237"/>
    <s v="CA-2016-145849"/>
    <d v="2016-09-15T00:00:00"/>
    <x v="730"/>
    <s v="SLOW"/>
    <s v="Second Class"/>
    <s v="CT-11995"/>
    <s v="Carol Triggs"/>
    <x v="0"/>
    <s v="United States"/>
    <s v="Indianapolis"/>
    <x v="14"/>
    <n v="46203"/>
    <x v="2"/>
    <s v="OFF-AR-10000817"/>
    <x v="1"/>
    <x v="6"/>
    <x v="1244"/>
    <n v="24.32"/>
  </r>
  <r>
    <n v="2238"/>
    <s v="CA-2017-122322"/>
    <d v="2017-07-15T00:00:00"/>
    <x v="245"/>
    <s v="FAST"/>
    <s v="Standard Class"/>
    <s v="RH-19510"/>
    <s v="Rick Huthwaite"/>
    <x v="2"/>
    <s v="United States"/>
    <s v="Provo"/>
    <x v="7"/>
    <n v="84604"/>
    <x v="1"/>
    <s v="OFF-SU-10000952"/>
    <x v="1"/>
    <x v="14"/>
    <x v="1245"/>
    <n v="44.4"/>
  </r>
  <r>
    <n v="2239"/>
    <s v="CA-2018-166849"/>
    <d v="2018-04-20T00:00:00"/>
    <x v="731"/>
    <s v="FAST"/>
    <s v="Standard Class"/>
    <s v="SJ-20125"/>
    <s v="Sanjit Jacobs"/>
    <x v="2"/>
    <s v="United States"/>
    <s v="Chicago"/>
    <x v="10"/>
    <n v="60610"/>
    <x v="2"/>
    <s v="FUR-FU-10004597"/>
    <x v="0"/>
    <x v="5"/>
    <x v="1246"/>
    <n v="44.4"/>
  </r>
  <r>
    <n v="2240"/>
    <s v="CA-2017-146633"/>
    <d v="2017-11-15T00:00:00"/>
    <x v="397"/>
    <s v="SLOW"/>
    <s v="Second Class"/>
    <s v="TG-21310"/>
    <s v="Toby Gnade"/>
    <x v="0"/>
    <s v="United States"/>
    <s v="Los Angeles"/>
    <x v="1"/>
    <n v="90049"/>
    <x v="1"/>
    <s v="OFF-BI-10003527"/>
    <x v="1"/>
    <x v="8"/>
    <x v="441"/>
    <n v="1016.792"/>
  </r>
  <r>
    <n v="2241"/>
    <s v="CA-2017-146633"/>
    <d v="2017-11-15T00:00:00"/>
    <x v="397"/>
    <s v="SLOW"/>
    <s v="Second Class"/>
    <s v="TG-21310"/>
    <s v="Toby Gnade"/>
    <x v="0"/>
    <s v="United States"/>
    <s v="Los Angeles"/>
    <x v="1"/>
    <n v="90049"/>
    <x v="1"/>
    <s v="OFF-BI-10002982"/>
    <x v="1"/>
    <x v="8"/>
    <x v="1247"/>
    <n v="38.136000000000003"/>
  </r>
  <r>
    <n v="2242"/>
    <s v="US-2017-126893"/>
    <d v="2017-11-26T00:00:00"/>
    <x v="416"/>
    <s v="FAST"/>
    <s v="Standard Class"/>
    <s v="CT-11995"/>
    <s v="Carol Triggs"/>
    <x v="0"/>
    <s v="United States"/>
    <s v="Philadelphia"/>
    <x v="9"/>
    <n v="19134"/>
    <x v="3"/>
    <s v="TEC-PH-10004165"/>
    <x v="2"/>
    <x v="7"/>
    <x v="879"/>
    <n v="494.98200000000003"/>
  </r>
  <r>
    <n v="2243"/>
    <s v="CA-2018-103380"/>
    <d v="2018-11-21T00:00:00"/>
    <x v="652"/>
    <s v="FAST"/>
    <s v="Standard Class"/>
    <s v="BF-11005"/>
    <s v="Barry Franz"/>
    <x v="2"/>
    <s v="United States"/>
    <s v="Pasadena"/>
    <x v="1"/>
    <n v="91104"/>
    <x v="1"/>
    <s v="OFF-ST-10003442"/>
    <x v="1"/>
    <x v="4"/>
    <x v="83"/>
    <n v="56.56"/>
  </r>
  <r>
    <n v="2244"/>
    <s v="CA-2018-103380"/>
    <d v="2018-11-21T00:00:00"/>
    <x v="652"/>
    <s v="FAST"/>
    <s v="Standard Class"/>
    <s v="BF-11005"/>
    <s v="Barry Franz"/>
    <x v="2"/>
    <s v="United States"/>
    <s v="Pasadena"/>
    <x v="1"/>
    <n v="91104"/>
    <x v="1"/>
    <s v="OFF-AR-10003856"/>
    <x v="1"/>
    <x v="6"/>
    <x v="439"/>
    <n v="5.56"/>
  </r>
  <r>
    <n v="2245"/>
    <s v="CA-2018-103380"/>
    <d v="2018-11-21T00:00:00"/>
    <x v="652"/>
    <s v="FAST"/>
    <s v="Standard Class"/>
    <s v="BF-11005"/>
    <s v="Barry Franz"/>
    <x v="2"/>
    <s v="United States"/>
    <s v="Pasadena"/>
    <x v="1"/>
    <n v="91104"/>
    <x v="1"/>
    <s v="OFF-FA-10004248"/>
    <x v="1"/>
    <x v="13"/>
    <x v="475"/>
    <n v="9.02"/>
  </r>
  <r>
    <n v="2246"/>
    <s v="CA-2018-103380"/>
    <d v="2018-11-21T00:00:00"/>
    <x v="652"/>
    <s v="FAST"/>
    <s v="Standard Class"/>
    <s v="BF-11005"/>
    <s v="Barry Franz"/>
    <x v="2"/>
    <s v="United States"/>
    <s v="Pasadena"/>
    <x v="1"/>
    <n v="91104"/>
    <x v="1"/>
    <s v="OFF-AP-10001492"/>
    <x v="1"/>
    <x v="9"/>
    <x v="22"/>
    <n v="8.6199999999999992"/>
  </r>
  <r>
    <n v="2247"/>
    <s v="CA-2018-103380"/>
    <d v="2018-11-21T00:00:00"/>
    <x v="652"/>
    <s v="FAST"/>
    <s v="Standard Class"/>
    <s v="BF-11005"/>
    <s v="Barry Franz"/>
    <x v="2"/>
    <s v="United States"/>
    <s v="Pasadena"/>
    <x v="1"/>
    <n v="91104"/>
    <x v="1"/>
    <s v="TEC-PH-10004165"/>
    <x v="2"/>
    <x v="7"/>
    <x v="879"/>
    <n v="659.976"/>
  </r>
  <r>
    <n v="2248"/>
    <s v="CA-2016-116092"/>
    <d v="2016-02-15T00:00:00"/>
    <x v="732"/>
    <s v="SLOW"/>
    <s v="Second Class"/>
    <s v="JM-16195"/>
    <s v="Justin MacKendrick"/>
    <x v="0"/>
    <s v="United States"/>
    <s v="Los Angeles"/>
    <x v="1"/>
    <n v="90004"/>
    <x v="1"/>
    <s v="OFF-PA-10004285"/>
    <x v="1"/>
    <x v="10"/>
    <x v="1248"/>
    <n v="13.36"/>
  </r>
  <r>
    <n v="2249"/>
    <s v="CA-2016-116092"/>
    <d v="2016-02-15T00:00:00"/>
    <x v="732"/>
    <s v="SLOW"/>
    <s v="Second Class"/>
    <s v="JM-16195"/>
    <s v="Justin MacKendrick"/>
    <x v="0"/>
    <s v="United States"/>
    <s v="Los Angeles"/>
    <x v="1"/>
    <n v="90004"/>
    <x v="1"/>
    <s v="OFF-BI-10001628"/>
    <x v="1"/>
    <x v="8"/>
    <x v="1093"/>
    <n v="41.72"/>
  </r>
  <r>
    <n v="2250"/>
    <s v="CA-2016-116092"/>
    <d v="2016-02-15T00:00:00"/>
    <x v="732"/>
    <s v="SLOW"/>
    <s v="Second Class"/>
    <s v="JM-16195"/>
    <s v="Justin MacKendrick"/>
    <x v="0"/>
    <s v="United States"/>
    <s v="Los Angeles"/>
    <x v="1"/>
    <n v="90004"/>
    <x v="1"/>
    <s v="OFF-BI-10000546"/>
    <x v="1"/>
    <x v="8"/>
    <x v="602"/>
    <n v="11.52"/>
  </r>
  <r>
    <n v="2251"/>
    <s v="CA-2016-116092"/>
    <d v="2016-02-15T00:00:00"/>
    <x v="732"/>
    <s v="SLOW"/>
    <s v="Second Class"/>
    <s v="JM-16195"/>
    <s v="Justin MacKendrick"/>
    <x v="0"/>
    <s v="United States"/>
    <s v="Los Angeles"/>
    <x v="1"/>
    <n v="90004"/>
    <x v="1"/>
    <s v="OFF-AP-10001391"/>
    <x v="1"/>
    <x v="9"/>
    <x v="1249"/>
    <n v="541.44000000000005"/>
  </r>
  <r>
    <n v="2252"/>
    <s v="CA-2016-116092"/>
    <d v="2016-02-15T00:00:00"/>
    <x v="732"/>
    <s v="SLOW"/>
    <s v="Second Class"/>
    <s v="JM-16195"/>
    <s v="Justin MacKendrick"/>
    <x v="0"/>
    <s v="United States"/>
    <s v="Los Angeles"/>
    <x v="1"/>
    <n v="90004"/>
    <x v="1"/>
    <s v="OFF-PA-10000477"/>
    <x v="1"/>
    <x v="10"/>
    <x v="1250"/>
    <n v="19.440000000000001"/>
  </r>
  <r>
    <n v="2253"/>
    <s v="CA-2017-117849"/>
    <d v="2017-04-15T00:00:00"/>
    <x v="228"/>
    <s v="SLOW"/>
    <s v="Second Class"/>
    <s v="JK-16120"/>
    <s v="Julie Kriz"/>
    <x v="2"/>
    <s v="United States"/>
    <s v="San Diego"/>
    <x v="1"/>
    <n v="92105"/>
    <x v="1"/>
    <s v="OFF-PA-10004327"/>
    <x v="1"/>
    <x v="10"/>
    <x v="133"/>
    <n v="143.69999999999999"/>
  </r>
  <r>
    <n v="2254"/>
    <s v="CA-2016-169201"/>
    <d v="2016-09-28T00:00:00"/>
    <x v="733"/>
    <s v="MODERATE"/>
    <s v="First Class"/>
    <s v="HG-14965"/>
    <s v="Henry Goldwyn"/>
    <x v="1"/>
    <s v="United States"/>
    <s v="San Francisco"/>
    <x v="1"/>
    <n v="94110"/>
    <x v="1"/>
    <s v="OFF-AP-10000696"/>
    <x v="1"/>
    <x v="9"/>
    <x v="330"/>
    <n v="43.26"/>
  </r>
  <r>
    <n v="2255"/>
    <s v="CA-2016-169201"/>
    <d v="2016-09-28T00:00:00"/>
    <x v="733"/>
    <s v="MODERATE"/>
    <s v="First Class"/>
    <s v="HG-14965"/>
    <s v="Henry Goldwyn"/>
    <x v="1"/>
    <s v="United States"/>
    <s v="San Francisco"/>
    <x v="1"/>
    <n v="94110"/>
    <x v="1"/>
    <s v="OFF-AP-10002082"/>
    <x v="1"/>
    <x v="9"/>
    <x v="1082"/>
    <n v="43.56"/>
  </r>
  <r>
    <n v="2256"/>
    <s v="CA-2017-164091"/>
    <d v="2017-09-17T00:00:00"/>
    <x v="42"/>
    <s v="FAST"/>
    <s v="Standard Class"/>
    <s v="LA-16780"/>
    <s v="Laura Armstrong"/>
    <x v="1"/>
    <s v="United States"/>
    <s v="Bangor"/>
    <x v="43"/>
    <n v="4401"/>
    <x v="3"/>
    <s v="TEC-PH-10001944"/>
    <x v="2"/>
    <x v="7"/>
    <x v="1251"/>
    <n v="437.85"/>
  </r>
  <r>
    <n v="2257"/>
    <s v="CA-2017-164091"/>
    <d v="2017-09-17T00:00:00"/>
    <x v="42"/>
    <s v="FAST"/>
    <s v="Standard Class"/>
    <s v="LA-16780"/>
    <s v="Laura Armstrong"/>
    <x v="1"/>
    <s v="United States"/>
    <s v="Bangor"/>
    <x v="43"/>
    <n v="4401"/>
    <x v="3"/>
    <s v="FUR-FU-10004952"/>
    <x v="0"/>
    <x v="5"/>
    <x v="838"/>
    <n v="109.48"/>
  </r>
  <r>
    <n v="2258"/>
    <s v="CA-2018-105214"/>
    <d v="2018-06-16T00:00:00"/>
    <x v="140"/>
    <s v="MODERATE"/>
    <s v="First Class"/>
    <s v="TS-21610"/>
    <s v="Troy Staebel"/>
    <x v="0"/>
    <s v="United States"/>
    <s v="San Francisco"/>
    <x v="1"/>
    <n v="94122"/>
    <x v="1"/>
    <s v="FUR-CH-10000015"/>
    <x v="0"/>
    <x v="1"/>
    <x v="370"/>
    <n v="1212.96"/>
  </r>
  <r>
    <n v="2259"/>
    <s v="CA-2018-105214"/>
    <d v="2018-06-16T00:00:00"/>
    <x v="140"/>
    <s v="MODERATE"/>
    <s v="First Class"/>
    <s v="TS-21610"/>
    <s v="Troy Staebel"/>
    <x v="0"/>
    <s v="United States"/>
    <s v="San Francisco"/>
    <x v="1"/>
    <n v="94122"/>
    <x v="1"/>
    <s v="OFF-PA-10001776"/>
    <x v="1"/>
    <x v="10"/>
    <x v="1252"/>
    <n v="18.54"/>
  </r>
  <r>
    <n v="2260"/>
    <s v="CA-2016-117611"/>
    <d v="2016-11-08T00:00:00"/>
    <x v="556"/>
    <s v="SLOW"/>
    <s v="Second Class"/>
    <s v="MZ-17335"/>
    <s v="Maria Zettner"/>
    <x v="2"/>
    <s v="United States"/>
    <s v="San Diego"/>
    <x v="1"/>
    <n v="92024"/>
    <x v="1"/>
    <s v="OFF-FA-10002280"/>
    <x v="1"/>
    <x v="13"/>
    <x v="646"/>
    <n v="5"/>
  </r>
  <r>
    <n v="2261"/>
    <s v="CA-2016-117611"/>
    <d v="2016-11-08T00:00:00"/>
    <x v="556"/>
    <s v="SLOW"/>
    <s v="Second Class"/>
    <s v="MZ-17335"/>
    <s v="Maria Zettner"/>
    <x v="2"/>
    <s v="United States"/>
    <s v="San Diego"/>
    <x v="1"/>
    <n v="92024"/>
    <x v="1"/>
    <s v="TEC-AC-10002049"/>
    <x v="2"/>
    <x v="11"/>
    <x v="682"/>
    <n v="371.97"/>
  </r>
  <r>
    <n v="2262"/>
    <s v="US-2016-137960"/>
    <d v="2016-12-18T00:00:00"/>
    <x v="734"/>
    <s v="MODERATE"/>
    <s v="Same Day"/>
    <s v="MW-18220"/>
    <s v="Mitch Webber"/>
    <x v="0"/>
    <s v="United States"/>
    <s v="New York City"/>
    <x v="15"/>
    <n v="10035"/>
    <x v="3"/>
    <s v="TEC-AC-10002253"/>
    <x v="2"/>
    <x v="11"/>
    <x v="566"/>
    <n v="166.24"/>
  </r>
  <r>
    <n v="2263"/>
    <s v="CA-2018-122994"/>
    <d v="2018-02-06T00:00:00"/>
    <x v="735"/>
    <s v="MODERATE"/>
    <s v="First Class"/>
    <s v="MV-17485"/>
    <s v="Mark Van Huff"/>
    <x v="0"/>
    <s v="United States"/>
    <s v="Arlington"/>
    <x v="17"/>
    <n v="22204"/>
    <x v="0"/>
    <s v="FUR-BO-10004015"/>
    <x v="0"/>
    <x v="0"/>
    <x v="563"/>
    <n v="359.97"/>
  </r>
  <r>
    <n v="2264"/>
    <s v="CA-2017-131065"/>
    <d v="2017-11-14T00:00:00"/>
    <x v="617"/>
    <s v="SLOW"/>
    <s v="Second Class"/>
    <s v="AA-10375"/>
    <s v="Allen Armold"/>
    <x v="0"/>
    <s v="United States"/>
    <s v="Atlanta"/>
    <x v="32"/>
    <n v="30318"/>
    <x v="0"/>
    <s v="TEC-AC-10004145"/>
    <x v="2"/>
    <x v="11"/>
    <x v="1253"/>
    <n v="499.98"/>
  </r>
  <r>
    <n v="2265"/>
    <s v="CA-2017-131065"/>
    <d v="2017-11-14T00:00:00"/>
    <x v="617"/>
    <s v="SLOW"/>
    <s v="Second Class"/>
    <s v="AA-10375"/>
    <s v="Allen Armold"/>
    <x v="0"/>
    <s v="United States"/>
    <s v="Atlanta"/>
    <x v="32"/>
    <n v="30318"/>
    <x v="0"/>
    <s v="OFF-PA-10002479"/>
    <x v="1"/>
    <x v="10"/>
    <x v="214"/>
    <n v="5.28"/>
  </r>
  <r>
    <n v="2266"/>
    <s v="CA-2017-131065"/>
    <d v="2017-11-14T00:00:00"/>
    <x v="617"/>
    <s v="SLOW"/>
    <s v="Second Class"/>
    <s v="AA-10375"/>
    <s v="Allen Armold"/>
    <x v="0"/>
    <s v="United States"/>
    <s v="Atlanta"/>
    <x v="32"/>
    <n v="30318"/>
    <x v="0"/>
    <s v="OFF-BI-10004970"/>
    <x v="1"/>
    <x v="8"/>
    <x v="901"/>
    <n v="8.26"/>
  </r>
  <r>
    <n v="2267"/>
    <s v="CA-2018-149146"/>
    <d v="2018-10-12T00:00:00"/>
    <x v="736"/>
    <s v="MODERATE"/>
    <s v="Same Day"/>
    <s v="SM-20320"/>
    <s v="Sean Miller"/>
    <x v="2"/>
    <s v="United States"/>
    <s v="Monroe"/>
    <x v="3"/>
    <n v="28110"/>
    <x v="0"/>
    <s v="OFF-PA-10003919"/>
    <x v="1"/>
    <x v="10"/>
    <x v="1254"/>
    <n v="7.968"/>
  </r>
  <r>
    <n v="2268"/>
    <s v="CA-2018-137470"/>
    <d v="2018-09-17T00:00:00"/>
    <x v="31"/>
    <s v="MODERATE"/>
    <s v="Same Day"/>
    <s v="TP-21415"/>
    <s v="Tom Prescott"/>
    <x v="0"/>
    <s v="United States"/>
    <s v="Seattle"/>
    <x v="4"/>
    <n v="98115"/>
    <x v="1"/>
    <s v="OFF-PA-10002001"/>
    <x v="1"/>
    <x v="10"/>
    <x v="1255"/>
    <n v="12.96"/>
  </r>
  <r>
    <n v="2269"/>
    <s v="CA-2018-105480"/>
    <d v="2018-12-20T00:00:00"/>
    <x v="737"/>
    <s v="FAST"/>
    <s v="Standard Class"/>
    <s v="DK-13225"/>
    <s v="Dean Katz"/>
    <x v="1"/>
    <s v="United States"/>
    <s v="Rochester"/>
    <x v="15"/>
    <n v="14609"/>
    <x v="3"/>
    <s v="OFF-PA-10002787"/>
    <x v="1"/>
    <x v="10"/>
    <x v="1256"/>
    <n v="6.48"/>
  </r>
  <r>
    <n v="2270"/>
    <s v="CA-2018-105480"/>
    <d v="2018-12-20T00:00:00"/>
    <x v="737"/>
    <s v="FAST"/>
    <s v="Standard Class"/>
    <s v="DK-13225"/>
    <s v="Dean Katz"/>
    <x v="1"/>
    <s v="United States"/>
    <s v="Rochester"/>
    <x v="15"/>
    <n v="14609"/>
    <x v="3"/>
    <s v="OFF-BI-10003291"/>
    <x v="1"/>
    <x v="8"/>
    <x v="43"/>
    <n v="6.984"/>
  </r>
  <r>
    <n v="2271"/>
    <s v="CA-2018-164917"/>
    <d v="2018-12-02T00:00:00"/>
    <x v="93"/>
    <s v="FAST"/>
    <s v="Standard Class"/>
    <s v="MK-17905"/>
    <s v="Michael Kennedy"/>
    <x v="1"/>
    <s v="United States"/>
    <s v="Miami"/>
    <x v="2"/>
    <n v="33180"/>
    <x v="0"/>
    <s v="OFF-AR-10004344"/>
    <x v="1"/>
    <x v="6"/>
    <x v="362"/>
    <n v="47.96"/>
  </r>
  <r>
    <n v="2272"/>
    <s v="CA-2016-102036"/>
    <d v="2016-09-21T00:00:00"/>
    <x v="537"/>
    <s v="FAST"/>
    <s v="Standard Class"/>
    <s v="CS-12130"/>
    <s v="Chad Sievert"/>
    <x v="0"/>
    <s v="United States"/>
    <s v="Seattle"/>
    <x v="4"/>
    <n v="98105"/>
    <x v="1"/>
    <s v="OFF-ST-10003123"/>
    <x v="1"/>
    <x v="4"/>
    <x v="1257"/>
    <n v="199.74"/>
  </r>
  <r>
    <n v="2273"/>
    <s v="CA-2016-142944"/>
    <d v="2016-03-06T00:00:00"/>
    <x v="738"/>
    <s v="FAST"/>
    <s v="Standard Class"/>
    <s v="JL-15850"/>
    <s v="John Lucas"/>
    <x v="0"/>
    <s v="United States"/>
    <s v="San Francisco"/>
    <x v="1"/>
    <n v="94122"/>
    <x v="1"/>
    <s v="FUR-FU-10000308"/>
    <x v="0"/>
    <x v="5"/>
    <x v="1258"/>
    <n v="435.26"/>
  </r>
  <r>
    <n v="2274"/>
    <s v="CA-2016-142944"/>
    <d v="2016-03-06T00:00:00"/>
    <x v="738"/>
    <s v="FAST"/>
    <s v="Standard Class"/>
    <s v="JL-15850"/>
    <s v="John Lucas"/>
    <x v="0"/>
    <s v="United States"/>
    <s v="San Francisco"/>
    <x v="1"/>
    <n v="94122"/>
    <x v="1"/>
    <s v="TEC-CO-10003763"/>
    <x v="2"/>
    <x v="16"/>
    <x v="1259"/>
    <n v="1119.9839999999999"/>
  </r>
  <r>
    <n v="2275"/>
    <s v="CA-2015-157882"/>
    <d v="2015-10-03T00:00:00"/>
    <x v="507"/>
    <s v="SLOW"/>
    <s v="Second Class"/>
    <s v="AR-10405"/>
    <s v="Allen Rosenblatt"/>
    <x v="1"/>
    <s v="United States"/>
    <s v="Los Angeles"/>
    <x v="1"/>
    <n v="90036"/>
    <x v="1"/>
    <s v="FUR-TA-10001866"/>
    <x v="0"/>
    <x v="3"/>
    <x v="1260"/>
    <n v="143.43199999999999"/>
  </r>
  <r>
    <n v="2276"/>
    <s v="CA-2015-157882"/>
    <d v="2015-10-03T00:00:00"/>
    <x v="507"/>
    <s v="SLOW"/>
    <s v="Second Class"/>
    <s v="AR-10405"/>
    <s v="Allen Rosenblatt"/>
    <x v="1"/>
    <s v="United States"/>
    <s v="Los Angeles"/>
    <x v="1"/>
    <n v="90036"/>
    <x v="1"/>
    <s v="FUR-CH-10002774"/>
    <x v="0"/>
    <x v="1"/>
    <x v="23"/>
    <n v="122.352"/>
  </r>
  <r>
    <n v="2277"/>
    <s v="CA-2015-104283"/>
    <d v="2015-06-27T00:00:00"/>
    <x v="739"/>
    <s v="FAST"/>
    <s v="Standard Class"/>
    <s v="LM-17065"/>
    <s v="Liz MacKendrick"/>
    <x v="0"/>
    <s v="United States"/>
    <s v="Southaven"/>
    <x v="35"/>
    <n v="38671"/>
    <x v="0"/>
    <s v="OFF-ST-10004337"/>
    <x v="1"/>
    <x v="4"/>
    <x v="832"/>
    <n v="306.2"/>
  </r>
  <r>
    <n v="2278"/>
    <s v="CA-2015-104283"/>
    <d v="2015-06-27T00:00:00"/>
    <x v="739"/>
    <s v="FAST"/>
    <s v="Standard Class"/>
    <s v="LM-17065"/>
    <s v="Liz MacKendrick"/>
    <x v="0"/>
    <s v="United States"/>
    <s v="Southaven"/>
    <x v="35"/>
    <n v="38671"/>
    <x v="0"/>
    <s v="FUR-TA-10001039"/>
    <x v="0"/>
    <x v="3"/>
    <x v="817"/>
    <n v="85.98"/>
  </r>
  <r>
    <n v="2279"/>
    <s v="CA-2015-104283"/>
    <d v="2015-06-27T00:00:00"/>
    <x v="739"/>
    <s v="FAST"/>
    <s v="Standard Class"/>
    <s v="LM-17065"/>
    <s v="Liz MacKendrick"/>
    <x v="0"/>
    <s v="United States"/>
    <s v="Southaven"/>
    <x v="35"/>
    <n v="38671"/>
    <x v="0"/>
    <s v="TEC-AC-10000109"/>
    <x v="2"/>
    <x v="11"/>
    <x v="197"/>
    <n v="223.96"/>
  </r>
  <r>
    <n v="2280"/>
    <s v="CA-2018-142622"/>
    <d v="2018-10-30T00:00:00"/>
    <x v="40"/>
    <s v="MODERATE"/>
    <s v="First Class"/>
    <s v="JK-15625"/>
    <s v="Jim Karlsson"/>
    <x v="0"/>
    <s v="United States"/>
    <s v="Seattle"/>
    <x v="4"/>
    <n v="98115"/>
    <x v="1"/>
    <s v="FUR-CH-10003833"/>
    <x v="0"/>
    <x v="1"/>
    <x v="1189"/>
    <n v="97.567999999999998"/>
  </r>
  <r>
    <n v="2281"/>
    <s v="CA-2018-142622"/>
    <d v="2018-10-30T00:00:00"/>
    <x v="40"/>
    <s v="MODERATE"/>
    <s v="First Class"/>
    <s v="JK-15625"/>
    <s v="Jim Karlsson"/>
    <x v="0"/>
    <s v="United States"/>
    <s v="Seattle"/>
    <x v="4"/>
    <n v="98115"/>
    <x v="1"/>
    <s v="FUR-CH-10004289"/>
    <x v="0"/>
    <x v="1"/>
    <x v="967"/>
    <n v="614.27200000000005"/>
  </r>
  <r>
    <n v="2282"/>
    <s v="CA-2018-142622"/>
    <d v="2018-10-30T00:00:00"/>
    <x v="40"/>
    <s v="MODERATE"/>
    <s v="First Class"/>
    <s v="JK-15625"/>
    <s v="Jim Karlsson"/>
    <x v="0"/>
    <s v="United States"/>
    <s v="Seattle"/>
    <x v="4"/>
    <n v="98115"/>
    <x v="1"/>
    <s v="FUR-BO-10004467"/>
    <x v="0"/>
    <x v="0"/>
    <x v="876"/>
    <n v="199.98"/>
  </r>
  <r>
    <n v="2283"/>
    <s v="CA-2017-132143"/>
    <d v="2017-09-03T00:00:00"/>
    <x v="342"/>
    <s v="MODERATE"/>
    <s v="First Class"/>
    <s v="FM-14215"/>
    <s v="Filia McAdams"/>
    <x v="1"/>
    <s v="United States"/>
    <s v="Middletown"/>
    <x v="29"/>
    <n v="6457"/>
    <x v="3"/>
    <s v="OFF-PA-10002713"/>
    <x v="1"/>
    <x v="10"/>
    <x v="314"/>
    <n v="48.16"/>
  </r>
  <r>
    <n v="2284"/>
    <s v="CA-2016-153108"/>
    <d v="2016-03-05T00:00:00"/>
    <x v="740"/>
    <s v="FAST"/>
    <s v="Standard Class"/>
    <s v="SF-20200"/>
    <s v="Sarah Foster"/>
    <x v="0"/>
    <s v="United States"/>
    <s v="New Castle"/>
    <x v="14"/>
    <n v="47362"/>
    <x v="2"/>
    <s v="TEC-PH-10001552"/>
    <x v="2"/>
    <x v="7"/>
    <x v="176"/>
    <n v="23.92"/>
  </r>
  <r>
    <n v="2285"/>
    <s v="CA-2016-153108"/>
    <d v="2016-03-05T00:00:00"/>
    <x v="740"/>
    <s v="FAST"/>
    <s v="Standard Class"/>
    <s v="SF-20200"/>
    <s v="Sarah Foster"/>
    <x v="0"/>
    <s v="United States"/>
    <s v="New Castle"/>
    <x v="14"/>
    <n v="47362"/>
    <x v="2"/>
    <s v="OFF-AP-10002222"/>
    <x v="1"/>
    <x v="9"/>
    <x v="352"/>
    <n v="60.69"/>
  </r>
  <r>
    <n v="2286"/>
    <s v="CA-2017-112676"/>
    <d v="2017-05-05T00:00:00"/>
    <x v="586"/>
    <s v="MODERATE"/>
    <s v="First Class"/>
    <s v="PJ-18835"/>
    <s v="Patrick Jones"/>
    <x v="1"/>
    <s v="United States"/>
    <s v="Murfreesboro"/>
    <x v="18"/>
    <n v="37130"/>
    <x v="0"/>
    <s v="OFF-PA-10003971"/>
    <x v="1"/>
    <x v="10"/>
    <x v="1261"/>
    <n v="14.352"/>
  </r>
  <r>
    <n v="2287"/>
    <s v="CA-2018-165687"/>
    <d v="2018-11-17T00:00:00"/>
    <x v="121"/>
    <s v="FAST"/>
    <s v="Standard Class"/>
    <s v="CS-12355"/>
    <s v="Christine Sundaresam"/>
    <x v="0"/>
    <s v="United States"/>
    <s v="Salem"/>
    <x v="17"/>
    <n v="24153"/>
    <x v="0"/>
    <s v="OFF-AP-10004036"/>
    <x v="1"/>
    <x v="9"/>
    <x v="1262"/>
    <n v="35.04"/>
  </r>
  <r>
    <n v="2288"/>
    <s v="US-2018-112928"/>
    <d v="2018-06-01T00:00:00"/>
    <x v="741"/>
    <s v="SLOW"/>
    <s v="Second Class"/>
    <s v="BB-10990"/>
    <s v="Barry Blumstein"/>
    <x v="1"/>
    <s v="United States"/>
    <s v="Toledo"/>
    <x v="24"/>
    <n v="43615"/>
    <x v="3"/>
    <s v="OFF-AP-10002287"/>
    <x v="1"/>
    <x v="9"/>
    <x v="1263"/>
    <n v="17.48"/>
  </r>
  <r>
    <n v="2289"/>
    <s v="CA-2018-143343"/>
    <d v="2018-06-10T00:00:00"/>
    <x v="197"/>
    <s v="MODERATE"/>
    <s v="First Class"/>
    <s v="BW-11200"/>
    <s v="Ben Wallace"/>
    <x v="0"/>
    <s v="United States"/>
    <s v="Los Angeles"/>
    <x v="1"/>
    <n v="90032"/>
    <x v="1"/>
    <s v="OFF-AR-10002375"/>
    <x v="1"/>
    <x v="6"/>
    <x v="816"/>
    <n v="16.399999999999999"/>
  </r>
  <r>
    <n v="2290"/>
    <s v="CA-2018-115154"/>
    <d v="2018-01-08T00:00:00"/>
    <x v="742"/>
    <s v="MODERATE"/>
    <s v="First Class"/>
    <s v="RS-19420"/>
    <s v="Ricardo Sperren"/>
    <x v="1"/>
    <s v="United States"/>
    <s v="Seattle"/>
    <x v="4"/>
    <n v="98115"/>
    <x v="1"/>
    <s v="FUR-TA-10001950"/>
    <x v="0"/>
    <x v="3"/>
    <x v="1264"/>
    <n v="892.98"/>
  </r>
  <r>
    <n v="2291"/>
    <s v="CA-2016-149342"/>
    <d v="2016-04-20T00:00:00"/>
    <x v="743"/>
    <s v="FAST"/>
    <s v="Standard Class"/>
    <s v="TS-21160"/>
    <s v="Theresa Swint"/>
    <x v="1"/>
    <s v="United States"/>
    <s v="Columbus"/>
    <x v="32"/>
    <n v="31907"/>
    <x v="0"/>
    <s v="TEC-PH-10001557"/>
    <x v="2"/>
    <x v="7"/>
    <x v="651"/>
    <n v="287.97000000000003"/>
  </r>
  <r>
    <n v="2292"/>
    <s v="CA-2016-149342"/>
    <d v="2016-04-20T00:00:00"/>
    <x v="743"/>
    <s v="FAST"/>
    <s v="Standard Class"/>
    <s v="TS-21160"/>
    <s v="Theresa Swint"/>
    <x v="1"/>
    <s v="United States"/>
    <s v="Columbus"/>
    <x v="32"/>
    <n v="31907"/>
    <x v="0"/>
    <s v="FUR-FU-10002937"/>
    <x v="0"/>
    <x v="5"/>
    <x v="1042"/>
    <n v="595.38"/>
  </r>
  <r>
    <n v="2293"/>
    <s v="CA-2016-149342"/>
    <d v="2016-04-20T00:00:00"/>
    <x v="743"/>
    <s v="FAST"/>
    <s v="Standard Class"/>
    <s v="TS-21160"/>
    <s v="Theresa Swint"/>
    <x v="1"/>
    <s v="United States"/>
    <s v="Columbus"/>
    <x v="32"/>
    <n v="31907"/>
    <x v="0"/>
    <s v="OFF-PA-10001166"/>
    <x v="1"/>
    <x v="10"/>
    <x v="763"/>
    <n v="12.96"/>
  </r>
  <r>
    <n v="2294"/>
    <s v="CA-2016-130995"/>
    <d v="2016-11-01T00:00:00"/>
    <x v="84"/>
    <s v="FAST"/>
    <s v="Standard Class"/>
    <s v="QJ-19255"/>
    <s v="Quincy Jones"/>
    <x v="1"/>
    <s v="United States"/>
    <s v="New York City"/>
    <x v="15"/>
    <n v="10009"/>
    <x v="3"/>
    <s v="TEC-PH-10000347"/>
    <x v="2"/>
    <x v="7"/>
    <x v="490"/>
    <n v="4.95"/>
  </r>
  <r>
    <n v="2295"/>
    <s v="CA-2018-127929"/>
    <d v="2018-12-23T00:00:00"/>
    <x v="62"/>
    <s v="FAST"/>
    <s v="Standard Class"/>
    <s v="FM-14215"/>
    <s v="Filia McAdams"/>
    <x v="1"/>
    <s v="United States"/>
    <s v="Middletown"/>
    <x v="29"/>
    <n v="6457"/>
    <x v="3"/>
    <s v="FUR-FU-10003708"/>
    <x v="0"/>
    <x v="5"/>
    <x v="70"/>
    <n v="181.95"/>
  </r>
  <r>
    <n v="2296"/>
    <s v="CA-2016-113145"/>
    <d v="2016-11-01T00:00:00"/>
    <x v="744"/>
    <s v="FAST"/>
    <s v="Standard Class"/>
    <s v="VD-21670"/>
    <s v="Valerie Dominguez"/>
    <x v="0"/>
    <s v="United States"/>
    <s v="New York City"/>
    <x v="15"/>
    <n v="10011"/>
    <x v="3"/>
    <s v="OFF-PA-10002659"/>
    <x v="1"/>
    <x v="10"/>
    <x v="915"/>
    <n v="13.52"/>
  </r>
  <r>
    <n v="2297"/>
    <s v="CA-2016-113145"/>
    <d v="2016-11-01T00:00:00"/>
    <x v="744"/>
    <s v="FAST"/>
    <s v="Standard Class"/>
    <s v="VD-21670"/>
    <s v="Valerie Dominguez"/>
    <x v="0"/>
    <s v="United States"/>
    <s v="New York City"/>
    <x v="15"/>
    <n v="10011"/>
    <x v="3"/>
    <s v="FUR-FU-10000965"/>
    <x v="0"/>
    <x v="5"/>
    <x v="676"/>
    <n v="259.7"/>
  </r>
  <r>
    <n v="2298"/>
    <s v="CA-2016-113145"/>
    <d v="2016-11-01T00:00:00"/>
    <x v="744"/>
    <s v="FAST"/>
    <s v="Standard Class"/>
    <s v="VD-21670"/>
    <s v="Valerie Dominguez"/>
    <x v="0"/>
    <s v="United States"/>
    <s v="New York City"/>
    <x v="15"/>
    <n v="10011"/>
    <x v="3"/>
    <s v="TEC-PH-10001527"/>
    <x v="2"/>
    <x v="7"/>
    <x v="1265"/>
    <n v="42.95"/>
  </r>
  <r>
    <n v="2299"/>
    <s v="CA-2016-113145"/>
    <d v="2016-11-01T00:00:00"/>
    <x v="744"/>
    <s v="FAST"/>
    <s v="Standard Class"/>
    <s v="VD-21670"/>
    <s v="Valerie Dominguez"/>
    <x v="0"/>
    <s v="United States"/>
    <s v="New York City"/>
    <x v="15"/>
    <n v="10011"/>
    <x v="3"/>
    <s v="TEC-AC-10001838"/>
    <x v="2"/>
    <x v="11"/>
    <x v="638"/>
    <n v="1399.93"/>
  </r>
  <r>
    <n v="2300"/>
    <s v="CA-2016-113145"/>
    <d v="2016-11-01T00:00:00"/>
    <x v="744"/>
    <s v="FAST"/>
    <s v="Standard Class"/>
    <s v="VD-21670"/>
    <s v="Valerie Dominguez"/>
    <x v="0"/>
    <s v="United States"/>
    <s v="New York City"/>
    <x v="15"/>
    <n v="10011"/>
    <x v="3"/>
    <s v="TEC-PH-10002597"/>
    <x v="2"/>
    <x v="7"/>
    <x v="469"/>
    <n v="503.96"/>
  </r>
  <r>
    <n v="2301"/>
    <s v="CA-2015-162362"/>
    <d v="2015-11-14T00:00:00"/>
    <x v="7"/>
    <s v="FAST"/>
    <s v="Standard Class"/>
    <s v="JL-15505"/>
    <s v="Jeremy Lonsdale"/>
    <x v="0"/>
    <s v="United States"/>
    <s v="Midland"/>
    <x v="12"/>
    <n v="48640"/>
    <x v="2"/>
    <s v="OFF-BI-10000756"/>
    <x v="1"/>
    <x v="8"/>
    <x v="15"/>
    <n v="12.72"/>
  </r>
  <r>
    <n v="2302"/>
    <s v="CA-2015-162362"/>
    <d v="2015-11-14T00:00:00"/>
    <x v="7"/>
    <s v="FAST"/>
    <s v="Standard Class"/>
    <s v="JL-15505"/>
    <s v="Jeremy Lonsdale"/>
    <x v="0"/>
    <s v="United States"/>
    <s v="Midland"/>
    <x v="12"/>
    <n v="48640"/>
    <x v="2"/>
    <s v="OFF-BI-10000546"/>
    <x v="1"/>
    <x v="8"/>
    <x v="602"/>
    <n v="11.52"/>
  </r>
  <r>
    <n v="2303"/>
    <s v="CA-2017-106558"/>
    <d v="2017-01-17T00:00:00"/>
    <x v="345"/>
    <s v="FAST"/>
    <s v="Standard Class"/>
    <s v="DL-13495"/>
    <s v="Dionis Lloyd"/>
    <x v="1"/>
    <s v="United States"/>
    <s v="Columbus"/>
    <x v="32"/>
    <n v="31907"/>
    <x v="0"/>
    <s v="TEC-AC-10001142"/>
    <x v="2"/>
    <x v="11"/>
    <x v="541"/>
    <n v="316"/>
  </r>
  <r>
    <n v="2304"/>
    <s v="CA-2018-157931"/>
    <d v="2018-09-17T00:00:00"/>
    <x v="301"/>
    <s v="SLOW"/>
    <s v="Second Class"/>
    <s v="MO-17800"/>
    <s v="Meg O'Connel"/>
    <x v="2"/>
    <s v="United States"/>
    <s v="Roswell"/>
    <x v="32"/>
    <n v="30076"/>
    <x v="0"/>
    <s v="FUR-CH-10000785"/>
    <x v="0"/>
    <x v="1"/>
    <x v="317"/>
    <n v="723.92"/>
  </r>
  <r>
    <n v="2305"/>
    <s v="CA-2018-157931"/>
    <d v="2018-09-17T00:00:00"/>
    <x v="301"/>
    <s v="SLOW"/>
    <s v="Second Class"/>
    <s v="MO-17800"/>
    <s v="Meg O'Connel"/>
    <x v="2"/>
    <s v="United States"/>
    <s v="Roswell"/>
    <x v="32"/>
    <n v="30076"/>
    <x v="0"/>
    <s v="OFF-PA-10000474"/>
    <x v="1"/>
    <x v="10"/>
    <x v="33"/>
    <n v="106.32"/>
  </r>
  <r>
    <n v="2306"/>
    <s v="CA-2017-115574"/>
    <d v="2017-12-23T00:00:00"/>
    <x v="745"/>
    <s v="MODERATE"/>
    <s v="First Class"/>
    <s v="BP-11185"/>
    <s v="Ben Peterman"/>
    <x v="1"/>
    <s v="United States"/>
    <s v="Chicago"/>
    <x v="10"/>
    <n v="60623"/>
    <x v="2"/>
    <s v="FUR-BO-10003441"/>
    <x v="0"/>
    <x v="0"/>
    <x v="699"/>
    <n v="141.37200000000001"/>
  </r>
  <r>
    <n v="2307"/>
    <s v="CA-2016-160794"/>
    <d v="2016-08-06T00:00:00"/>
    <x v="746"/>
    <s v="MODERATE"/>
    <s v="First Class"/>
    <s v="MS-17980"/>
    <s v="Michael Stewart"/>
    <x v="1"/>
    <s v="United States"/>
    <s v="Houston"/>
    <x v="5"/>
    <n v="77041"/>
    <x v="2"/>
    <s v="OFF-PA-10004156"/>
    <x v="1"/>
    <x v="10"/>
    <x v="737"/>
    <n v="27.216000000000001"/>
  </r>
  <r>
    <n v="2308"/>
    <s v="CA-2018-116225"/>
    <d v="2018-11-05T00:00:00"/>
    <x v="747"/>
    <s v="FAST"/>
    <s v="Standard Class"/>
    <s v="SV-20935"/>
    <s v="Susan Vittorini"/>
    <x v="0"/>
    <s v="United States"/>
    <s v="New York City"/>
    <x v="15"/>
    <n v="10009"/>
    <x v="3"/>
    <s v="TEC-AC-10001432"/>
    <x v="2"/>
    <x v="11"/>
    <x v="466"/>
    <n v="390.75"/>
  </r>
  <r>
    <n v="2309"/>
    <s v="US-2018-120418"/>
    <d v="2018-06-11T00:00:00"/>
    <x v="108"/>
    <s v="MODERATE"/>
    <s v="First Class"/>
    <s v="BC-11125"/>
    <s v="Becky Castell"/>
    <x v="2"/>
    <s v="United States"/>
    <s v="Peoria"/>
    <x v="16"/>
    <n v="85345"/>
    <x v="1"/>
    <s v="FUR-CH-10001394"/>
    <x v="0"/>
    <x v="1"/>
    <x v="641"/>
    <n v="280.79199999999997"/>
  </r>
  <r>
    <n v="2310"/>
    <s v="US-2018-120418"/>
    <d v="2018-06-11T00:00:00"/>
    <x v="108"/>
    <s v="MODERATE"/>
    <s v="First Class"/>
    <s v="BC-11125"/>
    <s v="Becky Castell"/>
    <x v="2"/>
    <s v="United States"/>
    <s v="Peoria"/>
    <x v="16"/>
    <n v="85345"/>
    <x v="1"/>
    <s v="OFF-ST-10002370"/>
    <x v="1"/>
    <x v="4"/>
    <x v="77"/>
    <n v="68.447999999999993"/>
  </r>
  <r>
    <n v="2311"/>
    <s v="US-2018-120418"/>
    <d v="2018-06-11T00:00:00"/>
    <x v="108"/>
    <s v="MODERATE"/>
    <s v="First Class"/>
    <s v="BC-11125"/>
    <s v="Becky Castell"/>
    <x v="2"/>
    <s v="United States"/>
    <s v="Peoria"/>
    <x v="16"/>
    <n v="85345"/>
    <x v="1"/>
    <s v="OFF-AR-10002956"/>
    <x v="1"/>
    <x v="6"/>
    <x v="653"/>
    <n v="88.04"/>
  </r>
  <r>
    <n v="2312"/>
    <s v="US-2018-120418"/>
    <d v="2018-06-11T00:00:00"/>
    <x v="108"/>
    <s v="MODERATE"/>
    <s v="First Class"/>
    <s v="BC-11125"/>
    <s v="Becky Castell"/>
    <x v="2"/>
    <s v="United States"/>
    <s v="Peoria"/>
    <x v="16"/>
    <n v="85345"/>
    <x v="1"/>
    <s v="OFF-AR-10001955"/>
    <x v="1"/>
    <x v="6"/>
    <x v="1012"/>
    <n v="15.872"/>
  </r>
  <r>
    <n v="2313"/>
    <s v="US-2018-120418"/>
    <d v="2018-06-11T00:00:00"/>
    <x v="108"/>
    <s v="MODERATE"/>
    <s v="First Class"/>
    <s v="BC-11125"/>
    <s v="Becky Castell"/>
    <x v="2"/>
    <s v="United States"/>
    <s v="Peoria"/>
    <x v="16"/>
    <n v="85345"/>
    <x v="1"/>
    <s v="OFF-ST-10001809"/>
    <x v="1"/>
    <x v="4"/>
    <x v="425"/>
    <n v="215.59200000000001"/>
  </r>
  <r>
    <n v="2314"/>
    <s v="CA-2018-122035"/>
    <d v="2018-07-20T00:00:00"/>
    <x v="261"/>
    <s v="FAST"/>
    <s v="Standard Class"/>
    <s v="EM-13825"/>
    <s v="Elizabeth Moffitt"/>
    <x v="1"/>
    <s v="United States"/>
    <s v="Sioux Falls"/>
    <x v="44"/>
    <n v="57103"/>
    <x v="2"/>
    <s v="OFF-LA-10004093"/>
    <x v="1"/>
    <x v="2"/>
    <x v="663"/>
    <n v="14.62"/>
  </r>
  <r>
    <n v="2316"/>
    <s v="CA-2018-122035"/>
    <d v="2018-07-20T00:00:00"/>
    <x v="261"/>
    <s v="FAST"/>
    <s v="Standard Class"/>
    <s v="EM-13825"/>
    <s v="Elizabeth Moffitt"/>
    <x v="1"/>
    <s v="United States"/>
    <s v="Sioux Falls"/>
    <x v="44"/>
    <n v="57103"/>
    <x v="2"/>
    <s v="OFF-BI-10000404"/>
    <x v="1"/>
    <x v="8"/>
    <x v="471"/>
    <n v="43"/>
  </r>
  <r>
    <n v="2317"/>
    <s v="CA-2018-122035"/>
    <d v="2018-07-20T00:00:00"/>
    <x v="261"/>
    <s v="FAST"/>
    <s v="Standard Class"/>
    <s v="EM-13825"/>
    <s v="Elizabeth Moffitt"/>
    <x v="1"/>
    <s v="United States"/>
    <s v="Sioux Falls"/>
    <x v="44"/>
    <n v="57103"/>
    <x v="2"/>
    <s v="FUR-CH-10003833"/>
    <x v="0"/>
    <x v="1"/>
    <x v="1189"/>
    <n v="182.94"/>
  </r>
  <r>
    <n v="2318"/>
    <s v="CA-2018-122035"/>
    <d v="2018-07-20T00:00:00"/>
    <x v="261"/>
    <s v="FAST"/>
    <s v="Standard Class"/>
    <s v="EM-13825"/>
    <s v="Elizabeth Moffitt"/>
    <x v="1"/>
    <s v="United States"/>
    <s v="Sioux Falls"/>
    <x v="44"/>
    <n v="57103"/>
    <x v="2"/>
    <s v="OFF-BI-10002072"/>
    <x v="1"/>
    <x v="8"/>
    <x v="823"/>
    <n v="60.83"/>
  </r>
  <r>
    <n v="2319"/>
    <s v="CA-2018-122035"/>
    <d v="2018-07-20T00:00:00"/>
    <x v="261"/>
    <s v="FAST"/>
    <s v="Standard Class"/>
    <s v="EM-13825"/>
    <s v="Elizabeth Moffitt"/>
    <x v="1"/>
    <s v="United States"/>
    <s v="Sioux Falls"/>
    <x v="44"/>
    <n v="57103"/>
    <x v="2"/>
    <s v="TEC-AC-10003095"/>
    <x v="2"/>
    <x v="11"/>
    <x v="1266"/>
    <n v="389.97"/>
  </r>
  <r>
    <n v="2320"/>
    <s v="CA-2016-117828"/>
    <d v="2016-12-23T00:00:00"/>
    <x v="314"/>
    <s v="MODERATE"/>
    <s v="First Class"/>
    <s v="BD-11500"/>
    <s v="Bradley Drucker"/>
    <x v="0"/>
    <s v="United States"/>
    <s v="Richmond"/>
    <x v="17"/>
    <n v="23223"/>
    <x v="0"/>
    <s v="OFF-AP-10001563"/>
    <x v="1"/>
    <x v="9"/>
    <x v="525"/>
    <n v="194.32"/>
  </r>
  <r>
    <n v="2321"/>
    <s v="CA-2018-165491"/>
    <d v="2018-03-20T00:00:00"/>
    <x v="539"/>
    <s v="FAST"/>
    <s v="Standard Class"/>
    <s v="HW-14935"/>
    <s v="Helen Wasserman"/>
    <x v="1"/>
    <s v="United States"/>
    <s v="Seattle"/>
    <x v="4"/>
    <n v="98115"/>
    <x v="1"/>
    <s v="TEC-AC-10000358"/>
    <x v="2"/>
    <x v="11"/>
    <x v="1267"/>
    <n v="265.93"/>
  </r>
  <r>
    <n v="2322"/>
    <s v="CA-2016-109470"/>
    <d v="2016-12-31T00:00:00"/>
    <x v="748"/>
    <s v="SLOW"/>
    <s v="Second Class"/>
    <s v="KC-16255"/>
    <s v="Karen Carlisle"/>
    <x v="1"/>
    <s v="United States"/>
    <s v="Henderson"/>
    <x v="0"/>
    <n v="42420"/>
    <x v="0"/>
    <s v="OFF-BI-10004492"/>
    <x v="1"/>
    <x v="8"/>
    <x v="344"/>
    <n v="94.74"/>
  </r>
  <r>
    <n v="2323"/>
    <s v="CA-2016-109470"/>
    <d v="2016-12-31T00:00:00"/>
    <x v="748"/>
    <s v="SLOW"/>
    <s v="Second Class"/>
    <s v="KC-16255"/>
    <s v="Karen Carlisle"/>
    <x v="1"/>
    <s v="United States"/>
    <s v="Henderson"/>
    <x v="0"/>
    <n v="42420"/>
    <x v="0"/>
    <s v="OFF-BI-10001072"/>
    <x v="1"/>
    <x v="8"/>
    <x v="275"/>
    <n v="60.64"/>
  </r>
  <r>
    <n v="2324"/>
    <s v="CA-2016-109470"/>
    <d v="2016-12-31T00:00:00"/>
    <x v="748"/>
    <s v="SLOW"/>
    <s v="Second Class"/>
    <s v="KC-16255"/>
    <s v="Karen Carlisle"/>
    <x v="1"/>
    <s v="United States"/>
    <s v="Henderson"/>
    <x v="0"/>
    <n v="42420"/>
    <x v="0"/>
    <s v="OFF-BI-10003707"/>
    <x v="1"/>
    <x v="8"/>
    <x v="770"/>
    <n v="76.3"/>
  </r>
  <r>
    <n v="2325"/>
    <s v="CA-2016-109470"/>
    <d v="2016-12-31T00:00:00"/>
    <x v="748"/>
    <s v="SLOW"/>
    <s v="Second Class"/>
    <s v="KC-16255"/>
    <s v="Karen Carlisle"/>
    <x v="1"/>
    <s v="United States"/>
    <s v="Henderson"/>
    <x v="0"/>
    <n v="42420"/>
    <x v="0"/>
    <s v="OFF-BI-10000977"/>
    <x v="1"/>
    <x v="8"/>
    <x v="974"/>
    <n v="364.8"/>
  </r>
  <r>
    <n v="2326"/>
    <s v="CA-2016-105102"/>
    <d v="2016-09-15T00:00:00"/>
    <x v="399"/>
    <s v="SLOW"/>
    <s v="Second Class"/>
    <s v="BM-11575"/>
    <s v="Brendan Murry"/>
    <x v="1"/>
    <s v="United States"/>
    <s v="New York City"/>
    <x v="15"/>
    <n v="10035"/>
    <x v="3"/>
    <s v="OFF-BI-10002082"/>
    <x v="1"/>
    <x v="8"/>
    <x v="1163"/>
    <n v="79.872"/>
  </r>
  <r>
    <n v="2327"/>
    <s v="CA-2016-105102"/>
    <d v="2016-09-15T00:00:00"/>
    <x v="399"/>
    <s v="SLOW"/>
    <s v="Second Class"/>
    <s v="BM-11575"/>
    <s v="Brendan Murry"/>
    <x v="1"/>
    <s v="United States"/>
    <s v="New York City"/>
    <x v="15"/>
    <n v="10035"/>
    <x v="3"/>
    <s v="FUR-BO-10004709"/>
    <x v="0"/>
    <x v="0"/>
    <x v="261"/>
    <n v="46.384"/>
  </r>
  <r>
    <n v="2328"/>
    <s v="CA-2016-105102"/>
    <d v="2016-09-15T00:00:00"/>
    <x v="399"/>
    <s v="SLOW"/>
    <s v="Second Class"/>
    <s v="BM-11575"/>
    <s v="Brendan Murry"/>
    <x v="1"/>
    <s v="United States"/>
    <s v="New York City"/>
    <x v="15"/>
    <n v="10035"/>
    <x v="3"/>
    <s v="OFF-PA-10002365"/>
    <x v="1"/>
    <x v="10"/>
    <x v="12"/>
    <n v="12.96"/>
  </r>
  <r>
    <n v="2329"/>
    <s v="CA-2018-138422"/>
    <d v="2018-09-23T00:00:00"/>
    <x v="254"/>
    <s v="MODERATE"/>
    <s v="First Class"/>
    <s v="KN-16705"/>
    <s v="Kristina Nunn"/>
    <x v="2"/>
    <s v="United States"/>
    <s v="Fort Collins"/>
    <x v="22"/>
    <n v="80525"/>
    <x v="1"/>
    <s v="OFF-EN-10004147"/>
    <x v="1"/>
    <x v="12"/>
    <x v="1268"/>
    <n v="14.352"/>
  </r>
  <r>
    <n v="2330"/>
    <s v="US-2016-147739"/>
    <d v="2016-12-25T00:00:00"/>
    <x v="692"/>
    <s v="FAST"/>
    <s v="Standard Class"/>
    <s v="JD-16150"/>
    <s v="Justin Deggeller"/>
    <x v="1"/>
    <s v="United States"/>
    <s v="Philadelphia"/>
    <x v="9"/>
    <n v="19140"/>
    <x v="3"/>
    <s v="FUR-FU-10001468"/>
    <x v="0"/>
    <x v="5"/>
    <x v="1269"/>
    <n v="547.13599999999997"/>
  </r>
  <r>
    <n v="2331"/>
    <s v="CA-2017-155187"/>
    <d v="2017-09-24T00:00:00"/>
    <x v="749"/>
    <s v="SLOW"/>
    <s v="Second Class"/>
    <s v="LA-16780"/>
    <s v="Laura Armstrong"/>
    <x v="1"/>
    <s v="United States"/>
    <s v="Los Angeles"/>
    <x v="1"/>
    <n v="90004"/>
    <x v="1"/>
    <s v="OFF-ST-10000642"/>
    <x v="1"/>
    <x v="4"/>
    <x v="189"/>
    <n v="41.96"/>
  </r>
  <r>
    <n v="2332"/>
    <s v="CA-2017-155187"/>
    <d v="2017-09-24T00:00:00"/>
    <x v="749"/>
    <s v="SLOW"/>
    <s v="Second Class"/>
    <s v="LA-16780"/>
    <s v="Laura Armstrong"/>
    <x v="1"/>
    <s v="United States"/>
    <s v="Los Angeles"/>
    <x v="1"/>
    <n v="90004"/>
    <x v="1"/>
    <s v="OFF-PA-10000380"/>
    <x v="1"/>
    <x v="10"/>
    <x v="1270"/>
    <n v="41.7"/>
  </r>
  <r>
    <n v="2333"/>
    <s v="CA-2018-169285"/>
    <d v="2018-03-21T00:00:00"/>
    <x v="185"/>
    <s v="FAST"/>
    <s v="Standard Class"/>
    <s v="RW-19690"/>
    <s v="Robert Waldorf"/>
    <x v="0"/>
    <s v="United States"/>
    <s v="Lafayette"/>
    <x v="14"/>
    <n v="47905"/>
    <x v="2"/>
    <s v="OFF-PA-10004071"/>
    <x v="1"/>
    <x v="10"/>
    <x v="407"/>
    <n v="277.39999999999998"/>
  </r>
  <r>
    <n v="2334"/>
    <s v="CA-2018-169285"/>
    <d v="2018-03-21T00:00:00"/>
    <x v="185"/>
    <s v="FAST"/>
    <s v="Standard Class"/>
    <s v="RW-19690"/>
    <s v="Robert Waldorf"/>
    <x v="0"/>
    <s v="United States"/>
    <s v="Lafayette"/>
    <x v="14"/>
    <n v="47905"/>
    <x v="2"/>
    <s v="OFF-PA-10004971"/>
    <x v="1"/>
    <x v="10"/>
    <x v="597"/>
    <n v="5.78"/>
  </r>
  <r>
    <n v="2335"/>
    <s v="CA-2015-140886"/>
    <d v="2015-09-30T00:00:00"/>
    <x v="620"/>
    <s v="FAST"/>
    <s v="Standard Class"/>
    <s v="KW-16570"/>
    <s v="Kelly Williams"/>
    <x v="0"/>
    <s v="United States"/>
    <s v="Clarksville"/>
    <x v="18"/>
    <n v="37042"/>
    <x v="0"/>
    <s v="OFF-AP-10000696"/>
    <x v="1"/>
    <x v="9"/>
    <x v="330"/>
    <n v="69.215999999999994"/>
  </r>
  <r>
    <n v="2336"/>
    <s v="CA-2018-152695"/>
    <d v="2018-12-10T00:00:00"/>
    <x v="234"/>
    <s v="MODERATE"/>
    <s v="Same Day"/>
    <s v="CC-12220"/>
    <s v="Chris Cortes"/>
    <x v="0"/>
    <s v="United States"/>
    <s v="Fairfield"/>
    <x v="29"/>
    <n v="6824"/>
    <x v="3"/>
    <s v="OFF-EN-10004030"/>
    <x v="1"/>
    <x v="12"/>
    <x v="132"/>
    <n v="10.86"/>
  </r>
  <r>
    <n v="2337"/>
    <s v="CA-2018-152695"/>
    <d v="2018-12-10T00:00:00"/>
    <x v="234"/>
    <s v="MODERATE"/>
    <s v="Same Day"/>
    <s v="CC-12220"/>
    <s v="Chris Cortes"/>
    <x v="0"/>
    <s v="United States"/>
    <s v="Fairfield"/>
    <x v="29"/>
    <n v="6824"/>
    <x v="3"/>
    <s v="OFF-AP-10000026"/>
    <x v="1"/>
    <x v="9"/>
    <x v="1271"/>
    <n v="426.79"/>
  </r>
  <r>
    <n v="2338"/>
    <s v="CA-2015-110639"/>
    <d v="2015-08-23T00:00:00"/>
    <x v="688"/>
    <s v="MODERATE"/>
    <s v="Same Day"/>
    <s v="RH-19495"/>
    <s v="Rick Hansen"/>
    <x v="0"/>
    <s v="United States"/>
    <s v="New York City"/>
    <x v="15"/>
    <n v="10009"/>
    <x v="3"/>
    <s v="OFF-PA-10003936"/>
    <x v="1"/>
    <x v="10"/>
    <x v="1272"/>
    <n v="25.92"/>
  </r>
  <r>
    <n v="2339"/>
    <s v="CA-2015-110639"/>
    <d v="2015-08-23T00:00:00"/>
    <x v="688"/>
    <s v="MODERATE"/>
    <s v="Same Day"/>
    <s v="RH-19495"/>
    <s v="Rick Hansen"/>
    <x v="0"/>
    <s v="United States"/>
    <s v="New York City"/>
    <x v="15"/>
    <n v="10009"/>
    <x v="3"/>
    <s v="OFF-PA-10004530"/>
    <x v="1"/>
    <x v="10"/>
    <x v="486"/>
    <n v="45.92"/>
  </r>
  <r>
    <n v="2340"/>
    <s v="CA-2015-121727"/>
    <d v="2015-08-19T00:00:00"/>
    <x v="750"/>
    <s v="FAST"/>
    <s v="Standard Class"/>
    <s v="JK-15625"/>
    <s v="Jim Karlsson"/>
    <x v="0"/>
    <s v="United States"/>
    <s v="Columbus"/>
    <x v="24"/>
    <n v="43229"/>
    <x v="3"/>
    <s v="OFF-AR-10004930"/>
    <x v="1"/>
    <x v="6"/>
    <x v="84"/>
    <n v="10.72"/>
  </r>
  <r>
    <n v="2341"/>
    <s v="CA-2017-137736"/>
    <d v="2017-11-10T00:00:00"/>
    <x v="440"/>
    <s v="FAST"/>
    <s v="Standard Class"/>
    <s v="DC-13285"/>
    <s v="Debra Catini"/>
    <x v="0"/>
    <s v="United States"/>
    <s v="Warner Robins"/>
    <x v="32"/>
    <n v="31088"/>
    <x v="0"/>
    <s v="OFF-AR-10004999"/>
    <x v="1"/>
    <x v="6"/>
    <x v="858"/>
    <n v="41.86"/>
  </r>
  <r>
    <n v="2342"/>
    <s v="US-2015-143231"/>
    <d v="2015-12-31T00:00:00"/>
    <x v="751"/>
    <s v="MODERATE"/>
    <s v="First Class"/>
    <s v="GM-14455"/>
    <s v="Gary Mitchum"/>
    <x v="2"/>
    <s v="United States"/>
    <s v="Franklin"/>
    <x v="31"/>
    <n v="2038"/>
    <x v="3"/>
    <s v="FUR-FU-10002501"/>
    <x v="0"/>
    <x v="5"/>
    <x v="1273"/>
    <n v="63.2"/>
  </r>
  <r>
    <n v="2343"/>
    <s v="US-2015-143231"/>
    <d v="2015-12-31T00:00:00"/>
    <x v="751"/>
    <s v="MODERATE"/>
    <s v="First Class"/>
    <s v="GM-14455"/>
    <s v="Gary Mitchum"/>
    <x v="2"/>
    <s v="United States"/>
    <s v="Franklin"/>
    <x v="31"/>
    <n v="2038"/>
    <x v="3"/>
    <s v="TEC-AC-10000358"/>
    <x v="2"/>
    <x v="11"/>
    <x v="1267"/>
    <n v="113.97"/>
  </r>
  <r>
    <n v="2344"/>
    <s v="US-2015-155894"/>
    <d v="2015-07-26T00:00:00"/>
    <x v="752"/>
    <s v="SLOW"/>
    <s v="Second Class"/>
    <s v="CL-11890"/>
    <s v="Carl Ludwig"/>
    <x v="0"/>
    <s v="United States"/>
    <s v="Chicago"/>
    <x v="10"/>
    <n v="60623"/>
    <x v="2"/>
    <s v="OFF-ST-10004804"/>
    <x v="1"/>
    <x v="4"/>
    <x v="228"/>
    <n v="123.55200000000001"/>
  </r>
  <r>
    <n v="2345"/>
    <s v="CA-2017-119025"/>
    <d v="2017-02-22T00:00:00"/>
    <x v="753"/>
    <s v="FAST"/>
    <s v="Standard Class"/>
    <s v="PV-18985"/>
    <s v="Paul Van Hugh"/>
    <x v="2"/>
    <s v="United States"/>
    <s v="Milwaukee"/>
    <x v="6"/>
    <n v="53209"/>
    <x v="2"/>
    <s v="OFF-AP-10001205"/>
    <x v="1"/>
    <x v="9"/>
    <x v="1274"/>
    <n v="490.32"/>
  </r>
  <r>
    <n v="2346"/>
    <s v="CA-2017-159373"/>
    <d v="2017-03-13T00:00:00"/>
    <x v="754"/>
    <s v="FAST"/>
    <s v="Standard Class"/>
    <s v="LT-17110"/>
    <s v="Liz Thompson"/>
    <x v="0"/>
    <s v="United States"/>
    <s v="San Antonio"/>
    <x v="5"/>
    <n v="78207"/>
    <x v="2"/>
    <s v="OFF-PA-10000659"/>
    <x v="1"/>
    <x v="10"/>
    <x v="1275"/>
    <n v="70.08"/>
  </r>
  <r>
    <n v="2347"/>
    <s v="CA-2017-159373"/>
    <d v="2017-03-13T00:00:00"/>
    <x v="754"/>
    <s v="FAST"/>
    <s v="Standard Class"/>
    <s v="LT-17110"/>
    <s v="Liz Thompson"/>
    <x v="0"/>
    <s v="United States"/>
    <s v="San Antonio"/>
    <x v="5"/>
    <n v="78207"/>
    <x v="2"/>
    <s v="OFF-BI-10004141"/>
    <x v="1"/>
    <x v="8"/>
    <x v="1276"/>
    <n v="1.272"/>
  </r>
  <r>
    <n v="2348"/>
    <s v="CA-2017-159373"/>
    <d v="2017-03-13T00:00:00"/>
    <x v="754"/>
    <s v="FAST"/>
    <s v="Standard Class"/>
    <s v="LT-17110"/>
    <s v="Liz Thompson"/>
    <x v="0"/>
    <s v="United States"/>
    <s v="San Antonio"/>
    <x v="5"/>
    <n v="78207"/>
    <x v="2"/>
    <s v="FUR-TA-10004619"/>
    <x v="0"/>
    <x v="3"/>
    <x v="875"/>
    <n v="557.58500000000004"/>
  </r>
  <r>
    <n v="2350"/>
    <s v="CA-2018-109701"/>
    <d v="2018-12-02T00:00:00"/>
    <x v="107"/>
    <s v="MODERATE"/>
    <s v="Same Day"/>
    <s v="AM-10360"/>
    <s v="Alice McCarthy"/>
    <x v="1"/>
    <s v="United States"/>
    <s v="Los Angeles"/>
    <x v="1"/>
    <n v="90032"/>
    <x v="1"/>
    <s v="OFF-BI-10000632"/>
    <x v="1"/>
    <x v="8"/>
    <x v="1277"/>
    <n v="69.456000000000003"/>
  </r>
  <r>
    <n v="2351"/>
    <s v="CA-2018-109701"/>
    <d v="2018-12-02T00:00:00"/>
    <x v="107"/>
    <s v="MODERATE"/>
    <s v="Same Day"/>
    <s v="AM-10360"/>
    <s v="Alice McCarthy"/>
    <x v="1"/>
    <s v="United States"/>
    <s v="Los Angeles"/>
    <x v="1"/>
    <n v="90032"/>
    <x v="1"/>
    <s v="OFF-PA-10003724"/>
    <x v="1"/>
    <x v="10"/>
    <x v="354"/>
    <n v="10.86"/>
  </r>
  <r>
    <n v="2352"/>
    <s v="CA-2018-109701"/>
    <d v="2018-12-02T00:00:00"/>
    <x v="107"/>
    <s v="MODERATE"/>
    <s v="Same Day"/>
    <s v="AM-10360"/>
    <s v="Alice McCarthy"/>
    <x v="1"/>
    <s v="United States"/>
    <s v="Los Angeles"/>
    <x v="1"/>
    <n v="90032"/>
    <x v="1"/>
    <s v="OFF-AP-10002765"/>
    <x v="1"/>
    <x v="9"/>
    <x v="1241"/>
    <n v="79.47"/>
  </r>
  <r>
    <n v="2353"/>
    <s v="CA-2018-109701"/>
    <d v="2018-12-02T00:00:00"/>
    <x v="107"/>
    <s v="MODERATE"/>
    <s v="Same Day"/>
    <s v="AM-10360"/>
    <s v="Alice McCarthy"/>
    <x v="1"/>
    <s v="United States"/>
    <s v="Los Angeles"/>
    <x v="1"/>
    <n v="90032"/>
    <x v="1"/>
    <s v="OFF-AR-10001868"/>
    <x v="1"/>
    <x v="6"/>
    <x v="58"/>
    <n v="10.08"/>
  </r>
  <r>
    <n v="2354"/>
    <s v="CA-2016-111514"/>
    <d v="2016-08-31T00:00:00"/>
    <x v="755"/>
    <s v="MODERATE"/>
    <s v="First Class"/>
    <s v="SC-20260"/>
    <s v="Scott Cohen"/>
    <x v="1"/>
    <s v="United States"/>
    <s v="San Francisco"/>
    <x v="1"/>
    <n v="94122"/>
    <x v="1"/>
    <s v="FUR-BO-10002545"/>
    <x v="0"/>
    <x v="0"/>
    <x v="36"/>
    <n v="1552.8309999999999"/>
  </r>
  <r>
    <n v="2355"/>
    <s v="CA-2016-111514"/>
    <d v="2016-08-31T00:00:00"/>
    <x v="755"/>
    <s v="MODERATE"/>
    <s v="First Class"/>
    <s v="SC-20260"/>
    <s v="Scott Cohen"/>
    <x v="1"/>
    <s v="United States"/>
    <s v="San Francisco"/>
    <x v="1"/>
    <n v="94122"/>
    <x v="1"/>
    <s v="OFF-BI-10002735"/>
    <x v="1"/>
    <x v="8"/>
    <x v="138"/>
    <n v="137.24"/>
  </r>
  <r>
    <n v="2356"/>
    <s v="CA-2016-111514"/>
    <d v="2016-08-31T00:00:00"/>
    <x v="755"/>
    <s v="MODERATE"/>
    <s v="First Class"/>
    <s v="SC-20260"/>
    <s v="Scott Cohen"/>
    <x v="1"/>
    <s v="United States"/>
    <s v="San Francisco"/>
    <x v="1"/>
    <n v="94122"/>
    <x v="1"/>
    <s v="TEC-AC-10004864"/>
    <x v="2"/>
    <x v="11"/>
    <x v="1278"/>
    <n v="36.51"/>
  </r>
  <r>
    <n v="2357"/>
    <s v="CA-2016-111514"/>
    <d v="2016-08-31T00:00:00"/>
    <x v="755"/>
    <s v="MODERATE"/>
    <s v="First Class"/>
    <s v="SC-20260"/>
    <s v="Scott Cohen"/>
    <x v="1"/>
    <s v="United States"/>
    <s v="San Francisco"/>
    <x v="1"/>
    <n v="94122"/>
    <x v="1"/>
    <s v="TEC-MA-10000597"/>
    <x v="2"/>
    <x v="15"/>
    <x v="1279"/>
    <n v="239.976"/>
  </r>
  <r>
    <n v="2358"/>
    <s v="US-2015-148838"/>
    <d v="2015-03-17T00:00:00"/>
    <x v="756"/>
    <s v="FAST"/>
    <s v="Standard Class"/>
    <s v="CP-12340"/>
    <s v="Christine Phan"/>
    <x v="1"/>
    <s v="United States"/>
    <s v="New York City"/>
    <x v="15"/>
    <n v="10024"/>
    <x v="3"/>
    <s v="FUR-TA-10003473"/>
    <x v="0"/>
    <x v="3"/>
    <x v="211"/>
    <n v="1579.7460000000001"/>
  </r>
  <r>
    <n v="2359"/>
    <s v="US-2015-148838"/>
    <d v="2015-03-17T00:00:00"/>
    <x v="756"/>
    <s v="FAST"/>
    <s v="Standard Class"/>
    <s v="CP-12340"/>
    <s v="Christine Phan"/>
    <x v="1"/>
    <s v="United States"/>
    <s v="New York City"/>
    <x v="15"/>
    <n v="10024"/>
    <x v="3"/>
    <s v="FUR-TA-10001950"/>
    <x v="0"/>
    <x v="3"/>
    <x v="1264"/>
    <n v="1071.576"/>
  </r>
  <r>
    <n v="2360"/>
    <s v="US-2015-148838"/>
    <d v="2015-03-17T00:00:00"/>
    <x v="756"/>
    <s v="FAST"/>
    <s v="Standard Class"/>
    <s v="CP-12340"/>
    <s v="Christine Phan"/>
    <x v="1"/>
    <s v="United States"/>
    <s v="New York City"/>
    <x v="15"/>
    <n v="10024"/>
    <x v="3"/>
    <s v="FUR-TA-10004175"/>
    <x v="0"/>
    <x v="3"/>
    <x v="1136"/>
    <n v="613.90800000000002"/>
  </r>
  <r>
    <n v="2361"/>
    <s v="US-2015-148838"/>
    <d v="2015-03-17T00:00:00"/>
    <x v="756"/>
    <s v="FAST"/>
    <s v="Standard Class"/>
    <s v="CP-12340"/>
    <s v="Christine Phan"/>
    <x v="1"/>
    <s v="United States"/>
    <s v="New York City"/>
    <x v="15"/>
    <n v="10024"/>
    <x v="3"/>
    <s v="OFF-PA-10002960"/>
    <x v="1"/>
    <x v="10"/>
    <x v="1280"/>
    <n v="34.86"/>
  </r>
  <r>
    <n v="2362"/>
    <s v="US-2015-148838"/>
    <d v="2015-03-17T00:00:00"/>
    <x v="756"/>
    <s v="FAST"/>
    <s v="Standard Class"/>
    <s v="CP-12340"/>
    <s v="Christine Phan"/>
    <x v="1"/>
    <s v="United States"/>
    <s v="New York City"/>
    <x v="15"/>
    <n v="10024"/>
    <x v="3"/>
    <s v="OFF-PA-10000919"/>
    <x v="1"/>
    <x v="10"/>
    <x v="1281"/>
    <n v="155.04"/>
  </r>
  <r>
    <n v="2363"/>
    <s v="CA-2018-136497"/>
    <d v="2018-04-16T00:00:00"/>
    <x v="4"/>
    <s v="FAST"/>
    <s v="Standard Class"/>
    <s v="RF-19840"/>
    <s v="Roy FranzÃ¶sisch"/>
    <x v="0"/>
    <s v="United States"/>
    <s v="Columbus"/>
    <x v="24"/>
    <n v="43229"/>
    <x v="3"/>
    <s v="OFF-BI-10001553"/>
    <x v="1"/>
    <x v="8"/>
    <x v="1282"/>
    <n v="13.71"/>
  </r>
  <r>
    <n v="2364"/>
    <s v="US-2017-108637"/>
    <d v="2017-03-13T00:00:00"/>
    <x v="754"/>
    <s v="FAST"/>
    <s v="Standard Class"/>
    <s v="AB-10060"/>
    <s v="Adam Bellavance"/>
    <x v="2"/>
    <s v="United States"/>
    <s v="Waynesboro"/>
    <x v="17"/>
    <n v="22980"/>
    <x v="0"/>
    <s v="FUR-FU-10004864"/>
    <x v="0"/>
    <x v="5"/>
    <x v="431"/>
    <n v="127.88"/>
  </r>
  <r>
    <n v="2365"/>
    <s v="US-2017-108637"/>
    <d v="2017-03-13T00:00:00"/>
    <x v="754"/>
    <s v="FAST"/>
    <s v="Standard Class"/>
    <s v="AB-10060"/>
    <s v="Adam Bellavance"/>
    <x v="2"/>
    <s v="United States"/>
    <s v="Waynesboro"/>
    <x v="17"/>
    <n v="22980"/>
    <x v="0"/>
    <s v="OFF-AP-10004540"/>
    <x v="1"/>
    <x v="9"/>
    <x v="1283"/>
    <n v="160.32"/>
  </r>
  <r>
    <n v="2366"/>
    <s v="US-2017-108637"/>
    <d v="2017-03-13T00:00:00"/>
    <x v="754"/>
    <s v="FAST"/>
    <s v="Standard Class"/>
    <s v="AB-10060"/>
    <s v="Adam Bellavance"/>
    <x v="2"/>
    <s v="United States"/>
    <s v="Waynesboro"/>
    <x v="17"/>
    <n v="22980"/>
    <x v="0"/>
    <s v="OFF-BI-10004965"/>
    <x v="1"/>
    <x v="8"/>
    <x v="997"/>
    <n v="46"/>
  </r>
  <r>
    <n v="2367"/>
    <s v="CA-2015-102295"/>
    <d v="2015-11-24T00:00:00"/>
    <x v="157"/>
    <s v="SLOW"/>
    <s v="Second Class"/>
    <s v="EH-13990"/>
    <s v="Erica Hackney"/>
    <x v="0"/>
    <s v="United States"/>
    <s v="Sacramento"/>
    <x v="1"/>
    <n v="95823"/>
    <x v="1"/>
    <s v="FUR-CH-10001714"/>
    <x v="0"/>
    <x v="1"/>
    <x v="1284"/>
    <n v="120.712"/>
  </r>
  <r>
    <n v="2368"/>
    <s v="CA-2018-123659"/>
    <d v="2018-02-10T00:00:00"/>
    <x v="757"/>
    <s v="MODERATE"/>
    <s v="First Class"/>
    <s v="MN-17935"/>
    <s v="Michael Nguyen"/>
    <x v="0"/>
    <s v="United States"/>
    <s v="Clinton"/>
    <x v="39"/>
    <n v="20735"/>
    <x v="3"/>
    <s v="OFF-PA-10002464"/>
    <x v="1"/>
    <x v="10"/>
    <x v="985"/>
    <n v="23.12"/>
  </r>
  <r>
    <n v="2369"/>
    <s v="US-2017-129469"/>
    <d v="2017-09-23T00:00:00"/>
    <x v="758"/>
    <s v="FAST"/>
    <s v="Standard Class"/>
    <s v="KL-16555"/>
    <s v="Kelly Lampkin"/>
    <x v="1"/>
    <s v="United States"/>
    <s v="Fairfield"/>
    <x v="24"/>
    <n v="45014"/>
    <x v="3"/>
    <s v="FUR-FU-10002298"/>
    <x v="0"/>
    <x v="5"/>
    <x v="1285"/>
    <n v="532.70399999999995"/>
  </r>
  <r>
    <n v="2370"/>
    <s v="US-2017-129469"/>
    <d v="2017-09-23T00:00:00"/>
    <x v="758"/>
    <s v="FAST"/>
    <s v="Standard Class"/>
    <s v="KL-16555"/>
    <s v="Kelly Lampkin"/>
    <x v="1"/>
    <s v="United States"/>
    <s v="Fairfield"/>
    <x v="24"/>
    <n v="45014"/>
    <x v="3"/>
    <s v="OFF-AR-10000315"/>
    <x v="1"/>
    <x v="6"/>
    <x v="1286"/>
    <n v="4.9119999999999999"/>
  </r>
  <r>
    <n v="2371"/>
    <s v="CA-2018-155152"/>
    <d v="2018-07-07T00:00:00"/>
    <x v="471"/>
    <s v="SLOW"/>
    <s v="Second Class"/>
    <s v="MP-17965"/>
    <s v="Michael Paige"/>
    <x v="1"/>
    <s v="United States"/>
    <s v="Warwick"/>
    <x v="34"/>
    <n v="2886"/>
    <x v="3"/>
    <s v="TEC-AC-10004353"/>
    <x v="2"/>
    <x v="11"/>
    <x v="711"/>
    <n v="252"/>
  </r>
  <r>
    <n v="2372"/>
    <s v="CA-2017-159940"/>
    <d v="2017-07-07T00:00:00"/>
    <x v="623"/>
    <s v="SLOW"/>
    <s v="Second Class"/>
    <s v="BF-11020"/>
    <s v="Barry FranzÃ¶sisch"/>
    <x v="1"/>
    <s v="United States"/>
    <s v="Aurora"/>
    <x v="10"/>
    <n v="60505"/>
    <x v="2"/>
    <s v="FUR-FU-10004973"/>
    <x v="0"/>
    <x v="5"/>
    <x v="1124"/>
    <n v="60.287999999999997"/>
  </r>
  <r>
    <n v="2373"/>
    <s v="CA-2017-159940"/>
    <d v="2017-07-07T00:00:00"/>
    <x v="623"/>
    <s v="SLOW"/>
    <s v="Second Class"/>
    <s v="BF-11020"/>
    <s v="Barry FranzÃ¶sisch"/>
    <x v="1"/>
    <s v="United States"/>
    <s v="Aurora"/>
    <x v="10"/>
    <n v="60505"/>
    <x v="2"/>
    <s v="OFF-FA-10000936"/>
    <x v="1"/>
    <x v="13"/>
    <x v="1287"/>
    <n v="2.6320000000000001"/>
  </r>
  <r>
    <n v="2374"/>
    <s v="CA-2017-159940"/>
    <d v="2017-07-07T00:00:00"/>
    <x v="623"/>
    <s v="SLOW"/>
    <s v="Second Class"/>
    <s v="BF-11020"/>
    <s v="Barry FranzÃ¶sisch"/>
    <x v="1"/>
    <s v="United States"/>
    <s v="Aurora"/>
    <x v="10"/>
    <n v="60505"/>
    <x v="2"/>
    <s v="OFF-PA-10001609"/>
    <x v="1"/>
    <x v="10"/>
    <x v="1097"/>
    <n v="23.687999999999999"/>
  </r>
  <r>
    <n v="2375"/>
    <s v="CA-2017-159940"/>
    <d v="2017-07-07T00:00:00"/>
    <x v="623"/>
    <s v="SLOW"/>
    <s v="Second Class"/>
    <s v="BF-11020"/>
    <s v="Barry FranzÃ¶sisch"/>
    <x v="1"/>
    <s v="United States"/>
    <s v="Aurora"/>
    <x v="10"/>
    <n v="60505"/>
    <x v="2"/>
    <s v="FUR-CH-10000785"/>
    <x v="0"/>
    <x v="1"/>
    <x v="317"/>
    <n v="253.37200000000001"/>
  </r>
  <r>
    <n v="2376"/>
    <s v="CA-2018-119669"/>
    <d v="2018-01-24T00:00:00"/>
    <x v="713"/>
    <s v="FAST"/>
    <s v="Standard Class"/>
    <s v="TP-21130"/>
    <s v="Theone Pippenger"/>
    <x v="0"/>
    <s v="United States"/>
    <s v="Smyrna"/>
    <x v="32"/>
    <n v="30080"/>
    <x v="0"/>
    <s v="OFF-FA-10000053"/>
    <x v="1"/>
    <x v="13"/>
    <x v="946"/>
    <n v="5.67"/>
  </r>
  <r>
    <n v="2377"/>
    <s v="US-2015-164616"/>
    <d v="2015-08-19T00:00:00"/>
    <x v="759"/>
    <s v="SLOW"/>
    <s v="Second Class"/>
    <s v="MS-17770"/>
    <s v="Maxwell Schwartz"/>
    <x v="0"/>
    <s v="United States"/>
    <s v="Columbus"/>
    <x v="24"/>
    <n v="43229"/>
    <x v="3"/>
    <s v="OFF-BI-10001718"/>
    <x v="1"/>
    <x v="8"/>
    <x v="1205"/>
    <n v="76.775999999999996"/>
  </r>
  <r>
    <n v="2378"/>
    <s v="US-2015-164616"/>
    <d v="2015-08-19T00:00:00"/>
    <x v="759"/>
    <s v="SLOW"/>
    <s v="Second Class"/>
    <s v="MS-17770"/>
    <s v="Maxwell Schwartz"/>
    <x v="0"/>
    <s v="United States"/>
    <s v="Columbus"/>
    <x v="24"/>
    <n v="43229"/>
    <x v="3"/>
    <s v="OFF-SU-10004768"/>
    <x v="1"/>
    <x v="14"/>
    <x v="1288"/>
    <n v="9.1839999999999993"/>
  </r>
  <r>
    <n v="2379"/>
    <s v="CA-2016-148628"/>
    <d v="2016-12-06T00:00:00"/>
    <x v="222"/>
    <s v="FAST"/>
    <s v="Standard Class"/>
    <s v="KM-16375"/>
    <s v="Katherine Murray"/>
    <x v="2"/>
    <s v="United States"/>
    <s v="Thousand Oaks"/>
    <x v="1"/>
    <n v="91360"/>
    <x v="1"/>
    <s v="OFF-PA-10003883"/>
    <x v="1"/>
    <x v="10"/>
    <x v="1218"/>
    <n v="32.75"/>
  </r>
  <r>
    <n v="2380"/>
    <s v="CA-2017-118052"/>
    <d v="2017-05-06T00:00:00"/>
    <x v="760"/>
    <s v="FAST"/>
    <s v="Standard Class"/>
    <s v="BE-11455"/>
    <s v="Brad Eason"/>
    <x v="2"/>
    <s v="United States"/>
    <s v="Lorain"/>
    <x v="24"/>
    <n v="44052"/>
    <x v="3"/>
    <s v="OFF-FA-10004248"/>
    <x v="1"/>
    <x v="13"/>
    <x v="475"/>
    <n v="7.2160000000000002"/>
  </r>
  <r>
    <n v="2381"/>
    <s v="CA-2017-118052"/>
    <d v="2017-05-06T00:00:00"/>
    <x v="760"/>
    <s v="FAST"/>
    <s v="Standard Class"/>
    <s v="BE-11455"/>
    <s v="Brad Eason"/>
    <x v="2"/>
    <s v="United States"/>
    <s v="Lorain"/>
    <x v="24"/>
    <n v="44052"/>
    <x v="3"/>
    <s v="OFF-PA-10002581"/>
    <x v="1"/>
    <x v="10"/>
    <x v="1289"/>
    <n v="49.567999999999998"/>
  </r>
  <r>
    <n v="2382"/>
    <s v="CA-2017-118052"/>
    <d v="2017-05-06T00:00:00"/>
    <x v="760"/>
    <s v="FAST"/>
    <s v="Standard Class"/>
    <s v="BE-11455"/>
    <s v="Brad Eason"/>
    <x v="2"/>
    <s v="United States"/>
    <s v="Lorain"/>
    <x v="24"/>
    <n v="44052"/>
    <x v="3"/>
    <s v="FUR-FU-10004848"/>
    <x v="0"/>
    <x v="5"/>
    <x v="1290"/>
    <n v="54.712000000000003"/>
  </r>
  <r>
    <n v="2383"/>
    <s v="US-2018-117534"/>
    <d v="2018-03-25T00:00:00"/>
    <x v="761"/>
    <s v="MODERATE"/>
    <s v="First Class"/>
    <s v="CV-12295"/>
    <s v="Christina VanderZanden"/>
    <x v="0"/>
    <s v="United States"/>
    <s v="Fresno"/>
    <x v="1"/>
    <n v="93727"/>
    <x v="1"/>
    <s v="OFF-AP-10002403"/>
    <x v="1"/>
    <x v="9"/>
    <x v="1291"/>
    <n v="176.04"/>
  </r>
  <r>
    <n v="2384"/>
    <s v="US-2018-117534"/>
    <d v="2018-03-25T00:00:00"/>
    <x v="761"/>
    <s v="MODERATE"/>
    <s v="First Class"/>
    <s v="CV-12295"/>
    <s v="Christina VanderZanden"/>
    <x v="0"/>
    <s v="United States"/>
    <s v="Fresno"/>
    <x v="1"/>
    <n v="93727"/>
    <x v="1"/>
    <s v="OFF-AR-10003087"/>
    <x v="1"/>
    <x v="6"/>
    <x v="758"/>
    <n v="16.02"/>
  </r>
  <r>
    <n v="2385"/>
    <s v="US-2018-117534"/>
    <d v="2018-03-25T00:00:00"/>
    <x v="761"/>
    <s v="MODERATE"/>
    <s v="First Class"/>
    <s v="CV-12295"/>
    <s v="Christina VanderZanden"/>
    <x v="0"/>
    <s v="United States"/>
    <s v="Fresno"/>
    <x v="1"/>
    <n v="93727"/>
    <x v="1"/>
    <s v="OFF-BI-10002026"/>
    <x v="1"/>
    <x v="8"/>
    <x v="896"/>
    <n v="185.92"/>
  </r>
  <r>
    <n v="2386"/>
    <s v="US-2018-117534"/>
    <d v="2018-03-25T00:00:00"/>
    <x v="761"/>
    <s v="MODERATE"/>
    <s v="First Class"/>
    <s v="CV-12295"/>
    <s v="Christina VanderZanden"/>
    <x v="0"/>
    <s v="United States"/>
    <s v="Fresno"/>
    <x v="1"/>
    <n v="93727"/>
    <x v="1"/>
    <s v="TEC-PH-10000141"/>
    <x v="2"/>
    <x v="7"/>
    <x v="1292"/>
    <n v="211.16800000000001"/>
  </r>
  <r>
    <n v="2387"/>
    <s v="US-2018-117534"/>
    <d v="2018-03-25T00:00:00"/>
    <x v="761"/>
    <s v="MODERATE"/>
    <s v="First Class"/>
    <s v="CV-12295"/>
    <s v="Christina VanderZanden"/>
    <x v="0"/>
    <s v="United States"/>
    <s v="Fresno"/>
    <x v="1"/>
    <n v="93727"/>
    <x v="1"/>
    <s v="TEC-CO-10000971"/>
    <x v="2"/>
    <x v="16"/>
    <x v="1293"/>
    <n v="479.98399999999998"/>
  </r>
  <r>
    <n v="2388"/>
    <s v="CA-2016-145065"/>
    <d v="2016-12-12T00:00:00"/>
    <x v="629"/>
    <s v="MODERATE"/>
    <s v="First Class"/>
    <s v="DK-13375"/>
    <s v="Dennis Kane"/>
    <x v="0"/>
    <s v="United States"/>
    <s v="San Diego"/>
    <x v="1"/>
    <n v="92105"/>
    <x v="1"/>
    <s v="OFF-FA-10001229"/>
    <x v="1"/>
    <x v="13"/>
    <x v="124"/>
    <n v="7.86"/>
  </r>
  <r>
    <n v="2389"/>
    <s v="CA-2016-145065"/>
    <d v="2016-12-12T00:00:00"/>
    <x v="629"/>
    <s v="MODERATE"/>
    <s v="First Class"/>
    <s v="DK-13375"/>
    <s v="Dennis Kane"/>
    <x v="0"/>
    <s v="United States"/>
    <s v="San Diego"/>
    <x v="1"/>
    <n v="92105"/>
    <x v="1"/>
    <s v="OFF-BI-10002437"/>
    <x v="1"/>
    <x v="8"/>
    <x v="1294"/>
    <n v="24.448"/>
  </r>
  <r>
    <n v="2390"/>
    <s v="US-2016-127040"/>
    <d v="2016-12-06T00:00:00"/>
    <x v="762"/>
    <s v="FAST"/>
    <s v="Standard Class"/>
    <s v="SG-20605"/>
    <s v="Speros Goranitis"/>
    <x v="0"/>
    <s v="United States"/>
    <s v="New York City"/>
    <x v="15"/>
    <n v="10009"/>
    <x v="3"/>
    <s v="OFF-PA-10004255"/>
    <x v="1"/>
    <x v="10"/>
    <x v="1295"/>
    <n v="6.48"/>
  </r>
  <r>
    <n v="2391"/>
    <s v="US-2016-127040"/>
    <d v="2016-12-06T00:00:00"/>
    <x v="762"/>
    <s v="FAST"/>
    <s v="Standard Class"/>
    <s v="SG-20605"/>
    <s v="Speros Goranitis"/>
    <x v="0"/>
    <s v="United States"/>
    <s v="New York City"/>
    <x v="15"/>
    <n v="10009"/>
    <x v="3"/>
    <s v="OFF-PA-10001184"/>
    <x v="1"/>
    <x v="10"/>
    <x v="1296"/>
    <n v="41.86"/>
  </r>
  <r>
    <n v="2392"/>
    <s v="US-2016-127040"/>
    <d v="2016-12-06T00:00:00"/>
    <x v="762"/>
    <s v="FAST"/>
    <s v="Standard Class"/>
    <s v="SG-20605"/>
    <s v="Speros Goranitis"/>
    <x v="0"/>
    <s v="United States"/>
    <s v="New York City"/>
    <x v="15"/>
    <n v="10009"/>
    <x v="3"/>
    <s v="TEC-AC-10002637"/>
    <x v="2"/>
    <x v="11"/>
    <x v="1297"/>
    <n v="1619.91"/>
  </r>
  <r>
    <n v="2393"/>
    <s v="US-2016-127040"/>
    <d v="2016-12-06T00:00:00"/>
    <x v="762"/>
    <s v="FAST"/>
    <s v="Standard Class"/>
    <s v="SG-20605"/>
    <s v="Speros Goranitis"/>
    <x v="0"/>
    <s v="United States"/>
    <s v="New York City"/>
    <x v="15"/>
    <n v="10009"/>
    <x v="3"/>
    <s v="FUR-FU-10002878"/>
    <x v="0"/>
    <x v="5"/>
    <x v="1115"/>
    <n v="113.92"/>
  </r>
  <r>
    <n v="2394"/>
    <s v="CA-2017-128111"/>
    <d v="2017-03-17T00:00:00"/>
    <x v="763"/>
    <s v="FAST"/>
    <s v="Standard Class"/>
    <s v="CS-12355"/>
    <s v="Christine Sundaresam"/>
    <x v="0"/>
    <s v="United States"/>
    <s v="Malden"/>
    <x v="31"/>
    <n v="2148"/>
    <x v="3"/>
    <s v="OFF-AR-10000588"/>
    <x v="1"/>
    <x v="6"/>
    <x v="390"/>
    <n v="39.68"/>
  </r>
  <r>
    <n v="2395"/>
    <s v="CA-2016-137897"/>
    <d v="2016-11-14T00:00:00"/>
    <x v="764"/>
    <s v="FAST"/>
    <s v="Standard Class"/>
    <s v="PJ-18835"/>
    <s v="Patrick Jones"/>
    <x v="1"/>
    <s v="United States"/>
    <s v="New York City"/>
    <x v="15"/>
    <n v="10035"/>
    <x v="3"/>
    <s v="TEC-AC-10002217"/>
    <x v="2"/>
    <x v="11"/>
    <x v="1168"/>
    <n v="37.6"/>
  </r>
  <r>
    <n v="2396"/>
    <s v="CA-2016-137897"/>
    <d v="2016-11-14T00:00:00"/>
    <x v="764"/>
    <s v="FAST"/>
    <s v="Standard Class"/>
    <s v="PJ-18835"/>
    <s v="Patrick Jones"/>
    <x v="1"/>
    <s v="United States"/>
    <s v="New York City"/>
    <x v="15"/>
    <n v="10035"/>
    <x v="3"/>
    <s v="TEC-AC-10001267"/>
    <x v="2"/>
    <x v="11"/>
    <x v="528"/>
    <n v="59.9"/>
  </r>
  <r>
    <n v="2397"/>
    <s v="CA-2016-137897"/>
    <d v="2016-11-14T00:00:00"/>
    <x v="764"/>
    <s v="FAST"/>
    <s v="Standard Class"/>
    <s v="PJ-18835"/>
    <s v="Patrick Jones"/>
    <x v="1"/>
    <s v="United States"/>
    <s v="New York City"/>
    <x v="15"/>
    <n v="10035"/>
    <x v="3"/>
    <s v="OFF-PA-10004041"/>
    <x v="1"/>
    <x v="10"/>
    <x v="933"/>
    <n v="37"/>
  </r>
  <r>
    <n v="2398"/>
    <s v="CA-2018-169264"/>
    <d v="2018-08-14T00:00:00"/>
    <x v="765"/>
    <s v="SLOW"/>
    <s v="Second Class"/>
    <s v="NP-18700"/>
    <s v="Nora Preis"/>
    <x v="0"/>
    <s v="United States"/>
    <s v="San Francisco"/>
    <x v="1"/>
    <n v="94109"/>
    <x v="1"/>
    <s v="OFF-LA-10001613"/>
    <x v="1"/>
    <x v="2"/>
    <x v="730"/>
    <n v="5.76"/>
  </r>
  <r>
    <n v="2399"/>
    <s v="CA-2018-169264"/>
    <d v="2018-08-14T00:00:00"/>
    <x v="765"/>
    <s v="SLOW"/>
    <s v="Second Class"/>
    <s v="NP-18700"/>
    <s v="Nora Preis"/>
    <x v="0"/>
    <s v="United States"/>
    <s v="San Francisco"/>
    <x v="1"/>
    <n v="94109"/>
    <x v="1"/>
    <s v="OFF-AR-10000246"/>
    <x v="1"/>
    <x v="6"/>
    <x v="21"/>
    <n v="16.68"/>
  </r>
  <r>
    <n v="2400"/>
    <s v="CA-2018-147361"/>
    <d v="2018-09-09T00:00:00"/>
    <x v="17"/>
    <s v="FAST"/>
    <s v="Standard Class"/>
    <s v="SB-20290"/>
    <s v="Sean Braxton"/>
    <x v="1"/>
    <s v="United States"/>
    <s v="Florence"/>
    <x v="20"/>
    <n v="29501"/>
    <x v="0"/>
    <s v="OFF-ST-10001809"/>
    <x v="1"/>
    <x v="4"/>
    <x v="425"/>
    <n v="628.80999999999995"/>
  </r>
  <r>
    <n v="2401"/>
    <s v="CA-2018-147361"/>
    <d v="2018-09-09T00:00:00"/>
    <x v="17"/>
    <s v="FAST"/>
    <s v="Standard Class"/>
    <s v="SB-20290"/>
    <s v="Sean Braxton"/>
    <x v="1"/>
    <s v="United States"/>
    <s v="Florence"/>
    <x v="20"/>
    <n v="29501"/>
    <x v="0"/>
    <s v="OFF-ST-10002214"/>
    <x v="1"/>
    <x v="4"/>
    <x v="986"/>
    <n v="56.45"/>
  </r>
  <r>
    <n v="2402"/>
    <s v="CA-2018-145877"/>
    <d v="2018-04-01T00:00:00"/>
    <x v="191"/>
    <s v="SLOW"/>
    <s v="Second Class"/>
    <s v="AS-10090"/>
    <s v="Adam Shillingsburg"/>
    <x v="0"/>
    <s v="United States"/>
    <s v="Springfield"/>
    <x v="25"/>
    <n v="65807"/>
    <x v="2"/>
    <s v="OFF-ST-10000649"/>
    <x v="1"/>
    <x v="4"/>
    <x v="930"/>
    <n v="94.2"/>
  </r>
  <r>
    <n v="2403"/>
    <s v="CA-2018-145877"/>
    <d v="2018-04-01T00:00:00"/>
    <x v="191"/>
    <s v="SLOW"/>
    <s v="Second Class"/>
    <s v="AS-10090"/>
    <s v="Adam Shillingsburg"/>
    <x v="0"/>
    <s v="United States"/>
    <s v="Springfield"/>
    <x v="25"/>
    <n v="65807"/>
    <x v="2"/>
    <s v="OFF-EN-10001990"/>
    <x v="1"/>
    <x v="12"/>
    <x v="149"/>
    <n v="28.4"/>
  </r>
  <r>
    <n v="2404"/>
    <s v="US-2017-110170"/>
    <d v="2017-09-27T00:00:00"/>
    <x v="766"/>
    <s v="FAST"/>
    <s v="Standard Class"/>
    <s v="HM-14860"/>
    <s v="Harry Marie"/>
    <x v="1"/>
    <s v="United States"/>
    <s v="Huntsville"/>
    <x v="5"/>
    <n v="77340"/>
    <x v="2"/>
    <s v="FUR-BO-10000780"/>
    <x v="0"/>
    <x v="0"/>
    <x v="1298"/>
    <n v="956.66480000000001"/>
  </r>
  <r>
    <n v="2405"/>
    <s v="CA-2018-108574"/>
    <d v="2018-10-07T00:00:00"/>
    <x v="767"/>
    <s v="FAST"/>
    <s v="Standard Class"/>
    <s v="MG-18145"/>
    <s v="Mike Gockenbach"/>
    <x v="0"/>
    <s v="United States"/>
    <s v="Los Angeles"/>
    <x v="1"/>
    <n v="90045"/>
    <x v="1"/>
    <s v="TEC-AC-10002049"/>
    <x v="2"/>
    <x v="11"/>
    <x v="682"/>
    <n v="1115.9100000000001"/>
  </r>
  <r>
    <n v="2406"/>
    <s v="CA-2018-108574"/>
    <d v="2018-10-07T00:00:00"/>
    <x v="767"/>
    <s v="FAST"/>
    <s v="Standard Class"/>
    <s v="MG-18145"/>
    <s v="Mike Gockenbach"/>
    <x v="0"/>
    <s v="United States"/>
    <s v="Los Angeles"/>
    <x v="1"/>
    <n v="90045"/>
    <x v="1"/>
    <s v="TEC-PH-10003555"/>
    <x v="2"/>
    <x v="7"/>
    <x v="452"/>
    <n v="128.744"/>
  </r>
  <r>
    <n v="2407"/>
    <s v="CA-2018-108574"/>
    <d v="2018-10-07T00:00:00"/>
    <x v="767"/>
    <s v="FAST"/>
    <s v="Standard Class"/>
    <s v="MG-18145"/>
    <s v="Mike Gockenbach"/>
    <x v="0"/>
    <s v="United States"/>
    <s v="Los Angeles"/>
    <x v="1"/>
    <n v="90045"/>
    <x v="1"/>
    <s v="TEC-PH-10000702"/>
    <x v="2"/>
    <x v="7"/>
    <x v="307"/>
    <n v="79.92"/>
  </r>
  <r>
    <n v="2408"/>
    <s v="CA-2018-144589"/>
    <d v="2018-01-20T00:00:00"/>
    <x v="211"/>
    <s v="FAST"/>
    <s v="Standard Class"/>
    <s v="TM-21010"/>
    <s v="Tamara Manning"/>
    <x v="0"/>
    <s v="United States"/>
    <s v="San Francisco"/>
    <x v="1"/>
    <n v="94122"/>
    <x v="1"/>
    <s v="OFF-AR-10003631"/>
    <x v="1"/>
    <x v="6"/>
    <x v="758"/>
    <n v="24.2"/>
  </r>
  <r>
    <n v="2409"/>
    <s v="CA-2018-144589"/>
    <d v="2018-01-20T00:00:00"/>
    <x v="211"/>
    <s v="FAST"/>
    <s v="Standard Class"/>
    <s v="TM-21010"/>
    <s v="Tamara Manning"/>
    <x v="0"/>
    <s v="United States"/>
    <s v="San Francisco"/>
    <x v="1"/>
    <n v="94122"/>
    <x v="1"/>
    <s v="TEC-PH-10003072"/>
    <x v="2"/>
    <x v="7"/>
    <x v="1299"/>
    <n v="359.976"/>
  </r>
  <r>
    <n v="2410"/>
    <s v="CA-2018-155985"/>
    <d v="2018-03-23T00:00:00"/>
    <x v="185"/>
    <s v="MODERATE"/>
    <s v="First Class"/>
    <s v="BE-11335"/>
    <s v="Bill Eplett"/>
    <x v="2"/>
    <s v="United States"/>
    <s v="San Francisco"/>
    <x v="1"/>
    <n v="94122"/>
    <x v="1"/>
    <s v="FUR-FU-10000758"/>
    <x v="0"/>
    <x v="5"/>
    <x v="1064"/>
    <n v="211.84"/>
  </r>
  <r>
    <n v="2411"/>
    <s v="CA-2015-162684"/>
    <d v="2015-08-01T00:00:00"/>
    <x v="768"/>
    <s v="FAST"/>
    <s v="Standard Class"/>
    <s v="AS-10630"/>
    <s v="Ann Steele"/>
    <x v="2"/>
    <s v="United States"/>
    <s v="Philadelphia"/>
    <x v="9"/>
    <n v="19120"/>
    <x v="3"/>
    <s v="OFF-FA-10000992"/>
    <x v="1"/>
    <x v="13"/>
    <x v="1024"/>
    <n v="5.68"/>
  </r>
  <r>
    <n v="2413"/>
    <s v="CA-2015-151295"/>
    <d v="2015-11-12T00:00:00"/>
    <x v="722"/>
    <s v="FAST"/>
    <s v="Standard Class"/>
    <s v="JA-15970"/>
    <s v="Joseph Airdo"/>
    <x v="0"/>
    <s v="United States"/>
    <s v="Los Angeles"/>
    <x v="1"/>
    <n v="90045"/>
    <x v="1"/>
    <s v="OFF-PA-10001947"/>
    <x v="1"/>
    <x v="10"/>
    <x v="350"/>
    <n v="11.96"/>
  </r>
  <r>
    <n v="2414"/>
    <s v="CA-2015-151295"/>
    <d v="2015-11-12T00:00:00"/>
    <x v="722"/>
    <s v="FAST"/>
    <s v="Standard Class"/>
    <s v="JA-15970"/>
    <s v="Joseph Airdo"/>
    <x v="0"/>
    <s v="United States"/>
    <s v="Los Angeles"/>
    <x v="1"/>
    <n v="90045"/>
    <x v="1"/>
    <s v="FUR-TA-10002356"/>
    <x v="0"/>
    <x v="3"/>
    <x v="722"/>
    <n v="629.06399999999996"/>
  </r>
  <r>
    <n v="2415"/>
    <s v="CA-2017-156300"/>
    <d v="2017-12-29T00:00:00"/>
    <x v="769"/>
    <s v="FAST"/>
    <s v="Standard Class"/>
    <s v="TB-21595"/>
    <s v="Troy Blackwell"/>
    <x v="0"/>
    <s v="United States"/>
    <s v="Milwaukee"/>
    <x v="6"/>
    <n v="53209"/>
    <x v="2"/>
    <s v="FUR-CH-10001714"/>
    <x v="0"/>
    <x v="1"/>
    <x v="1284"/>
    <n v="754.45"/>
  </r>
  <r>
    <n v="2416"/>
    <s v="CA-2016-146087"/>
    <d v="2016-07-06T00:00:00"/>
    <x v="770"/>
    <s v="FAST"/>
    <s v="Standard Class"/>
    <s v="PP-18955"/>
    <s v="Paul Prost"/>
    <x v="2"/>
    <s v="United States"/>
    <s v="Holyoke"/>
    <x v="31"/>
    <n v="1040"/>
    <x v="3"/>
    <s v="FUR-BO-10002824"/>
    <x v="0"/>
    <x v="0"/>
    <x v="405"/>
    <n v="301.95999999999998"/>
  </r>
  <r>
    <n v="2417"/>
    <s v="CA-2018-168655"/>
    <d v="2018-10-12T00:00:00"/>
    <x v="498"/>
    <s v="FAST"/>
    <s v="Standard Class"/>
    <s v="ML-18040"/>
    <s v="Michelle Lonsdale"/>
    <x v="1"/>
    <s v="United States"/>
    <s v="Albuquerque"/>
    <x v="27"/>
    <n v="87105"/>
    <x v="1"/>
    <s v="TEC-AC-10002842"/>
    <x v="2"/>
    <x v="11"/>
    <x v="1166"/>
    <n v="595"/>
  </r>
  <r>
    <n v="2418"/>
    <s v="CA-2018-168655"/>
    <d v="2018-10-12T00:00:00"/>
    <x v="498"/>
    <s v="FAST"/>
    <s v="Standard Class"/>
    <s v="ML-18040"/>
    <s v="Michelle Lonsdale"/>
    <x v="1"/>
    <s v="United States"/>
    <s v="Albuquerque"/>
    <x v="27"/>
    <n v="87105"/>
    <x v="1"/>
    <s v="OFF-BI-10002082"/>
    <x v="1"/>
    <x v="8"/>
    <x v="1163"/>
    <n v="79.872"/>
  </r>
  <r>
    <n v="2419"/>
    <s v="CA-2017-107202"/>
    <d v="2017-05-21T00:00:00"/>
    <x v="527"/>
    <s v="FAST"/>
    <s v="Standard Class"/>
    <s v="LC-16930"/>
    <s v="Linda Cazamias"/>
    <x v="1"/>
    <s v="United States"/>
    <s v="Sparks"/>
    <x v="33"/>
    <n v="89431"/>
    <x v="1"/>
    <s v="TEC-MA-10000112"/>
    <x v="2"/>
    <x v="15"/>
    <x v="1300"/>
    <n v="2396.4"/>
  </r>
  <r>
    <n v="2420"/>
    <s v="CA-2018-159597"/>
    <d v="2018-11-09T00:00:00"/>
    <x v="771"/>
    <s v="FAST"/>
    <s v="Standard Class"/>
    <s v="MC-17590"/>
    <s v="Matt Collister"/>
    <x v="1"/>
    <s v="United States"/>
    <s v="Coachella"/>
    <x v="1"/>
    <n v="92236"/>
    <x v="1"/>
    <s v="OFF-ST-10002289"/>
    <x v="1"/>
    <x v="4"/>
    <x v="944"/>
    <n v="63.56"/>
  </r>
  <r>
    <n v="2421"/>
    <s v="CA-2018-159597"/>
    <d v="2018-11-09T00:00:00"/>
    <x v="771"/>
    <s v="FAST"/>
    <s v="Standard Class"/>
    <s v="MC-17590"/>
    <s v="Matt Collister"/>
    <x v="1"/>
    <s v="United States"/>
    <s v="Coachella"/>
    <x v="1"/>
    <n v="92236"/>
    <x v="1"/>
    <s v="TEC-AC-10004171"/>
    <x v="2"/>
    <x v="11"/>
    <x v="1301"/>
    <n v="99.99"/>
  </r>
  <r>
    <n v="2422"/>
    <s v="CA-2017-155551"/>
    <d v="2017-04-18T00:00:00"/>
    <x v="772"/>
    <s v="FAST"/>
    <s v="Standard Class"/>
    <s v="CR-12580"/>
    <s v="Clay Rozendal"/>
    <x v="2"/>
    <s v="United States"/>
    <s v="Elmhurst"/>
    <x v="10"/>
    <n v="60126"/>
    <x v="2"/>
    <s v="OFF-ST-10003656"/>
    <x v="1"/>
    <x v="4"/>
    <x v="79"/>
    <n v="230.376"/>
  </r>
  <r>
    <n v="2423"/>
    <s v="CA-2017-155551"/>
    <d v="2017-04-18T00:00:00"/>
    <x v="772"/>
    <s v="FAST"/>
    <s v="Standard Class"/>
    <s v="CR-12580"/>
    <s v="Clay Rozendal"/>
    <x v="2"/>
    <s v="United States"/>
    <s v="Elmhurst"/>
    <x v="10"/>
    <n v="60126"/>
    <x v="2"/>
    <s v="OFF-PA-10001560"/>
    <x v="1"/>
    <x v="10"/>
    <x v="657"/>
    <n v="9.6639999999999997"/>
  </r>
  <r>
    <n v="2424"/>
    <s v="US-2018-147669"/>
    <d v="2018-12-25T00:00:00"/>
    <x v="52"/>
    <s v="FAST"/>
    <s v="Standard Class"/>
    <s v="SV-20935"/>
    <s v="Susan Vittorini"/>
    <x v="0"/>
    <s v="United States"/>
    <s v="Fairfield"/>
    <x v="24"/>
    <n v="45014"/>
    <x v="3"/>
    <s v="TEC-AC-10002473"/>
    <x v="2"/>
    <x v="11"/>
    <x v="707"/>
    <n v="158.928"/>
  </r>
  <r>
    <n v="2425"/>
    <s v="US-2018-147669"/>
    <d v="2018-12-25T00:00:00"/>
    <x v="52"/>
    <s v="FAST"/>
    <s v="Standard Class"/>
    <s v="SV-20935"/>
    <s v="Susan Vittorini"/>
    <x v="0"/>
    <s v="United States"/>
    <s v="Fairfield"/>
    <x v="24"/>
    <n v="45014"/>
    <x v="3"/>
    <s v="OFF-BI-10000632"/>
    <x v="1"/>
    <x v="8"/>
    <x v="1277"/>
    <n v="13.023"/>
  </r>
  <r>
    <n v="2426"/>
    <s v="US-2018-147669"/>
    <d v="2018-12-25T00:00:00"/>
    <x v="52"/>
    <s v="FAST"/>
    <s v="Standard Class"/>
    <s v="SV-20935"/>
    <s v="Susan Vittorini"/>
    <x v="0"/>
    <s v="United States"/>
    <s v="Fairfield"/>
    <x v="24"/>
    <n v="45014"/>
    <x v="3"/>
    <s v="FUR-TA-10002645"/>
    <x v="0"/>
    <x v="3"/>
    <x v="1302"/>
    <n v="273.06"/>
  </r>
  <r>
    <n v="2427"/>
    <s v="US-2018-147669"/>
    <d v="2018-12-25T00:00:00"/>
    <x v="52"/>
    <s v="FAST"/>
    <s v="Standard Class"/>
    <s v="SV-20935"/>
    <s v="Susan Vittorini"/>
    <x v="0"/>
    <s v="United States"/>
    <s v="Fairfield"/>
    <x v="24"/>
    <n v="45014"/>
    <x v="3"/>
    <s v="OFF-FA-10002975"/>
    <x v="1"/>
    <x v="13"/>
    <x v="124"/>
    <n v="39.311999999999998"/>
  </r>
  <r>
    <n v="2428"/>
    <s v="CA-2017-169922"/>
    <d v="2017-06-11T00:00:00"/>
    <x v="431"/>
    <s v="FAST"/>
    <s v="Standard Class"/>
    <s v="MZ-17515"/>
    <s v="Mary Zewe"/>
    <x v="1"/>
    <s v="United States"/>
    <s v="Arlington"/>
    <x v="5"/>
    <n v="76017"/>
    <x v="2"/>
    <s v="OFF-BI-10003784"/>
    <x v="1"/>
    <x v="8"/>
    <x v="1303"/>
    <n v="1.3440000000000001"/>
  </r>
  <r>
    <n v="2429"/>
    <s v="CA-2017-169922"/>
    <d v="2017-06-11T00:00:00"/>
    <x v="431"/>
    <s v="FAST"/>
    <s v="Standard Class"/>
    <s v="MZ-17515"/>
    <s v="Mary Zewe"/>
    <x v="1"/>
    <s v="United States"/>
    <s v="Arlington"/>
    <x v="5"/>
    <n v="76017"/>
    <x v="2"/>
    <s v="OFF-BI-10001617"/>
    <x v="1"/>
    <x v="8"/>
    <x v="1304"/>
    <n v="8.2720000000000002"/>
  </r>
  <r>
    <n v="2430"/>
    <s v="CA-2017-169922"/>
    <d v="2017-06-11T00:00:00"/>
    <x v="431"/>
    <s v="FAST"/>
    <s v="Standard Class"/>
    <s v="MZ-17515"/>
    <s v="Mary Zewe"/>
    <x v="1"/>
    <s v="United States"/>
    <s v="Arlington"/>
    <x v="5"/>
    <n v="76017"/>
    <x v="2"/>
    <s v="FUR-FU-10004415"/>
    <x v="0"/>
    <x v="5"/>
    <x v="1045"/>
    <n v="12.544"/>
  </r>
  <r>
    <n v="2431"/>
    <s v="CA-2018-100748"/>
    <d v="2018-05-13T00:00:00"/>
    <x v="773"/>
    <s v="FAST"/>
    <s v="Standard Class"/>
    <s v="RB-19795"/>
    <s v="Ross Baird"/>
    <x v="2"/>
    <s v="United States"/>
    <s v="San Francisco"/>
    <x v="1"/>
    <n v="94110"/>
    <x v="1"/>
    <s v="OFF-LA-10000240"/>
    <x v="1"/>
    <x v="2"/>
    <x v="2"/>
    <n v="58.48"/>
  </r>
  <r>
    <n v="2433"/>
    <s v="CA-2015-148586"/>
    <d v="2015-03-25T00:00:00"/>
    <x v="774"/>
    <s v="FAST"/>
    <s v="Standard Class"/>
    <s v="AZ-10750"/>
    <s v="Annie Zypern"/>
    <x v="0"/>
    <s v="United States"/>
    <s v="New York City"/>
    <x v="15"/>
    <n v="10009"/>
    <x v="3"/>
    <s v="FUR-CH-10002439"/>
    <x v="0"/>
    <x v="1"/>
    <x v="1305"/>
    <n v="366.786"/>
  </r>
  <r>
    <n v="2434"/>
    <s v="US-2018-112613"/>
    <d v="2018-05-28T00:00:00"/>
    <x v="775"/>
    <s v="FAST"/>
    <s v="Standard Class"/>
    <s v="JH-15910"/>
    <s v="Jonathan Howell"/>
    <x v="0"/>
    <s v="United States"/>
    <s v="Houston"/>
    <x v="5"/>
    <n v="77070"/>
    <x v="2"/>
    <s v="TEC-PH-10001536"/>
    <x v="2"/>
    <x v="7"/>
    <x v="1223"/>
    <n v="54.368000000000002"/>
  </r>
  <r>
    <n v="2435"/>
    <s v="CA-2016-154746"/>
    <d v="2016-11-14T00:00:00"/>
    <x v="49"/>
    <s v="MODERATE"/>
    <s v="First Class"/>
    <s v="PJ-18835"/>
    <s v="Patrick Jones"/>
    <x v="1"/>
    <s v="United States"/>
    <s v="Springfield"/>
    <x v="17"/>
    <n v="22153"/>
    <x v="0"/>
    <s v="OFF-EN-10001532"/>
    <x v="1"/>
    <x v="12"/>
    <x v="606"/>
    <n v="33.96"/>
  </r>
  <r>
    <n v="2436"/>
    <s v="CA-2016-154746"/>
    <d v="2016-11-14T00:00:00"/>
    <x v="49"/>
    <s v="MODERATE"/>
    <s v="First Class"/>
    <s v="PJ-18835"/>
    <s v="Patrick Jones"/>
    <x v="1"/>
    <s v="United States"/>
    <s v="Springfield"/>
    <x v="17"/>
    <n v="22153"/>
    <x v="0"/>
    <s v="OFF-AP-10003057"/>
    <x v="1"/>
    <x v="9"/>
    <x v="1306"/>
    <n v="826.11"/>
  </r>
  <r>
    <n v="2437"/>
    <s v="CA-2018-140053"/>
    <d v="2018-07-03T00:00:00"/>
    <x v="776"/>
    <s v="FAST"/>
    <s v="Standard Class"/>
    <s v="CA-12265"/>
    <s v="Christina Anderson"/>
    <x v="0"/>
    <s v="United States"/>
    <s v="Farmington"/>
    <x v="27"/>
    <n v="87401"/>
    <x v="1"/>
    <s v="FUR-FU-10003708"/>
    <x v="0"/>
    <x v="5"/>
    <x v="70"/>
    <n v="545.85"/>
  </r>
  <r>
    <n v="2438"/>
    <s v="CA-2015-164210"/>
    <d v="2015-11-18T00:00:00"/>
    <x v="777"/>
    <s v="SLOW"/>
    <s v="Second Class"/>
    <s v="PW-19240"/>
    <s v="Pierre Wener"/>
    <x v="0"/>
    <s v="United States"/>
    <s v="Louisville"/>
    <x v="22"/>
    <n v="80027"/>
    <x v="1"/>
    <s v="FUR-TA-10000849"/>
    <x v="0"/>
    <x v="3"/>
    <x v="1307"/>
    <n v="145.97999999999999"/>
  </r>
  <r>
    <n v="2439"/>
    <s v="CA-2015-164210"/>
    <d v="2015-11-18T00:00:00"/>
    <x v="777"/>
    <s v="SLOW"/>
    <s v="Second Class"/>
    <s v="PW-19240"/>
    <s v="Pierre Wener"/>
    <x v="0"/>
    <s v="United States"/>
    <s v="Louisville"/>
    <x v="22"/>
    <n v="80027"/>
    <x v="1"/>
    <s v="OFF-PA-10002259"/>
    <x v="1"/>
    <x v="10"/>
    <x v="841"/>
    <n v="35.808"/>
  </r>
  <r>
    <n v="2440"/>
    <s v="CA-2018-139948"/>
    <d v="2018-07-17T00:00:00"/>
    <x v="778"/>
    <s v="FAST"/>
    <s v="Standard Class"/>
    <s v="SW-20455"/>
    <s v="Shaun Weien"/>
    <x v="0"/>
    <s v="United States"/>
    <s v="Tampa"/>
    <x v="2"/>
    <n v="33614"/>
    <x v="0"/>
    <s v="FUR-FU-10002597"/>
    <x v="0"/>
    <x v="5"/>
    <x v="614"/>
    <n v="7.9039999999999999"/>
  </r>
  <r>
    <n v="2441"/>
    <s v="CA-2017-146934"/>
    <d v="2017-05-22T00:00:00"/>
    <x v="499"/>
    <s v="FAST"/>
    <s v="Standard Class"/>
    <s v="AF-10870"/>
    <s v="Art Ferguson"/>
    <x v="0"/>
    <s v="United States"/>
    <s v="Passaic"/>
    <x v="30"/>
    <n v="7055"/>
    <x v="3"/>
    <s v="TEC-PH-10004614"/>
    <x v="2"/>
    <x v="7"/>
    <x v="297"/>
    <n v="345"/>
  </r>
  <r>
    <n v="2442"/>
    <s v="CA-2017-146934"/>
    <d v="2017-05-22T00:00:00"/>
    <x v="499"/>
    <s v="FAST"/>
    <s v="Standard Class"/>
    <s v="AF-10870"/>
    <s v="Art Ferguson"/>
    <x v="0"/>
    <s v="United States"/>
    <s v="Passaic"/>
    <x v="30"/>
    <n v="7055"/>
    <x v="3"/>
    <s v="FUR-TA-10003748"/>
    <x v="0"/>
    <x v="3"/>
    <x v="205"/>
    <n v="174.286"/>
  </r>
  <r>
    <n v="2443"/>
    <s v="CA-2017-146934"/>
    <d v="2017-05-22T00:00:00"/>
    <x v="499"/>
    <s v="FAST"/>
    <s v="Standard Class"/>
    <s v="AF-10870"/>
    <s v="Art Ferguson"/>
    <x v="0"/>
    <s v="United States"/>
    <s v="Passaic"/>
    <x v="30"/>
    <n v="7055"/>
    <x v="3"/>
    <s v="OFF-AP-10003217"/>
    <x v="1"/>
    <x v="9"/>
    <x v="186"/>
    <n v="662.84"/>
  </r>
  <r>
    <n v="2444"/>
    <s v="CA-2017-146934"/>
    <d v="2017-05-22T00:00:00"/>
    <x v="499"/>
    <s v="FAST"/>
    <s v="Standard Class"/>
    <s v="AF-10870"/>
    <s v="Art Ferguson"/>
    <x v="0"/>
    <s v="United States"/>
    <s v="Passaic"/>
    <x v="30"/>
    <n v="7055"/>
    <x v="3"/>
    <s v="TEC-AC-10002399"/>
    <x v="2"/>
    <x v="11"/>
    <x v="443"/>
    <n v="95.1"/>
  </r>
  <r>
    <n v="2445"/>
    <s v="CA-2017-146934"/>
    <d v="2017-05-22T00:00:00"/>
    <x v="499"/>
    <s v="FAST"/>
    <s v="Standard Class"/>
    <s v="AF-10870"/>
    <s v="Art Ferguson"/>
    <x v="0"/>
    <s v="United States"/>
    <s v="Passaic"/>
    <x v="30"/>
    <n v="7055"/>
    <x v="3"/>
    <s v="OFF-EN-10002973"/>
    <x v="1"/>
    <x v="12"/>
    <x v="1308"/>
    <n v="26.88"/>
  </r>
  <r>
    <n v="2446"/>
    <s v="CA-2017-146934"/>
    <d v="2017-05-22T00:00:00"/>
    <x v="499"/>
    <s v="FAST"/>
    <s v="Standard Class"/>
    <s v="AF-10870"/>
    <s v="Art Ferguson"/>
    <x v="0"/>
    <s v="United States"/>
    <s v="Passaic"/>
    <x v="30"/>
    <n v="7055"/>
    <x v="3"/>
    <s v="TEC-PH-10001336"/>
    <x v="2"/>
    <x v="7"/>
    <x v="934"/>
    <n v="257.98"/>
  </r>
  <r>
    <n v="2448"/>
    <s v="CA-2017-119165"/>
    <d v="2017-10-31T00:00:00"/>
    <x v="779"/>
    <s v="FAST"/>
    <s v="Standard Class"/>
    <s v="BD-11320"/>
    <s v="Bill Donatelli"/>
    <x v="0"/>
    <s v="United States"/>
    <s v="Philadelphia"/>
    <x v="9"/>
    <n v="19143"/>
    <x v="3"/>
    <s v="FUR-CH-10000988"/>
    <x v="0"/>
    <x v="1"/>
    <x v="1122"/>
    <n v="492.83499999999998"/>
  </r>
  <r>
    <n v="2449"/>
    <s v="CA-2016-128027"/>
    <d v="2016-09-14T00:00:00"/>
    <x v="730"/>
    <s v="SLOW"/>
    <s v="Second Class"/>
    <s v="CM-12385"/>
    <s v="Christopher Martinez"/>
    <x v="0"/>
    <s v="United States"/>
    <s v="North Charleston"/>
    <x v="20"/>
    <n v="29406"/>
    <x v="0"/>
    <s v="OFF-ST-10001809"/>
    <x v="1"/>
    <x v="4"/>
    <x v="425"/>
    <n v="269.49"/>
  </r>
  <r>
    <n v="2450"/>
    <s v="CA-2017-140207"/>
    <d v="2017-11-05T00:00:00"/>
    <x v="53"/>
    <s v="FAST"/>
    <s v="Standard Class"/>
    <s v="CS-12400"/>
    <s v="Christopher Schild"/>
    <x v="2"/>
    <s v="United States"/>
    <s v="San Jose"/>
    <x v="1"/>
    <n v="95123"/>
    <x v="1"/>
    <s v="OFF-BI-10003963"/>
    <x v="1"/>
    <x v="8"/>
    <x v="1309"/>
    <n v="29.12"/>
  </r>
  <r>
    <n v="2451"/>
    <s v="CA-2018-140949"/>
    <d v="2018-03-17T00:00:00"/>
    <x v="780"/>
    <s v="SLOW"/>
    <s v="Second Class"/>
    <s v="DB-13405"/>
    <s v="Denny Blanton"/>
    <x v="0"/>
    <s v="United States"/>
    <s v="New York City"/>
    <x v="15"/>
    <n v="10011"/>
    <x v="3"/>
    <s v="OFF-LA-10000081"/>
    <x v="1"/>
    <x v="2"/>
    <x v="1310"/>
    <n v="18.75"/>
  </r>
  <r>
    <n v="2452"/>
    <s v="CA-2018-140949"/>
    <d v="2018-03-17T00:00:00"/>
    <x v="780"/>
    <s v="SLOW"/>
    <s v="Second Class"/>
    <s v="DB-13405"/>
    <s v="Denny Blanton"/>
    <x v="0"/>
    <s v="United States"/>
    <s v="New York City"/>
    <x v="15"/>
    <n v="10011"/>
    <x v="3"/>
    <s v="TEC-PH-10000149"/>
    <x v="2"/>
    <x v="7"/>
    <x v="414"/>
    <n v="119.7"/>
  </r>
  <r>
    <n v="2453"/>
    <s v="CA-2018-140949"/>
    <d v="2018-03-17T00:00:00"/>
    <x v="780"/>
    <s v="SLOW"/>
    <s v="Second Class"/>
    <s v="DB-13405"/>
    <s v="Denny Blanton"/>
    <x v="0"/>
    <s v="United States"/>
    <s v="New York City"/>
    <x v="15"/>
    <n v="10011"/>
    <x v="3"/>
    <s v="OFF-BI-10000605"/>
    <x v="1"/>
    <x v="8"/>
    <x v="526"/>
    <n v="9.1440000000000001"/>
  </r>
  <r>
    <n v="2454"/>
    <s v="CA-2018-140949"/>
    <d v="2018-03-17T00:00:00"/>
    <x v="780"/>
    <s v="SLOW"/>
    <s v="Second Class"/>
    <s v="DB-13405"/>
    <s v="Denny Blanton"/>
    <x v="0"/>
    <s v="United States"/>
    <s v="New York City"/>
    <x v="15"/>
    <n v="10011"/>
    <x v="3"/>
    <s v="TEC-AC-10002399"/>
    <x v="2"/>
    <x v="11"/>
    <x v="443"/>
    <n v="57.06"/>
  </r>
  <r>
    <n v="2455"/>
    <s v="CA-2018-140949"/>
    <d v="2018-03-17T00:00:00"/>
    <x v="780"/>
    <s v="SLOW"/>
    <s v="Second Class"/>
    <s v="DB-13405"/>
    <s v="Denny Blanton"/>
    <x v="0"/>
    <s v="United States"/>
    <s v="New York City"/>
    <x v="15"/>
    <n v="10011"/>
    <x v="3"/>
    <s v="TEC-AC-10003038"/>
    <x v="2"/>
    <x v="11"/>
    <x v="1015"/>
    <n v="71.599999999999994"/>
  </r>
  <r>
    <n v="2456"/>
    <s v="CA-2018-140949"/>
    <d v="2018-03-17T00:00:00"/>
    <x v="780"/>
    <s v="SLOW"/>
    <s v="Second Class"/>
    <s v="DB-13405"/>
    <s v="Denny Blanton"/>
    <x v="0"/>
    <s v="United States"/>
    <s v="New York City"/>
    <x v="15"/>
    <n v="10011"/>
    <x v="3"/>
    <s v="OFF-ST-10000344"/>
    <x v="1"/>
    <x v="4"/>
    <x v="1004"/>
    <n v="107.44"/>
  </r>
  <r>
    <n v="2457"/>
    <s v="CA-2018-140949"/>
    <d v="2018-03-17T00:00:00"/>
    <x v="780"/>
    <s v="SLOW"/>
    <s v="Second Class"/>
    <s v="DB-13405"/>
    <s v="Denny Blanton"/>
    <x v="0"/>
    <s v="United States"/>
    <s v="New York City"/>
    <x v="15"/>
    <n v="10011"/>
    <x v="3"/>
    <s v="OFF-LA-10004093"/>
    <x v="1"/>
    <x v="2"/>
    <x v="663"/>
    <n v="7.31"/>
  </r>
  <r>
    <n v="2458"/>
    <s v="CA-2018-140949"/>
    <d v="2018-03-17T00:00:00"/>
    <x v="780"/>
    <s v="SLOW"/>
    <s v="Second Class"/>
    <s v="DB-13405"/>
    <s v="Denny Blanton"/>
    <x v="0"/>
    <s v="United States"/>
    <s v="New York City"/>
    <x v="15"/>
    <n v="10011"/>
    <x v="3"/>
    <s v="OFF-AR-10001683"/>
    <x v="1"/>
    <x v="6"/>
    <x v="32"/>
    <n v="59.1"/>
  </r>
  <r>
    <n v="2459"/>
    <s v="CA-2018-140949"/>
    <d v="2018-03-17T00:00:00"/>
    <x v="780"/>
    <s v="SLOW"/>
    <s v="Second Class"/>
    <s v="DB-13405"/>
    <s v="Denny Blanton"/>
    <x v="0"/>
    <s v="United States"/>
    <s v="New York City"/>
    <x v="15"/>
    <n v="10011"/>
    <x v="3"/>
    <s v="OFF-ST-10003455"/>
    <x v="1"/>
    <x v="4"/>
    <x v="167"/>
    <n v="46.53"/>
  </r>
  <r>
    <n v="2460"/>
    <s v="CA-2018-138548"/>
    <d v="2018-08-15T00:00:00"/>
    <x v="781"/>
    <s v="FAST"/>
    <s v="Standard Class"/>
    <s v="JG-15160"/>
    <s v="James Galang"/>
    <x v="0"/>
    <s v="United States"/>
    <s v="Plainfield"/>
    <x v="30"/>
    <n v="7060"/>
    <x v="3"/>
    <s v="OFF-AP-10002578"/>
    <x v="1"/>
    <x v="9"/>
    <x v="404"/>
    <n v="97.84"/>
  </r>
  <r>
    <n v="2461"/>
    <s v="CA-2016-142419"/>
    <d v="2016-07-11T00:00:00"/>
    <x v="618"/>
    <s v="SLOW"/>
    <s v="Second Class"/>
    <s v="SC-20380"/>
    <s v="Shahid Collister"/>
    <x v="0"/>
    <s v="United States"/>
    <s v="Seattle"/>
    <x v="4"/>
    <n v="98115"/>
    <x v="1"/>
    <s v="OFF-PA-10001763"/>
    <x v="1"/>
    <x v="10"/>
    <x v="822"/>
    <n v="29.97"/>
  </r>
  <r>
    <n v="2462"/>
    <s v="CA-2016-142419"/>
    <d v="2016-07-11T00:00:00"/>
    <x v="618"/>
    <s v="SLOW"/>
    <s v="Second Class"/>
    <s v="SC-20380"/>
    <s v="Shahid Collister"/>
    <x v="0"/>
    <s v="United States"/>
    <s v="Seattle"/>
    <x v="4"/>
    <n v="98115"/>
    <x v="1"/>
    <s v="OFF-BI-10001597"/>
    <x v="1"/>
    <x v="8"/>
    <x v="784"/>
    <n v="98.352000000000004"/>
  </r>
  <r>
    <n v="2463"/>
    <s v="CA-2018-148691"/>
    <d v="2018-12-03T00:00:00"/>
    <x v="782"/>
    <s v="FAST"/>
    <s v="Standard Class"/>
    <s v="CS-12460"/>
    <s v="Chuck Sachs"/>
    <x v="0"/>
    <s v="United States"/>
    <s v="New York City"/>
    <x v="15"/>
    <n v="10009"/>
    <x v="3"/>
    <s v="OFF-BI-10001524"/>
    <x v="1"/>
    <x v="8"/>
    <x v="296"/>
    <n v="83.92"/>
  </r>
  <r>
    <n v="2464"/>
    <s v="CA-2018-148691"/>
    <d v="2018-12-03T00:00:00"/>
    <x v="782"/>
    <s v="FAST"/>
    <s v="Standard Class"/>
    <s v="CS-12460"/>
    <s v="Chuck Sachs"/>
    <x v="0"/>
    <s v="United States"/>
    <s v="New York City"/>
    <x v="15"/>
    <n v="10009"/>
    <x v="3"/>
    <s v="OFF-BI-10001553"/>
    <x v="1"/>
    <x v="8"/>
    <x v="1282"/>
    <n v="14.624000000000001"/>
  </r>
  <r>
    <n v="2465"/>
    <s v="CA-2018-148691"/>
    <d v="2018-12-03T00:00:00"/>
    <x v="782"/>
    <s v="FAST"/>
    <s v="Standard Class"/>
    <s v="CS-12460"/>
    <s v="Chuck Sachs"/>
    <x v="0"/>
    <s v="United States"/>
    <s v="New York City"/>
    <x v="15"/>
    <n v="10009"/>
    <x v="3"/>
    <s v="TEC-PH-10000576"/>
    <x v="2"/>
    <x v="7"/>
    <x v="800"/>
    <n v="136.99"/>
  </r>
  <r>
    <n v="2466"/>
    <s v="CA-2018-148691"/>
    <d v="2018-12-03T00:00:00"/>
    <x v="782"/>
    <s v="FAST"/>
    <s v="Standard Class"/>
    <s v="CS-12460"/>
    <s v="Chuck Sachs"/>
    <x v="0"/>
    <s v="United States"/>
    <s v="New York City"/>
    <x v="15"/>
    <n v="10009"/>
    <x v="3"/>
    <s v="OFF-LA-10001317"/>
    <x v="1"/>
    <x v="2"/>
    <x v="388"/>
    <n v="3.15"/>
  </r>
  <r>
    <n v="2467"/>
    <s v="CA-2018-128755"/>
    <d v="2018-05-04T00:00:00"/>
    <x v="783"/>
    <s v="FAST"/>
    <s v="Standard Class"/>
    <s v="MK-18160"/>
    <s v="Mike Kennedy"/>
    <x v="0"/>
    <s v="United States"/>
    <s v="Newport News"/>
    <x v="17"/>
    <n v="23602"/>
    <x v="0"/>
    <s v="OFF-PA-10000726"/>
    <x v="1"/>
    <x v="10"/>
    <x v="1311"/>
    <n v="9.11"/>
  </r>
  <r>
    <n v="2468"/>
    <s v="CA-2018-128755"/>
    <d v="2018-05-04T00:00:00"/>
    <x v="783"/>
    <s v="FAST"/>
    <s v="Standard Class"/>
    <s v="MK-18160"/>
    <s v="Mike Kennedy"/>
    <x v="0"/>
    <s v="United States"/>
    <s v="Newport News"/>
    <x v="17"/>
    <n v="23602"/>
    <x v="0"/>
    <s v="OFF-ST-10003306"/>
    <x v="1"/>
    <x v="4"/>
    <x v="377"/>
    <n v="571.44000000000005"/>
  </r>
  <r>
    <n v="2469"/>
    <s v="CA-2018-128755"/>
    <d v="2018-05-04T00:00:00"/>
    <x v="783"/>
    <s v="FAST"/>
    <s v="Standard Class"/>
    <s v="MK-18160"/>
    <s v="Mike Kennedy"/>
    <x v="0"/>
    <s v="United States"/>
    <s v="Newport News"/>
    <x v="17"/>
    <n v="23602"/>
    <x v="0"/>
    <s v="OFF-PA-10004983"/>
    <x v="1"/>
    <x v="10"/>
    <x v="1312"/>
    <n v="32.4"/>
  </r>
  <r>
    <n v="2470"/>
    <s v="CA-2018-128755"/>
    <d v="2018-05-04T00:00:00"/>
    <x v="783"/>
    <s v="FAST"/>
    <s v="Standard Class"/>
    <s v="MK-18160"/>
    <s v="Mike Kennedy"/>
    <x v="0"/>
    <s v="United States"/>
    <s v="Newport News"/>
    <x v="17"/>
    <n v="23602"/>
    <x v="0"/>
    <s v="OFF-ST-10001291"/>
    <x v="1"/>
    <x v="4"/>
    <x v="1008"/>
    <n v="16.91"/>
  </r>
  <r>
    <n v="2471"/>
    <s v="US-2017-135923"/>
    <d v="2017-01-22T00:00:00"/>
    <x v="112"/>
    <s v="FAST"/>
    <s v="Standard Class"/>
    <s v="CM-11935"/>
    <s v="Carlos Meador"/>
    <x v="0"/>
    <s v="United States"/>
    <s v="Fayetteville"/>
    <x v="3"/>
    <n v="28314"/>
    <x v="0"/>
    <s v="FUR-FU-10002107"/>
    <x v="0"/>
    <x v="5"/>
    <x v="1313"/>
    <n v="14.272"/>
  </r>
  <r>
    <n v="2472"/>
    <s v="US-2017-135923"/>
    <d v="2017-01-22T00:00:00"/>
    <x v="112"/>
    <s v="FAST"/>
    <s v="Standard Class"/>
    <s v="CM-11935"/>
    <s v="Carlos Meador"/>
    <x v="0"/>
    <s v="United States"/>
    <s v="Fayetteville"/>
    <x v="3"/>
    <n v="28314"/>
    <x v="0"/>
    <s v="FUR-BO-10002213"/>
    <x v="0"/>
    <x v="0"/>
    <x v="1314"/>
    <n v="451.13600000000002"/>
  </r>
  <r>
    <n v="2473"/>
    <s v="US-2017-135923"/>
    <d v="2017-01-22T00:00:00"/>
    <x v="112"/>
    <s v="FAST"/>
    <s v="Standard Class"/>
    <s v="CM-11935"/>
    <s v="Carlos Meador"/>
    <x v="0"/>
    <s v="United States"/>
    <s v="Fayetteville"/>
    <x v="3"/>
    <n v="28314"/>
    <x v="0"/>
    <s v="OFF-AP-10000692"/>
    <x v="1"/>
    <x v="9"/>
    <x v="1230"/>
    <n v="64.864000000000004"/>
  </r>
  <r>
    <n v="2474"/>
    <s v="CA-2017-114972"/>
    <d v="2017-11-03T00:00:00"/>
    <x v="779"/>
    <s v="MODERATE"/>
    <s v="First Class"/>
    <s v="PF-19225"/>
    <s v="Phillip Flathmann"/>
    <x v="0"/>
    <s v="United States"/>
    <s v="Los Angeles"/>
    <x v="1"/>
    <n v="90032"/>
    <x v="1"/>
    <s v="FUR-CH-10001190"/>
    <x v="0"/>
    <x v="1"/>
    <x v="1315"/>
    <n v="217.584"/>
  </r>
  <r>
    <n v="2475"/>
    <s v="CA-2017-114972"/>
    <d v="2017-11-03T00:00:00"/>
    <x v="779"/>
    <s v="MODERATE"/>
    <s v="First Class"/>
    <s v="PF-19225"/>
    <s v="Phillip Flathmann"/>
    <x v="0"/>
    <s v="United States"/>
    <s v="Los Angeles"/>
    <x v="1"/>
    <n v="90032"/>
    <x v="1"/>
    <s v="TEC-AC-10000682"/>
    <x v="2"/>
    <x v="11"/>
    <x v="1316"/>
    <n v="82.95"/>
  </r>
  <r>
    <n v="2476"/>
    <s v="CA-2017-114972"/>
    <d v="2017-11-03T00:00:00"/>
    <x v="779"/>
    <s v="MODERATE"/>
    <s v="First Class"/>
    <s v="PF-19225"/>
    <s v="Phillip Flathmann"/>
    <x v="0"/>
    <s v="United States"/>
    <s v="Los Angeles"/>
    <x v="1"/>
    <n v="90032"/>
    <x v="1"/>
    <s v="OFF-LA-10004545"/>
    <x v="1"/>
    <x v="2"/>
    <x v="1317"/>
    <n v="87.71"/>
  </r>
  <r>
    <n v="2477"/>
    <s v="CA-2017-114972"/>
    <d v="2017-11-03T00:00:00"/>
    <x v="779"/>
    <s v="MODERATE"/>
    <s v="First Class"/>
    <s v="PF-19225"/>
    <s v="Phillip Flathmann"/>
    <x v="0"/>
    <s v="United States"/>
    <s v="Los Angeles"/>
    <x v="1"/>
    <n v="90032"/>
    <x v="1"/>
    <s v="OFF-AP-10003057"/>
    <x v="1"/>
    <x v="9"/>
    <x v="1306"/>
    <n v="1101.48"/>
  </r>
  <r>
    <n v="2478"/>
    <s v="CA-2018-102750"/>
    <d v="2018-09-04T00:00:00"/>
    <x v="220"/>
    <s v="SLOW"/>
    <s v="Second Class"/>
    <s v="GM-14695"/>
    <s v="Greg Maxwell"/>
    <x v="1"/>
    <s v="United States"/>
    <s v="Los Angeles"/>
    <x v="1"/>
    <n v="90036"/>
    <x v="1"/>
    <s v="FUR-TA-10000198"/>
    <x v="0"/>
    <x v="3"/>
    <x v="582"/>
    <n v="1322.3520000000001"/>
  </r>
  <r>
    <n v="2479"/>
    <s v="CA-2015-145212"/>
    <d v="2015-09-13T00:00:00"/>
    <x v="75"/>
    <s v="FAST"/>
    <s v="Standard Class"/>
    <s v="DC-12850"/>
    <s v="Dan Campbell"/>
    <x v="0"/>
    <s v="United States"/>
    <s v="New York City"/>
    <x v="15"/>
    <n v="10011"/>
    <x v="3"/>
    <s v="OFF-AR-10002833"/>
    <x v="1"/>
    <x v="6"/>
    <x v="6"/>
    <n v="5.46"/>
  </r>
  <r>
    <n v="2480"/>
    <s v="CA-2018-141992"/>
    <d v="2018-06-19T00:00:00"/>
    <x v="585"/>
    <s v="FAST"/>
    <s v="Standard Class"/>
    <s v="FO-14305"/>
    <s v="Frank Olsen"/>
    <x v="0"/>
    <s v="United States"/>
    <s v="Dallas"/>
    <x v="5"/>
    <n v="75220"/>
    <x v="2"/>
    <s v="OFF-SU-10002557"/>
    <x v="1"/>
    <x v="14"/>
    <x v="1318"/>
    <n v="11.183999999999999"/>
  </r>
  <r>
    <n v="2481"/>
    <s v="CA-2018-141992"/>
    <d v="2018-06-19T00:00:00"/>
    <x v="585"/>
    <s v="FAST"/>
    <s v="Standard Class"/>
    <s v="FO-14305"/>
    <s v="Frank Olsen"/>
    <x v="0"/>
    <s v="United States"/>
    <s v="Dallas"/>
    <x v="5"/>
    <n v="75220"/>
    <x v="2"/>
    <s v="OFF-ST-10003656"/>
    <x v="1"/>
    <x v="4"/>
    <x v="79"/>
    <n v="153.584"/>
  </r>
  <r>
    <n v="2482"/>
    <s v="CA-2018-147956"/>
    <d v="2018-12-24T00:00:00"/>
    <x v="784"/>
    <s v="FAST"/>
    <s v="Standard Class"/>
    <s v="AH-10210"/>
    <s v="Alan Hwang"/>
    <x v="0"/>
    <s v="United States"/>
    <s v="Seattle"/>
    <x v="4"/>
    <n v="98105"/>
    <x v="1"/>
    <s v="OFF-ST-10001097"/>
    <x v="1"/>
    <x v="4"/>
    <x v="734"/>
    <n v="1003.62"/>
  </r>
  <r>
    <n v="2483"/>
    <s v="CA-2018-126067"/>
    <d v="2018-08-28T00:00:00"/>
    <x v="785"/>
    <s v="FAST"/>
    <s v="Standard Class"/>
    <s v="KN-16705"/>
    <s v="Kristina Nunn"/>
    <x v="2"/>
    <s v="United States"/>
    <s v="Seattle"/>
    <x v="4"/>
    <n v="98105"/>
    <x v="1"/>
    <s v="TEC-PH-10000912"/>
    <x v="2"/>
    <x v="7"/>
    <x v="1319"/>
    <n v="35.167999999999999"/>
  </r>
  <r>
    <n v="2484"/>
    <s v="CA-2018-126067"/>
    <d v="2018-08-28T00:00:00"/>
    <x v="785"/>
    <s v="FAST"/>
    <s v="Standard Class"/>
    <s v="KN-16705"/>
    <s v="Kristina Nunn"/>
    <x v="2"/>
    <s v="United States"/>
    <s v="Seattle"/>
    <x v="4"/>
    <n v="98105"/>
    <x v="1"/>
    <s v="FUR-TA-10000617"/>
    <x v="0"/>
    <x v="3"/>
    <x v="336"/>
    <n v="1137.75"/>
  </r>
  <r>
    <n v="2485"/>
    <s v="CA-2018-126067"/>
    <d v="2018-08-28T00:00:00"/>
    <x v="785"/>
    <s v="FAST"/>
    <s v="Standard Class"/>
    <s v="KN-16705"/>
    <s v="Kristina Nunn"/>
    <x v="2"/>
    <s v="United States"/>
    <s v="Seattle"/>
    <x v="4"/>
    <n v="98105"/>
    <x v="1"/>
    <s v="OFF-BI-10001658"/>
    <x v="1"/>
    <x v="8"/>
    <x v="434"/>
    <n v="99.68"/>
  </r>
  <r>
    <n v="2486"/>
    <s v="CA-2018-126067"/>
    <d v="2018-08-28T00:00:00"/>
    <x v="785"/>
    <s v="FAST"/>
    <s v="Standard Class"/>
    <s v="KN-16705"/>
    <s v="Kristina Nunn"/>
    <x v="2"/>
    <s v="United States"/>
    <s v="Seattle"/>
    <x v="4"/>
    <n v="98105"/>
    <x v="1"/>
    <s v="OFF-AR-10003856"/>
    <x v="1"/>
    <x v="6"/>
    <x v="439"/>
    <n v="5.56"/>
  </r>
  <r>
    <n v="2487"/>
    <s v="CA-2016-104514"/>
    <d v="2016-01-02T00:00:00"/>
    <x v="123"/>
    <s v="SLOW"/>
    <s v="Second Class"/>
    <s v="CB-12535"/>
    <s v="Claudia Bergmann"/>
    <x v="1"/>
    <s v="United States"/>
    <s v="Newark"/>
    <x v="13"/>
    <n v="19711"/>
    <x v="3"/>
    <s v="OFF-ST-10001837"/>
    <x v="1"/>
    <x v="4"/>
    <x v="1320"/>
    <n v="85.52"/>
  </r>
  <r>
    <n v="2488"/>
    <s v="CA-2016-104514"/>
    <d v="2016-01-02T00:00:00"/>
    <x v="123"/>
    <s v="SLOW"/>
    <s v="Second Class"/>
    <s v="CB-12535"/>
    <s v="Claudia Bergmann"/>
    <x v="1"/>
    <s v="United States"/>
    <s v="Newark"/>
    <x v="13"/>
    <n v="19711"/>
    <x v="3"/>
    <s v="OFF-AR-10001473"/>
    <x v="1"/>
    <x v="6"/>
    <x v="1321"/>
    <n v="9.84"/>
  </r>
  <r>
    <n v="2489"/>
    <s v="CA-2016-104514"/>
    <d v="2016-01-02T00:00:00"/>
    <x v="123"/>
    <s v="SLOW"/>
    <s v="Second Class"/>
    <s v="CB-12535"/>
    <s v="Claudia Bergmann"/>
    <x v="1"/>
    <s v="United States"/>
    <s v="Newark"/>
    <x v="13"/>
    <n v="19711"/>
    <x v="3"/>
    <s v="OFF-PA-10004285"/>
    <x v="1"/>
    <x v="10"/>
    <x v="1248"/>
    <n v="20.04"/>
  </r>
  <r>
    <n v="2490"/>
    <s v="CA-2016-141040"/>
    <d v="2016-10-09T00:00:00"/>
    <x v="347"/>
    <s v="SLOW"/>
    <s v="Second Class"/>
    <s v="TB-21250"/>
    <s v="Tim Brockman"/>
    <x v="0"/>
    <s v="United States"/>
    <s v="New York City"/>
    <x v="15"/>
    <n v="10024"/>
    <x v="3"/>
    <s v="TEC-PH-10001835"/>
    <x v="2"/>
    <x v="7"/>
    <x v="1322"/>
    <n v="631.96"/>
  </r>
  <r>
    <n v="2491"/>
    <s v="CA-2016-141040"/>
    <d v="2016-10-09T00:00:00"/>
    <x v="347"/>
    <s v="SLOW"/>
    <s v="Second Class"/>
    <s v="TB-21250"/>
    <s v="Tim Brockman"/>
    <x v="0"/>
    <s v="United States"/>
    <s v="New York City"/>
    <x v="15"/>
    <n v="10024"/>
    <x v="3"/>
    <s v="OFF-PA-10002245"/>
    <x v="1"/>
    <x v="10"/>
    <x v="1323"/>
    <n v="23.92"/>
  </r>
  <r>
    <n v="2492"/>
    <s v="CA-2015-113579"/>
    <d v="2015-12-13T00:00:00"/>
    <x v="343"/>
    <s v="SLOW"/>
    <s v="Second Class"/>
    <s v="KD-16345"/>
    <s v="Katherine Ducich"/>
    <x v="0"/>
    <s v="United States"/>
    <s v="Los Angeles"/>
    <x v="1"/>
    <n v="90049"/>
    <x v="1"/>
    <s v="OFF-PA-10001457"/>
    <x v="1"/>
    <x v="10"/>
    <x v="1081"/>
    <n v="90.24"/>
  </r>
  <r>
    <n v="2493"/>
    <s v="CA-2015-144624"/>
    <d v="2015-11-19T00:00:00"/>
    <x v="786"/>
    <s v="FAST"/>
    <s v="Standard Class"/>
    <s v="JM-15865"/>
    <s v="John Murray"/>
    <x v="0"/>
    <s v="United States"/>
    <s v="Jamestown"/>
    <x v="15"/>
    <n v="14701"/>
    <x v="3"/>
    <s v="TEC-PH-10002885"/>
    <x v="2"/>
    <x v="7"/>
    <x v="1117"/>
    <n v="4548.8100000000004"/>
  </r>
  <r>
    <n v="2494"/>
    <s v="CA-2017-146206"/>
    <d v="2017-09-10T00:00:00"/>
    <x v="125"/>
    <s v="SLOW"/>
    <s v="Second Class"/>
    <s v="KT-16480"/>
    <s v="Kean Thornton"/>
    <x v="0"/>
    <s v="United States"/>
    <s v="Houston"/>
    <x v="5"/>
    <n v="77095"/>
    <x v="2"/>
    <s v="FUR-TA-10004086"/>
    <x v="0"/>
    <x v="3"/>
    <x v="817"/>
    <n v="300.93"/>
  </r>
  <r>
    <n v="2495"/>
    <s v="CA-2017-146206"/>
    <d v="2017-09-10T00:00:00"/>
    <x v="125"/>
    <s v="SLOW"/>
    <s v="Second Class"/>
    <s v="KT-16480"/>
    <s v="Kean Thornton"/>
    <x v="0"/>
    <s v="United States"/>
    <s v="Houston"/>
    <x v="5"/>
    <n v="77095"/>
    <x v="2"/>
    <s v="TEC-PH-10000895"/>
    <x v="2"/>
    <x v="7"/>
    <x v="1118"/>
    <n v="719.96"/>
  </r>
  <r>
    <n v="2496"/>
    <s v="CA-2015-136644"/>
    <d v="2015-06-16T00:00:00"/>
    <x v="787"/>
    <s v="FAST"/>
    <s v="Standard Class"/>
    <s v="SC-20575"/>
    <s v="Sonia Cooley"/>
    <x v="0"/>
    <s v="United States"/>
    <s v="Mishawaka"/>
    <x v="14"/>
    <n v="46544"/>
    <x v="2"/>
    <s v="FUR-CH-10000225"/>
    <x v="0"/>
    <x v="1"/>
    <x v="397"/>
    <n v="647.84"/>
  </r>
  <r>
    <n v="2497"/>
    <s v="CA-2016-122371"/>
    <d v="2016-09-26T00:00:00"/>
    <x v="733"/>
    <s v="FAST"/>
    <s v="Standard Class"/>
    <s v="BS-11800"/>
    <s v="Bryan Spruell"/>
    <x v="2"/>
    <s v="United States"/>
    <s v="San Diego"/>
    <x v="1"/>
    <n v="92037"/>
    <x v="1"/>
    <s v="OFF-ST-10002370"/>
    <x v="1"/>
    <x v="4"/>
    <x v="77"/>
    <n v="64.17"/>
  </r>
  <r>
    <n v="2498"/>
    <s v="CA-2016-122371"/>
    <d v="2016-09-26T00:00:00"/>
    <x v="733"/>
    <s v="FAST"/>
    <s v="Standard Class"/>
    <s v="BS-11800"/>
    <s v="Bryan Spruell"/>
    <x v="2"/>
    <s v="United States"/>
    <s v="San Diego"/>
    <x v="1"/>
    <n v="92037"/>
    <x v="1"/>
    <s v="OFF-EN-10000056"/>
    <x v="1"/>
    <x v="12"/>
    <x v="620"/>
    <n v="124.46"/>
  </r>
  <r>
    <n v="2499"/>
    <s v="CA-2017-126935"/>
    <d v="2017-05-19T00:00:00"/>
    <x v="305"/>
    <s v="FAST"/>
    <s v="Standard Class"/>
    <s v="BT-11395"/>
    <s v="Bill Tyler"/>
    <x v="1"/>
    <s v="United States"/>
    <s v="San Francisco"/>
    <x v="1"/>
    <n v="94109"/>
    <x v="1"/>
    <s v="OFF-BI-10004817"/>
    <x v="1"/>
    <x v="8"/>
    <x v="1188"/>
    <n v="9.5839999999999996"/>
  </r>
  <r>
    <n v="2501"/>
    <s v="CA-2018-131618"/>
    <d v="2018-06-17T00:00:00"/>
    <x v="45"/>
    <s v="MODERATE"/>
    <s v="First Class"/>
    <s v="LS-17200"/>
    <s v="Luke Schmidt"/>
    <x v="1"/>
    <s v="United States"/>
    <s v="Skokie"/>
    <x v="10"/>
    <n v="60076"/>
    <x v="2"/>
    <s v="OFF-PA-10001892"/>
    <x v="1"/>
    <x v="10"/>
    <x v="808"/>
    <n v="12.224"/>
  </r>
  <r>
    <n v="2502"/>
    <s v="CA-2018-131618"/>
    <d v="2018-06-17T00:00:00"/>
    <x v="45"/>
    <s v="MODERATE"/>
    <s v="First Class"/>
    <s v="LS-17200"/>
    <s v="Luke Schmidt"/>
    <x v="1"/>
    <s v="United States"/>
    <s v="Skokie"/>
    <x v="10"/>
    <n v="60076"/>
    <x v="2"/>
    <s v="OFF-BI-10000546"/>
    <x v="1"/>
    <x v="8"/>
    <x v="602"/>
    <n v="2.3039999999999998"/>
  </r>
  <r>
    <n v="2503"/>
    <s v="CA-2018-131618"/>
    <d v="2018-06-17T00:00:00"/>
    <x v="45"/>
    <s v="MODERATE"/>
    <s v="First Class"/>
    <s v="LS-17200"/>
    <s v="Luke Schmidt"/>
    <x v="1"/>
    <s v="United States"/>
    <s v="Skokie"/>
    <x v="10"/>
    <n v="60076"/>
    <x v="2"/>
    <s v="OFF-BI-10001294"/>
    <x v="1"/>
    <x v="8"/>
    <x v="660"/>
    <n v="9.36"/>
  </r>
  <r>
    <n v="2504"/>
    <s v="CA-2017-149482"/>
    <d v="2017-11-14T00:00:00"/>
    <x v="422"/>
    <s v="FAST"/>
    <s v="Standard Class"/>
    <s v="RR-19315"/>
    <s v="Ralph Ritter"/>
    <x v="0"/>
    <s v="United States"/>
    <s v="San Francisco"/>
    <x v="1"/>
    <n v="94110"/>
    <x v="1"/>
    <s v="OFF-LA-10000248"/>
    <x v="1"/>
    <x v="2"/>
    <x v="1201"/>
    <n v="7.38"/>
  </r>
  <r>
    <n v="2505"/>
    <s v="CA-2015-143917"/>
    <d v="2015-07-25T00:00:00"/>
    <x v="150"/>
    <s v="SLOW"/>
    <s v="Second Class"/>
    <s v="KL-16645"/>
    <s v="Ken Lonsdale"/>
    <x v="0"/>
    <s v="United States"/>
    <s v="San Francisco"/>
    <x v="1"/>
    <n v="94122"/>
    <x v="1"/>
    <s v="OFF-ST-10001228"/>
    <x v="1"/>
    <x v="4"/>
    <x v="226"/>
    <n v="53.72"/>
  </r>
  <r>
    <n v="2506"/>
    <s v="CA-2015-143917"/>
    <d v="2015-07-25T00:00:00"/>
    <x v="150"/>
    <s v="SLOW"/>
    <s v="Second Class"/>
    <s v="KL-16645"/>
    <s v="Ken Lonsdale"/>
    <x v="0"/>
    <s v="United States"/>
    <s v="San Francisco"/>
    <x v="1"/>
    <n v="94122"/>
    <x v="1"/>
    <s v="OFF-SU-10000151"/>
    <x v="1"/>
    <x v="14"/>
    <x v="1324"/>
    <n v="8187.65"/>
  </r>
  <r>
    <n v="2507"/>
    <s v="CA-2015-143917"/>
    <d v="2015-07-25T00:00:00"/>
    <x v="150"/>
    <s v="SLOW"/>
    <s v="Second Class"/>
    <s v="KL-16645"/>
    <s v="Ken Lonsdale"/>
    <x v="0"/>
    <s v="United States"/>
    <s v="San Francisco"/>
    <x v="1"/>
    <n v="94122"/>
    <x v="1"/>
    <s v="FUR-FU-10004351"/>
    <x v="0"/>
    <x v="5"/>
    <x v="217"/>
    <n v="77.92"/>
  </r>
  <r>
    <n v="2508"/>
    <s v="CA-2016-120397"/>
    <d v="2016-07-02T00:00:00"/>
    <x v="788"/>
    <s v="MODERATE"/>
    <s v="Same Day"/>
    <s v="RB-19435"/>
    <s v="Richard Bierner"/>
    <x v="0"/>
    <s v="United States"/>
    <s v="Houston"/>
    <x v="5"/>
    <n v="77070"/>
    <x v="2"/>
    <s v="OFF-AP-10001293"/>
    <x v="1"/>
    <x v="9"/>
    <x v="1325"/>
    <n v="32.783999999999999"/>
  </r>
  <r>
    <n v="2509"/>
    <s v="CA-2018-163902"/>
    <d v="2018-03-02T00:00:00"/>
    <x v="493"/>
    <s v="FAST"/>
    <s v="Standard Class"/>
    <s v="MY-17380"/>
    <s v="Maribeth Yedwab"/>
    <x v="1"/>
    <s v="United States"/>
    <s v="Los Angeles"/>
    <x v="1"/>
    <n v="90045"/>
    <x v="1"/>
    <s v="TEC-PH-10000675"/>
    <x v="2"/>
    <x v="7"/>
    <x v="1326"/>
    <n v="196.77600000000001"/>
  </r>
  <r>
    <n v="2510"/>
    <s v="CA-2018-163902"/>
    <d v="2018-03-02T00:00:00"/>
    <x v="493"/>
    <s v="FAST"/>
    <s v="Standard Class"/>
    <s v="MY-17380"/>
    <s v="Maribeth Yedwab"/>
    <x v="1"/>
    <s v="United States"/>
    <s v="Los Angeles"/>
    <x v="1"/>
    <n v="90045"/>
    <x v="1"/>
    <s v="TEC-AC-10000580"/>
    <x v="2"/>
    <x v="11"/>
    <x v="890"/>
    <n v="479.94"/>
  </r>
  <r>
    <n v="2511"/>
    <s v="CA-2017-136812"/>
    <d v="2017-11-18T00:00:00"/>
    <x v="789"/>
    <s v="FAST"/>
    <s v="Standard Class"/>
    <s v="AW-10930"/>
    <s v="Arthur Wiediger"/>
    <x v="2"/>
    <s v="United States"/>
    <s v="Oklahoma City"/>
    <x v="26"/>
    <n v="73120"/>
    <x v="2"/>
    <s v="OFF-ST-10003470"/>
    <x v="1"/>
    <x v="4"/>
    <x v="1327"/>
    <n v="1117.92"/>
  </r>
  <r>
    <n v="2512"/>
    <s v="CA-2016-102722"/>
    <d v="2016-04-18T00:00:00"/>
    <x v="690"/>
    <s v="MODERATE"/>
    <s v="First Class"/>
    <s v="KW-16570"/>
    <s v="Kelly Williams"/>
    <x v="0"/>
    <s v="United States"/>
    <s v="Monroe"/>
    <x v="28"/>
    <n v="71203"/>
    <x v="0"/>
    <s v="TEC-AC-10003116"/>
    <x v="2"/>
    <x v="11"/>
    <x v="913"/>
    <n v="106.5"/>
  </r>
  <r>
    <n v="2513"/>
    <s v="CA-2018-155089"/>
    <d v="2018-12-02T00:00:00"/>
    <x v="790"/>
    <s v="FAST"/>
    <s v="Standard Class"/>
    <s v="DB-12910"/>
    <s v="Daniel Byrd"/>
    <x v="2"/>
    <s v="United States"/>
    <s v="Tampa"/>
    <x v="2"/>
    <n v="33614"/>
    <x v="0"/>
    <s v="OFF-BI-10002429"/>
    <x v="1"/>
    <x v="8"/>
    <x v="462"/>
    <n v="45.66"/>
  </r>
  <r>
    <n v="2514"/>
    <s v="CA-2017-124506"/>
    <d v="2017-11-11T00:00:00"/>
    <x v="397"/>
    <s v="FAST"/>
    <s v="Standard Class"/>
    <s v="BB-11545"/>
    <s v="Brenda Bowman"/>
    <x v="1"/>
    <s v="United States"/>
    <s v="Chicago"/>
    <x v="10"/>
    <n v="60623"/>
    <x v="2"/>
    <s v="TEC-AC-10003280"/>
    <x v="2"/>
    <x v="11"/>
    <x v="1019"/>
    <n v="95.968000000000004"/>
  </r>
  <r>
    <n v="2515"/>
    <s v="CA-2017-124506"/>
    <d v="2017-11-11T00:00:00"/>
    <x v="397"/>
    <s v="FAST"/>
    <s v="Standard Class"/>
    <s v="BB-11545"/>
    <s v="Brenda Bowman"/>
    <x v="1"/>
    <s v="United States"/>
    <s v="Chicago"/>
    <x v="10"/>
    <n v="60623"/>
    <x v="2"/>
    <s v="FUR-CH-10004540"/>
    <x v="0"/>
    <x v="1"/>
    <x v="856"/>
    <n v="47.991999999999997"/>
  </r>
  <r>
    <n v="2516"/>
    <s v="CA-2015-106572"/>
    <d v="2015-09-05T00:00:00"/>
    <x v="791"/>
    <s v="FAST"/>
    <s v="Standard Class"/>
    <s v="NP-18700"/>
    <s v="Nora Preis"/>
    <x v="0"/>
    <s v="United States"/>
    <s v="Bowling Green"/>
    <x v="24"/>
    <n v="43402"/>
    <x v="3"/>
    <s v="OFF-ST-10000585"/>
    <x v="1"/>
    <x v="4"/>
    <x v="536"/>
    <n v="264.32"/>
  </r>
  <r>
    <n v="2517"/>
    <s v="CA-2015-128888"/>
    <d v="2015-11-15T00:00:00"/>
    <x v="792"/>
    <s v="FAST"/>
    <s v="Standard Class"/>
    <s v="PB-19105"/>
    <s v="Peter BÃ¼hler"/>
    <x v="0"/>
    <s v="United States"/>
    <s v="Houston"/>
    <x v="5"/>
    <n v="77095"/>
    <x v="2"/>
    <s v="OFF-EN-10003001"/>
    <x v="1"/>
    <x v="12"/>
    <x v="948"/>
    <n v="604.65599999999995"/>
  </r>
  <r>
    <n v="2518"/>
    <s v="CA-2018-123134"/>
    <d v="2018-05-02T00:00:00"/>
    <x v="793"/>
    <s v="FAST"/>
    <s v="Standard Class"/>
    <s v="DW-13585"/>
    <s v="Dorothy Wardle"/>
    <x v="1"/>
    <s v="United States"/>
    <s v="Westfield"/>
    <x v="30"/>
    <n v="7090"/>
    <x v="3"/>
    <s v="FUR-FU-10003975"/>
    <x v="0"/>
    <x v="5"/>
    <x v="769"/>
    <n v="129.93"/>
  </r>
  <r>
    <n v="2519"/>
    <s v="CA-2017-124352"/>
    <d v="2017-10-15T00:00:00"/>
    <x v="148"/>
    <s v="FAST"/>
    <s v="Standard Class"/>
    <s v="CD-12790"/>
    <s v="Cynthia Delaney"/>
    <x v="2"/>
    <s v="United States"/>
    <s v="Oklahoma City"/>
    <x v="26"/>
    <n v="73120"/>
    <x v="2"/>
    <s v="OFF-LA-10004559"/>
    <x v="1"/>
    <x v="2"/>
    <x v="1328"/>
    <n v="20.16"/>
  </r>
  <r>
    <n v="2520"/>
    <s v="CA-2017-124352"/>
    <d v="2017-10-15T00:00:00"/>
    <x v="148"/>
    <s v="FAST"/>
    <s v="Standard Class"/>
    <s v="CD-12790"/>
    <s v="Cynthia Delaney"/>
    <x v="2"/>
    <s v="United States"/>
    <s v="Oklahoma City"/>
    <x v="26"/>
    <n v="73120"/>
    <x v="2"/>
    <s v="OFF-LA-10003223"/>
    <x v="1"/>
    <x v="2"/>
    <x v="595"/>
    <n v="29.46"/>
  </r>
  <r>
    <n v="2521"/>
    <s v="CA-2017-124352"/>
    <d v="2017-10-15T00:00:00"/>
    <x v="148"/>
    <s v="FAST"/>
    <s v="Standard Class"/>
    <s v="CD-12790"/>
    <s v="Cynthia Delaney"/>
    <x v="2"/>
    <s v="United States"/>
    <s v="Oklahoma City"/>
    <x v="26"/>
    <n v="73120"/>
    <x v="2"/>
    <s v="OFF-AP-10002651"/>
    <x v="1"/>
    <x v="9"/>
    <x v="1329"/>
    <n v="868.59"/>
  </r>
  <r>
    <n v="2522"/>
    <s v="CA-2017-124352"/>
    <d v="2017-10-15T00:00:00"/>
    <x v="148"/>
    <s v="FAST"/>
    <s v="Standard Class"/>
    <s v="CD-12790"/>
    <s v="Cynthia Delaney"/>
    <x v="2"/>
    <s v="United States"/>
    <s v="Oklahoma City"/>
    <x v="26"/>
    <n v="73120"/>
    <x v="2"/>
    <s v="OFF-PA-10003177"/>
    <x v="1"/>
    <x v="10"/>
    <x v="86"/>
    <n v="12.96"/>
  </r>
  <r>
    <n v="2523"/>
    <s v="CA-2017-124352"/>
    <d v="2017-10-15T00:00:00"/>
    <x v="148"/>
    <s v="FAST"/>
    <s v="Standard Class"/>
    <s v="CD-12790"/>
    <s v="Cynthia Delaney"/>
    <x v="2"/>
    <s v="United States"/>
    <s v="Oklahoma City"/>
    <x v="26"/>
    <n v="73120"/>
    <x v="2"/>
    <s v="TEC-PH-10003442"/>
    <x v="2"/>
    <x v="7"/>
    <x v="872"/>
    <n v="5.5"/>
  </r>
  <r>
    <n v="2524"/>
    <s v="CA-2017-124352"/>
    <d v="2017-10-15T00:00:00"/>
    <x v="148"/>
    <s v="FAST"/>
    <s v="Standard Class"/>
    <s v="CD-12790"/>
    <s v="Cynthia Delaney"/>
    <x v="2"/>
    <s v="United States"/>
    <s v="Oklahoma City"/>
    <x v="26"/>
    <n v="73120"/>
    <x v="2"/>
    <s v="OFF-BI-10000977"/>
    <x v="1"/>
    <x v="8"/>
    <x v="974"/>
    <n v="121.6"/>
  </r>
  <r>
    <n v="2525"/>
    <s v="CA-2016-124541"/>
    <d v="2016-04-06T00:00:00"/>
    <x v="56"/>
    <s v="FAST"/>
    <s v="Standard Class"/>
    <s v="TT-21220"/>
    <s v="Thomas Thornton"/>
    <x v="0"/>
    <s v="United States"/>
    <s v="Houston"/>
    <x v="5"/>
    <n v="77041"/>
    <x v="2"/>
    <s v="OFF-AR-10004078"/>
    <x v="1"/>
    <x v="6"/>
    <x v="502"/>
    <n v="42.048000000000002"/>
  </r>
  <r>
    <n v="2526"/>
    <s v="CA-2016-124541"/>
    <d v="2016-04-06T00:00:00"/>
    <x v="56"/>
    <s v="FAST"/>
    <s v="Standard Class"/>
    <s v="TT-21220"/>
    <s v="Thomas Thornton"/>
    <x v="0"/>
    <s v="United States"/>
    <s v="Houston"/>
    <x v="5"/>
    <n v="77041"/>
    <x v="2"/>
    <s v="TEC-AC-10002550"/>
    <x v="2"/>
    <x v="11"/>
    <x v="1330"/>
    <n v="25.488"/>
  </r>
  <r>
    <n v="2527"/>
    <s v="CA-2016-124541"/>
    <d v="2016-04-06T00:00:00"/>
    <x v="56"/>
    <s v="FAST"/>
    <s v="Standard Class"/>
    <s v="TT-21220"/>
    <s v="Thomas Thornton"/>
    <x v="0"/>
    <s v="United States"/>
    <s v="Houston"/>
    <x v="5"/>
    <n v="77041"/>
    <x v="2"/>
    <s v="OFF-BI-10004965"/>
    <x v="1"/>
    <x v="8"/>
    <x v="997"/>
    <n v="6.9"/>
  </r>
  <r>
    <n v="2528"/>
    <s v="CA-2016-124541"/>
    <d v="2016-04-06T00:00:00"/>
    <x v="56"/>
    <s v="FAST"/>
    <s v="Standard Class"/>
    <s v="TT-21220"/>
    <s v="Thomas Thornton"/>
    <x v="0"/>
    <s v="United States"/>
    <s v="Houston"/>
    <x v="5"/>
    <n v="77041"/>
    <x v="2"/>
    <s v="OFF-BI-10004209"/>
    <x v="1"/>
    <x v="8"/>
    <x v="1195"/>
    <n v="9.6479999999999997"/>
  </r>
  <r>
    <n v="2529"/>
    <s v="CA-2016-124541"/>
    <d v="2016-04-06T00:00:00"/>
    <x v="56"/>
    <s v="FAST"/>
    <s v="Standard Class"/>
    <s v="TT-21220"/>
    <s v="Thomas Thornton"/>
    <x v="0"/>
    <s v="United States"/>
    <s v="Houston"/>
    <x v="5"/>
    <n v="77041"/>
    <x v="2"/>
    <s v="OFF-PA-10001526"/>
    <x v="1"/>
    <x v="10"/>
    <x v="1021"/>
    <n v="7.968"/>
  </r>
  <r>
    <n v="2530"/>
    <s v="CA-2015-108707"/>
    <d v="2015-10-24T00:00:00"/>
    <x v="794"/>
    <s v="FAST"/>
    <s v="Standard Class"/>
    <s v="DB-12910"/>
    <s v="Daniel Byrd"/>
    <x v="2"/>
    <s v="United States"/>
    <s v="Fort Lauderdale"/>
    <x v="2"/>
    <n v="33311"/>
    <x v="0"/>
    <s v="OFF-PA-10000788"/>
    <x v="1"/>
    <x v="10"/>
    <x v="725"/>
    <n v="10.368"/>
  </r>
  <r>
    <n v="2531"/>
    <s v="CA-2015-111500"/>
    <d v="2015-08-17T00:00:00"/>
    <x v="759"/>
    <s v="FAST"/>
    <s v="Standard Class"/>
    <s v="DJ-13510"/>
    <s v="Don Jones"/>
    <x v="1"/>
    <s v="United States"/>
    <s v="Little Rock"/>
    <x v="36"/>
    <n v="72209"/>
    <x v="0"/>
    <s v="OFF-PA-10000595"/>
    <x v="1"/>
    <x v="10"/>
    <x v="1107"/>
    <n v="114.2"/>
  </r>
  <r>
    <n v="2532"/>
    <s v="CA-2015-111500"/>
    <d v="2015-08-17T00:00:00"/>
    <x v="759"/>
    <s v="FAST"/>
    <s v="Standard Class"/>
    <s v="DJ-13510"/>
    <s v="Don Jones"/>
    <x v="1"/>
    <s v="United States"/>
    <s v="Little Rock"/>
    <x v="36"/>
    <n v="72209"/>
    <x v="0"/>
    <s v="OFF-BI-10000829"/>
    <x v="1"/>
    <x v="8"/>
    <x v="302"/>
    <n v="17.96"/>
  </r>
  <r>
    <n v="2533"/>
    <s v="CA-2015-111500"/>
    <d v="2015-08-17T00:00:00"/>
    <x v="759"/>
    <s v="FAST"/>
    <s v="Standard Class"/>
    <s v="DJ-13510"/>
    <s v="Don Jones"/>
    <x v="1"/>
    <s v="United States"/>
    <s v="Little Rock"/>
    <x v="36"/>
    <n v="72209"/>
    <x v="0"/>
    <s v="OFF-FA-10002676"/>
    <x v="1"/>
    <x v="13"/>
    <x v="1060"/>
    <n v="12.67"/>
  </r>
  <r>
    <n v="2534"/>
    <s v="CA-2015-111500"/>
    <d v="2015-08-17T00:00:00"/>
    <x v="759"/>
    <s v="FAST"/>
    <s v="Standard Class"/>
    <s v="DJ-13510"/>
    <s v="Don Jones"/>
    <x v="1"/>
    <s v="United States"/>
    <s v="Little Rock"/>
    <x v="36"/>
    <n v="72209"/>
    <x v="0"/>
    <s v="TEC-AC-10000844"/>
    <x v="2"/>
    <x v="11"/>
    <x v="102"/>
    <n v="339.96"/>
  </r>
  <r>
    <n v="2535"/>
    <s v="US-2018-117723"/>
    <d v="2018-08-15T00:00:00"/>
    <x v="795"/>
    <s v="SLOW"/>
    <s v="Second Class"/>
    <s v="DL-13495"/>
    <s v="Dionis Lloyd"/>
    <x v="1"/>
    <s v="United States"/>
    <s v="Philadelphia"/>
    <x v="9"/>
    <n v="19120"/>
    <x v="3"/>
    <s v="OFF-ST-10004459"/>
    <x v="1"/>
    <x v="4"/>
    <x v="449"/>
    <n v="1801.6320000000001"/>
  </r>
  <r>
    <n v="2536"/>
    <s v="CA-2016-143238"/>
    <d v="2016-09-06T00:00:00"/>
    <x v="37"/>
    <s v="MODERATE"/>
    <s v="First Class"/>
    <s v="LO-17170"/>
    <s v="Lori Olson"/>
    <x v="1"/>
    <s v="United States"/>
    <s v="La Quinta"/>
    <x v="1"/>
    <n v="92253"/>
    <x v="1"/>
    <s v="TEC-AC-10003499"/>
    <x v="2"/>
    <x v="11"/>
    <x v="99"/>
    <n v="46.32"/>
  </r>
  <r>
    <n v="2537"/>
    <s v="CA-2016-168746"/>
    <d v="2016-01-27T00:00:00"/>
    <x v="796"/>
    <s v="SLOW"/>
    <s v="Second Class"/>
    <s v="SV-20365"/>
    <s v="Seth Vernon"/>
    <x v="0"/>
    <s v="United States"/>
    <s v="Cleveland"/>
    <x v="24"/>
    <n v="44105"/>
    <x v="3"/>
    <s v="FUR-CH-10000513"/>
    <x v="0"/>
    <x v="1"/>
    <x v="69"/>
    <n v="181.98599999999999"/>
  </r>
  <r>
    <n v="2538"/>
    <s v="CA-2016-168746"/>
    <d v="2016-01-27T00:00:00"/>
    <x v="796"/>
    <s v="SLOW"/>
    <s v="Second Class"/>
    <s v="SV-20365"/>
    <s v="Seth Vernon"/>
    <x v="0"/>
    <s v="United States"/>
    <s v="Cleveland"/>
    <x v="24"/>
    <n v="44105"/>
    <x v="3"/>
    <s v="TEC-PH-10000895"/>
    <x v="2"/>
    <x v="7"/>
    <x v="1118"/>
    <n v="431.976"/>
  </r>
  <r>
    <n v="2539"/>
    <s v="CA-2016-168746"/>
    <d v="2016-01-27T00:00:00"/>
    <x v="796"/>
    <s v="SLOW"/>
    <s v="Second Class"/>
    <s v="SV-20365"/>
    <s v="Seth Vernon"/>
    <x v="0"/>
    <s v="United States"/>
    <s v="Cleveland"/>
    <x v="24"/>
    <n v="44105"/>
    <x v="3"/>
    <s v="TEC-PH-10002555"/>
    <x v="2"/>
    <x v="7"/>
    <x v="1331"/>
    <n v="155.37"/>
  </r>
  <r>
    <n v="2540"/>
    <s v="CA-2016-113404"/>
    <d v="2016-07-16T00:00:00"/>
    <x v="797"/>
    <s v="MODERATE"/>
    <s v="Same Day"/>
    <s v="EM-13810"/>
    <s v="Eleni McCrary"/>
    <x v="1"/>
    <s v="United States"/>
    <s v="San Francisco"/>
    <x v="1"/>
    <n v="94122"/>
    <x v="1"/>
    <s v="FUR-CH-10003312"/>
    <x v="0"/>
    <x v="1"/>
    <x v="294"/>
    <n v="1348.704"/>
  </r>
  <r>
    <n v="2541"/>
    <s v="CA-2016-113404"/>
    <d v="2016-07-16T00:00:00"/>
    <x v="797"/>
    <s v="MODERATE"/>
    <s v="Same Day"/>
    <s v="EM-13810"/>
    <s v="Eleni McCrary"/>
    <x v="1"/>
    <s v="United States"/>
    <s v="San Francisco"/>
    <x v="1"/>
    <n v="94122"/>
    <x v="1"/>
    <s v="FUR-CH-10004086"/>
    <x v="0"/>
    <x v="1"/>
    <x v="279"/>
    <n v="700.15200000000004"/>
  </r>
  <r>
    <n v="2543"/>
    <s v="CA-2015-164385"/>
    <d v="2015-09-26T00:00:00"/>
    <x v="510"/>
    <s v="SLOW"/>
    <s v="Second Class"/>
    <s v="NB-18580"/>
    <s v="Nicole Brennan"/>
    <x v="1"/>
    <s v="United States"/>
    <s v="Philadelphia"/>
    <x v="9"/>
    <n v="19134"/>
    <x v="3"/>
    <s v="OFF-AP-10002191"/>
    <x v="1"/>
    <x v="9"/>
    <x v="793"/>
    <n v="143.952"/>
  </r>
  <r>
    <n v="2544"/>
    <s v="US-2017-114174"/>
    <d v="2017-09-08T00:00:00"/>
    <x v="125"/>
    <s v="FAST"/>
    <s v="Standard Class"/>
    <s v="AP-10720"/>
    <s v="Anne Pryor"/>
    <x v="2"/>
    <s v="United States"/>
    <s v="Malden"/>
    <x v="31"/>
    <n v="2148"/>
    <x v="3"/>
    <s v="FUR-BO-10003450"/>
    <x v="0"/>
    <x v="0"/>
    <x v="1332"/>
    <n v="173.94"/>
  </r>
  <r>
    <n v="2545"/>
    <s v="US-2017-114174"/>
    <d v="2017-09-08T00:00:00"/>
    <x v="125"/>
    <s v="FAST"/>
    <s v="Standard Class"/>
    <s v="AP-10720"/>
    <s v="Anne Pryor"/>
    <x v="2"/>
    <s v="United States"/>
    <s v="Malden"/>
    <x v="31"/>
    <n v="2148"/>
    <x v="3"/>
    <s v="OFF-LA-10000248"/>
    <x v="1"/>
    <x v="2"/>
    <x v="1201"/>
    <n v="14.76"/>
  </r>
  <r>
    <n v="2546"/>
    <s v="CA-2018-108070"/>
    <d v="2018-04-16T00:00:00"/>
    <x v="4"/>
    <s v="FAST"/>
    <s v="Standard Class"/>
    <s v="JE-15745"/>
    <s v="Joel Eaton"/>
    <x v="0"/>
    <s v="United States"/>
    <s v="San Jose"/>
    <x v="1"/>
    <n v="95123"/>
    <x v="1"/>
    <s v="OFF-ST-10004804"/>
    <x v="1"/>
    <x v="4"/>
    <x v="228"/>
    <n v="205.92"/>
  </r>
  <r>
    <n v="2547"/>
    <s v="CA-2018-108070"/>
    <d v="2018-04-16T00:00:00"/>
    <x v="4"/>
    <s v="FAST"/>
    <s v="Standard Class"/>
    <s v="JE-15745"/>
    <s v="Joel Eaton"/>
    <x v="0"/>
    <s v="United States"/>
    <s v="San Jose"/>
    <x v="1"/>
    <n v="95123"/>
    <x v="1"/>
    <s v="FUR-BO-10001337"/>
    <x v="0"/>
    <x v="0"/>
    <x v="420"/>
    <n v="102.833"/>
  </r>
  <r>
    <n v="2548"/>
    <s v="US-2016-128090"/>
    <d v="2016-08-16T00:00:00"/>
    <x v="798"/>
    <s v="FAST"/>
    <s v="Standard Class"/>
    <s v="JM-15865"/>
    <s v="John Murray"/>
    <x v="0"/>
    <s v="United States"/>
    <s v="Phoenix"/>
    <x v="16"/>
    <n v="85023"/>
    <x v="1"/>
    <s v="OFF-AR-10002255"/>
    <x v="1"/>
    <x v="6"/>
    <x v="807"/>
    <n v="2.303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34425-C1EA-49E4-90F4-56E75050E46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8:B11" firstHeaderRow="1" firstDataRow="1" firstDataCol="1"/>
  <pivotFields count="22">
    <pivotField showAll="0"/>
    <pivotField showAll="0"/>
    <pivotField numFmtId="14" showAll="0"/>
    <pivotField numFmtId="14" showAll="0">
      <items count="800">
        <item x="295"/>
        <item x="612"/>
        <item x="243"/>
        <item x="286"/>
        <item x="303"/>
        <item x="662"/>
        <item x="383"/>
        <item x="435"/>
        <item x="223"/>
        <item x="553"/>
        <item x="559"/>
        <item x="681"/>
        <item x="334"/>
        <item x="188"/>
        <item x="501"/>
        <item x="568"/>
        <item x="69"/>
        <item x="231"/>
        <item x="447"/>
        <item x="450"/>
        <item x="558"/>
        <item x="699"/>
        <item x="656"/>
        <item x="246"/>
        <item x="756"/>
        <item x="506"/>
        <item x="85"/>
        <item x="614"/>
        <item x="774"/>
        <item x="728"/>
        <item x="515"/>
        <item x="283"/>
        <item x="520"/>
        <item x="566"/>
        <item x="341"/>
        <item x="138"/>
        <item x="166"/>
        <item x="529"/>
        <item x="451"/>
        <item x="610"/>
        <item x="615"/>
        <item x="350"/>
        <item x="562"/>
        <item x="448"/>
        <item x="502"/>
        <item x="8"/>
        <item x="226"/>
        <item x="611"/>
        <item x="304"/>
        <item x="706"/>
        <item x="633"/>
        <item x="395"/>
        <item x="247"/>
        <item x="630"/>
        <item x="495"/>
        <item x="412"/>
        <item x="103"/>
        <item x="288"/>
        <item x="608"/>
        <item x="160"/>
        <item x="626"/>
        <item x="199"/>
        <item x="3"/>
        <item x="338"/>
        <item x="643"/>
        <item x="363"/>
        <item x="787"/>
        <item x="277"/>
        <item x="635"/>
        <item x="174"/>
        <item x="430"/>
        <item x="739"/>
        <item x="323"/>
        <item x="491"/>
        <item x="285"/>
        <item x="276"/>
        <item x="405"/>
        <item x="462"/>
        <item x="136"/>
        <item x="700"/>
        <item x="720"/>
        <item x="651"/>
        <item x="150"/>
        <item x="752"/>
        <item x="714"/>
        <item x="89"/>
        <item x="768"/>
        <item x="336"/>
        <item x="74"/>
        <item x="535"/>
        <item x="244"/>
        <item x="127"/>
        <item x="594"/>
        <item x="759"/>
        <item x="688"/>
        <item x="750"/>
        <item x="54"/>
        <item x="590"/>
        <item x="82"/>
        <item x="9"/>
        <item x="658"/>
        <item x="446"/>
        <item x="791"/>
        <item x="477"/>
        <item x="73"/>
        <item x="177"/>
        <item x="357"/>
        <item x="368"/>
        <item x="100"/>
        <item x="232"/>
        <item x="75"/>
        <item x="109"/>
        <item x="159"/>
        <item x="130"/>
        <item x="58"/>
        <item x="313"/>
        <item x="147"/>
        <item x="510"/>
        <item x="126"/>
        <item x="620"/>
        <item x="702"/>
        <item x="507"/>
        <item x="196"/>
        <item x="291"/>
        <item x="320"/>
        <item x="36"/>
        <item x="578"/>
        <item x="676"/>
        <item x="655"/>
        <item x="21"/>
        <item x="64"/>
        <item x="794"/>
        <item x="198"/>
        <item x="689"/>
        <item x="319"/>
        <item x="129"/>
        <item x="192"/>
        <item x="646"/>
        <item x="389"/>
        <item x="722"/>
        <item x="7"/>
        <item x="777"/>
        <item x="682"/>
        <item x="792"/>
        <item x="786"/>
        <item x="80"/>
        <item x="571"/>
        <item x="157"/>
        <item x="679"/>
        <item x="694"/>
        <item x="456"/>
        <item x="34"/>
        <item x="587"/>
        <item x="543"/>
        <item x="282"/>
        <item x="691"/>
        <item x="545"/>
        <item x="79"/>
        <item x="28"/>
        <item x="365"/>
        <item x="621"/>
        <item x="466"/>
        <item x="343"/>
        <item x="353"/>
        <item x="708"/>
        <item x="572"/>
        <item x="547"/>
        <item x="443"/>
        <item x="181"/>
        <item x="165"/>
        <item x="57"/>
        <item x="472"/>
        <item x="128"/>
        <item x="251"/>
        <item x="299"/>
        <item x="751"/>
        <item x="123"/>
        <item x="95"/>
        <item x="592"/>
        <item x="190"/>
        <item x="685"/>
        <item x="796"/>
        <item x="598"/>
        <item x="43"/>
        <item x="638"/>
        <item x="94"/>
        <item x="732"/>
        <item x="619"/>
        <item x="99"/>
        <item x="654"/>
        <item x="55"/>
        <item x="436"/>
        <item x="740"/>
        <item x="391"/>
        <item x="738"/>
        <item x="684"/>
        <item x="565"/>
        <item x="588"/>
        <item x="205"/>
        <item x="322"/>
        <item x="569"/>
        <item x="210"/>
        <item x="579"/>
        <item x="417"/>
        <item x="393"/>
        <item x="278"/>
        <item x="441"/>
        <item x="414"/>
        <item x="56"/>
        <item x="281"/>
        <item x="366"/>
        <item x="690"/>
        <item x="418"/>
        <item x="23"/>
        <item x="743"/>
        <item x="351"/>
        <item x="32"/>
        <item x="401"/>
        <item x="27"/>
        <item x="530"/>
        <item x="122"/>
        <item x="677"/>
        <item x="442"/>
        <item x="536"/>
        <item x="279"/>
        <item x="672"/>
        <item x="308"/>
        <item x="483"/>
        <item x="505"/>
        <item x="67"/>
        <item x="68"/>
        <item x="628"/>
        <item x="408"/>
        <item x="496"/>
        <item x="402"/>
        <item x="686"/>
        <item x="577"/>
        <item x="137"/>
        <item x="154"/>
        <item x="311"/>
        <item x="649"/>
        <item x="788"/>
        <item x="413"/>
        <item x="480"/>
        <item x="241"/>
        <item x="400"/>
        <item x="770"/>
        <item x="618"/>
        <item x="596"/>
        <item x="797"/>
        <item x="531"/>
        <item x="642"/>
        <item x="374"/>
        <item x="420"/>
        <item x="115"/>
        <item x="716"/>
        <item x="550"/>
        <item x="746"/>
        <item x="574"/>
        <item x="98"/>
        <item x="533"/>
        <item x="798"/>
        <item x="306"/>
        <item x="453"/>
        <item x="721"/>
        <item x="268"/>
        <item x="398"/>
        <item x="482"/>
        <item x="755"/>
        <item x="135"/>
        <item x="302"/>
        <item x="215"/>
        <item x="37"/>
        <item x="607"/>
        <item x="63"/>
        <item x="239"/>
        <item x="458"/>
        <item x="730"/>
        <item x="627"/>
        <item x="399"/>
        <item x="14"/>
        <item x="237"/>
        <item x="487"/>
        <item x="537"/>
        <item x="117"/>
        <item x="589"/>
        <item x="12"/>
        <item x="733"/>
        <item x="118"/>
        <item x="307"/>
        <item x="485"/>
        <item x="687"/>
        <item x="255"/>
        <item x="347"/>
        <item x="83"/>
        <item x="525"/>
        <item x="332"/>
        <item x="2"/>
        <item x="51"/>
        <item x="452"/>
        <item x="696"/>
        <item x="703"/>
        <item x="665"/>
        <item x="449"/>
        <item x="396"/>
        <item x="163"/>
        <item x="744"/>
        <item x="84"/>
        <item x="544"/>
        <item x="216"/>
        <item x="556"/>
        <item x="680"/>
        <item x="664"/>
        <item x="111"/>
        <item x="49"/>
        <item x="764"/>
        <item x="584"/>
        <item x="77"/>
        <item x="330"/>
        <item x="6"/>
        <item x="560"/>
        <item x="616"/>
        <item x="698"/>
        <item x="26"/>
        <item x="380"/>
        <item x="155"/>
        <item x="252"/>
        <item x="106"/>
        <item x="725"/>
        <item x="156"/>
        <item x="221"/>
        <item x="233"/>
        <item x="762"/>
        <item x="222"/>
        <item x="387"/>
        <item x="428"/>
        <item x="629"/>
        <item x="310"/>
        <item x="372"/>
        <item x="734"/>
        <item x="78"/>
        <item x="602"/>
        <item x="189"/>
        <item x="225"/>
        <item x="139"/>
        <item x="601"/>
        <item x="314"/>
        <item x="97"/>
        <item x="513"/>
        <item x="692"/>
        <item x="16"/>
        <item x="213"/>
        <item x="748"/>
        <item x="657"/>
        <item x="707"/>
        <item x="339"/>
        <item x="711"/>
        <item x="404"/>
        <item x="13"/>
        <item x="345"/>
        <item x="112"/>
        <item x="516"/>
        <item x="604"/>
        <item x="632"/>
        <item x="625"/>
        <item x="289"/>
        <item x="631"/>
        <item x="464"/>
        <item x="335"/>
        <item x="753"/>
        <item x="573"/>
        <item x="425"/>
        <item x="597"/>
        <item x="364"/>
        <item x="329"/>
        <item x="20"/>
        <item x="534"/>
        <item x="66"/>
        <item x="317"/>
        <item x="754"/>
        <item x="583"/>
        <item x="201"/>
        <item x="296"/>
        <item x="763"/>
        <item x="242"/>
        <item x="593"/>
        <item x="269"/>
        <item x="508"/>
        <item x="497"/>
        <item x="186"/>
        <item x="263"/>
        <item x="298"/>
        <item x="41"/>
        <item x="359"/>
        <item x="143"/>
        <item x="678"/>
        <item x="437"/>
        <item x="228"/>
        <item x="171"/>
        <item x="576"/>
        <item x="179"/>
        <item x="772"/>
        <item x="582"/>
        <item x="519"/>
        <item x="407"/>
        <item x="131"/>
        <item x="144"/>
        <item x="134"/>
        <item x="248"/>
        <item x="421"/>
        <item x="600"/>
        <item x="710"/>
        <item x="476"/>
        <item x="586"/>
        <item x="760"/>
        <item x="717"/>
        <item x="71"/>
        <item x="581"/>
        <item x="200"/>
        <item x="564"/>
        <item x="575"/>
        <item x="312"/>
        <item x="660"/>
        <item x="212"/>
        <item x="305"/>
        <item x="257"/>
        <item x="475"/>
        <item x="499"/>
        <item x="527"/>
        <item x="386"/>
        <item x="218"/>
        <item x="203"/>
        <item x="29"/>
        <item x="180"/>
        <item x="102"/>
        <item x="110"/>
        <item x="182"/>
        <item x="35"/>
        <item x="1"/>
        <item x="431"/>
        <item x="25"/>
        <item x="373"/>
        <item x="489"/>
        <item x="561"/>
        <item x="370"/>
        <item x="22"/>
        <item x="673"/>
        <item x="695"/>
        <item x="595"/>
        <item x="195"/>
        <item x="479"/>
        <item x="444"/>
        <item x="667"/>
        <item x="623"/>
        <item x="292"/>
        <item x="521"/>
        <item x="605"/>
        <item x="219"/>
        <item x="224"/>
        <item x="460"/>
        <item x="193"/>
        <item x="245"/>
        <item x="18"/>
        <item x="637"/>
        <item x="434"/>
        <item x="327"/>
        <item x="202"/>
        <item x="715"/>
        <item x="613"/>
        <item x="624"/>
        <item x="426"/>
        <item x="609"/>
        <item x="427"/>
        <item x="256"/>
        <item x="316"/>
        <item x="394"/>
        <item x="266"/>
        <item x="650"/>
        <item x="133"/>
        <item x="47"/>
        <item x="142"/>
        <item x="381"/>
        <item x="342"/>
        <item x="478"/>
        <item x="61"/>
        <item x="410"/>
        <item x="164"/>
        <item x="46"/>
        <item x="719"/>
        <item x="249"/>
        <item x="125"/>
        <item x="105"/>
        <item x="267"/>
        <item x="367"/>
        <item x="683"/>
        <item x="42"/>
        <item x="30"/>
        <item x="749"/>
        <item x="758"/>
        <item x="423"/>
        <item x="151"/>
        <item x="340"/>
        <item x="766"/>
        <item x="727"/>
        <item x="356"/>
        <item x="388"/>
        <item x="647"/>
        <item x="542"/>
        <item x="60"/>
        <item x="548"/>
        <item x="148"/>
        <item x="207"/>
        <item x="349"/>
        <item x="433"/>
        <item x="463"/>
        <item x="153"/>
        <item x="96"/>
        <item x="194"/>
        <item x="120"/>
        <item x="270"/>
        <item x="518"/>
        <item x="779"/>
        <item x="236"/>
        <item x="280"/>
        <item x="331"/>
        <item x="53"/>
        <item x="0"/>
        <item x="355"/>
        <item x="440"/>
        <item x="617"/>
        <item x="397"/>
        <item x="422"/>
        <item x="72"/>
        <item x="406"/>
        <item x="789"/>
        <item x="70"/>
        <item x="538"/>
        <item x="481"/>
        <item x="532"/>
        <item x="723"/>
        <item x="416"/>
        <item x="81"/>
        <item x="48"/>
        <item x="454"/>
        <item x="294"/>
        <item x="438"/>
        <item x="541"/>
        <item x="65"/>
        <item x="5"/>
        <item x="439"/>
        <item x="484"/>
        <item x="10"/>
        <item x="104"/>
        <item x="264"/>
        <item x="24"/>
        <item x="290"/>
        <item x="119"/>
        <item x="258"/>
        <item x="490"/>
        <item x="745"/>
        <item x="486"/>
        <item x="469"/>
        <item x="524"/>
        <item x="769"/>
        <item x="504"/>
        <item x="333"/>
        <item x="385"/>
        <item x="742"/>
        <item x="704"/>
        <item x="455"/>
        <item x="640"/>
        <item x="184"/>
        <item x="211"/>
        <item x="429"/>
        <item x="209"/>
        <item x="713"/>
        <item x="522"/>
        <item x="59"/>
        <item x="492"/>
        <item x="735"/>
        <item x="757"/>
        <item x="554"/>
        <item x="636"/>
        <item x="315"/>
        <item x="457"/>
        <item x="693"/>
        <item x="493"/>
        <item x="173"/>
        <item x="145"/>
        <item x="514"/>
        <item x="668"/>
        <item x="468"/>
        <item x="670"/>
        <item x="712"/>
        <item x="309"/>
        <item x="780"/>
        <item x="274"/>
        <item x="539"/>
        <item x="185"/>
        <item x="761"/>
        <item x="645"/>
        <item x="701"/>
        <item x="653"/>
        <item x="503"/>
        <item x="191"/>
        <item x="709"/>
        <item x="375"/>
        <item x="382"/>
        <item x="101"/>
        <item x="337"/>
        <item x="124"/>
        <item x="648"/>
        <item x="4"/>
        <item x="555"/>
        <item x="318"/>
        <item x="76"/>
        <item x="731"/>
        <item x="432"/>
        <item x="603"/>
        <item x="663"/>
        <item x="591"/>
        <item x="793"/>
        <item x="783"/>
        <item x="509"/>
        <item x="675"/>
        <item x="580"/>
        <item x="321"/>
        <item x="644"/>
        <item x="378"/>
        <item x="773"/>
        <item x="465"/>
        <item x="253"/>
        <item x="284"/>
        <item x="392"/>
        <item x="39"/>
        <item x="775"/>
        <item x="149"/>
        <item x="741"/>
        <item x="500"/>
        <item x="91"/>
        <item x="474"/>
        <item x="271"/>
        <item x="570"/>
        <item x="108"/>
        <item x="197"/>
        <item x="260"/>
        <item x="528"/>
        <item x="140"/>
        <item x="45"/>
        <item x="326"/>
        <item x="272"/>
        <item x="265"/>
        <item x="585"/>
        <item x="354"/>
        <item x="324"/>
        <item x="170"/>
        <item x="88"/>
        <item x="567"/>
        <item x="551"/>
        <item x="352"/>
        <item x="230"/>
        <item x="445"/>
        <item x="161"/>
        <item x="661"/>
        <item x="488"/>
        <item x="471"/>
        <item x="776"/>
        <item x="512"/>
        <item x="141"/>
        <item x="87"/>
        <item x="729"/>
        <item x="384"/>
        <item x="11"/>
        <item x="697"/>
        <item x="778"/>
        <item x="261"/>
        <item x="238"/>
        <item x="300"/>
        <item x="606"/>
        <item x="639"/>
        <item x="259"/>
        <item x="459"/>
        <item x="726"/>
        <item x="634"/>
        <item x="526"/>
        <item x="671"/>
        <item x="718"/>
        <item x="765"/>
        <item x="795"/>
        <item x="666"/>
        <item x="781"/>
        <item x="552"/>
        <item x="175"/>
        <item x="325"/>
        <item x="344"/>
        <item x="622"/>
        <item x="152"/>
        <item x="785"/>
        <item x="557"/>
        <item x="369"/>
        <item x="361"/>
        <item x="220"/>
        <item x="641"/>
        <item x="217"/>
        <item x="229"/>
        <item x="461"/>
        <item x="17"/>
        <item x="31"/>
        <item x="183"/>
        <item x="293"/>
        <item x="301"/>
        <item x="19"/>
        <item x="705"/>
        <item x="424"/>
        <item x="254"/>
        <item x="473"/>
        <item x="287"/>
        <item x="419"/>
        <item x="146"/>
        <item x="724"/>
        <item x="390"/>
        <item x="297"/>
        <item x="178"/>
        <item x="494"/>
        <item x="767"/>
        <item x="736"/>
        <item x="599"/>
        <item x="517"/>
        <item x="411"/>
        <item x="116"/>
        <item x="498"/>
        <item x="162"/>
        <item x="563"/>
        <item x="659"/>
        <item x="15"/>
        <item x="187"/>
        <item x="511"/>
        <item x="214"/>
        <item x="470"/>
        <item x="358"/>
        <item x="40"/>
        <item x="546"/>
        <item x="275"/>
        <item x="132"/>
        <item x="371"/>
        <item x="169"/>
        <item x="747"/>
        <item x="172"/>
        <item x="328"/>
        <item x="44"/>
        <item x="86"/>
        <item x="771"/>
        <item x="204"/>
        <item x="38"/>
        <item x="250"/>
        <item x="549"/>
        <item x="379"/>
        <item x="540"/>
        <item x="409"/>
        <item x="227"/>
        <item x="121"/>
        <item x="652"/>
        <item x="176"/>
        <item x="206"/>
        <item x="50"/>
        <item x="362"/>
        <item x="523"/>
        <item x="669"/>
        <item x="346"/>
        <item x="107"/>
        <item x="377"/>
        <item x="240"/>
        <item x="790"/>
        <item x="93"/>
        <item x="273"/>
        <item x="782"/>
        <item x="234"/>
        <item x="33"/>
        <item x="168"/>
        <item x="113"/>
        <item x="92"/>
        <item x="158"/>
        <item x="415"/>
        <item x="403"/>
        <item x="90"/>
        <item x="348"/>
        <item x="467"/>
        <item x="208"/>
        <item x="737"/>
        <item x="62"/>
        <item x="674"/>
        <item x="167"/>
        <item x="52"/>
        <item x="784"/>
        <item x="376"/>
        <item x="114"/>
        <item x="360"/>
        <item x="235"/>
        <item x="262"/>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5"/>
  </rowFields>
  <rowItems count="3">
    <i>
      <x/>
    </i>
    <i>
      <x v="1"/>
    </i>
    <i>
      <x v="2"/>
    </i>
  </rowItems>
  <colItems count="1">
    <i/>
  </colItems>
  <dataFields count="1">
    <dataField name="Sum of Sales" fld="18" baseField="0" baseItem="0" numFmtId="165"/>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9C4312-FBD4-42FE-A498-FE71CCCDBC0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6:B16" firstHeaderRow="1" firstDataRow="1" firstDataCol="1"/>
  <pivotFields count="22">
    <pivotField dataField="1" showAll="0"/>
    <pivotField showAll="0"/>
    <pivotField numFmtId="14" showAll="0"/>
    <pivotField numFmtId="14" showAll="0">
      <items count="800">
        <item x="295"/>
        <item x="612"/>
        <item x="243"/>
        <item x="286"/>
        <item x="303"/>
        <item x="662"/>
        <item x="383"/>
        <item x="435"/>
        <item x="223"/>
        <item x="553"/>
        <item x="559"/>
        <item x="681"/>
        <item x="334"/>
        <item x="188"/>
        <item x="501"/>
        <item x="568"/>
        <item x="69"/>
        <item x="231"/>
        <item x="447"/>
        <item x="450"/>
        <item x="558"/>
        <item x="699"/>
        <item x="656"/>
        <item x="246"/>
        <item x="756"/>
        <item x="506"/>
        <item x="85"/>
        <item x="614"/>
        <item x="774"/>
        <item x="728"/>
        <item x="515"/>
        <item x="283"/>
        <item x="520"/>
        <item x="566"/>
        <item x="341"/>
        <item x="138"/>
        <item x="166"/>
        <item x="529"/>
        <item x="451"/>
        <item x="610"/>
        <item x="615"/>
        <item x="350"/>
        <item x="562"/>
        <item x="448"/>
        <item x="502"/>
        <item x="8"/>
        <item x="226"/>
        <item x="611"/>
        <item x="304"/>
        <item x="706"/>
        <item x="633"/>
        <item x="395"/>
        <item x="247"/>
        <item x="630"/>
        <item x="495"/>
        <item x="412"/>
        <item x="103"/>
        <item x="288"/>
        <item x="608"/>
        <item x="160"/>
        <item x="626"/>
        <item x="199"/>
        <item x="3"/>
        <item x="338"/>
        <item x="643"/>
        <item x="363"/>
        <item x="787"/>
        <item x="277"/>
        <item x="635"/>
        <item x="174"/>
        <item x="430"/>
        <item x="739"/>
        <item x="323"/>
        <item x="491"/>
        <item x="285"/>
        <item x="276"/>
        <item x="405"/>
        <item x="462"/>
        <item x="136"/>
        <item x="700"/>
        <item x="720"/>
        <item x="651"/>
        <item x="150"/>
        <item x="752"/>
        <item x="714"/>
        <item x="89"/>
        <item x="768"/>
        <item x="336"/>
        <item x="74"/>
        <item x="535"/>
        <item x="244"/>
        <item x="127"/>
        <item x="594"/>
        <item x="759"/>
        <item x="688"/>
        <item x="750"/>
        <item x="54"/>
        <item x="590"/>
        <item x="82"/>
        <item x="9"/>
        <item x="658"/>
        <item x="446"/>
        <item x="791"/>
        <item x="477"/>
        <item x="73"/>
        <item x="177"/>
        <item x="357"/>
        <item x="368"/>
        <item x="100"/>
        <item x="232"/>
        <item x="75"/>
        <item x="109"/>
        <item x="159"/>
        <item x="130"/>
        <item x="58"/>
        <item x="313"/>
        <item x="147"/>
        <item x="510"/>
        <item x="126"/>
        <item x="620"/>
        <item x="702"/>
        <item x="507"/>
        <item x="196"/>
        <item x="291"/>
        <item x="320"/>
        <item x="36"/>
        <item x="578"/>
        <item x="676"/>
        <item x="655"/>
        <item x="21"/>
        <item x="64"/>
        <item x="794"/>
        <item x="198"/>
        <item x="689"/>
        <item x="319"/>
        <item x="129"/>
        <item x="192"/>
        <item x="646"/>
        <item x="389"/>
        <item x="722"/>
        <item x="7"/>
        <item x="777"/>
        <item x="682"/>
        <item x="792"/>
        <item x="786"/>
        <item x="80"/>
        <item x="571"/>
        <item x="157"/>
        <item x="679"/>
        <item x="694"/>
        <item x="456"/>
        <item x="34"/>
        <item x="587"/>
        <item x="543"/>
        <item x="282"/>
        <item x="691"/>
        <item x="545"/>
        <item x="79"/>
        <item x="28"/>
        <item x="365"/>
        <item x="621"/>
        <item x="466"/>
        <item x="343"/>
        <item x="353"/>
        <item x="708"/>
        <item x="572"/>
        <item x="547"/>
        <item x="443"/>
        <item x="181"/>
        <item x="165"/>
        <item x="57"/>
        <item x="472"/>
        <item x="128"/>
        <item x="251"/>
        <item x="299"/>
        <item x="751"/>
        <item x="123"/>
        <item x="95"/>
        <item x="592"/>
        <item x="190"/>
        <item x="685"/>
        <item x="796"/>
        <item x="598"/>
        <item x="43"/>
        <item x="638"/>
        <item x="94"/>
        <item x="732"/>
        <item x="619"/>
        <item x="99"/>
        <item x="654"/>
        <item x="55"/>
        <item x="436"/>
        <item x="740"/>
        <item x="391"/>
        <item x="738"/>
        <item x="684"/>
        <item x="565"/>
        <item x="588"/>
        <item x="205"/>
        <item x="322"/>
        <item x="569"/>
        <item x="210"/>
        <item x="579"/>
        <item x="417"/>
        <item x="393"/>
        <item x="278"/>
        <item x="441"/>
        <item x="414"/>
        <item x="56"/>
        <item x="281"/>
        <item x="366"/>
        <item x="690"/>
        <item x="418"/>
        <item x="23"/>
        <item x="743"/>
        <item x="351"/>
        <item x="32"/>
        <item x="401"/>
        <item x="27"/>
        <item x="530"/>
        <item x="122"/>
        <item x="677"/>
        <item x="442"/>
        <item x="536"/>
        <item x="279"/>
        <item x="672"/>
        <item x="308"/>
        <item x="483"/>
        <item x="505"/>
        <item x="67"/>
        <item x="68"/>
        <item x="628"/>
        <item x="408"/>
        <item x="496"/>
        <item x="402"/>
        <item x="686"/>
        <item x="577"/>
        <item x="137"/>
        <item x="154"/>
        <item x="311"/>
        <item x="649"/>
        <item x="788"/>
        <item x="413"/>
        <item x="480"/>
        <item x="241"/>
        <item x="400"/>
        <item x="770"/>
        <item x="618"/>
        <item x="596"/>
        <item x="797"/>
        <item x="531"/>
        <item x="642"/>
        <item x="374"/>
        <item x="420"/>
        <item x="115"/>
        <item x="716"/>
        <item x="550"/>
        <item x="746"/>
        <item x="574"/>
        <item x="98"/>
        <item x="533"/>
        <item x="798"/>
        <item x="306"/>
        <item x="453"/>
        <item x="721"/>
        <item x="268"/>
        <item x="398"/>
        <item x="482"/>
        <item x="755"/>
        <item x="135"/>
        <item x="302"/>
        <item x="215"/>
        <item x="37"/>
        <item x="607"/>
        <item x="63"/>
        <item x="239"/>
        <item x="458"/>
        <item x="730"/>
        <item x="627"/>
        <item x="399"/>
        <item x="14"/>
        <item x="237"/>
        <item x="487"/>
        <item x="537"/>
        <item x="117"/>
        <item x="589"/>
        <item x="12"/>
        <item x="733"/>
        <item x="118"/>
        <item x="307"/>
        <item x="485"/>
        <item x="687"/>
        <item x="255"/>
        <item x="347"/>
        <item x="83"/>
        <item x="525"/>
        <item x="332"/>
        <item x="2"/>
        <item x="51"/>
        <item x="452"/>
        <item x="696"/>
        <item x="703"/>
        <item x="665"/>
        <item x="449"/>
        <item x="396"/>
        <item x="163"/>
        <item x="744"/>
        <item x="84"/>
        <item x="544"/>
        <item x="216"/>
        <item x="556"/>
        <item x="680"/>
        <item x="664"/>
        <item x="111"/>
        <item x="49"/>
        <item x="764"/>
        <item x="584"/>
        <item x="77"/>
        <item x="330"/>
        <item x="6"/>
        <item x="560"/>
        <item x="616"/>
        <item x="698"/>
        <item x="26"/>
        <item x="380"/>
        <item x="155"/>
        <item x="252"/>
        <item x="106"/>
        <item x="725"/>
        <item x="156"/>
        <item x="221"/>
        <item x="233"/>
        <item x="762"/>
        <item x="222"/>
        <item x="387"/>
        <item x="428"/>
        <item x="629"/>
        <item x="310"/>
        <item x="372"/>
        <item x="734"/>
        <item x="78"/>
        <item x="602"/>
        <item x="189"/>
        <item x="225"/>
        <item x="139"/>
        <item x="601"/>
        <item x="314"/>
        <item x="97"/>
        <item x="513"/>
        <item x="692"/>
        <item x="16"/>
        <item x="213"/>
        <item x="748"/>
        <item x="657"/>
        <item x="707"/>
        <item x="339"/>
        <item x="711"/>
        <item x="404"/>
        <item x="13"/>
        <item x="345"/>
        <item x="112"/>
        <item x="516"/>
        <item x="604"/>
        <item x="632"/>
        <item x="625"/>
        <item x="289"/>
        <item x="631"/>
        <item x="464"/>
        <item x="335"/>
        <item x="753"/>
        <item x="573"/>
        <item x="425"/>
        <item x="597"/>
        <item x="364"/>
        <item x="329"/>
        <item x="20"/>
        <item x="534"/>
        <item x="66"/>
        <item x="317"/>
        <item x="754"/>
        <item x="583"/>
        <item x="201"/>
        <item x="296"/>
        <item x="763"/>
        <item x="242"/>
        <item x="593"/>
        <item x="269"/>
        <item x="508"/>
        <item x="497"/>
        <item x="186"/>
        <item x="263"/>
        <item x="298"/>
        <item x="41"/>
        <item x="359"/>
        <item x="143"/>
        <item x="678"/>
        <item x="437"/>
        <item x="228"/>
        <item x="171"/>
        <item x="576"/>
        <item x="179"/>
        <item x="772"/>
        <item x="582"/>
        <item x="519"/>
        <item x="407"/>
        <item x="131"/>
        <item x="144"/>
        <item x="134"/>
        <item x="248"/>
        <item x="421"/>
        <item x="600"/>
        <item x="710"/>
        <item x="476"/>
        <item x="586"/>
        <item x="760"/>
        <item x="717"/>
        <item x="71"/>
        <item x="581"/>
        <item x="200"/>
        <item x="564"/>
        <item x="575"/>
        <item x="312"/>
        <item x="660"/>
        <item x="212"/>
        <item x="305"/>
        <item x="257"/>
        <item x="475"/>
        <item x="499"/>
        <item x="527"/>
        <item x="386"/>
        <item x="218"/>
        <item x="203"/>
        <item x="29"/>
        <item x="180"/>
        <item x="102"/>
        <item x="110"/>
        <item x="182"/>
        <item x="35"/>
        <item x="1"/>
        <item x="431"/>
        <item x="25"/>
        <item x="373"/>
        <item x="489"/>
        <item x="561"/>
        <item x="370"/>
        <item x="22"/>
        <item x="673"/>
        <item x="695"/>
        <item x="595"/>
        <item x="195"/>
        <item x="479"/>
        <item x="444"/>
        <item x="667"/>
        <item x="623"/>
        <item x="292"/>
        <item x="521"/>
        <item x="605"/>
        <item x="219"/>
        <item x="224"/>
        <item x="460"/>
        <item x="193"/>
        <item x="245"/>
        <item x="18"/>
        <item x="637"/>
        <item x="434"/>
        <item x="327"/>
        <item x="202"/>
        <item x="715"/>
        <item x="613"/>
        <item x="624"/>
        <item x="426"/>
        <item x="609"/>
        <item x="427"/>
        <item x="256"/>
        <item x="316"/>
        <item x="394"/>
        <item x="266"/>
        <item x="650"/>
        <item x="133"/>
        <item x="47"/>
        <item x="142"/>
        <item x="381"/>
        <item x="342"/>
        <item x="478"/>
        <item x="61"/>
        <item x="410"/>
        <item x="164"/>
        <item x="46"/>
        <item x="719"/>
        <item x="249"/>
        <item x="125"/>
        <item x="105"/>
        <item x="267"/>
        <item x="367"/>
        <item x="683"/>
        <item x="42"/>
        <item x="30"/>
        <item x="749"/>
        <item x="758"/>
        <item x="423"/>
        <item x="151"/>
        <item x="340"/>
        <item x="766"/>
        <item x="727"/>
        <item x="356"/>
        <item x="388"/>
        <item x="647"/>
        <item x="542"/>
        <item x="60"/>
        <item x="548"/>
        <item x="148"/>
        <item x="207"/>
        <item x="349"/>
        <item x="433"/>
        <item x="463"/>
        <item x="153"/>
        <item x="96"/>
        <item x="194"/>
        <item x="120"/>
        <item x="270"/>
        <item x="518"/>
        <item x="779"/>
        <item x="236"/>
        <item x="280"/>
        <item x="331"/>
        <item x="53"/>
        <item x="0"/>
        <item x="355"/>
        <item x="440"/>
        <item x="617"/>
        <item x="397"/>
        <item x="422"/>
        <item x="72"/>
        <item x="406"/>
        <item x="789"/>
        <item x="70"/>
        <item x="538"/>
        <item x="481"/>
        <item x="532"/>
        <item x="723"/>
        <item x="416"/>
        <item x="81"/>
        <item x="48"/>
        <item x="454"/>
        <item x="294"/>
        <item x="438"/>
        <item x="541"/>
        <item x="65"/>
        <item x="5"/>
        <item x="439"/>
        <item x="484"/>
        <item x="10"/>
        <item x="104"/>
        <item x="264"/>
        <item x="24"/>
        <item x="290"/>
        <item x="119"/>
        <item x="258"/>
        <item x="490"/>
        <item x="745"/>
        <item x="486"/>
        <item x="469"/>
        <item x="524"/>
        <item x="769"/>
        <item x="504"/>
        <item x="333"/>
        <item x="385"/>
        <item x="742"/>
        <item x="704"/>
        <item x="455"/>
        <item x="640"/>
        <item x="184"/>
        <item x="211"/>
        <item x="429"/>
        <item x="209"/>
        <item x="713"/>
        <item x="522"/>
        <item x="59"/>
        <item x="492"/>
        <item x="735"/>
        <item x="757"/>
        <item x="554"/>
        <item x="636"/>
        <item x="315"/>
        <item x="457"/>
        <item x="693"/>
        <item x="493"/>
        <item x="173"/>
        <item x="145"/>
        <item x="514"/>
        <item x="668"/>
        <item x="468"/>
        <item x="670"/>
        <item x="712"/>
        <item x="309"/>
        <item x="780"/>
        <item x="274"/>
        <item x="539"/>
        <item x="185"/>
        <item x="761"/>
        <item x="645"/>
        <item x="701"/>
        <item x="653"/>
        <item x="503"/>
        <item x="191"/>
        <item x="709"/>
        <item x="375"/>
        <item x="382"/>
        <item x="101"/>
        <item x="337"/>
        <item x="124"/>
        <item x="648"/>
        <item x="4"/>
        <item x="555"/>
        <item x="318"/>
        <item x="76"/>
        <item x="731"/>
        <item x="432"/>
        <item x="603"/>
        <item x="663"/>
        <item x="591"/>
        <item x="793"/>
        <item x="783"/>
        <item x="509"/>
        <item x="675"/>
        <item x="580"/>
        <item x="321"/>
        <item x="644"/>
        <item x="378"/>
        <item x="773"/>
        <item x="465"/>
        <item x="253"/>
        <item x="284"/>
        <item x="392"/>
        <item x="39"/>
        <item x="775"/>
        <item x="149"/>
        <item x="741"/>
        <item x="500"/>
        <item x="91"/>
        <item x="474"/>
        <item x="271"/>
        <item x="570"/>
        <item x="108"/>
        <item x="197"/>
        <item x="260"/>
        <item x="528"/>
        <item x="140"/>
        <item x="45"/>
        <item x="326"/>
        <item x="272"/>
        <item x="265"/>
        <item x="585"/>
        <item x="354"/>
        <item x="324"/>
        <item x="170"/>
        <item x="88"/>
        <item x="567"/>
        <item x="551"/>
        <item x="352"/>
        <item x="230"/>
        <item x="445"/>
        <item x="161"/>
        <item x="661"/>
        <item x="488"/>
        <item x="471"/>
        <item x="776"/>
        <item x="512"/>
        <item x="141"/>
        <item x="87"/>
        <item x="729"/>
        <item x="384"/>
        <item x="11"/>
        <item x="697"/>
        <item x="778"/>
        <item x="261"/>
        <item x="238"/>
        <item x="300"/>
        <item x="606"/>
        <item x="639"/>
        <item x="259"/>
        <item x="459"/>
        <item x="726"/>
        <item x="634"/>
        <item x="526"/>
        <item x="671"/>
        <item x="718"/>
        <item x="765"/>
        <item x="795"/>
        <item x="666"/>
        <item x="781"/>
        <item x="552"/>
        <item x="175"/>
        <item x="325"/>
        <item x="344"/>
        <item x="622"/>
        <item x="152"/>
        <item x="785"/>
        <item x="557"/>
        <item x="369"/>
        <item x="361"/>
        <item x="220"/>
        <item x="641"/>
        <item x="217"/>
        <item x="229"/>
        <item x="461"/>
        <item x="17"/>
        <item x="31"/>
        <item x="183"/>
        <item x="293"/>
        <item x="301"/>
        <item x="19"/>
        <item x="705"/>
        <item x="424"/>
        <item x="254"/>
        <item x="473"/>
        <item x="287"/>
        <item x="419"/>
        <item x="146"/>
        <item x="724"/>
        <item x="390"/>
        <item x="297"/>
        <item x="178"/>
        <item x="494"/>
        <item x="767"/>
        <item x="736"/>
        <item x="599"/>
        <item x="517"/>
        <item x="411"/>
        <item x="116"/>
        <item x="498"/>
        <item x="162"/>
        <item x="563"/>
        <item x="659"/>
        <item x="15"/>
        <item x="187"/>
        <item x="511"/>
        <item x="214"/>
        <item x="470"/>
        <item x="358"/>
        <item x="40"/>
        <item x="546"/>
        <item x="275"/>
        <item x="132"/>
        <item x="371"/>
        <item x="169"/>
        <item x="747"/>
        <item x="172"/>
        <item x="328"/>
        <item x="44"/>
        <item x="86"/>
        <item x="771"/>
        <item x="204"/>
        <item x="38"/>
        <item x="250"/>
        <item x="549"/>
        <item x="379"/>
        <item x="540"/>
        <item x="409"/>
        <item x="227"/>
        <item x="121"/>
        <item x="652"/>
        <item x="176"/>
        <item x="206"/>
        <item x="50"/>
        <item x="362"/>
        <item x="523"/>
        <item x="669"/>
        <item x="346"/>
        <item x="107"/>
        <item x="377"/>
        <item x="240"/>
        <item x="790"/>
        <item x="93"/>
        <item x="273"/>
        <item x="782"/>
        <item x="234"/>
        <item x="33"/>
        <item x="168"/>
        <item x="113"/>
        <item x="92"/>
        <item x="158"/>
        <item x="415"/>
        <item x="403"/>
        <item x="90"/>
        <item x="348"/>
        <item x="467"/>
        <item x="208"/>
        <item x="737"/>
        <item x="62"/>
        <item x="674"/>
        <item x="167"/>
        <item x="52"/>
        <item x="784"/>
        <item x="376"/>
        <item x="114"/>
        <item x="360"/>
        <item x="235"/>
        <item x="262"/>
        <item t="default"/>
      </items>
    </pivotField>
    <pivotField showAll="0"/>
    <pivotField showAll="0"/>
    <pivotField showAll="0"/>
    <pivotField showAll="0"/>
    <pivotField showAll="0">
      <items count="4">
        <item x="0"/>
        <item x="1"/>
        <item x="2"/>
        <item t="default"/>
      </items>
    </pivotField>
    <pivotField showAll="0"/>
    <pivotField showAll="0"/>
    <pivotField axis="axisRow" showAll="0" measureFilter="1" sortType="descending">
      <items count="46">
        <item x="19"/>
        <item x="16"/>
        <item x="36"/>
        <item x="1"/>
        <item x="22"/>
        <item x="29"/>
        <item x="13"/>
        <item x="40"/>
        <item x="2"/>
        <item x="32"/>
        <item x="10"/>
        <item x="14"/>
        <item x="23"/>
        <item x="41"/>
        <item x="0"/>
        <item x="28"/>
        <item x="43"/>
        <item x="39"/>
        <item x="31"/>
        <item x="12"/>
        <item x="11"/>
        <item x="35"/>
        <item x="25"/>
        <item x="37"/>
        <item x="8"/>
        <item x="33"/>
        <item x="38"/>
        <item x="30"/>
        <item x="27"/>
        <item x="15"/>
        <item x="3"/>
        <item x="24"/>
        <item x="26"/>
        <item x="21"/>
        <item x="9"/>
        <item x="34"/>
        <item x="20"/>
        <item x="44"/>
        <item x="18"/>
        <item x="5"/>
        <item x="7"/>
        <item x="42"/>
        <item x="17"/>
        <item x="4"/>
        <item x="6"/>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10">
    <i>
      <x v="3"/>
    </i>
    <i>
      <x v="29"/>
    </i>
    <i>
      <x v="39"/>
    </i>
    <i>
      <x v="34"/>
    </i>
    <i>
      <x v="43"/>
    </i>
    <i>
      <x v="31"/>
    </i>
    <i>
      <x v="10"/>
    </i>
    <i>
      <x v="8"/>
    </i>
    <i>
      <x v="1"/>
    </i>
    <i>
      <x v="42"/>
    </i>
  </rowItems>
  <colItems count="1">
    <i/>
  </colItems>
  <dataFields count="1">
    <dataField name="Sum of Row ID" fld="0" baseField="0" baseItem="0" numFmtId="166"/>
  </dataFields>
  <chartFormats count="30">
    <chartFormat chart="0" format="0"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1" count="1" selected="0">
            <x v="3"/>
          </reference>
        </references>
      </pivotArea>
    </chartFormat>
    <chartFormat chart="5" format="14">
      <pivotArea type="data" outline="0" fieldPosition="0">
        <references count="2">
          <reference field="4294967294" count="1" selected="0">
            <x v="0"/>
          </reference>
          <reference field="11" count="1" selected="0">
            <x v="29"/>
          </reference>
        </references>
      </pivotArea>
    </chartFormat>
    <chartFormat chart="5" format="15">
      <pivotArea type="data" outline="0" fieldPosition="0">
        <references count="2">
          <reference field="4294967294" count="1" selected="0">
            <x v="0"/>
          </reference>
          <reference field="11" count="1" selected="0">
            <x v="39"/>
          </reference>
        </references>
      </pivotArea>
    </chartFormat>
    <chartFormat chart="5" format="16">
      <pivotArea type="data" outline="0" fieldPosition="0">
        <references count="2">
          <reference field="4294967294" count="1" selected="0">
            <x v="0"/>
          </reference>
          <reference field="11" count="1" selected="0">
            <x v="34"/>
          </reference>
        </references>
      </pivotArea>
    </chartFormat>
    <chartFormat chart="5" format="17">
      <pivotArea type="data" outline="0" fieldPosition="0">
        <references count="2">
          <reference field="4294967294" count="1" selected="0">
            <x v="0"/>
          </reference>
          <reference field="11" count="1" selected="0">
            <x v="43"/>
          </reference>
        </references>
      </pivotArea>
    </chartFormat>
    <chartFormat chart="5" format="18">
      <pivotArea type="data" outline="0" fieldPosition="0">
        <references count="2">
          <reference field="4294967294" count="1" selected="0">
            <x v="0"/>
          </reference>
          <reference field="11" count="1" selected="0">
            <x v="31"/>
          </reference>
        </references>
      </pivotArea>
    </chartFormat>
    <chartFormat chart="5" format="19">
      <pivotArea type="data" outline="0" fieldPosition="0">
        <references count="2">
          <reference field="4294967294" count="1" selected="0">
            <x v="0"/>
          </reference>
          <reference field="11" count="1" selected="0">
            <x v="10"/>
          </reference>
        </references>
      </pivotArea>
    </chartFormat>
    <chartFormat chart="5" format="20">
      <pivotArea type="data" outline="0" fieldPosition="0">
        <references count="2">
          <reference field="4294967294" count="1" selected="0">
            <x v="0"/>
          </reference>
          <reference field="11" count="1" selected="0">
            <x v="8"/>
          </reference>
        </references>
      </pivotArea>
    </chartFormat>
    <chartFormat chart="5" format="21">
      <pivotArea type="data" outline="0" fieldPosition="0">
        <references count="2">
          <reference field="4294967294" count="1" selected="0">
            <x v="0"/>
          </reference>
          <reference field="11" count="1" selected="0">
            <x v="1"/>
          </reference>
        </references>
      </pivotArea>
    </chartFormat>
    <chartFormat chart="5" format="22">
      <pivotArea type="data" outline="0" fieldPosition="0">
        <references count="2">
          <reference field="4294967294" count="1" selected="0">
            <x v="0"/>
          </reference>
          <reference field="11" count="1" selected="0">
            <x v="42"/>
          </reference>
        </references>
      </pivotArea>
    </chartFormat>
    <chartFormat chart="0" format="1">
      <pivotArea type="data" outline="0" fieldPosition="0">
        <references count="2">
          <reference field="4294967294" count="1" selected="0">
            <x v="0"/>
          </reference>
          <reference field="11" count="1" selected="0">
            <x v="3"/>
          </reference>
        </references>
      </pivotArea>
    </chartFormat>
    <chartFormat chart="0" format="2">
      <pivotArea type="data" outline="0" fieldPosition="0">
        <references count="2">
          <reference field="4294967294" count="1" selected="0">
            <x v="0"/>
          </reference>
          <reference field="11" count="1" selected="0">
            <x v="29"/>
          </reference>
        </references>
      </pivotArea>
    </chartFormat>
    <chartFormat chart="0" format="3">
      <pivotArea type="data" outline="0" fieldPosition="0">
        <references count="2">
          <reference field="4294967294" count="1" selected="0">
            <x v="0"/>
          </reference>
          <reference field="11" count="1" selected="0">
            <x v="39"/>
          </reference>
        </references>
      </pivotArea>
    </chartFormat>
    <chartFormat chart="0" format="4">
      <pivotArea type="data" outline="0" fieldPosition="0">
        <references count="2">
          <reference field="4294967294" count="1" selected="0">
            <x v="0"/>
          </reference>
          <reference field="11" count="1" selected="0">
            <x v="34"/>
          </reference>
        </references>
      </pivotArea>
    </chartFormat>
    <chartFormat chart="0" format="5">
      <pivotArea type="data" outline="0" fieldPosition="0">
        <references count="2">
          <reference field="4294967294" count="1" selected="0">
            <x v="0"/>
          </reference>
          <reference field="11" count="1" selected="0">
            <x v="43"/>
          </reference>
        </references>
      </pivotArea>
    </chartFormat>
    <chartFormat chart="0" format="6">
      <pivotArea type="data" outline="0" fieldPosition="0">
        <references count="2">
          <reference field="4294967294" count="1" selected="0">
            <x v="0"/>
          </reference>
          <reference field="11" count="1" selected="0">
            <x v="31"/>
          </reference>
        </references>
      </pivotArea>
    </chartFormat>
    <chartFormat chart="0" format="7">
      <pivotArea type="data" outline="0" fieldPosition="0">
        <references count="2">
          <reference field="4294967294" count="1" selected="0">
            <x v="0"/>
          </reference>
          <reference field="11" count="1" selected="0">
            <x v="10"/>
          </reference>
        </references>
      </pivotArea>
    </chartFormat>
    <chartFormat chart="0" format="8">
      <pivotArea type="data" outline="0" fieldPosition="0">
        <references count="2">
          <reference field="4294967294" count="1" selected="0">
            <x v="0"/>
          </reference>
          <reference field="11" count="1" selected="0">
            <x v="8"/>
          </reference>
        </references>
      </pivotArea>
    </chartFormat>
    <chartFormat chart="0" format="9">
      <pivotArea type="data" outline="0" fieldPosition="0">
        <references count="2">
          <reference field="4294967294" count="1" selected="0">
            <x v="0"/>
          </reference>
          <reference field="11" count="1" selected="0">
            <x v="1"/>
          </reference>
        </references>
      </pivotArea>
    </chartFormat>
    <chartFormat chart="0" format="10">
      <pivotArea type="data" outline="0" fieldPosition="0">
        <references count="2">
          <reference field="4294967294" count="1" selected="0">
            <x v="0"/>
          </reference>
          <reference field="11" count="1" selected="0">
            <x v="42"/>
          </reference>
        </references>
      </pivotArea>
    </chartFormat>
    <chartFormat chart="0" format="11">
      <pivotArea type="data" outline="0" fieldPosition="0">
        <references count="2">
          <reference field="4294967294" count="1" selected="0">
            <x v="0"/>
          </reference>
          <reference field="11" count="1" selected="0">
            <x v="19"/>
          </reference>
        </references>
      </pivotArea>
    </chartFormat>
    <chartFormat chart="0" format="12">
      <pivotArea type="data" outline="0" fieldPosition="0">
        <references count="2">
          <reference field="4294967294" count="1" selected="0">
            <x v="0"/>
          </reference>
          <reference field="11" count="1" selected="0">
            <x v="11"/>
          </reference>
        </references>
      </pivotArea>
    </chartFormat>
    <chartFormat chart="0" format="13">
      <pivotArea type="data" outline="0" fieldPosition="0">
        <references count="2">
          <reference field="4294967294" count="1" selected="0">
            <x v="0"/>
          </reference>
          <reference field="11" count="1" selected="0">
            <x v="20"/>
          </reference>
        </references>
      </pivotArea>
    </chartFormat>
    <chartFormat chart="0" format="14">
      <pivotArea type="data" outline="0" fieldPosition="0">
        <references count="2">
          <reference field="4294967294" count="1" selected="0">
            <x v="0"/>
          </reference>
          <reference field="11" count="1" selected="0">
            <x v="22"/>
          </reference>
        </references>
      </pivotArea>
    </chartFormat>
    <chartFormat chart="0" format="15">
      <pivotArea type="data" outline="0" fieldPosition="0">
        <references count="2">
          <reference field="4294967294" count="1" selected="0">
            <x v="0"/>
          </reference>
          <reference field="11" count="1" selected="0">
            <x v="44"/>
          </reference>
        </references>
      </pivotArea>
    </chartFormat>
    <chartFormat chart="0" format="16">
      <pivotArea type="data" outline="0" fieldPosition="0">
        <references count="2">
          <reference field="4294967294" count="1" selected="0">
            <x v="0"/>
          </reference>
          <reference field="11" count="1" selected="0">
            <x v="32"/>
          </reference>
        </references>
      </pivotArea>
    </chartFormat>
    <chartFormat chart="0" format="17">
      <pivotArea type="data" outline="0" fieldPosition="0">
        <references count="2">
          <reference field="4294967294" count="1" selected="0">
            <x v="0"/>
          </reference>
          <reference field="11" count="1" selected="0">
            <x v="37"/>
          </reference>
        </references>
      </pivotArea>
    </chartFormat>
    <chartFormat chart="0" format="18">
      <pivotArea type="data" outline="0" fieldPosition="0">
        <references count="2">
          <reference field="4294967294" count="1" selected="0">
            <x v="0"/>
          </reference>
          <reference field="11" count="1" selected="0">
            <x v="12"/>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264818-638B-4DC0-BD5F-D5607216CA8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8:B12" firstHeaderRow="1" firstDataRow="1" firstDataCol="1"/>
  <pivotFields count="22">
    <pivotField showAll="0"/>
    <pivotField showAll="0"/>
    <pivotField numFmtId="14" showAll="0"/>
    <pivotField numFmtId="14" showAll="0">
      <items count="800">
        <item x="295"/>
        <item x="612"/>
        <item x="243"/>
        <item x="286"/>
        <item x="303"/>
        <item x="662"/>
        <item x="383"/>
        <item x="435"/>
        <item x="223"/>
        <item x="553"/>
        <item x="559"/>
        <item x="681"/>
        <item x="334"/>
        <item x="188"/>
        <item x="501"/>
        <item x="568"/>
        <item x="69"/>
        <item x="231"/>
        <item x="447"/>
        <item x="450"/>
        <item x="558"/>
        <item x="699"/>
        <item x="656"/>
        <item x="246"/>
        <item x="756"/>
        <item x="506"/>
        <item x="85"/>
        <item x="614"/>
        <item x="774"/>
        <item x="728"/>
        <item x="515"/>
        <item x="283"/>
        <item x="520"/>
        <item x="566"/>
        <item x="341"/>
        <item x="138"/>
        <item x="166"/>
        <item x="529"/>
        <item x="451"/>
        <item x="610"/>
        <item x="615"/>
        <item x="350"/>
        <item x="562"/>
        <item x="448"/>
        <item x="502"/>
        <item x="8"/>
        <item x="226"/>
        <item x="611"/>
        <item x="304"/>
        <item x="706"/>
        <item x="633"/>
        <item x="395"/>
        <item x="247"/>
        <item x="630"/>
        <item x="495"/>
        <item x="412"/>
        <item x="103"/>
        <item x="288"/>
        <item x="608"/>
        <item x="160"/>
        <item x="626"/>
        <item x="199"/>
        <item x="3"/>
        <item x="338"/>
        <item x="643"/>
        <item x="363"/>
        <item x="787"/>
        <item x="277"/>
        <item x="635"/>
        <item x="174"/>
        <item x="430"/>
        <item x="739"/>
        <item x="323"/>
        <item x="491"/>
        <item x="285"/>
        <item x="276"/>
        <item x="405"/>
        <item x="462"/>
        <item x="136"/>
        <item x="700"/>
        <item x="720"/>
        <item x="651"/>
        <item x="150"/>
        <item x="752"/>
        <item x="714"/>
        <item x="89"/>
        <item x="768"/>
        <item x="336"/>
        <item x="74"/>
        <item x="535"/>
        <item x="244"/>
        <item x="127"/>
        <item x="594"/>
        <item x="759"/>
        <item x="688"/>
        <item x="750"/>
        <item x="54"/>
        <item x="590"/>
        <item x="82"/>
        <item x="9"/>
        <item x="658"/>
        <item x="446"/>
        <item x="791"/>
        <item x="477"/>
        <item x="73"/>
        <item x="177"/>
        <item x="357"/>
        <item x="368"/>
        <item x="100"/>
        <item x="232"/>
        <item x="75"/>
        <item x="109"/>
        <item x="159"/>
        <item x="130"/>
        <item x="58"/>
        <item x="313"/>
        <item x="147"/>
        <item x="510"/>
        <item x="126"/>
        <item x="620"/>
        <item x="702"/>
        <item x="507"/>
        <item x="196"/>
        <item x="291"/>
        <item x="320"/>
        <item x="36"/>
        <item x="578"/>
        <item x="676"/>
        <item x="655"/>
        <item x="21"/>
        <item x="64"/>
        <item x="794"/>
        <item x="198"/>
        <item x="689"/>
        <item x="319"/>
        <item x="129"/>
        <item x="192"/>
        <item x="646"/>
        <item x="389"/>
        <item x="722"/>
        <item x="7"/>
        <item x="777"/>
        <item x="682"/>
        <item x="792"/>
        <item x="786"/>
        <item x="80"/>
        <item x="571"/>
        <item x="157"/>
        <item x="679"/>
        <item x="694"/>
        <item x="456"/>
        <item x="34"/>
        <item x="587"/>
        <item x="543"/>
        <item x="282"/>
        <item x="691"/>
        <item x="545"/>
        <item x="79"/>
        <item x="28"/>
        <item x="365"/>
        <item x="621"/>
        <item x="466"/>
        <item x="343"/>
        <item x="353"/>
        <item x="708"/>
        <item x="572"/>
        <item x="547"/>
        <item x="443"/>
        <item x="181"/>
        <item x="165"/>
        <item x="57"/>
        <item x="472"/>
        <item x="128"/>
        <item x="251"/>
        <item x="299"/>
        <item x="751"/>
        <item x="123"/>
        <item x="95"/>
        <item x="592"/>
        <item x="190"/>
        <item x="685"/>
        <item x="796"/>
        <item x="598"/>
        <item x="43"/>
        <item x="638"/>
        <item x="94"/>
        <item x="732"/>
        <item x="619"/>
        <item x="99"/>
        <item x="654"/>
        <item x="55"/>
        <item x="436"/>
        <item x="740"/>
        <item x="391"/>
        <item x="738"/>
        <item x="684"/>
        <item x="565"/>
        <item x="588"/>
        <item x="205"/>
        <item x="322"/>
        <item x="569"/>
        <item x="210"/>
        <item x="579"/>
        <item x="417"/>
        <item x="393"/>
        <item x="278"/>
        <item x="441"/>
        <item x="414"/>
        <item x="56"/>
        <item x="281"/>
        <item x="366"/>
        <item x="690"/>
        <item x="418"/>
        <item x="23"/>
        <item x="743"/>
        <item x="351"/>
        <item x="32"/>
        <item x="401"/>
        <item x="27"/>
        <item x="530"/>
        <item x="122"/>
        <item x="677"/>
        <item x="442"/>
        <item x="536"/>
        <item x="279"/>
        <item x="672"/>
        <item x="308"/>
        <item x="483"/>
        <item x="505"/>
        <item x="67"/>
        <item x="68"/>
        <item x="628"/>
        <item x="408"/>
        <item x="496"/>
        <item x="402"/>
        <item x="686"/>
        <item x="577"/>
        <item x="137"/>
        <item x="154"/>
        <item x="311"/>
        <item x="649"/>
        <item x="788"/>
        <item x="413"/>
        <item x="480"/>
        <item x="241"/>
        <item x="400"/>
        <item x="770"/>
        <item x="618"/>
        <item x="596"/>
        <item x="797"/>
        <item x="531"/>
        <item x="642"/>
        <item x="374"/>
        <item x="420"/>
        <item x="115"/>
        <item x="716"/>
        <item x="550"/>
        <item x="746"/>
        <item x="574"/>
        <item x="98"/>
        <item x="533"/>
        <item x="798"/>
        <item x="306"/>
        <item x="453"/>
        <item x="721"/>
        <item x="268"/>
        <item x="398"/>
        <item x="482"/>
        <item x="755"/>
        <item x="135"/>
        <item x="302"/>
        <item x="215"/>
        <item x="37"/>
        <item x="607"/>
        <item x="63"/>
        <item x="239"/>
        <item x="458"/>
        <item x="730"/>
        <item x="627"/>
        <item x="399"/>
        <item x="14"/>
        <item x="237"/>
        <item x="487"/>
        <item x="537"/>
        <item x="117"/>
        <item x="589"/>
        <item x="12"/>
        <item x="733"/>
        <item x="118"/>
        <item x="307"/>
        <item x="485"/>
        <item x="687"/>
        <item x="255"/>
        <item x="347"/>
        <item x="83"/>
        <item x="525"/>
        <item x="332"/>
        <item x="2"/>
        <item x="51"/>
        <item x="452"/>
        <item x="696"/>
        <item x="703"/>
        <item x="665"/>
        <item x="449"/>
        <item x="396"/>
        <item x="163"/>
        <item x="744"/>
        <item x="84"/>
        <item x="544"/>
        <item x="216"/>
        <item x="556"/>
        <item x="680"/>
        <item x="664"/>
        <item x="111"/>
        <item x="49"/>
        <item x="764"/>
        <item x="584"/>
        <item x="77"/>
        <item x="330"/>
        <item x="6"/>
        <item x="560"/>
        <item x="616"/>
        <item x="698"/>
        <item x="26"/>
        <item x="380"/>
        <item x="155"/>
        <item x="252"/>
        <item x="106"/>
        <item x="725"/>
        <item x="156"/>
        <item x="221"/>
        <item x="233"/>
        <item x="762"/>
        <item x="222"/>
        <item x="387"/>
        <item x="428"/>
        <item x="629"/>
        <item x="310"/>
        <item x="372"/>
        <item x="734"/>
        <item x="78"/>
        <item x="602"/>
        <item x="189"/>
        <item x="225"/>
        <item x="139"/>
        <item x="601"/>
        <item x="314"/>
        <item x="97"/>
        <item x="513"/>
        <item x="692"/>
        <item x="16"/>
        <item x="213"/>
        <item x="748"/>
        <item x="657"/>
        <item x="707"/>
        <item x="339"/>
        <item x="711"/>
        <item x="404"/>
        <item x="13"/>
        <item x="345"/>
        <item x="112"/>
        <item x="516"/>
        <item x="604"/>
        <item x="632"/>
        <item x="625"/>
        <item x="289"/>
        <item x="631"/>
        <item x="464"/>
        <item x="335"/>
        <item x="753"/>
        <item x="573"/>
        <item x="425"/>
        <item x="597"/>
        <item x="364"/>
        <item x="329"/>
        <item x="20"/>
        <item x="534"/>
        <item x="66"/>
        <item x="317"/>
        <item x="754"/>
        <item x="583"/>
        <item x="201"/>
        <item x="296"/>
        <item x="763"/>
        <item x="242"/>
        <item x="593"/>
        <item x="269"/>
        <item x="508"/>
        <item x="497"/>
        <item x="186"/>
        <item x="263"/>
        <item x="298"/>
        <item x="41"/>
        <item x="359"/>
        <item x="143"/>
        <item x="678"/>
        <item x="437"/>
        <item x="228"/>
        <item x="171"/>
        <item x="576"/>
        <item x="179"/>
        <item x="772"/>
        <item x="582"/>
        <item x="519"/>
        <item x="407"/>
        <item x="131"/>
        <item x="144"/>
        <item x="134"/>
        <item x="248"/>
        <item x="421"/>
        <item x="600"/>
        <item x="710"/>
        <item x="476"/>
        <item x="586"/>
        <item x="760"/>
        <item x="717"/>
        <item x="71"/>
        <item x="581"/>
        <item x="200"/>
        <item x="564"/>
        <item x="575"/>
        <item x="312"/>
        <item x="660"/>
        <item x="212"/>
        <item x="305"/>
        <item x="257"/>
        <item x="475"/>
        <item x="499"/>
        <item x="527"/>
        <item x="386"/>
        <item x="218"/>
        <item x="203"/>
        <item x="29"/>
        <item x="180"/>
        <item x="102"/>
        <item x="110"/>
        <item x="182"/>
        <item x="35"/>
        <item x="1"/>
        <item x="431"/>
        <item x="25"/>
        <item x="373"/>
        <item x="489"/>
        <item x="561"/>
        <item x="370"/>
        <item x="22"/>
        <item x="673"/>
        <item x="695"/>
        <item x="595"/>
        <item x="195"/>
        <item x="479"/>
        <item x="444"/>
        <item x="667"/>
        <item x="623"/>
        <item x="292"/>
        <item x="521"/>
        <item x="605"/>
        <item x="219"/>
        <item x="224"/>
        <item x="460"/>
        <item x="193"/>
        <item x="245"/>
        <item x="18"/>
        <item x="637"/>
        <item x="434"/>
        <item x="327"/>
        <item x="202"/>
        <item x="715"/>
        <item x="613"/>
        <item x="624"/>
        <item x="426"/>
        <item x="609"/>
        <item x="427"/>
        <item x="256"/>
        <item x="316"/>
        <item x="394"/>
        <item x="266"/>
        <item x="650"/>
        <item x="133"/>
        <item x="47"/>
        <item x="142"/>
        <item x="381"/>
        <item x="342"/>
        <item x="478"/>
        <item x="61"/>
        <item x="410"/>
        <item x="164"/>
        <item x="46"/>
        <item x="719"/>
        <item x="249"/>
        <item x="125"/>
        <item x="105"/>
        <item x="267"/>
        <item x="367"/>
        <item x="683"/>
        <item x="42"/>
        <item x="30"/>
        <item x="749"/>
        <item x="758"/>
        <item x="423"/>
        <item x="151"/>
        <item x="340"/>
        <item x="766"/>
        <item x="727"/>
        <item x="356"/>
        <item x="388"/>
        <item x="647"/>
        <item x="542"/>
        <item x="60"/>
        <item x="548"/>
        <item x="148"/>
        <item x="207"/>
        <item x="349"/>
        <item x="433"/>
        <item x="463"/>
        <item x="153"/>
        <item x="96"/>
        <item x="194"/>
        <item x="120"/>
        <item x="270"/>
        <item x="518"/>
        <item x="779"/>
        <item x="236"/>
        <item x="280"/>
        <item x="331"/>
        <item x="53"/>
        <item x="0"/>
        <item x="355"/>
        <item x="440"/>
        <item x="617"/>
        <item x="397"/>
        <item x="422"/>
        <item x="72"/>
        <item x="406"/>
        <item x="789"/>
        <item x="70"/>
        <item x="538"/>
        <item x="481"/>
        <item x="532"/>
        <item x="723"/>
        <item x="416"/>
        <item x="81"/>
        <item x="48"/>
        <item x="454"/>
        <item x="294"/>
        <item x="438"/>
        <item x="541"/>
        <item x="65"/>
        <item x="5"/>
        <item x="439"/>
        <item x="484"/>
        <item x="10"/>
        <item x="104"/>
        <item x="264"/>
        <item x="24"/>
        <item x="290"/>
        <item x="119"/>
        <item x="258"/>
        <item x="490"/>
        <item x="745"/>
        <item x="486"/>
        <item x="469"/>
        <item x="524"/>
        <item x="769"/>
        <item x="504"/>
        <item x="333"/>
        <item x="385"/>
        <item x="742"/>
        <item x="704"/>
        <item x="455"/>
        <item x="640"/>
        <item x="184"/>
        <item x="211"/>
        <item x="429"/>
        <item x="209"/>
        <item x="713"/>
        <item x="522"/>
        <item x="59"/>
        <item x="492"/>
        <item x="735"/>
        <item x="757"/>
        <item x="554"/>
        <item x="636"/>
        <item x="315"/>
        <item x="457"/>
        <item x="693"/>
        <item x="493"/>
        <item x="173"/>
        <item x="145"/>
        <item x="514"/>
        <item x="668"/>
        <item x="468"/>
        <item x="670"/>
        <item x="712"/>
        <item x="309"/>
        <item x="780"/>
        <item x="274"/>
        <item x="539"/>
        <item x="185"/>
        <item x="761"/>
        <item x="645"/>
        <item x="701"/>
        <item x="653"/>
        <item x="503"/>
        <item x="191"/>
        <item x="709"/>
        <item x="375"/>
        <item x="382"/>
        <item x="101"/>
        <item x="337"/>
        <item x="124"/>
        <item x="648"/>
        <item x="4"/>
        <item x="555"/>
        <item x="318"/>
        <item x="76"/>
        <item x="731"/>
        <item x="432"/>
        <item x="603"/>
        <item x="663"/>
        <item x="591"/>
        <item x="793"/>
        <item x="783"/>
        <item x="509"/>
        <item x="675"/>
        <item x="580"/>
        <item x="321"/>
        <item x="644"/>
        <item x="378"/>
        <item x="773"/>
        <item x="465"/>
        <item x="253"/>
        <item x="284"/>
        <item x="392"/>
        <item x="39"/>
        <item x="775"/>
        <item x="149"/>
        <item x="741"/>
        <item x="500"/>
        <item x="91"/>
        <item x="474"/>
        <item x="271"/>
        <item x="570"/>
        <item x="108"/>
        <item x="197"/>
        <item x="260"/>
        <item x="528"/>
        <item x="140"/>
        <item x="45"/>
        <item x="326"/>
        <item x="272"/>
        <item x="265"/>
        <item x="585"/>
        <item x="354"/>
        <item x="324"/>
        <item x="170"/>
        <item x="88"/>
        <item x="567"/>
        <item x="551"/>
        <item x="352"/>
        <item x="230"/>
        <item x="445"/>
        <item x="161"/>
        <item x="661"/>
        <item x="488"/>
        <item x="471"/>
        <item x="776"/>
        <item x="512"/>
        <item x="141"/>
        <item x="87"/>
        <item x="729"/>
        <item x="384"/>
        <item x="11"/>
        <item x="697"/>
        <item x="778"/>
        <item x="261"/>
        <item x="238"/>
        <item x="300"/>
        <item x="606"/>
        <item x="639"/>
        <item x="259"/>
        <item x="459"/>
        <item x="726"/>
        <item x="634"/>
        <item x="526"/>
        <item x="671"/>
        <item x="718"/>
        <item x="765"/>
        <item x="795"/>
        <item x="666"/>
        <item x="781"/>
        <item x="552"/>
        <item x="175"/>
        <item x="325"/>
        <item x="344"/>
        <item x="622"/>
        <item x="152"/>
        <item x="785"/>
        <item x="557"/>
        <item x="369"/>
        <item x="361"/>
        <item x="220"/>
        <item x="641"/>
        <item x="217"/>
        <item x="229"/>
        <item x="461"/>
        <item x="17"/>
        <item x="31"/>
        <item x="183"/>
        <item x="293"/>
        <item x="301"/>
        <item x="19"/>
        <item x="705"/>
        <item x="424"/>
        <item x="254"/>
        <item x="473"/>
        <item x="287"/>
        <item x="419"/>
        <item x="146"/>
        <item x="724"/>
        <item x="390"/>
        <item x="297"/>
        <item x="178"/>
        <item x="494"/>
        <item x="767"/>
        <item x="736"/>
        <item x="599"/>
        <item x="517"/>
        <item x="411"/>
        <item x="116"/>
        <item x="498"/>
        <item x="162"/>
        <item x="563"/>
        <item x="659"/>
        <item x="15"/>
        <item x="187"/>
        <item x="511"/>
        <item x="214"/>
        <item x="470"/>
        <item x="358"/>
        <item x="40"/>
        <item x="546"/>
        <item x="275"/>
        <item x="132"/>
        <item x="371"/>
        <item x="169"/>
        <item x="747"/>
        <item x="172"/>
        <item x="328"/>
        <item x="44"/>
        <item x="86"/>
        <item x="771"/>
        <item x="204"/>
        <item x="38"/>
        <item x="250"/>
        <item x="549"/>
        <item x="379"/>
        <item x="540"/>
        <item x="409"/>
        <item x="227"/>
        <item x="121"/>
        <item x="652"/>
        <item x="176"/>
        <item x="206"/>
        <item x="50"/>
        <item x="362"/>
        <item x="523"/>
        <item x="669"/>
        <item x="346"/>
        <item x="107"/>
        <item x="377"/>
        <item x="240"/>
        <item x="790"/>
        <item x="93"/>
        <item x="273"/>
        <item x="782"/>
        <item x="234"/>
        <item x="33"/>
        <item x="168"/>
        <item x="113"/>
        <item x="92"/>
        <item x="158"/>
        <item x="415"/>
        <item x="403"/>
        <item x="90"/>
        <item x="348"/>
        <item x="467"/>
        <item x="208"/>
        <item x="737"/>
        <item x="62"/>
        <item x="674"/>
        <item x="167"/>
        <item x="52"/>
        <item x="784"/>
        <item x="376"/>
        <item x="114"/>
        <item x="360"/>
        <item x="235"/>
        <item x="262"/>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3"/>
  </rowFields>
  <rowItems count="4">
    <i>
      <x/>
    </i>
    <i>
      <x v="1"/>
    </i>
    <i>
      <x v="2"/>
    </i>
    <i>
      <x v="3"/>
    </i>
  </rowItems>
  <colItems count="1">
    <i/>
  </colItems>
  <dataFields count="1">
    <dataField name="Sum of Sales" fld="18" baseField="0" baseItem="0" numFmtId="165"/>
  </dataFields>
  <formats count="1">
    <format dxfId="3">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3" count="1" selected="0">
            <x v="0"/>
          </reference>
        </references>
      </pivotArea>
    </chartFormat>
    <chartFormat chart="14" format="8">
      <pivotArea type="data" outline="0" fieldPosition="0">
        <references count="2">
          <reference field="4294967294" count="1" selected="0">
            <x v="0"/>
          </reference>
          <reference field="13" count="1" selected="0">
            <x v="1"/>
          </reference>
        </references>
      </pivotArea>
    </chartFormat>
    <chartFormat chart="14" format="9">
      <pivotArea type="data" outline="0" fieldPosition="0">
        <references count="2">
          <reference field="4294967294" count="1" selected="0">
            <x v="0"/>
          </reference>
          <reference field="13" count="1" selected="0">
            <x v="2"/>
          </reference>
        </references>
      </pivotArea>
    </chartFormat>
    <chartFormat chart="14" format="10">
      <pivotArea type="data" outline="0" fieldPosition="0">
        <references count="2">
          <reference field="4294967294" count="1" selected="0">
            <x v="0"/>
          </reference>
          <reference field="13" count="1" selected="0">
            <x v="3"/>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E5257C-51A6-4C40-839D-1DBA337DD65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9:B26" firstHeaderRow="1" firstDataRow="1" firstDataCol="1"/>
  <pivotFields count="22">
    <pivotField showAll="0"/>
    <pivotField showAll="0"/>
    <pivotField numFmtId="14" showAll="0"/>
    <pivotField numFmtId="14" showAll="0">
      <items count="800">
        <item x="295"/>
        <item x="612"/>
        <item x="243"/>
        <item x="286"/>
        <item x="303"/>
        <item x="662"/>
        <item x="383"/>
        <item x="435"/>
        <item x="223"/>
        <item x="553"/>
        <item x="559"/>
        <item x="681"/>
        <item x="334"/>
        <item x="188"/>
        <item x="501"/>
        <item x="568"/>
        <item x="69"/>
        <item x="231"/>
        <item x="447"/>
        <item x="450"/>
        <item x="558"/>
        <item x="699"/>
        <item x="656"/>
        <item x="246"/>
        <item x="756"/>
        <item x="506"/>
        <item x="85"/>
        <item x="614"/>
        <item x="774"/>
        <item x="728"/>
        <item x="515"/>
        <item x="283"/>
        <item x="520"/>
        <item x="566"/>
        <item x="341"/>
        <item x="138"/>
        <item x="166"/>
        <item x="529"/>
        <item x="451"/>
        <item x="610"/>
        <item x="615"/>
        <item x="350"/>
        <item x="562"/>
        <item x="448"/>
        <item x="502"/>
        <item x="8"/>
        <item x="226"/>
        <item x="611"/>
        <item x="304"/>
        <item x="706"/>
        <item x="633"/>
        <item x="395"/>
        <item x="247"/>
        <item x="630"/>
        <item x="495"/>
        <item x="412"/>
        <item x="103"/>
        <item x="288"/>
        <item x="608"/>
        <item x="160"/>
        <item x="626"/>
        <item x="199"/>
        <item x="3"/>
        <item x="338"/>
        <item x="643"/>
        <item x="363"/>
        <item x="787"/>
        <item x="277"/>
        <item x="635"/>
        <item x="174"/>
        <item x="430"/>
        <item x="739"/>
        <item x="323"/>
        <item x="491"/>
        <item x="285"/>
        <item x="276"/>
        <item x="405"/>
        <item x="462"/>
        <item x="136"/>
        <item x="700"/>
        <item x="720"/>
        <item x="651"/>
        <item x="150"/>
        <item x="752"/>
        <item x="714"/>
        <item x="89"/>
        <item x="768"/>
        <item x="336"/>
        <item x="74"/>
        <item x="535"/>
        <item x="244"/>
        <item x="127"/>
        <item x="594"/>
        <item x="759"/>
        <item x="688"/>
        <item x="750"/>
        <item x="54"/>
        <item x="590"/>
        <item x="82"/>
        <item x="9"/>
        <item x="658"/>
        <item x="446"/>
        <item x="791"/>
        <item x="477"/>
        <item x="73"/>
        <item x="177"/>
        <item x="357"/>
        <item x="368"/>
        <item x="100"/>
        <item x="232"/>
        <item x="75"/>
        <item x="109"/>
        <item x="159"/>
        <item x="130"/>
        <item x="58"/>
        <item x="313"/>
        <item x="147"/>
        <item x="510"/>
        <item x="126"/>
        <item x="620"/>
        <item x="702"/>
        <item x="507"/>
        <item x="196"/>
        <item x="291"/>
        <item x="320"/>
        <item x="36"/>
        <item x="578"/>
        <item x="676"/>
        <item x="655"/>
        <item x="21"/>
        <item x="64"/>
        <item x="794"/>
        <item x="198"/>
        <item x="689"/>
        <item x="319"/>
        <item x="129"/>
        <item x="192"/>
        <item x="646"/>
        <item x="389"/>
        <item x="722"/>
        <item x="7"/>
        <item x="777"/>
        <item x="682"/>
        <item x="792"/>
        <item x="786"/>
        <item x="80"/>
        <item x="571"/>
        <item x="157"/>
        <item x="679"/>
        <item x="694"/>
        <item x="456"/>
        <item x="34"/>
        <item x="587"/>
        <item x="543"/>
        <item x="282"/>
        <item x="691"/>
        <item x="545"/>
        <item x="79"/>
        <item x="28"/>
        <item x="365"/>
        <item x="621"/>
        <item x="466"/>
        <item x="343"/>
        <item x="353"/>
        <item x="708"/>
        <item x="572"/>
        <item x="547"/>
        <item x="443"/>
        <item x="181"/>
        <item x="165"/>
        <item x="57"/>
        <item x="472"/>
        <item x="128"/>
        <item x="251"/>
        <item x="299"/>
        <item x="751"/>
        <item x="123"/>
        <item x="95"/>
        <item x="592"/>
        <item x="190"/>
        <item x="685"/>
        <item x="796"/>
        <item x="598"/>
        <item x="43"/>
        <item x="638"/>
        <item x="94"/>
        <item x="732"/>
        <item x="619"/>
        <item x="99"/>
        <item x="654"/>
        <item x="55"/>
        <item x="436"/>
        <item x="740"/>
        <item x="391"/>
        <item x="738"/>
        <item x="684"/>
        <item x="565"/>
        <item x="588"/>
        <item x="205"/>
        <item x="322"/>
        <item x="569"/>
        <item x="210"/>
        <item x="579"/>
        <item x="417"/>
        <item x="393"/>
        <item x="278"/>
        <item x="441"/>
        <item x="414"/>
        <item x="56"/>
        <item x="281"/>
        <item x="366"/>
        <item x="690"/>
        <item x="418"/>
        <item x="23"/>
        <item x="743"/>
        <item x="351"/>
        <item x="32"/>
        <item x="401"/>
        <item x="27"/>
        <item x="530"/>
        <item x="122"/>
        <item x="677"/>
        <item x="442"/>
        <item x="536"/>
        <item x="279"/>
        <item x="672"/>
        <item x="308"/>
        <item x="483"/>
        <item x="505"/>
        <item x="67"/>
        <item x="68"/>
        <item x="628"/>
        <item x="408"/>
        <item x="496"/>
        <item x="402"/>
        <item x="686"/>
        <item x="577"/>
        <item x="137"/>
        <item x="154"/>
        <item x="311"/>
        <item x="649"/>
        <item x="788"/>
        <item x="413"/>
        <item x="480"/>
        <item x="241"/>
        <item x="400"/>
        <item x="770"/>
        <item x="618"/>
        <item x="596"/>
        <item x="797"/>
        <item x="531"/>
        <item x="642"/>
        <item x="374"/>
        <item x="420"/>
        <item x="115"/>
        <item x="716"/>
        <item x="550"/>
        <item x="746"/>
        <item x="574"/>
        <item x="98"/>
        <item x="533"/>
        <item x="798"/>
        <item x="306"/>
        <item x="453"/>
        <item x="721"/>
        <item x="268"/>
        <item x="398"/>
        <item x="482"/>
        <item x="755"/>
        <item x="135"/>
        <item x="302"/>
        <item x="215"/>
        <item x="37"/>
        <item x="607"/>
        <item x="63"/>
        <item x="239"/>
        <item x="458"/>
        <item x="730"/>
        <item x="627"/>
        <item x="399"/>
        <item x="14"/>
        <item x="237"/>
        <item x="487"/>
        <item x="537"/>
        <item x="117"/>
        <item x="589"/>
        <item x="12"/>
        <item x="733"/>
        <item x="118"/>
        <item x="307"/>
        <item x="485"/>
        <item x="687"/>
        <item x="255"/>
        <item x="347"/>
        <item x="83"/>
        <item x="525"/>
        <item x="332"/>
        <item x="2"/>
        <item x="51"/>
        <item x="452"/>
        <item x="696"/>
        <item x="703"/>
        <item x="665"/>
        <item x="449"/>
        <item x="396"/>
        <item x="163"/>
        <item x="744"/>
        <item x="84"/>
        <item x="544"/>
        <item x="216"/>
        <item x="556"/>
        <item x="680"/>
        <item x="664"/>
        <item x="111"/>
        <item x="49"/>
        <item x="764"/>
        <item x="584"/>
        <item x="77"/>
        <item x="330"/>
        <item x="6"/>
        <item x="560"/>
        <item x="616"/>
        <item x="698"/>
        <item x="26"/>
        <item x="380"/>
        <item x="155"/>
        <item x="252"/>
        <item x="106"/>
        <item x="725"/>
        <item x="156"/>
        <item x="221"/>
        <item x="233"/>
        <item x="762"/>
        <item x="222"/>
        <item x="387"/>
        <item x="428"/>
        <item x="629"/>
        <item x="310"/>
        <item x="372"/>
        <item x="734"/>
        <item x="78"/>
        <item x="602"/>
        <item x="189"/>
        <item x="225"/>
        <item x="139"/>
        <item x="601"/>
        <item x="314"/>
        <item x="97"/>
        <item x="513"/>
        <item x="692"/>
        <item x="16"/>
        <item x="213"/>
        <item x="748"/>
        <item x="657"/>
        <item x="707"/>
        <item x="339"/>
        <item x="711"/>
        <item x="404"/>
        <item x="13"/>
        <item x="345"/>
        <item x="112"/>
        <item x="516"/>
        <item x="604"/>
        <item x="632"/>
        <item x="625"/>
        <item x="289"/>
        <item x="631"/>
        <item x="464"/>
        <item x="335"/>
        <item x="753"/>
        <item x="573"/>
        <item x="425"/>
        <item x="597"/>
        <item x="364"/>
        <item x="329"/>
        <item x="20"/>
        <item x="534"/>
        <item x="66"/>
        <item x="317"/>
        <item x="754"/>
        <item x="583"/>
        <item x="201"/>
        <item x="296"/>
        <item x="763"/>
        <item x="242"/>
        <item x="593"/>
        <item x="269"/>
        <item x="508"/>
        <item x="497"/>
        <item x="186"/>
        <item x="263"/>
        <item x="298"/>
        <item x="41"/>
        <item x="359"/>
        <item x="143"/>
        <item x="678"/>
        <item x="437"/>
        <item x="228"/>
        <item x="171"/>
        <item x="576"/>
        <item x="179"/>
        <item x="772"/>
        <item x="582"/>
        <item x="519"/>
        <item x="407"/>
        <item x="131"/>
        <item x="144"/>
        <item x="134"/>
        <item x="248"/>
        <item x="421"/>
        <item x="600"/>
        <item x="710"/>
        <item x="476"/>
        <item x="586"/>
        <item x="760"/>
        <item x="717"/>
        <item x="71"/>
        <item x="581"/>
        <item x="200"/>
        <item x="564"/>
        <item x="575"/>
        <item x="312"/>
        <item x="660"/>
        <item x="212"/>
        <item x="305"/>
        <item x="257"/>
        <item x="475"/>
        <item x="499"/>
        <item x="527"/>
        <item x="386"/>
        <item x="218"/>
        <item x="203"/>
        <item x="29"/>
        <item x="180"/>
        <item x="102"/>
        <item x="110"/>
        <item x="182"/>
        <item x="35"/>
        <item x="1"/>
        <item x="431"/>
        <item x="25"/>
        <item x="373"/>
        <item x="489"/>
        <item x="561"/>
        <item x="370"/>
        <item x="22"/>
        <item x="673"/>
        <item x="695"/>
        <item x="595"/>
        <item x="195"/>
        <item x="479"/>
        <item x="444"/>
        <item x="667"/>
        <item x="623"/>
        <item x="292"/>
        <item x="521"/>
        <item x="605"/>
        <item x="219"/>
        <item x="224"/>
        <item x="460"/>
        <item x="193"/>
        <item x="245"/>
        <item x="18"/>
        <item x="637"/>
        <item x="434"/>
        <item x="327"/>
        <item x="202"/>
        <item x="715"/>
        <item x="613"/>
        <item x="624"/>
        <item x="426"/>
        <item x="609"/>
        <item x="427"/>
        <item x="256"/>
        <item x="316"/>
        <item x="394"/>
        <item x="266"/>
        <item x="650"/>
        <item x="133"/>
        <item x="47"/>
        <item x="142"/>
        <item x="381"/>
        <item x="342"/>
        <item x="478"/>
        <item x="61"/>
        <item x="410"/>
        <item x="164"/>
        <item x="46"/>
        <item x="719"/>
        <item x="249"/>
        <item x="125"/>
        <item x="105"/>
        <item x="267"/>
        <item x="367"/>
        <item x="683"/>
        <item x="42"/>
        <item x="30"/>
        <item x="749"/>
        <item x="758"/>
        <item x="423"/>
        <item x="151"/>
        <item x="340"/>
        <item x="766"/>
        <item x="727"/>
        <item x="356"/>
        <item x="388"/>
        <item x="647"/>
        <item x="542"/>
        <item x="60"/>
        <item x="548"/>
        <item x="148"/>
        <item x="207"/>
        <item x="349"/>
        <item x="433"/>
        <item x="463"/>
        <item x="153"/>
        <item x="96"/>
        <item x="194"/>
        <item x="120"/>
        <item x="270"/>
        <item x="518"/>
        <item x="779"/>
        <item x="236"/>
        <item x="280"/>
        <item x="331"/>
        <item x="53"/>
        <item x="0"/>
        <item x="355"/>
        <item x="440"/>
        <item x="617"/>
        <item x="397"/>
        <item x="422"/>
        <item x="72"/>
        <item x="406"/>
        <item x="789"/>
        <item x="70"/>
        <item x="538"/>
        <item x="481"/>
        <item x="532"/>
        <item x="723"/>
        <item x="416"/>
        <item x="81"/>
        <item x="48"/>
        <item x="454"/>
        <item x="294"/>
        <item x="438"/>
        <item x="541"/>
        <item x="65"/>
        <item x="5"/>
        <item x="439"/>
        <item x="484"/>
        <item x="10"/>
        <item x="104"/>
        <item x="264"/>
        <item x="24"/>
        <item x="290"/>
        <item x="119"/>
        <item x="258"/>
        <item x="490"/>
        <item x="745"/>
        <item x="486"/>
        <item x="469"/>
        <item x="524"/>
        <item x="769"/>
        <item x="504"/>
        <item x="333"/>
        <item x="385"/>
        <item x="742"/>
        <item x="704"/>
        <item x="455"/>
        <item x="640"/>
        <item x="184"/>
        <item x="211"/>
        <item x="429"/>
        <item x="209"/>
        <item x="713"/>
        <item x="522"/>
        <item x="59"/>
        <item x="492"/>
        <item x="735"/>
        <item x="757"/>
        <item x="554"/>
        <item x="636"/>
        <item x="315"/>
        <item x="457"/>
        <item x="693"/>
        <item x="493"/>
        <item x="173"/>
        <item x="145"/>
        <item x="514"/>
        <item x="668"/>
        <item x="468"/>
        <item x="670"/>
        <item x="712"/>
        <item x="309"/>
        <item x="780"/>
        <item x="274"/>
        <item x="539"/>
        <item x="185"/>
        <item x="761"/>
        <item x="645"/>
        <item x="701"/>
        <item x="653"/>
        <item x="503"/>
        <item x="191"/>
        <item x="709"/>
        <item x="375"/>
        <item x="382"/>
        <item x="101"/>
        <item x="337"/>
        <item x="124"/>
        <item x="648"/>
        <item x="4"/>
        <item x="555"/>
        <item x="318"/>
        <item x="76"/>
        <item x="731"/>
        <item x="432"/>
        <item x="603"/>
        <item x="663"/>
        <item x="591"/>
        <item x="793"/>
        <item x="783"/>
        <item x="509"/>
        <item x="675"/>
        <item x="580"/>
        <item x="321"/>
        <item x="644"/>
        <item x="378"/>
        <item x="773"/>
        <item x="465"/>
        <item x="253"/>
        <item x="284"/>
        <item x="392"/>
        <item x="39"/>
        <item x="775"/>
        <item x="149"/>
        <item x="741"/>
        <item x="500"/>
        <item x="91"/>
        <item x="474"/>
        <item x="271"/>
        <item x="570"/>
        <item x="108"/>
        <item x="197"/>
        <item x="260"/>
        <item x="528"/>
        <item x="140"/>
        <item x="45"/>
        <item x="326"/>
        <item x="272"/>
        <item x="265"/>
        <item x="585"/>
        <item x="354"/>
        <item x="324"/>
        <item x="170"/>
        <item x="88"/>
        <item x="567"/>
        <item x="551"/>
        <item x="352"/>
        <item x="230"/>
        <item x="445"/>
        <item x="161"/>
        <item x="661"/>
        <item x="488"/>
        <item x="471"/>
        <item x="776"/>
        <item x="512"/>
        <item x="141"/>
        <item x="87"/>
        <item x="729"/>
        <item x="384"/>
        <item x="11"/>
        <item x="697"/>
        <item x="778"/>
        <item x="261"/>
        <item x="238"/>
        <item x="300"/>
        <item x="606"/>
        <item x="639"/>
        <item x="259"/>
        <item x="459"/>
        <item x="726"/>
        <item x="634"/>
        <item x="526"/>
        <item x="671"/>
        <item x="718"/>
        <item x="765"/>
        <item x="795"/>
        <item x="666"/>
        <item x="781"/>
        <item x="552"/>
        <item x="175"/>
        <item x="325"/>
        <item x="344"/>
        <item x="622"/>
        <item x="152"/>
        <item x="785"/>
        <item x="557"/>
        <item x="369"/>
        <item x="361"/>
        <item x="220"/>
        <item x="641"/>
        <item x="217"/>
        <item x="229"/>
        <item x="461"/>
        <item x="17"/>
        <item x="31"/>
        <item x="183"/>
        <item x="293"/>
        <item x="301"/>
        <item x="19"/>
        <item x="705"/>
        <item x="424"/>
        <item x="254"/>
        <item x="473"/>
        <item x="287"/>
        <item x="419"/>
        <item x="146"/>
        <item x="724"/>
        <item x="390"/>
        <item x="297"/>
        <item x="178"/>
        <item x="494"/>
        <item x="767"/>
        <item x="736"/>
        <item x="599"/>
        <item x="517"/>
        <item x="411"/>
        <item x="116"/>
        <item x="498"/>
        <item x="162"/>
        <item x="563"/>
        <item x="659"/>
        <item x="15"/>
        <item x="187"/>
        <item x="511"/>
        <item x="214"/>
        <item x="470"/>
        <item x="358"/>
        <item x="40"/>
        <item x="546"/>
        <item x="275"/>
        <item x="132"/>
        <item x="371"/>
        <item x="169"/>
        <item x="747"/>
        <item x="172"/>
        <item x="328"/>
        <item x="44"/>
        <item x="86"/>
        <item x="771"/>
        <item x="204"/>
        <item x="38"/>
        <item x="250"/>
        <item x="549"/>
        <item x="379"/>
        <item x="540"/>
        <item x="409"/>
        <item x="227"/>
        <item x="121"/>
        <item x="652"/>
        <item x="176"/>
        <item x="206"/>
        <item x="50"/>
        <item x="362"/>
        <item x="523"/>
        <item x="669"/>
        <item x="346"/>
        <item x="107"/>
        <item x="377"/>
        <item x="240"/>
        <item x="790"/>
        <item x="93"/>
        <item x="273"/>
        <item x="782"/>
        <item x="234"/>
        <item x="33"/>
        <item x="168"/>
        <item x="113"/>
        <item x="92"/>
        <item x="158"/>
        <item x="415"/>
        <item x="403"/>
        <item x="90"/>
        <item x="348"/>
        <item x="467"/>
        <item x="208"/>
        <item x="737"/>
        <item x="62"/>
        <item x="674"/>
        <item x="167"/>
        <item x="52"/>
        <item x="784"/>
        <item x="376"/>
        <item x="114"/>
        <item x="360"/>
        <item x="235"/>
        <item x="262"/>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17">
    <i>
      <x v="13"/>
    </i>
    <i>
      <x v="5"/>
    </i>
    <i>
      <x v="16"/>
    </i>
    <i>
      <x v="14"/>
    </i>
    <i>
      <x v="11"/>
    </i>
    <i>
      <x/>
    </i>
    <i>
      <x v="3"/>
    </i>
    <i>
      <x v="4"/>
    </i>
    <i>
      <x v="1"/>
    </i>
    <i>
      <x v="9"/>
    </i>
    <i>
      <x v="12"/>
    </i>
    <i>
      <x v="6"/>
    </i>
    <i>
      <x v="15"/>
    </i>
    <i>
      <x v="2"/>
    </i>
    <i>
      <x v="7"/>
    </i>
    <i>
      <x v="10"/>
    </i>
    <i>
      <x v="8"/>
    </i>
  </rowItems>
  <colItems count="1">
    <i/>
  </colItems>
  <dataFields count="1">
    <dataField name="Sum of Sales" fld="18"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8147C5-77F7-4F47-9B99-3817FCFE86B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0:B13" firstHeaderRow="1" firstDataRow="1" firstDataCol="1"/>
  <pivotFields count="22">
    <pivotField showAll="0"/>
    <pivotField showAll="0"/>
    <pivotField numFmtId="14" showAll="0"/>
    <pivotField numFmtId="14" showAll="0">
      <items count="800">
        <item x="295"/>
        <item x="612"/>
        <item x="243"/>
        <item x="286"/>
        <item x="303"/>
        <item x="662"/>
        <item x="383"/>
        <item x="435"/>
        <item x="223"/>
        <item x="553"/>
        <item x="559"/>
        <item x="681"/>
        <item x="334"/>
        <item x="188"/>
        <item x="501"/>
        <item x="568"/>
        <item x="69"/>
        <item x="231"/>
        <item x="447"/>
        <item x="450"/>
        <item x="558"/>
        <item x="699"/>
        <item x="656"/>
        <item x="246"/>
        <item x="756"/>
        <item x="506"/>
        <item x="85"/>
        <item x="614"/>
        <item x="774"/>
        <item x="728"/>
        <item x="515"/>
        <item x="283"/>
        <item x="520"/>
        <item x="566"/>
        <item x="341"/>
        <item x="138"/>
        <item x="166"/>
        <item x="529"/>
        <item x="451"/>
        <item x="610"/>
        <item x="615"/>
        <item x="350"/>
        <item x="562"/>
        <item x="448"/>
        <item x="502"/>
        <item x="8"/>
        <item x="226"/>
        <item x="611"/>
        <item x="304"/>
        <item x="706"/>
        <item x="633"/>
        <item x="395"/>
        <item x="247"/>
        <item x="630"/>
        <item x="495"/>
        <item x="412"/>
        <item x="103"/>
        <item x="288"/>
        <item x="608"/>
        <item x="160"/>
        <item x="626"/>
        <item x="199"/>
        <item x="3"/>
        <item x="338"/>
        <item x="643"/>
        <item x="363"/>
        <item x="787"/>
        <item x="277"/>
        <item x="635"/>
        <item x="174"/>
        <item x="430"/>
        <item x="739"/>
        <item x="323"/>
        <item x="491"/>
        <item x="285"/>
        <item x="276"/>
        <item x="405"/>
        <item x="462"/>
        <item x="136"/>
        <item x="700"/>
        <item x="720"/>
        <item x="651"/>
        <item x="150"/>
        <item x="752"/>
        <item x="714"/>
        <item x="89"/>
        <item x="768"/>
        <item x="336"/>
        <item x="74"/>
        <item x="535"/>
        <item x="244"/>
        <item x="127"/>
        <item x="594"/>
        <item x="759"/>
        <item x="688"/>
        <item x="750"/>
        <item x="54"/>
        <item x="590"/>
        <item x="82"/>
        <item x="9"/>
        <item x="658"/>
        <item x="446"/>
        <item x="791"/>
        <item x="477"/>
        <item x="73"/>
        <item x="177"/>
        <item x="357"/>
        <item x="368"/>
        <item x="100"/>
        <item x="232"/>
        <item x="75"/>
        <item x="109"/>
        <item x="159"/>
        <item x="130"/>
        <item x="58"/>
        <item x="313"/>
        <item x="147"/>
        <item x="510"/>
        <item x="126"/>
        <item x="620"/>
        <item x="702"/>
        <item x="507"/>
        <item x="196"/>
        <item x="291"/>
        <item x="320"/>
        <item x="36"/>
        <item x="578"/>
        <item x="676"/>
        <item x="655"/>
        <item x="21"/>
        <item x="64"/>
        <item x="794"/>
        <item x="198"/>
        <item x="689"/>
        <item x="319"/>
        <item x="129"/>
        <item x="192"/>
        <item x="646"/>
        <item x="389"/>
        <item x="722"/>
        <item x="7"/>
        <item x="777"/>
        <item x="682"/>
        <item x="792"/>
        <item x="786"/>
        <item x="80"/>
        <item x="571"/>
        <item x="157"/>
        <item x="679"/>
        <item x="694"/>
        <item x="456"/>
        <item x="34"/>
        <item x="587"/>
        <item x="543"/>
        <item x="282"/>
        <item x="691"/>
        <item x="545"/>
        <item x="79"/>
        <item x="28"/>
        <item x="365"/>
        <item x="621"/>
        <item x="466"/>
        <item x="343"/>
        <item x="353"/>
        <item x="708"/>
        <item x="572"/>
        <item x="547"/>
        <item x="443"/>
        <item x="181"/>
        <item x="165"/>
        <item x="57"/>
        <item x="472"/>
        <item x="128"/>
        <item x="251"/>
        <item x="299"/>
        <item x="751"/>
        <item x="123"/>
        <item x="95"/>
        <item x="592"/>
        <item x="190"/>
        <item x="685"/>
        <item x="796"/>
        <item x="598"/>
        <item x="43"/>
        <item x="638"/>
        <item x="94"/>
        <item x="732"/>
        <item x="619"/>
        <item x="99"/>
        <item x="654"/>
        <item x="55"/>
        <item x="436"/>
        <item x="740"/>
        <item x="391"/>
        <item x="738"/>
        <item x="684"/>
        <item x="565"/>
        <item x="588"/>
        <item x="205"/>
        <item x="322"/>
        <item x="569"/>
        <item x="210"/>
        <item x="579"/>
        <item x="417"/>
        <item x="393"/>
        <item x="278"/>
        <item x="441"/>
        <item x="414"/>
        <item x="56"/>
        <item x="281"/>
        <item x="366"/>
        <item x="690"/>
        <item x="418"/>
        <item x="23"/>
        <item x="743"/>
        <item x="351"/>
        <item x="32"/>
        <item x="401"/>
        <item x="27"/>
        <item x="530"/>
        <item x="122"/>
        <item x="677"/>
        <item x="442"/>
        <item x="536"/>
        <item x="279"/>
        <item x="672"/>
        <item x="308"/>
        <item x="483"/>
        <item x="505"/>
        <item x="67"/>
        <item x="68"/>
        <item x="628"/>
        <item x="408"/>
        <item x="496"/>
        <item x="402"/>
        <item x="686"/>
        <item x="577"/>
        <item x="137"/>
        <item x="154"/>
        <item x="311"/>
        <item x="649"/>
        <item x="788"/>
        <item x="413"/>
        <item x="480"/>
        <item x="241"/>
        <item x="400"/>
        <item x="770"/>
        <item x="618"/>
        <item x="596"/>
        <item x="797"/>
        <item x="531"/>
        <item x="642"/>
        <item x="374"/>
        <item x="420"/>
        <item x="115"/>
        <item x="716"/>
        <item x="550"/>
        <item x="746"/>
        <item x="574"/>
        <item x="98"/>
        <item x="533"/>
        <item x="798"/>
        <item x="306"/>
        <item x="453"/>
        <item x="721"/>
        <item x="268"/>
        <item x="398"/>
        <item x="482"/>
        <item x="755"/>
        <item x="135"/>
        <item x="302"/>
        <item x="215"/>
        <item x="37"/>
        <item x="607"/>
        <item x="63"/>
        <item x="239"/>
        <item x="458"/>
        <item x="730"/>
        <item x="627"/>
        <item x="399"/>
        <item x="14"/>
        <item x="237"/>
        <item x="487"/>
        <item x="537"/>
        <item x="117"/>
        <item x="589"/>
        <item x="12"/>
        <item x="733"/>
        <item x="118"/>
        <item x="307"/>
        <item x="485"/>
        <item x="687"/>
        <item x="255"/>
        <item x="347"/>
        <item x="83"/>
        <item x="525"/>
        <item x="332"/>
        <item x="2"/>
        <item x="51"/>
        <item x="452"/>
        <item x="696"/>
        <item x="703"/>
        <item x="665"/>
        <item x="449"/>
        <item x="396"/>
        <item x="163"/>
        <item x="744"/>
        <item x="84"/>
        <item x="544"/>
        <item x="216"/>
        <item x="556"/>
        <item x="680"/>
        <item x="664"/>
        <item x="111"/>
        <item x="49"/>
        <item x="764"/>
        <item x="584"/>
        <item x="77"/>
        <item x="330"/>
        <item x="6"/>
        <item x="560"/>
        <item x="616"/>
        <item x="698"/>
        <item x="26"/>
        <item x="380"/>
        <item x="155"/>
        <item x="252"/>
        <item x="106"/>
        <item x="725"/>
        <item x="156"/>
        <item x="221"/>
        <item x="233"/>
        <item x="762"/>
        <item x="222"/>
        <item x="387"/>
        <item x="428"/>
        <item x="629"/>
        <item x="310"/>
        <item x="372"/>
        <item x="734"/>
        <item x="78"/>
        <item x="602"/>
        <item x="189"/>
        <item x="225"/>
        <item x="139"/>
        <item x="601"/>
        <item x="314"/>
        <item x="97"/>
        <item x="513"/>
        <item x="692"/>
        <item x="16"/>
        <item x="213"/>
        <item x="748"/>
        <item x="657"/>
        <item x="707"/>
        <item x="339"/>
        <item x="711"/>
        <item x="404"/>
        <item x="13"/>
        <item x="345"/>
        <item x="112"/>
        <item x="516"/>
        <item x="604"/>
        <item x="632"/>
        <item x="625"/>
        <item x="289"/>
        <item x="631"/>
        <item x="464"/>
        <item x="335"/>
        <item x="753"/>
        <item x="573"/>
        <item x="425"/>
        <item x="597"/>
        <item x="364"/>
        <item x="329"/>
        <item x="20"/>
        <item x="534"/>
        <item x="66"/>
        <item x="317"/>
        <item x="754"/>
        <item x="583"/>
        <item x="201"/>
        <item x="296"/>
        <item x="763"/>
        <item x="242"/>
        <item x="593"/>
        <item x="269"/>
        <item x="508"/>
        <item x="497"/>
        <item x="186"/>
        <item x="263"/>
        <item x="298"/>
        <item x="41"/>
        <item x="359"/>
        <item x="143"/>
        <item x="678"/>
        <item x="437"/>
        <item x="228"/>
        <item x="171"/>
        <item x="576"/>
        <item x="179"/>
        <item x="772"/>
        <item x="582"/>
        <item x="519"/>
        <item x="407"/>
        <item x="131"/>
        <item x="144"/>
        <item x="134"/>
        <item x="248"/>
        <item x="421"/>
        <item x="600"/>
        <item x="710"/>
        <item x="476"/>
        <item x="586"/>
        <item x="760"/>
        <item x="717"/>
        <item x="71"/>
        <item x="581"/>
        <item x="200"/>
        <item x="564"/>
        <item x="575"/>
        <item x="312"/>
        <item x="660"/>
        <item x="212"/>
        <item x="305"/>
        <item x="257"/>
        <item x="475"/>
        <item x="499"/>
        <item x="527"/>
        <item x="386"/>
        <item x="218"/>
        <item x="203"/>
        <item x="29"/>
        <item x="180"/>
        <item x="102"/>
        <item x="110"/>
        <item x="182"/>
        <item x="35"/>
        <item x="1"/>
        <item x="431"/>
        <item x="25"/>
        <item x="373"/>
        <item x="489"/>
        <item x="561"/>
        <item x="370"/>
        <item x="22"/>
        <item x="673"/>
        <item x="695"/>
        <item x="595"/>
        <item x="195"/>
        <item x="479"/>
        <item x="444"/>
        <item x="667"/>
        <item x="623"/>
        <item x="292"/>
        <item x="521"/>
        <item x="605"/>
        <item x="219"/>
        <item x="224"/>
        <item x="460"/>
        <item x="193"/>
        <item x="245"/>
        <item x="18"/>
        <item x="637"/>
        <item x="434"/>
        <item x="327"/>
        <item x="202"/>
        <item x="715"/>
        <item x="613"/>
        <item x="624"/>
        <item x="426"/>
        <item x="609"/>
        <item x="427"/>
        <item x="256"/>
        <item x="316"/>
        <item x="394"/>
        <item x="266"/>
        <item x="650"/>
        <item x="133"/>
        <item x="47"/>
        <item x="142"/>
        <item x="381"/>
        <item x="342"/>
        <item x="478"/>
        <item x="61"/>
        <item x="410"/>
        <item x="164"/>
        <item x="46"/>
        <item x="719"/>
        <item x="249"/>
        <item x="125"/>
        <item x="105"/>
        <item x="267"/>
        <item x="367"/>
        <item x="683"/>
        <item x="42"/>
        <item x="30"/>
        <item x="749"/>
        <item x="758"/>
        <item x="423"/>
        <item x="151"/>
        <item x="340"/>
        <item x="766"/>
        <item x="727"/>
        <item x="356"/>
        <item x="388"/>
        <item x="647"/>
        <item x="542"/>
        <item x="60"/>
        <item x="548"/>
        <item x="148"/>
        <item x="207"/>
        <item x="349"/>
        <item x="433"/>
        <item x="463"/>
        <item x="153"/>
        <item x="96"/>
        <item x="194"/>
        <item x="120"/>
        <item x="270"/>
        <item x="518"/>
        <item x="779"/>
        <item x="236"/>
        <item x="280"/>
        <item x="331"/>
        <item x="53"/>
        <item x="0"/>
        <item x="355"/>
        <item x="440"/>
        <item x="617"/>
        <item x="397"/>
        <item x="422"/>
        <item x="72"/>
        <item x="406"/>
        <item x="789"/>
        <item x="70"/>
        <item x="538"/>
        <item x="481"/>
        <item x="532"/>
        <item x="723"/>
        <item x="416"/>
        <item x="81"/>
        <item x="48"/>
        <item x="454"/>
        <item x="294"/>
        <item x="438"/>
        <item x="541"/>
        <item x="65"/>
        <item x="5"/>
        <item x="439"/>
        <item x="484"/>
        <item x="10"/>
        <item x="104"/>
        <item x="264"/>
        <item x="24"/>
        <item x="290"/>
        <item x="119"/>
        <item x="258"/>
        <item x="490"/>
        <item x="745"/>
        <item x="486"/>
        <item x="469"/>
        <item x="524"/>
        <item x="769"/>
        <item x="504"/>
        <item x="333"/>
        <item x="385"/>
        <item x="742"/>
        <item x="704"/>
        <item x="455"/>
        <item x="640"/>
        <item x="184"/>
        <item x="211"/>
        <item x="429"/>
        <item x="209"/>
        <item x="713"/>
        <item x="522"/>
        <item x="59"/>
        <item x="492"/>
        <item x="735"/>
        <item x="757"/>
        <item x="554"/>
        <item x="636"/>
        <item x="315"/>
        <item x="457"/>
        <item x="693"/>
        <item x="493"/>
        <item x="173"/>
        <item x="145"/>
        <item x="514"/>
        <item x="668"/>
        <item x="468"/>
        <item x="670"/>
        <item x="712"/>
        <item x="309"/>
        <item x="780"/>
        <item x="274"/>
        <item x="539"/>
        <item x="185"/>
        <item x="761"/>
        <item x="645"/>
        <item x="701"/>
        <item x="653"/>
        <item x="503"/>
        <item x="191"/>
        <item x="709"/>
        <item x="375"/>
        <item x="382"/>
        <item x="101"/>
        <item x="337"/>
        <item x="124"/>
        <item x="648"/>
        <item x="4"/>
        <item x="555"/>
        <item x="318"/>
        <item x="76"/>
        <item x="731"/>
        <item x="432"/>
        <item x="603"/>
        <item x="663"/>
        <item x="591"/>
        <item x="793"/>
        <item x="783"/>
        <item x="509"/>
        <item x="675"/>
        <item x="580"/>
        <item x="321"/>
        <item x="644"/>
        <item x="378"/>
        <item x="773"/>
        <item x="465"/>
        <item x="253"/>
        <item x="284"/>
        <item x="392"/>
        <item x="39"/>
        <item x="775"/>
        <item x="149"/>
        <item x="741"/>
        <item x="500"/>
        <item x="91"/>
        <item x="474"/>
        <item x="271"/>
        <item x="570"/>
        <item x="108"/>
        <item x="197"/>
        <item x="260"/>
        <item x="528"/>
        <item x="140"/>
        <item x="45"/>
        <item x="326"/>
        <item x="272"/>
        <item x="265"/>
        <item x="585"/>
        <item x="354"/>
        <item x="324"/>
        <item x="170"/>
        <item x="88"/>
        <item x="567"/>
        <item x="551"/>
        <item x="352"/>
        <item x="230"/>
        <item x="445"/>
        <item x="161"/>
        <item x="661"/>
        <item x="488"/>
        <item x="471"/>
        <item x="776"/>
        <item x="512"/>
        <item x="141"/>
        <item x="87"/>
        <item x="729"/>
        <item x="384"/>
        <item x="11"/>
        <item x="697"/>
        <item x="778"/>
        <item x="261"/>
        <item x="238"/>
        <item x="300"/>
        <item x="606"/>
        <item x="639"/>
        <item x="259"/>
        <item x="459"/>
        <item x="726"/>
        <item x="634"/>
        <item x="526"/>
        <item x="671"/>
        <item x="718"/>
        <item x="765"/>
        <item x="795"/>
        <item x="666"/>
        <item x="781"/>
        <item x="552"/>
        <item x="175"/>
        <item x="325"/>
        <item x="344"/>
        <item x="622"/>
        <item x="152"/>
        <item x="785"/>
        <item x="557"/>
        <item x="369"/>
        <item x="361"/>
        <item x="220"/>
        <item x="641"/>
        <item x="217"/>
        <item x="229"/>
        <item x="461"/>
        <item x="17"/>
        <item x="31"/>
        <item x="183"/>
        <item x="293"/>
        <item x="301"/>
        <item x="19"/>
        <item x="705"/>
        <item x="424"/>
        <item x="254"/>
        <item x="473"/>
        <item x="287"/>
        <item x="419"/>
        <item x="146"/>
        <item x="724"/>
        <item x="390"/>
        <item x="297"/>
        <item x="178"/>
        <item x="494"/>
        <item x="767"/>
        <item x="736"/>
        <item x="599"/>
        <item x="517"/>
        <item x="411"/>
        <item x="116"/>
        <item x="498"/>
        <item x="162"/>
        <item x="563"/>
        <item x="659"/>
        <item x="15"/>
        <item x="187"/>
        <item x="511"/>
        <item x="214"/>
        <item x="470"/>
        <item x="358"/>
        <item x="40"/>
        <item x="546"/>
        <item x="275"/>
        <item x="132"/>
        <item x="371"/>
        <item x="169"/>
        <item x="747"/>
        <item x="172"/>
        <item x="328"/>
        <item x="44"/>
        <item x="86"/>
        <item x="771"/>
        <item x="204"/>
        <item x="38"/>
        <item x="250"/>
        <item x="549"/>
        <item x="379"/>
        <item x="540"/>
        <item x="409"/>
        <item x="227"/>
        <item x="121"/>
        <item x="652"/>
        <item x="176"/>
        <item x="206"/>
        <item x="50"/>
        <item x="362"/>
        <item x="523"/>
        <item x="669"/>
        <item x="346"/>
        <item x="107"/>
        <item x="377"/>
        <item x="240"/>
        <item x="790"/>
        <item x="93"/>
        <item x="273"/>
        <item x="782"/>
        <item x="234"/>
        <item x="33"/>
        <item x="168"/>
        <item x="113"/>
        <item x="92"/>
        <item x="158"/>
        <item x="415"/>
        <item x="403"/>
        <item x="90"/>
        <item x="348"/>
        <item x="467"/>
        <item x="208"/>
        <item x="737"/>
        <item x="62"/>
        <item x="674"/>
        <item x="167"/>
        <item x="52"/>
        <item x="784"/>
        <item x="376"/>
        <item x="114"/>
        <item x="360"/>
        <item x="235"/>
        <item x="262"/>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3">
    <i>
      <x/>
    </i>
    <i>
      <x v="1"/>
    </i>
    <i>
      <x v="2"/>
    </i>
  </rowItems>
  <colItems count="1">
    <i/>
  </colItems>
  <dataFields count="1">
    <dataField name="Sum of Sales" fld="18" baseField="0" baseItem="0" numFmtId="164"/>
  </dataFields>
  <formats count="1">
    <format dxfId="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1"/>
          </reference>
        </references>
      </pivotArea>
    </chartFormat>
    <chartFormat chart="5"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D12E78-2883-493A-8D61-7618D36C14E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9:B14" firstHeaderRow="1" firstDataRow="1" firstDataCol="1"/>
  <pivotFields count="22">
    <pivotField showAll="0"/>
    <pivotField showAll="0"/>
    <pivotField numFmtId="14" showAll="0"/>
    <pivotField axis="axisRow" numFmtId="14" showAll="0">
      <items count="800">
        <item x="295"/>
        <item x="612"/>
        <item x="243"/>
        <item x="286"/>
        <item x="303"/>
        <item x="662"/>
        <item x="383"/>
        <item x="435"/>
        <item x="223"/>
        <item x="553"/>
        <item x="559"/>
        <item x="681"/>
        <item x="334"/>
        <item x="188"/>
        <item x="501"/>
        <item x="568"/>
        <item x="69"/>
        <item x="231"/>
        <item x="447"/>
        <item x="450"/>
        <item x="558"/>
        <item x="699"/>
        <item x="656"/>
        <item x="246"/>
        <item x="756"/>
        <item x="506"/>
        <item x="85"/>
        <item x="614"/>
        <item x="774"/>
        <item x="728"/>
        <item x="515"/>
        <item x="283"/>
        <item x="520"/>
        <item x="566"/>
        <item x="341"/>
        <item x="138"/>
        <item x="166"/>
        <item x="529"/>
        <item x="451"/>
        <item x="610"/>
        <item x="615"/>
        <item x="350"/>
        <item x="562"/>
        <item x="448"/>
        <item x="502"/>
        <item x="8"/>
        <item x="226"/>
        <item x="611"/>
        <item x="304"/>
        <item x="706"/>
        <item x="633"/>
        <item x="395"/>
        <item x="247"/>
        <item x="630"/>
        <item x="495"/>
        <item x="412"/>
        <item x="103"/>
        <item x="288"/>
        <item x="608"/>
        <item x="160"/>
        <item x="626"/>
        <item x="199"/>
        <item x="3"/>
        <item x="338"/>
        <item x="643"/>
        <item x="363"/>
        <item x="787"/>
        <item x="277"/>
        <item x="635"/>
        <item x="174"/>
        <item x="430"/>
        <item x="739"/>
        <item x="323"/>
        <item x="491"/>
        <item x="285"/>
        <item x="276"/>
        <item x="405"/>
        <item x="462"/>
        <item x="136"/>
        <item x="700"/>
        <item x="720"/>
        <item x="651"/>
        <item x="150"/>
        <item x="752"/>
        <item x="714"/>
        <item x="89"/>
        <item x="768"/>
        <item x="336"/>
        <item x="74"/>
        <item x="535"/>
        <item x="244"/>
        <item x="127"/>
        <item x="594"/>
        <item x="759"/>
        <item x="688"/>
        <item x="750"/>
        <item x="54"/>
        <item x="590"/>
        <item x="82"/>
        <item x="9"/>
        <item x="658"/>
        <item x="446"/>
        <item x="791"/>
        <item x="477"/>
        <item x="73"/>
        <item x="177"/>
        <item x="357"/>
        <item x="368"/>
        <item x="100"/>
        <item x="232"/>
        <item x="75"/>
        <item x="109"/>
        <item x="159"/>
        <item x="130"/>
        <item x="58"/>
        <item x="313"/>
        <item x="147"/>
        <item x="510"/>
        <item x="126"/>
        <item x="620"/>
        <item x="702"/>
        <item x="507"/>
        <item x="196"/>
        <item x="291"/>
        <item x="320"/>
        <item x="36"/>
        <item x="578"/>
        <item x="676"/>
        <item x="655"/>
        <item x="21"/>
        <item x="64"/>
        <item x="794"/>
        <item x="198"/>
        <item x="689"/>
        <item x="319"/>
        <item x="129"/>
        <item x="192"/>
        <item x="646"/>
        <item x="389"/>
        <item x="722"/>
        <item x="7"/>
        <item x="777"/>
        <item x="682"/>
        <item x="792"/>
        <item x="786"/>
        <item x="80"/>
        <item x="571"/>
        <item x="157"/>
        <item x="679"/>
        <item x="694"/>
        <item x="456"/>
        <item x="34"/>
        <item x="587"/>
        <item x="543"/>
        <item x="282"/>
        <item x="691"/>
        <item x="545"/>
        <item x="79"/>
        <item x="28"/>
        <item x="365"/>
        <item x="621"/>
        <item x="466"/>
        <item x="343"/>
        <item x="353"/>
        <item x="708"/>
        <item x="572"/>
        <item x="547"/>
        <item x="443"/>
        <item x="181"/>
        <item x="165"/>
        <item x="57"/>
        <item x="472"/>
        <item x="128"/>
        <item x="251"/>
        <item x="299"/>
        <item x="751"/>
        <item x="123"/>
        <item x="95"/>
        <item x="592"/>
        <item x="190"/>
        <item x="685"/>
        <item x="796"/>
        <item x="598"/>
        <item x="43"/>
        <item x="638"/>
        <item x="94"/>
        <item x="732"/>
        <item x="619"/>
        <item x="99"/>
        <item x="654"/>
        <item x="55"/>
        <item x="436"/>
        <item x="740"/>
        <item x="391"/>
        <item x="738"/>
        <item x="684"/>
        <item x="565"/>
        <item x="588"/>
        <item x="205"/>
        <item x="322"/>
        <item x="569"/>
        <item x="210"/>
        <item x="579"/>
        <item x="417"/>
        <item x="393"/>
        <item x="278"/>
        <item x="441"/>
        <item x="414"/>
        <item x="56"/>
        <item x="281"/>
        <item x="366"/>
        <item x="690"/>
        <item x="418"/>
        <item x="23"/>
        <item x="743"/>
        <item x="351"/>
        <item x="32"/>
        <item x="401"/>
        <item x="27"/>
        <item x="530"/>
        <item x="122"/>
        <item x="677"/>
        <item x="442"/>
        <item x="536"/>
        <item x="279"/>
        <item x="672"/>
        <item x="308"/>
        <item x="483"/>
        <item x="505"/>
        <item x="67"/>
        <item x="68"/>
        <item x="628"/>
        <item x="408"/>
        <item x="496"/>
        <item x="402"/>
        <item x="686"/>
        <item x="577"/>
        <item x="137"/>
        <item x="154"/>
        <item x="311"/>
        <item x="649"/>
        <item x="788"/>
        <item x="413"/>
        <item x="480"/>
        <item x="241"/>
        <item x="400"/>
        <item x="770"/>
        <item x="618"/>
        <item x="596"/>
        <item x="797"/>
        <item x="531"/>
        <item x="642"/>
        <item x="374"/>
        <item x="420"/>
        <item x="115"/>
        <item x="716"/>
        <item x="550"/>
        <item x="746"/>
        <item x="574"/>
        <item x="98"/>
        <item x="533"/>
        <item x="798"/>
        <item x="306"/>
        <item x="453"/>
        <item x="721"/>
        <item x="268"/>
        <item x="398"/>
        <item x="482"/>
        <item x="755"/>
        <item x="135"/>
        <item x="302"/>
        <item x="215"/>
        <item x="37"/>
        <item x="607"/>
        <item x="63"/>
        <item x="239"/>
        <item x="458"/>
        <item x="730"/>
        <item x="627"/>
        <item x="399"/>
        <item x="14"/>
        <item x="237"/>
        <item x="487"/>
        <item x="537"/>
        <item x="117"/>
        <item x="589"/>
        <item x="12"/>
        <item x="733"/>
        <item x="118"/>
        <item x="307"/>
        <item x="485"/>
        <item x="687"/>
        <item x="255"/>
        <item x="347"/>
        <item x="83"/>
        <item x="525"/>
        <item x="332"/>
        <item x="2"/>
        <item x="51"/>
        <item x="452"/>
        <item x="696"/>
        <item x="703"/>
        <item x="665"/>
        <item x="449"/>
        <item x="396"/>
        <item x="163"/>
        <item x="744"/>
        <item x="84"/>
        <item x="544"/>
        <item x="216"/>
        <item x="556"/>
        <item x="680"/>
        <item x="664"/>
        <item x="111"/>
        <item x="49"/>
        <item x="764"/>
        <item x="584"/>
        <item x="77"/>
        <item x="330"/>
        <item x="6"/>
        <item x="560"/>
        <item x="616"/>
        <item x="698"/>
        <item x="26"/>
        <item x="380"/>
        <item x="155"/>
        <item x="252"/>
        <item x="106"/>
        <item x="725"/>
        <item x="156"/>
        <item x="221"/>
        <item x="233"/>
        <item x="762"/>
        <item x="222"/>
        <item x="387"/>
        <item x="428"/>
        <item x="629"/>
        <item x="310"/>
        <item x="372"/>
        <item x="734"/>
        <item x="78"/>
        <item x="602"/>
        <item x="189"/>
        <item x="225"/>
        <item x="139"/>
        <item x="601"/>
        <item x="314"/>
        <item x="97"/>
        <item x="513"/>
        <item x="692"/>
        <item x="16"/>
        <item x="213"/>
        <item x="748"/>
        <item x="657"/>
        <item x="707"/>
        <item x="339"/>
        <item x="711"/>
        <item x="404"/>
        <item x="13"/>
        <item x="345"/>
        <item x="112"/>
        <item x="516"/>
        <item x="604"/>
        <item x="632"/>
        <item x="625"/>
        <item x="289"/>
        <item x="631"/>
        <item x="464"/>
        <item x="335"/>
        <item x="753"/>
        <item x="573"/>
        <item x="425"/>
        <item x="597"/>
        <item x="364"/>
        <item x="329"/>
        <item x="20"/>
        <item x="534"/>
        <item x="66"/>
        <item x="317"/>
        <item x="754"/>
        <item x="583"/>
        <item x="201"/>
        <item x="296"/>
        <item x="763"/>
        <item x="242"/>
        <item x="593"/>
        <item x="269"/>
        <item x="508"/>
        <item x="497"/>
        <item x="186"/>
        <item x="263"/>
        <item x="298"/>
        <item x="41"/>
        <item x="359"/>
        <item x="143"/>
        <item x="678"/>
        <item x="437"/>
        <item x="228"/>
        <item x="171"/>
        <item x="576"/>
        <item x="179"/>
        <item x="772"/>
        <item x="582"/>
        <item x="519"/>
        <item x="407"/>
        <item x="131"/>
        <item x="144"/>
        <item x="134"/>
        <item x="248"/>
        <item x="421"/>
        <item x="600"/>
        <item x="710"/>
        <item x="476"/>
        <item x="586"/>
        <item x="760"/>
        <item x="717"/>
        <item x="71"/>
        <item x="581"/>
        <item x="200"/>
        <item x="564"/>
        <item x="575"/>
        <item x="312"/>
        <item x="660"/>
        <item x="212"/>
        <item x="305"/>
        <item x="257"/>
        <item x="475"/>
        <item x="499"/>
        <item x="527"/>
        <item x="386"/>
        <item x="218"/>
        <item x="203"/>
        <item x="29"/>
        <item x="180"/>
        <item x="102"/>
        <item x="110"/>
        <item x="182"/>
        <item x="35"/>
        <item x="1"/>
        <item x="431"/>
        <item x="25"/>
        <item x="373"/>
        <item x="489"/>
        <item x="561"/>
        <item x="370"/>
        <item x="22"/>
        <item x="673"/>
        <item x="695"/>
        <item x="595"/>
        <item x="195"/>
        <item x="479"/>
        <item x="444"/>
        <item x="667"/>
        <item x="623"/>
        <item x="292"/>
        <item x="521"/>
        <item x="605"/>
        <item x="219"/>
        <item x="224"/>
        <item x="460"/>
        <item x="193"/>
        <item x="245"/>
        <item x="18"/>
        <item x="637"/>
        <item x="434"/>
        <item x="327"/>
        <item x="202"/>
        <item x="715"/>
        <item x="613"/>
        <item x="624"/>
        <item x="426"/>
        <item x="609"/>
        <item x="427"/>
        <item x="256"/>
        <item x="316"/>
        <item x="394"/>
        <item x="266"/>
        <item x="650"/>
        <item x="133"/>
        <item x="47"/>
        <item x="142"/>
        <item x="381"/>
        <item x="342"/>
        <item x="478"/>
        <item x="61"/>
        <item x="410"/>
        <item x="164"/>
        <item x="46"/>
        <item x="719"/>
        <item x="249"/>
        <item x="125"/>
        <item x="105"/>
        <item x="267"/>
        <item x="367"/>
        <item x="683"/>
        <item x="42"/>
        <item x="30"/>
        <item x="749"/>
        <item x="758"/>
        <item x="423"/>
        <item x="151"/>
        <item x="340"/>
        <item x="766"/>
        <item x="727"/>
        <item x="356"/>
        <item x="388"/>
        <item x="647"/>
        <item x="542"/>
        <item x="60"/>
        <item x="548"/>
        <item x="148"/>
        <item x="207"/>
        <item x="349"/>
        <item x="433"/>
        <item x="463"/>
        <item x="153"/>
        <item x="96"/>
        <item x="194"/>
        <item x="120"/>
        <item x="270"/>
        <item x="518"/>
        <item x="779"/>
        <item x="236"/>
        <item x="280"/>
        <item x="331"/>
        <item x="53"/>
        <item x="0"/>
        <item x="355"/>
        <item x="440"/>
        <item x="617"/>
        <item x="397"/>
        <item x="422"/>
        <item x="72"/>
        <item x="406"/>
        <item x="789"/>
        <item x="70"/>
        <item x="538"/>
        <item x="481"/>
        <item x="532"/>
        <item x="723"/>
        <item x="416"/>
        <item x="81"/>
        <item x="48"/>
        <item x="454"/>
        <item x="294"/>
        <item x="438"/>
        <item x="541"/>
        <item x="65"/>
        <item x="5"/>
        <item x="439"/>
        <item x="484"/>
        <item x="10"/>
        <item x="104"/>
        <item x="264"/>
        <item x="24"/>
        <item x="290"/>
        <item x="119"/>
        <item x="258"/>
        <item x="490"/>
        <item x="745"/>
        <item x="486"/>
        <item x="469"/>
        <item x="524"/>
        <item x="769"/>
        <item x="504"/>
        <item x="333"/>
        <item x="385"/>
        <item x="742"/>
        <item x="704"/>
        <item x="455"/>
        <item x="640"/>
        <item x="184"/>
        <item x="211"/>
        <item x="429"/>
        <item x="209"/>
        <item x="713"/>
        <item x="522"/>
        <item x="59"/>
        <item x="492"/>
        <item x="735"/>
        <item x="757"/>
        <item x="554"/>
        <item x="636"/>
        <item x="315"/>
        <item x="457"/>
        <item x="693"/>
        <item x="493"/>
        <item x="173"/>
        <item x="145"/>
        <item x="514"/>
        <item x="668"/>
        <item x="468"/>
        <item x="670"/>
        <item x="712"/>
        <item x="309"/>
        <item x="780"/>
        <item x="274"/>
        <item x="539"/>
        <item x="185"/>
        <item x="761"/>
        <item x="645"/>
        <item x="701"/>
        <item x="653"/>
        <item x="503"/>
        <item x="191"/>
        <item x="709"/>
        <item x="375"/>
        <item x="382"/>
        <item x="101"/>
        <item x="337"/>
        <item x="124"/>
        <item x="648"/>
        <item x="4"/>
        <item x="555"/>
        <item x="318"/>
        <item x="76"/>
        <item x="731"/>
        <item x="432"/>
        <item x="603"/>
        <item x="663"/>
        <item x="591"/>
        <item x="793"/>
        <item x="783"/>
        <item x="509"/>
        <item x="675"/>
        <item x="580"/>
        <item x="321"/>
        <item x="644"/>
        <item x="378"/>
        <item x="773"/>
        <item x="465"/>
        <item x="253"/>
        <item x="284"/>
        <item x="392"/>
        <item x="39"/>
        <item x="775"/>
        <item x="149"/>
        <item x="741"/>
        <item x="500"/>
        <item x="91"/>
        <item x="474"/>
        <item x="271"/>
        <item x="570"/>
        <item x="108"/>
        <item x="197"/>
        <item x="260"/>
        <item x="528"/>
        <item x="140"/>
        <item x="45"/>
        <item x="326"/>
        <item x="272"/>
        <item x="265"/>
        <item x="585"/>
        <item x="354"/>
        <item x="324"/>
        <item x="170"/>
        <item x="88"/>
        <item x="567"/>
        <item x="551"/>
        <item x="352"/>
        <item x="230"/>
        <item x="445"/>
        <item x="161"/>
        <item x="661"/>
        <item x="488"/>
        <item x="471"/>
        <item x="776"/>
        <item x="512"/>
        <item x="141"/>
        <item x="87"/>
        <item x="729"/>
        <item x="384"/>
        <item x="11"/>
        <item x="697"/>
        <item x="778"/>
        <item x="261"/>
        <item x="238"/>
        <item x="300"/>
        <item x="606"/>
        <item x="639"/>
        <item x="259"/>
        <item x="459"/>
        <item x="726"/>
        <item x="634"/>
        <item x="526"/>
        <item x="671"/>
        <item x="718"/>
        <item x="765"/>
        <item x="795"/>
        <item x="666"/>
        <item x="781"/>
        <item x="552"/>
        <item x="175"/>
        <item x="325"/>
        <item x="344"/>
        <item x="622"/>
        <item x="152"/>
        <item x="785"/>
        <item x="557"/>
        <item x="369"/>
        <item x="361"/>
        <item x="220"/>
        <item x="641"/>
        <item x="217"/>
        <item x="229"/>
        <item x="461"/>
        <item x="17"/>
        <item x="31"/>
        <item x="183"/>
        <item x="293"/>
        <item x="301"/>
        <item x="19"/>
        <item x="705"/>
        <item x="424"/>
        <item x="254"/>
        <item x="473"/>
        <item x="287"/>
        <item x="419"/>
        <item x="146"/>
        <item x="724"/>
        <item x="390"/>
        <item x="297"/>
        <item x="178"/>
        <item x="494"/>
        <item x="767"/>
        <item x="736"/>
        <item x="599"/>
        <item x="517"/>
        <item x="411"/>
        <item x="116"/>
        <item x="498"/>
        <item x="162"/>
        <item x="563"/>
        <item x="659"/>
        <item x="15"/>
        <item x="187"/>
        <item x="511"/>
        <item x="214"/>
        <item x="470"/>
        <item x="358"/>
        <item x="40"/>
        <item x="546"/>
        <item x="275"/>
        <item x="132"/>
        <item x="371"/>
        <item x="169"/>
        <item x="747"/>
        <item x="172"/>
        <item x="328"/>
        <item x="44"/>
        <item x="86"/>
        <item x="771"/>
        <item x="204"/>
        <item x="38"/>
        <item x="250"/>
        <item x="549"/>
        <item x="379"/>
        <item x="540"/>
        <item x="409"/>
        <item x="227"/>
        <item x="121"/>
        <item x="652"/>
        <item x="176"/>
        <item x="206"/>
        <item x="50"/>
        <item x="362"/>
        <item x="523"/>
        <item x="669"/>
        <item x="346"/>
        <item x="107"/>
        <item x="377"/>
        <item x="240"/>
        <item x="790"/>
        <item x="93"/>
        <item x="273"/>
        <item x="782"/>
        <item x="234"/>
        <item x="33"/>
        <item x="168"/>
        <item x="113"/>
        <item x="92"/>
        <item x="158"/>
        <item x="415"/>
        <item x="403"/>
        <item x="90"/>
        <item x="348"/>
        <item x="467"/>
        <item x="208"/>
        <item x="737"/>
        <item x="62"/>
        <item x="674"/>
        <item x="167"/>
        <item x="52"/>
        <item x="784"/>
        <item x="376"/>
        <item x="114"/>
        <item x="360"/>
        <item x="235"/>
        <item x="262"/>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3">
    <field x="21"/>
    <field x="20"/>
    <field x="3"/>
  </rowFields>
  <rowItems count="5">
    <i>
      <x v="1"/>
    </i>
    <i>
      <x v="2"/>
    </i>
    <i>
      <x v="3"/>
    </i>
    <i>
      <x v="4"/>
    </i>
    <i>
      <x v="5"/>
    </i>
  </rowItems>
  <colItems count="1">
    <i/>
  </colItems>
  <dataFields count="1">
    <dataField name="Sum of Sales" fld="18" baseField="0" baseItem="0" numFmtId="164"/>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28AEBF-A33B-4150-942F-0D38EDE3E0C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9:B19" firstHeaderRow="1" firstDataRow="1" firstDataCol="1"/>
  <pivotFields count="22">
    <pivotField showAll="0"/>
    <pivotField showAll="0"/>
    <pivotField numFmtId="14" showAll="0"/>
    <pivotField numFmtId="14" showAll="0">
      <items count="800">
        <item x="295"/>
        <item x="612"/>
        <item x="243"/>
        <item x="286"/>
        <item x="303"/>
        <item x="662"/>
        <item x="383"/>
        <item x="435"/>
        <item x="223"/>
        <item x="553"/>
        <item x="559"/>
        <item x="681"/>
        <item x="334"/>
        <item x="188"/>
        <item x="501"/>
        <item x="568"/>
        <item x="69"/>
        <item x="231"/>
        <item x="447"/>
        <item x="450"/>
        <item x="558"/>
        <item x="699"/>
        <item x="656"/>
        <item x="246"/>
        <item x="756"/>
        <item x="506"/>
        <item x="85"/>
        <item x="614"/>
        <item x="774"/>
        <item x="728"/>
        <item x="515"/>
        <item x="283"/>
        <item x="520"/>
        <item x="566"/>
        <item x="341"/>
        <item x="138"/>
        <item x="166"/>
        <item x="529"/>
        <item x="451"/>
        <item x="610"/>
        <item x="615"/>
        <item x="350"/>
        <item x="562"/>
        <item x="448"/>
        <item x="502"/>
        <item x="8"/>
        <item x="226"/>
        <item x="611"/>
        <item x="304"/>
        <item x="706"/>
        <item x="633"/>
        <item x="395"/>
        <item x="247"/>
        <item x="630"/>
        <item x="495"/>
        <item x="412"/>
        <item x="103"/>
        <item x="288"/>
        <item x="608"/>
        <item x="160"/>
        <item x="626"/>
        <item x="199"/>
        <item x="3"/>
        <item x="338"/>
        <item x="643"/>
        <item x="363"/>
        <item x="787"/>
        <item x="277"/>
        <item x="635"/>
        <item x="174"/>
        <item x="430"/>
        <item x="739"/>
        <item x="323"/>
        <item x="491"/>
        <item x="285"/>
        <item x="276"/>
        <item x="405"/>
        <item x="462"/>
        <item x="136"/>
        <item x="700"/>
        <item x="720"/>
        <item x="651"/>
        <item x="150"/>
        <item x="752"/>
        <item x="714"/>
        <item x="89"/>
        <item x="768"/>
        <item x="336"/>
        <item x="74"/>
        <item x="535"/>
        <item x="244"/>
        <item x="127"/>
        <item x="594"/>
        <item x="759"/>
        <item x="688"/>
        <item x="750"/>
        <item x="54"/>
        <item x="590"/>
        <item x="82"/>
        <item x="9"/>
        <item x="658"/>
        <item x="446"/>
        <item x="791"/>
        <item x="477"/>
        <item x="73"/>
        <item x="177"/>
        <item x="357"/>
        <item x="368"/>
        <item x="100"/>
        <item x="232"/>
        <item x="75"/>
        <item x="109"/>
        <item x="159"/>
        <item x="130"/>
        <item x="58"/>
        <item x="313"/>
        <item x="147"/>
        <item x="510"/>
        <item x="126"/>
        <item x="620"/>
        <item x="702"/>
        <item x="507"/>
        <item x="196"/>
        <item x="291"/>
        <item x="320"/>
        <item x="36"/>
        <item x="578"/>
        <item x="676"/>
        <item x="655"/>
        <item x="21"/>
        <item x="64"/>
        <item x="794"/>
        <item x="198"/>
        <item x="689"/>
        <item x="319"/>
        <item x="129"/>
        <item x="192"/>
        <item x="646"/>
        <item x="389"/>
        <item x="722"/>
        <item x="7"/>
        <item x="777"/>
        <item x="682"/>
        <item x="792"/>
        <item x="786"/>
        <item x="80"/>
        <item x="571"/>
        <item x="157"/>
        <item x="679"/>
        <item x="694"/>
        <item x="456"/>
        <item x="34"/>
        <item x="587"/>
        <item x="543"/>
        <item x="282"/>
        <item x="691"/>
        <item x="545"/>
        <item x="79"/>
        <item x="28"/>
        <item x="365"/>
        <item x="621"/>
        <item x="466"/>
        <item x="343"/>
        <item x="353"/>
        <item x="708"/>
        <item x="572"/>
        <item x="547"/>
        <item x="443"/>
        <item x="181"/>
        <item x="165"/>
        <item x="57"/>
        <item x="472"/>
        <item x="128"/>
        <item x="251"/>
        <item x="299"/>
        <item x="751"/>
        <item x="123"/>
        <item x="95"/>
        <item x="592"/>
        <item x="190"/>
        <item x="685"/>
        <item x="796"/>
        <item x="598"/>
        <item x="43"/>
        <item x="638"/>
        <item x="94"/>
        <item x="732"/>
        <item x="619"/>
        <item x="99"/>
        <item x="654"/>
        <item x="55"/>
        <item x="436"/>
        <item x="740"/>
        <item x="391"/>
        <item x="738"/>
        <item x="684"/>
        <item x="565"/>
        <item x="588"/>
        <item x="205"/>
        <item x="322"/>
        <item x="569"/>
        <item x="210"/>
        <item x="579"/>
        <item x="417"/>
        <item x="393"/>
        <item x="278"/>
        <item x="441"/>
        <item x="414"/>
        <item x="56"/>
        <item x="281"/>
        <item x="366"/>
        <item x="690"/>
        <item x="418"/>
        <item x="23"/>
        <item x="743"/>
        <item x="351"/>
        <item x="32"/>
        <item x="401"/>
        <item x="27"/>
        <item x="530"/>
        <item x="122"/>
        <item x="677"/>
        <item x="442"/>
        <item x="536"/>
        <item x="279"/>
        <item x="672"/>
        <item x="308"/>
        <item x="483"/>
        <item x="505"/>
        <item x="67"/>
        <item x="68"/>
        <item x="628"/>
        <item x="408"/>
        <item x="496"/>
        <item x="402"/>
        <item x="686"/>
        <item x="577"/>
        <item x="137"/>
        <item x="154"/>
        <item x="311"/>
        <item x="649"/>
        <item x="788"/>
        <item x="413"/>
        <item x="480"/>
        <item x="241"/>
        <item x="400"/>
        <item x="770"/>
        <item x="618"/>
        <item x="596"/>
        <item x="797"/>
        <item x="531"/>
        <item x="642"/>
        <item x="374"/>
        <item x="420"/>
        <item x="115"/>
        <item x="716"/>
        <item x="550"/>
        <item x="746"/>
        <item x="574"/>
        <item x="98"/>
        <item x="533"/>
        <item x="798"/>
        <item x="306"/>
        <item x="453"/>
        <item x="721"/>
        <item x="268"/>
        <item x="398"/>
        <item x="482"/>
        <item x="755"/>
        <item x="135"/>
        <item x="302"/>
        <item x="215"/>
        <item x="37"/>
        <item x="607"/>
        <item x="63"/>
        <item x="239"/>
        <item x="458"/>
        <item x="730"/>
        <item x="627"/>
        <item x="399"/>
        <item x="14"/>
        <item x="237"/>
        <item x="487"/>
        <item x="537"/>
        <item x="117"/>
        <item x="589"/>
        <item x="12"/>
        <item x="733"/>
        <item x="118"/>
        <item x="307"/>
        <item x="485"/>
        <item x="687"/>
        <item x="255"/>
        <item x="347"/>
        <item x="83"/>
        <item x="525"/>
        <item x="332"/>
        <item x="2"/>
        <item x="51"/>
        <item x="452"/>
        <item x="696"/>
        <item x="703"/>
        <item x="665"/>
        <item x="449"/>
        <item x="396"/>
        <item x="163"/>
        <item x="744"/>
        <item x="84"/>
        <item x="544"/>
        <item x="216"/>
        <item x="556"/>
        <item x="680"/>
        <item x="664"/>
        <item x="111"/>
        <item x="49"/>
        <item x="764"/>
        <item x="584"/>
        <item x="77"/>
        <item x="330"/>
        <item x="6"/>
        <item x="560"/>
        <item x="616"/>
        <item x="698"/>
        <item x="26"/>
        <item x="380"/>
        <item x="155"/>
        <item x="252"/>
        <item x="106"/>
        <item x="725"/>
        <item x="156"/>
        <item x="221"/>
        <item x="233"/>
        <item x="762"/>
        <item x="222"/>
        <item x="387"/>
        <item x="428"/>
        <item x="629"/>
        <item x="310"/>
        <item x="372"/>
        <item x="734"/>
        <item x="78"/>
        <item x="602"/>
        <item x="189"/>
        <item x="225"/>
        <item x="139"/>
        <item x="601"/>
        <item x="314"/>
        <item x="97"/>
        <item x="513"/>
        <item x="692"/>
        <item x="16"/>
        <item x="213"/>
        <item x="748"/>
        <item x="657"/>
        <item x="707"/>
        <item x="339"/>
        <item x="711"/>
        <item x="404"/>
        <item x="13"/>
        <item x="345"/>
        <item x="112"/>
        <item x="516"/>
        <item x="604"/>
        <item x="632"/>
        <item x="625"/>
        <item x="289"/>
        <item x="631"/>
        <item x="464"/>
        <item x="335"/>
        <item x="753"/>
        <item x="573"/>
        <item x="425"/>
        <item x="597"/>
        <item x="364"/>
        <item x="329"/>
        <item x="20"/>
        <item x="534"/>
        <item x="66"/>
        <item x="317"/>
        <item x="754"/>
        <item x="583"/>
        <item x="201"/>
        <item x="296"/>
        <item x="763"/>
        <item x="242"/>
        <item x="593"/>
        <item x="269"/>
        <item x="508"/>
        <item x="497"/>
        <item x="186"/>
        <item x="263"/>
        <item x="298"/>
        <item x="41"/>
        <item x="359"/>
        <item x="143"/>
        <item x="678"/>
        <item x="437"/>
        <item x="228"/>
        <item x="171"/>
        <item x="576"/>
        <item x="179"/>
        <item x="772"/>
        <item x="582"/>
        <item x="519"/>
        <item x="407"/>
        <item x="131"/>
        <item x="144"/>
        <item x="134"/>
        <item x="248"/>
        <item x="421"/>
        <item x="600"/>
        <item x="710"/>
        <item x="476"/>
        <item x="586"/>
        <item x="760"/>
        <item x="717"/>
        <item x="71"/>
        <item x="581"/>
        <item x="200"/>
        <item x="564"/>
        <item x="575"/>
        <item x="312"/>
        <item x="660"/>
        <item x="212"/>
        <item x="305"/>
        <item x="257"/>
        <item x="475"/>
        <item x="499"/>
        <item x="527"/>
        <item x="386"/>
        <item x="218"/>
        <item x="203"/>
        <item x="29"/>
        <item x="180"/>
        <item x="102"/>
        <item x="110"/>
        <item x="182"/>
        <item x="35"/>
        <item x="1"/>
        <item x="431"/>
        <item x="25"/>
        <item x="373"/>
        <item x="489"/>
        <item x="561"/>
        <item x="370"/>
        <item x="22"/>
        <item x="673"/>
        <item x="695"/>
        <item x="595"/>
        <item x="195"/>
        <item x="479"/>
        <item x="444"/>
        <item x="667"/>
        <item x="623"/>
        <item x="292"/>
        <item x="521"/>
        <item x="605"/>
        <item x="219"/>
        <item x="224"/>
        <item x="460"/>
        <item x="193"/>
        <item x="245"/>
        <item x="18"/>
        <item x="637"/>
        <item x="434"/>
        <item x="327"/>
        <item x="202"/>
        <item x="715"/>
        <item x="613"/>
        <item x="624"/>
        <item x="426"/>
        <item x="609"/>
        <item x="427"/>
        <item x="256"/>
        <item x="316"/>
        <item x="394"/>
        <item x="266"/>
        <item x="650"/>
        <item x="133"/>
        <item x="47"/>
        <item x="142"/>
        <item x="381"/>
        <item x="342"/>
        <item x="478"/>
        <item x="61"/>
        <item x="410"/>
        <item x="164"/>
        <item x="46"/>
        <item x="719"/>
        <item x="249"/>
        <item x="125"/>
        <item x="105"/>
        <item x="267"/>
        <item x="367"/>
        <item x="683"/>
        <item x="42"/>
        <item x="30"/>
        <item x="749"/>
        <item x="758"/>
        <item x="423"/>
        <item x="151"/>
        <item x="340"/>
        <item x="766"/>
        <item x="727"/>
        <item x="356"/>
        <item x="388"/>
        <item x="647"/>
        <item x="542"/>
        <item x="60"/>
        <item x="548"/>
        <item x="148"/>
        <item x="207"/>
        <item x="349"/>
        <item x="433"/>
        <item x="463"/>
        <item x="153"/>
        <item x="96"/>
        <item x="194"/>
        <item x="120"/>
        <item x="270"/>
        <item x="518"/>
        <item x="779"/>
        <item x="236"/>
        <item x="280"/>
        <item x="331"/>
        <item x="53"/>
        <item x="0"/>
        <item x="355"/>
        <item x="440"/>
        <item x="617"/>
        <item x="397"/>
        <item x="422"/>
        <item x="72"/>
        <item x="406"/>
        <item x="789"/>
        <item x="70"/>
        <item x="538"/>
        <item x="481"/>
        <item x="532"/>
        <item x="723"/>
        <item x="416"/>
        <item x="81"/>
        <item x="48"/>
        <item x="454"/>
        <item x="294"/>
        <item x="438"/>
        <item x="541"/>
        <item x="65"/>
        <item x="5"/>
        <item x="439"/>
        <item x="484"/>
        <item x="10"/>
        <item x="104"/>
        <item x="264"/>
        <item x="24"/>
        <item x="290"/>
        <item x="119"/>
        <item x="258"/>
        <item x="490"/>
        <item x="745"/>
        <item x="486"/>
        <item x="469"/>
        <item x="524"/>
        <item x="769"/>
        <item x="504"/>
        <item x="333"/>
        <item x="385"/>
        <item x="742"/>
        <item x="704"/>
        <item x="455"/>
        <item x="640"/>
        <item x="184"/>
        <item x="211"/>
        <item x="429"/>
        <item x="209"/>
        <item x="713"/>
        <item x="522"/>
        <item x="59"/>
        <item x="492"/>
        <item x="735"/>
        <item x="757"/>
        <item x="554"/>
        <item x="636"/>
        <item x="315"/>
        <item x="457"/>
        <item x="693"/>
        <item x="493"/>
        <item x="173"/>
        <item x="145"/>
        <item x="514"/>
        <item x="668"/>
        <item x="468"/>
        <item x="670"/>
        <item x="712"/>
        <item x="309"/>
        <item x="780"/>
        <item x="274"/>
        <item x="539"/>
        <item x="185"/>
        <item x="761"/>
        <item x="645"/>
        <item x="701"/>
        <item x="653"/>
        <item x="503"/>
        <item x="191"/>
        <item x="709"/>
        <item x="375"/>
        <item x="382"/>
        <item x="101"/>
        <item x="337"/>
        <item x="124"/>
        <item x="648"/>
        <item x="4"/>
        <item x="555"/>
        <item x="318"/>
        <item x="76"/>
        <item x="731"/>
        <item x="432"/>
        <item x="603"/>
        <item x="663"/>
        <item x="591"/>
        <item x="793"/>
        <item x="783"/>
        <item x="509"/>
        <item x="675"/>
        <item x="580"/>
        <item x="321"/>
        <item x="644"/>
        <item x="378"/>
        <item x="773"/>
        <item x="465"/>
        <item x="253"/>
        <item x="284"/>
        <item x="392"/>
        <item x="39"/>
        <item x="775"/>
        <item x="149"/>
        <item x="741"/>
        <item x="500"/>
        <item x="91"/>
        <item x="474"/>
        <item x="271"/>
        <item x="570"/>
        <item x="108"/>
        <item x="197"/>
        <item x="260"/>
        <item x="528"/>
        <item x="140"/>
        <item x="45"/>
        <item x="326"/>
        <item x="272"/>
        <item x="265"/>
        <item x="585"/>
        <item x="354"/>
        <item x="324"/>
        <item x="170"/>
        <item x="88"/>
        <item x="567"/>
        <item x="551"/>
        <item x="352"/>
        <item x="230"/>
        <item x="445"/>
        <item x="161"/>
        <item x="661"/>
        <item x="488"/>
        <item x="471"/>
        <item x="776"/>
        <item x="512"/>
        <item x="141"/>
        <item x="87"/>
        <item x="729"/>
        <item x="384"/>
        <item x="11"/>
        <item x="697"/>
        <item x="778"/>
        <item x="261"/>
        <item x="238"/>
        <item x="300"/>
        <item x="606"/>
        <item x="639"/>
        <item x="259"/>
        <item x="459"/>
        <item x="726"/>
        <item x="634"/>
        <item x="526"/>
        <item x="671"/>
        <item x="718"/>
        <item x="765"/>
        <item x="795"/>
        <item x="666"/>
        <item x="781"/>
        <item x="552"/>
        <item x="175"/>
        <item x="325"/>
        <item x="344"/>
        <item x="622"/>
        <item x="152"/>
        <item x="785"/>
        <item x="557"/>
        <item x="369"/>
        <item x="361"/>
        <item x="220"/>
        <item x="641"/>
        <item x="217"/>
        <item x="229"/>
        <item x="461"/>
        <item x="17"/>
        <item x="31"/>
        <item x="183"/>
        <item x="293"/>
        <item x="301"/>
        <item x="19"/>
        <item x="705"/>
        <item x="424"/>
        <item x="254"/>
        <item x="473"/>
        <item x="287"/>
        <item x="419"/>
        <item x="146"/>
        <item x="724"/>
        <item x="390"/>
        <item x="297"/>
        <item x="178"/>
        <item x="494"/>
        <item x="767"/>
        <item x="736"/>
        <item x="599"/>
        <item x="517"/>
        <item x="411"/>
        <item x="116"/>
        <item x="498"/>
        <item x="162"/>
        <item x="563"/>
        <item x="659"/>
        <item x="15"/>
        <item x="187"/>
        <item x="511"/>
        <item x="214"/>
        <item x="470"/>
        <item x="358"/>
        <item x="40"/>
        <item x="546"/>
        <item x="275"/>
        <item x="132"/>
        <item x="371"/>
        <item x="169"/>
        <item x="747"/>
        <item x="172"/>
        <item x="328"/>
        <item x="44"/>
        <item x="86"/>
        <item x="771"/>
        <item x="204"/>
        <item x="38"/>
        <item x="250"/>
        <item x="549"/>
        <item x="379"/>
        <item x="540"/>
        <item x="409"/>
        <item x="227"/>
        <item x="121"/>
        <item x="652"/>
        <item x="176"/>
        <item x="206"/>
        <item x="50"/>
        <item x="362"/>
        <item x="523"/>
        <item x="669"/>
        <item x="346"/>
        <item x="107"/>
        <item x="377"/>
        <item x="240"/>
        <item x="790"/>
        <item x="93"/>
        <item x="273"/>
        <item x="782"/>
        <item x="234"/>
        <item x="33"/>
        <item x="168"/>
        <item x="113"/>
        <item x="92"/>
        <item x="158"/>
        <item x="415"/>
        <item x="403"/>
        <item x="90"/>
        <item x="348"/>
        <item x="467"/>
        <item x="208"/>
        <item x="737"/>
        <item x="62"/>
        <item x="674"/>
        <item x="167"/>
        <item x="52"/>
        <item x="784"/>
        <item x="376"/>
        <item x="114"/>
        <item x="360"/>
        <item x="235"/>
        <item x="262"/>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334">
        <item x="292"/>
        <item x="232"/>
        <item x="1216"/>
        <item x="914"/>
        <item x="1170"/>
        <item x="163"/>
        <item x="1024"/>
        <item x="1093"/>
        <item x="400"/>
        <item x="827"/>
        <item x="961"/>
        <item x="310"/>
        <item x="1287"/>
        <item x="1040"/>
        <item x="992"/>
        <item x="706"/>
        <item x="719"/>
        <item x="31"/>
        <item x="683"/>
        <item x="526"/>
        <item x="60"/>
        <item x="623"/>
        <item x="951"/>
        <item x="22"/>
        <item x="1291"/>
        <item x="1066"/>
        <item x="741"/>
        <item x="593"/>
        <item x="901"/>
        <item x="842"/>
        <item x="346"/>
        <item x="669"/>
        <item x="1030"/>
        <item x="647"/>
        <item x="1171"/>
        <item x="1288"/>
        <item x="1221"/>
        <item x="662"/>
        <item x="165"/>
        <item x="585"/>
        <item x="505"/>
        <item x="547"/>
        <item x="493"/>
        <item x="314"/>
        <item x="158"/>
        <item x="551"/>
        <item x="991"/>
        <item x="222"/>
        <item x="657"/>
        <item x="248"/>
        <item x="241"/>
        <item x="198"/>
        <item x="41"/>
        <item x="483"/>
        <item x="1091"/>
        <item x="646"/>
        <item x="51"/>
        <item x="191"/>
        <item x="447"/>
        <item x="258"/>
        <item x="475"/>
        <item x="545"/>
        <item x="331"/>
        <item x="484"/>
        <item x="419"/>
        <item x="383"/>
        <item x="770"/>
        <item x="365"/>
        <item x="948"/>
        <item x="1308"/>
        <item x="814"/>
        <item x="245"/>
        <item x="886"/>
        <item x="689"/>
        <item x="340"/>
        <item x="510"/>
        <item x="1319"/>
        <item x="122"/>
        <item x="137"/>
        <item x="1198"/>
        <item x="688"/>
        <item x="1117"/>
        <item x="815"/>
        <item x="422"/>
        <item x="1020"/>
        <item x="1226"/>
        <item x="56"/>
        <item x="112"/>
        <item x="788"/>
        <item x="283"/>
        <item x="800"/>
        <item x="297"/>
        <item x="1098"/>
        <item x="52"/>
        <item x="496"/>
        <item x="169"/>
        <item x="795"/>
        <item x="1240"/>
        <item x="36"/>
        <item x="175"/>
        <item x="773"/>
        <item x="1077"/>
        <item x="1158"/>
        <item x="146"/>
        <item x="1174"/>
        <item x="843"/>
        <item x="569"/>
        <item x="478"/>
        <item x="1153"/>
        <item x="605"/>
        <item x="910"/>
        <item x="1092"/>
        <item x="895"/>
        <item x="537"/>
        <item x="1010"/>
        <item x="675"/>
        <item x="677"/>
        <item x="48"/>
        <item x="663"/>
        <item x="797"/>
        <item x="250"/>
        <item x="1328"/>
        <item x="568"/>
        <item x="512"/>
        <item x="925"/>
        <item x="1310"/>
        <item x="1070"/>
        <item x="626"/>
        <item x="1317"/>
        <item x="1071"/>
        <item x="1108"/>
        <item x="819"/>
        <item x="194"/>
        <item x="983"/>
        <item x="1203"/>
        <item x="595"/>
        <item x="281"/>
        <item x="162"/>
        <item x="1138"/>
        <item x="82"/>
        <item x="259"/>
        <item x="1109"/>
        <item x="767"/>
        <item x="562"/>
        <item x="909"/>
        <item x="1013"/>
        <item x="145"/>
        <item x="1201"/>
        <item x="388"/>
        <item x="316"/>
        <item x="896"/>
        <item x="1036"/>
        <item x="67"/>
        <item x="602"/>
        <item x="105"/>
        <item x="544"/>
        <item x="726"/>
        <item x="790"/>
        <item x="118"/>
        <item x="730"/>
        <item x="1193"/>
        <item x="559"/>
        <item x="75"/>
        <item x="1172"/>
        <item x="94"/>
        <item x="351"/>
        <item x="1140"/>
        <item x="783"/>
        <item x="302"/>
        <item x="929"/>
        <item x="92"/>
        <item x="172"/>
        <item x="271"/>
        <item x="471"/>
        <item x="27"/>
        <item x="898"/>
        <item x="782"/>
        <item x="1247"/>
        <item x="721"/>
        <item x="98"/>
        <item x="915"/>
        <item x="1119"/>
        <item x="238"/>
        <item x="428"/>
        <item x="1264"/>
        <item x="228"/>
        <item x="835"/>
        <item x="1274"/>
        <item x="907"/>
        <item x="630"/>
        <item x="139"/>
        <item x="1325"/>
        <item x="793"/>
        <item x="315"/>
        <item x="9"/>
        <item x="1019"/>
        <item x="637"/>
        <item x="540"/>
        <item x="775"/>
        <item x="394"/>
        <item x="599"/>
        <item x="1005"/>
        <item x="525"/>
        <item x="379"/>
        <item x="1214"/>
        <item x="1173"/>
        <item x="876"/>
        <item x="205"/>
        <item x="117"/>
        <item x="722"/>
        <item x="949"/>
        <item x="1307"/>
        <item x="253"/>
        <item x="1260"/>
        <item x="1179"/>
        <item x="355"/>
        <item x="363"/>
        <item x="589"/>
        <item x="1165"/>
        <item x="738"/>
        <item x="151"/>
        <item x="308"/>
        <item x="900"/>
        <item x="1056"/>
        <item x="1178"/>
        <item x="692"/>
        <item x="178"/>
        <item x="570"/>
        <item x="179"/>
        <item x="1262"/>
        <item x="577"/>
        <item x="1311"/>
        <item x="1095"/>
        <item x="906"/>
        <item x="867"/>
        <item x="252"/>
        <item x="392"/>
        <item x="924"/>
        <item x="653"/>
        <item x="613"/>
        <item x="276"/>
        <item x="1206"/>
        <item x="1234"/>
        <item x="30"/>
        <item x="1033"/>
        <item x="285"/>
        <item x="184"/>
        <item x="272"/>
        <item x="185"/>
        <item x="479"/>
        <item x="3"/>
        <item x="211"/>
        <item x="1051"/>
        <item x="829"/>
        <item x="606"/>
        <item x="742"/>
        <item x="362"/>
        <item x="401"/>
        <item x="210"/>
        <item x="563"/>
        <item x="953"/>
        <item x="405"/>
        <item x="813"/>
        <item x="0"/>
        <item x="1332"/>
        <item x="699"/>
        <item x="261"/>
        <item x="620"/>
        <item x="380"/>
        <item x="446"/>
        <item x="868"/>
        <item x="287"/>
        <item x="1259"/>
        <item x="342"/>
        <item x="1049"/>
        <item x="962"/>
        <item x="611"/>
        <item x="579"/>
        <item x="406"/>
        <item x="1309"/>
        <item x="837"/>
        <item x="463"/>
        <item x="520"/>
        <item x="823"/>
        <item x="850"/>
        <item x="450"/>
        <item x="864"/>
        <item x="936"/>
        <item x="1052"/>
        <item x="833"/>
        <item x="1222"/>
        <item x="582"/>
        <item x="550"/>
        <item x="10"/>
        <item x="604"/>
        <item x="514"/>
        <item x="196"/>
        <item x="923"/>
        <item x="989"/>
        <item x="235"/>
        <item x="19"/>
        <item x="1157"/>
        <item x="485"/>
        <item x="766"/>
        <item x="760"/>
        <item x="414"/>
        <item x="625"/>
        <item x="652"/>
        <item x="1129"/>
        <item x="430"/>
        <item x="634"/>
        <item x="548"/>
        <item x="1292"/>
        <item x="587"/>
        <item x="838"/>
        <item x="278"/>
        <item x="614"/>
        <item x="47"/>
        <item x="731"/>
        <item x="426"/>
        <item x="1060"/>
        <item x="371"/>
        <item x="899"/>
        <item x="1007"/>
        <item x="113"/>
        <item x="1303"/>
        <item x="733"/>
        <item x="1200"/>
        <item x="1022"/>
        <item x="348"/>
        <item x="494"/>
        <item x="132"/>
        <item x="369"/>
        <item x="831"/>
        <item x="339"/>
        <item x="561"/>
        <item x="490"/>
        <item x="765"/>
        <item x="1123"/>
        <item x="504"/>
        <item x="1215"/>
        <item x="735"/>
        <item x="1150"/>
        <item x="685"/>
        <item x="1106"/>
        <item x="957"/>
        <item x="516"/>
        <item x="1064"/>
        <item x="1290"/>
        <item x="517"/>
        <item x="976"/>
        <item x="180"/>
        <item x="411"/>
        <item x="97"/>
        <item x="470"/>
        <item x="1258"/>
        <item x="432"/>
        <item x="723"/>
        <item x="282"/>
        <item x="671"/>
        <item x="696"/>
        <item x="395"/>
        <item x="374"/>
        <item x="934"/>
        <item x="615"/>
        <item x="666"/>
        <item x="313"/>
        <item x="780"/>
        <item x="1025"/>
        <item x="1286"/>
        <item x="286"/>
        <item x="1212"/>
        <item x="498"/>
        <item x="8"/>
        <item x="1089"/>
        <item x="935"/>
        <item x="33"/>
        <item x="407"/>
        <item x="72"/>
        <item x="536"/>
        <item x="220"/>
        <item x="535"/>
        <item x="947"/>
        <item x="187"/>
        <item x="769"/>
        <item x="781"/>
        <item x="777"/>
        <item x="40"/>
        <item x="1246"/>
        <item x="121"/>
        <item x="264"/>
        <item x="752"/>
        <item x="1233"/>
        <item x="74"/>
        <item x="280"/>
        <item x="861"/>
        <item x="5"/>
        <item x="1220"/>
        <item x="4"/>
        <item x="455"/>
        <item x="981"/>
        <item x="870"/>
        <item x="385"/>
        <item x="1313"/>
        <item x="83"/>
        <item x="1184"/>
        <item x="869"/>
        <item x="830"/>
        <item x="687"/>
        <item x="249"/>
        <item x="1181"/>
        <item x="632"/>
        <item x="319"/>
        <item x="273"/>
        <item x="35"/>
        <item x="609"/>
        <item x="1111"/>
        <item x="754"/>
        <item x="466"/>
        <item x="1162"/>
        <item x="373"/>
        <item x="233"/>
        <item x="911"/>
        <item x="186"/>
        <item x="1263"/>
        <item x="464"/>
        <item x="1283"/>
        <item x="539"/>
        <item x="1236"/>
        <item x="629"/>
        <item x="201"/>
        <item x="1131"/>
        <item x="442"/>
        <item x="277"/>
        <item x="874"/>
        <item x="575"/>
        <item x="717"/>
        <item x="1079"/>
        <item x="1241"/>
        <item x="391"/>
        <item x="384"/>
        <item x="887"/>
        <item x="1257"/>
        <item x="91"/>
        <item x="660"/>
        <item x="686"/>
        <item x="865"/>
        <item x="704"/>
        <item x="1230"/>
        <item x="802"/>
        <item x="560"/>
        <item x="425"/>
        <item x="13"/>
        <item x="744"/>
        <item x="441"/>
        <item x="226"/>
        <item x="404"/>
        <item x="916"/>
        <item x="650"/>
        <item x="608"/>
        <item x="416"/>
        <item x="17"/>
        <item x="750"/>
        <item x="503"/>
        <item x="1195"/>
        <item x="324"/>
        <item x="293"/>
        <item x="541"/>
        <item x="598"/>
        <item x="1245"/>
        <item x="130"/>
        <item x="1318"/>
        <item x="1124"/>
        <item x="89"/>
        <item x="270"/>
        <item x="690"/>
        <item x="755"/>
        <item x="903"/>
        <item x="275"/>
        <item x="1145"/>
        <item x="111"/>
        <item x="873"/>
        <item x="311"/>
        <item x="1205"/>
        <item x="1155"/>
        <item x="1143"/>
        <item x="600"/>
        <item x="679"/>
        <item x="1016"/>
        <item x="209"/>
        <item x="612"/>
        <item x="571"/>
        <item x="1188"/>
        <item x="762"/>
        <item x="296"/>
        <item x="481"/>
        <item x="138"/>
        <item x="375"/>
        <item x="656"/>
        <item x="1067"/>
        <item x="642"/>
        <item x="956"/>
        <item x="803"/>
        <item x="596"/>
        <item x="809"/>
        <item x="434"/>
        <item x="1163"/>
        <item x="332"/>
        <item x="1059"/>
        <item x="789"/>
        <item x="256"/>
        <item x="372"/>
        <item x="487"/>
        <item x="1304"/>
        <item x="129"/>
        <item x="507"/>
        <item x="1102"/>
        <item x="34"/>
        <item x="1042"/>
        <item x="863"/>
        <item x="389"/>
        <item x="700"/>
        <item x="894"/>
        <item x="841"/>
        <item x="649"/>
        <item x="856"/>
        <item x="759"/>
        <item x="1147"/>
        <item x="454"/>
        <item x="1156"/>
        <item x="116"/>
        <item x="1315"/>
        <item x="263"/>
        <item x="23"/>
        <item x="382"/>
        <item x="317"/>
        <item x="978"/>
        <item x="37"/>
        <item x="397"/>
        <item x="794"/>
        <item x="1284"/>
        <item x="641"/>
        <item x="224"/>
        <item x="50"/>
        <item x="207"/>
        <item x="521"/>
        <item x="208"/>
        <item x="1113"/>
        <item x="776"/>
        <item x="967"/>
        <item x="120"/>
        <item x="435"/>
        <item x="63"/>
        <item x="160"/>
        <item x="1175"/>
        <item x="114"/>
        <item x="192"/>
        <item x="44"/>
        <item x="519"/>
        <item x="1053"/>
        <item x="448"/>
        <item x="852"/>
        <item x="1149"/>
        <item x="930"/>
        <item x="845"/>
        <item x="1110"/>
        <item x="1231"/>
        <item x="621"/>
        <item x="1293"/>
        <item x="603"/>
        <item x="301"/>
        <item x="973"/>
        <item x="1152"/>
        <item x="1324"/>
        <item x="69"/>
        <item x="918"/>
        <item x="1082"/>
        <item x="330"/>
        <item x="654"/>
        <item x="1167"/>
        <item x="14"/>
        <item x="53"/>
        <item x="294"/>
        <item x="995"/>
        <item x="1085"/>
        <item x="1136"/>
        <item x="804"/>
        <item x="279"/>
        <item x="610"/>
        <item x="398"/>
        <item x="304"/>
        <item x="473"/>
        <item x="950"/>
        <item x="1197"/>
        <item x="834"/>
        <item x="1"/>
        <item x="489"/>
        <item x="616"/>
        <item x="1229"/>
        <item x="370"/>
        <item x="875"/>
        <item x="1122"/>
        <item x="336"/>
        <item x="110"/>
        <item x="1302"/>
        <item x="908"/>
        <item x="1112"/>
        <item x="1306"/>
        <item x="223"/>
        <item x="522"/>
        <item x="1121"/>
        <item x="1009"/>
        <item x="555"/>
        <item x="1078"/>
        <item x="826"/>
        <item x="1329"/>
        <item x="940"/>
        <item x="508"/>
        <item x="474"/>
        <item x="676"/>
        <item x="779"/>
        <item x="262"/>
        <item x="580"/>
        <item x="557"/>
        <item x="28"/>
        <item x="431"/>
        <item x="1232"/>
        <item x="881"/>
        <item x="985"/>
        <item x="171"/>
        <item x="1243"/>
        <item x="64"/>
        <item x="1101"/>
        <item x="104"/>
        <item x="711"/>
        <item x="176"/>
        <item x="499"/>
        <item x="997"/>
        <item x="558"/>
        <item x="265"/>
        <item x="661"/>
        <item x="974"/>
        <item x="298"/>
        <item x="88"/>
        <item x="1141"/>
        <item x="757"/>
        <item x="1305"/>
        <item x="975"/>
        <item x="128"/>
        <item x="421"/>
        <item x="994"/>
        <item x="566"/>
        <item x="453"/>
        <item x="528"/>
        <item x="45"/>
        <item x="25"/>
        <item x="1168"/>
        <item x="168"/>
        <item x="1267"/>
        <item x="417"/>
        <item x="778"/>
        <item x="1103"/>
        <item x="798"/>
        <item x="1276"/>
        <item x="378"/>
        <item x="811"/>
        <item x="840"/>
        <item x="933"/>
        <item x="140"/>
        <item x="529"/>
        <item x="1132"/>
        <item x="1177"/>
        <item x="1322"/>
        <item x="1047"/>
        <item x="157"/>
        <item x="78"/>
        <item x="1144"/>
        <item x="715"/>
        <item x="709"/>
        <item x="553"/>
        <item x="1249"/>
        <item x="161"/>
        <item x="156"/>
        <item x="1316"/>
        <item x="855"/>
        <item x="635"/>
        <item x="367"/>
        <item x="817"/>
        <item x="219"/>
        <item x="1015"/>
        <item x="645"/>
        <item x="115"/>
        <item x="11"/>
        <item x="573"/>
        <item x="678"/>
        <item x="746"/>
        <item x="932"/>
        <item x="148"/>
        <item x="939"/>
        <item x="705"/>
        <item x="377"/>
        <item x="1192"/>
        <item x="338"/>
        <item x="152"/>
        <item x="1279"/>
        <item x="996"/>
        <item x="46"/>
        <item x="467"/>
        <item x="622"/>
        <item x="664"/>
        <item x="684"/>
        <item x="242"/>
        <item x="674"/>
        <item x="806"/>
        <item x="937"/>
        <item x="1253"/>
        <item x="1061"/>
        <item x="890"/>
        <item x="682"/>
        <item x="1266"/>
        <item x="1075"/>
        <item x="418"/>
        <item x="399"/>
        <item x="96"/>
        <item x="424"/>
        <item x="337"/>
        <item x="229"/>
        <item x="990"/>
        <item x="260"/>
        <item x="290"/>
        <item x="1104"/>
        <item x="578"/>
        <item x="594"/>
        <item x="102"/>
        <item x="591"/>
        <item x="81"/>
        <item x="672"/>
        <item x="213"/>
        <item x="1297"/>
        <item x="49"/>
        <item x="1002"/>
        <item x="32"/>
        <item x="62"/>
        <item x="728"/>
        <item x="216"/>
        <item x="564"/>
        <item x="748"/>
        <item x="103"/>
        <item x="1244"/>
        <item x="586"/>
        <item x="456"/>
        <item x="495"/>
        <item x="1190"/>
        <item x="524"/>
        <item x="1000"/>
        <item x="549"/>
        <item x="772"/>
        <item x="707"/>
        <item x="1330"/>
        <item x="893"/>
        <item x="665"/>
        <item x="703"/>
        <item x="1099"/>
        <item x="1105"/>
        <item x="926"/>
        <item x="892"/>
        <item x="913"/>
        <item x="1069"/>
        <item x="1278"/>
        <item x="193"/>
        <item x="396"/>
        <item x="1068"/>
        <item x="99"/>
        <item x="1218"/>
        <item x="718"/>
        <item x="1237"/>
        <item x="1043"/>
        <item x="791"/>
        <item x="254"/>
        <item x="619"/>
        <item x="327"/>
        <item x="236"/>
        <item x="1191"/>
        <item x="523"/>
        <item x="7"/>
        <item x="879"/>
        <item x="1211"/>
        <item x="633"/>
        <item x="506"/>
        <item x="1219"/>
        <item x="452"/>
        <item x="511"/>
        <item x="1160"/>
        <item x="1050"/>
        <item x="1125"/>
        <item x="1004"/>
        <item x="325"/>
        <item x="288"/>
        <item x="65"/>
        <item x="1034"/>
        <item x="1209"/>
        <item x="1142"/>
        <item x="1011"/>
        <item x="144"/>
        <item x="502"/>
        <item x="1321"/>
        <item x="306"/>
        <item x="858"/>
        <item x="445"/>
        <item x="21"/>
        <item x="1012"/>
        <item x="636"/>
        <item x="980"/>
        <item x="1176"/>
        <item x="6"/>
        <item x="326"/>
        <item x="998"/>
        <item x="805"/>
        <item x="444"/>
        <item x="792"/>
        <item x="942"/>
        <item x="1224"/>
        <item x="246"/>
        <item x="552"/>
        <item x="491"/>
        <item x="318"/>
        <item x="1135"/>
        <item x="658"/>
        <item x="771"/>
        <item x="673"/>
        <item x="982"/>
        <item x="18"/>
        <item x="393"/>
        <item x="131"/>
        <item x="439"/>
        <item x="390"/>
        <item x="807"/>
        <item x="1017"/>
        <item x="1204"/>
        <item x="927"/>
        <item x="274"/>
        <item x="816"/>
        <item x="1169"/>
        <item x="101"/>
        <item x="170"/>
        <item x="1238"/>
        <item x="188"/>
        <item x="341"/>
        <item x="1331"/>
        <item x="691"/>
        <item x="1189"/>
        <item x="360"/>
        <item x="80"/>
        <item x="55"/>
        <item x="1273"/>
        <item x="1074"/>
        <item x="601"/>
        <item x="329"/>
        <item x="734"/>
        <item x="877"/>
        <item x="624"/>
        <item x="387"/>
        <item x="531"/>
        <item x="1100"/>
        <item x="889"/>
        <item x="847"/>
        <item x="289"/>
        <item x="305"/>
        <item x="199"/>
        <item x="106"/>
        <item x="195"/>
        <item x="1161"/>
        <item x="659"/>
        <item x="359"/>
        <item x="592"/>
        <item x="1183"/>
        <item x="420"/>
        <item x="576"/>
        <item x="1073"/>
        <item x="1298"/>
        <item x="708"/>
        <item x="756"/>
        <item x="970"/>
        <item x="968"/>
        <item x="164"/>
        <item x="955"/>
        <item x="917"/>
        <item x="1225"/>
        <item x="891"/>
        <item x="1035"/>
        <item x="1300"/>
        <item x="943"/>
        <item x="1154"/>
        <item x="1326"/>
        <item x="190"/>
        <item x="460"/>
        <item x="1299"/>
        <item x="39"/>
        <item x="1018"/>
        <item x="761"/>
        <item x="849"/>
        <item x="1039"/>
        <item x="885"/>
        <item x="888"/>
        <item x="1164"/>
        <item x="695"/>
        <item x="486"/>
        <item x="440"/>
        <item x="174"/>
        <item x="590"/>
        <item x="959"/>
        <item x="322"/>
        <item x="787"/>
        <item x="1196"/>
        <item x="965"/>
        <item x="136"/>
        <item x="1199"/>
        <item x="749"/>
        <item x="38"/>
        <item x="1265"/>
        <item x="607"/>
        <item x="1044"/>
        <item x="745"/>
        <item x="57"/>
        <item x="1182"/>
        <item x="402"/>
        <item x="29"/>
        <item x="702"/>
        <item x="921"/>
        <item x="1235"/>
        <item x="1210"/>
        <item x="1118"/>
        <item x="747"/>
        <item x="247"/>
        <item x="836"/>
        <item x="415"/>
        <item x="1032"/>
        <item x="58"/>
        <item x="257"/>
        <item x="403"/>
        <item x="462"/>
        <item x="532"/>
        <item x="76"/>
        <item x="181"/>
        <item x="938"/>
        <item x="859"/>
        <item x="1148"/>
        <item x="244"/>
        <item x="515"/>
        <item x="753"/>
        <item x="218"/>
        <item x="651"/>
        <item x="1026"/>
        <item x="1213"/>
        <item x="774"/>
        <item x="237"/>
        <item x="1063"/>
        <item x="1301"/>
        <item x="644"/>
        <item x="638"/>
        <item x="1058"/>
        <item x="583"/>
        <item x="412"/>
        <item x="518"/>
        <item x="565"/>
        <item x="810"/>
        <item x="240"/>
        <item x="1294"/>
        <item x="497"/>
        <item x="1242"/>
        <item x="1094"/>
        <item x="1270"/>
        <item x="922"/>
        <item x="492"/>
        <item x="1072"/>
        <item x="808"/>
        <item x="107"/>
        <item x="243"/>
        <item x="946"/>
        <item x="724"/>
        <item x="26"/>
        <item x="206"/>
        <item x="438"/>
        <item x="1006"/>
        <item x="251"/>
        <item x="295"/>
        <item x="713"/>
        <item x="1001"/>
        <item x="1285"/>
        <item x="230"/>
        <item x="154"/>
        <item x="408"/>
        <item x="239"/>
        <item x="832"/>
        <item x="919"/>
        <item x="458"/>
        <item x="1137"/>
        <item x="231"/>
        <item x="79"/>
        <item x="71"/>
        <item x="1320"/>
        <item x="1080"/>
        <item x="221"/>
        <item x="618"/>
        <item x="944"/>
        <item x="862"/>
        <item x="410"/>
        <item x="739"/>
        <item x="1116"/>
        <item x="872"/>
        <item x="960"/>
        <item x="443"/>
        <item x="468"/>
        <item x="173"/>
        <item x="93"/>
        <item x="871"/>
        <item x="127"/>
        <item x="166"/>
        <item x="1217"/>
        <item x="155"/>
        <item x="866"/>
        <item x="878"/>
        <item x="712"/>
        <item x="204"/>
        <item x="482"/>
        <item x="848"/>
        <item x="134"/>
        <item x="1277"/>
        <item x="312"/>
        <item x="1088"/>
        <item x="1090"/>
        <item x="904"/>
        <item x="1076"/>
        <item x="857"/>
        <item x="1130"/>
        <item x="1314"/>
        <item x="1028"/>
        <item x="409"/>
        <item x="648"/>
        <item x="2"/>
        <item x="357"/>
        <item x="640"/>
        <item x="1014"/>
        <item x="912"/>
        <item x="87"/>
        <item x="1115"/>
        <item x="135"/>
        <item x="584"/>
        <item x="353"/>
        <item x="828"/>
        <item x="958"/>
        <item x="73"/>
        <item x="465"/>
        <item x="1146"/>
        <item x="1046"/>
        <item x="628"/>
        <item x="66"/>
        <item x="542"/>
        <item x="335"/>
        <item x="349"/>
        <item x="197"/>
        <item x="427"/>
        <item x="77"/>
        <item x="680"/>
        <item x="554"/>
        <item x="141"/>
        <item x="768"/>
        <item x="183"/>
        <item x="1185"/>
        <item x="333"/>
        <item x="546"/>
        <item x="153"/>
        <item x="100"/>
        <item x="1223"/>
        <item x="1282"/>
        <item x="1027"/>
        <item x="423"/>
        <item x="307"/>
        <item x="334"/>
        <item x="1045"/>
        <item x="720"/>
        <item x="203"/>
        <item x="799"/>
        <item x="149"/>
        <item x="352"/>
        <item x="670"/>
        <item x="321"/>
        <item x="217"/>
        <item x="844"/>
        <item x="124"/>
        <item x="758"/>
        <item x="825"/>
        <item x="1065"/>
        <item x="820"/>
        <item x="461"/>
        <item x="785"/>
        <item x="824"/>
        <item x="300"/>
        <item x="15"/>
        <item x="436"/>
        <item x="429"/>
        <item x="963"/>
        <item x="16"/>
        <item x="786"/>
        <item x="347"/>
        <item x="972"/>
        <item x="202"/>
        <item x="68"/>
        <item x="291"/>
        <item x="572"/>
        <item x="1031"/>
        <item x="1269"/>
        <item x="459"/>
        <item x="212"/>
        <item x="167"/>
        <item x="143"/>
        <item x="1008"/>
        <item x="70"/>
        <item x="476"/>
        <item x="1207"/>
        <item x="882"/>
        <item x="1134"/>
        <item x="189"/>
        <item x="1186"/>
        <item x="527"/>
        <item x="449"/>
        <item x="1327"/>
        <item x="268"/>
        <item x="920"/>
        <item x="693"/>
        <item x="1275"/>
        <item x="581"/>
        <item x="1127"/>
        <item x="1097"/>
        <item x="851"/>
        <item x="1202"/>
        <item x="119"/>
        <item x="1083"/>
        <item x="90"/>
        <item x="1271"/>
        <item x="543"/>
        <item x="533"/>
        <item x="303"/>
        <item x="344"/>
        <item x="84"/>
        <item x="821"/>
        <item x="109"/>
        <item x="227"/>
        <item x="1139"/>
        <item x="854"/>
        <item x="751"/>
        <item x="95"/>
        <item x="727"/>
        <item x="1038"/>
        <item x="530"/>
        <item x="556"/>
        <item x="42"/>
        <item x="59"/>
        <item x="266"/>
        <item x="433"/>
        <item x="1037"/>
        <item x="740"/>
        <item x="1268"/>
        <item x="1166"/>
        <item x="988"/>
        <item x="880"/>
        <item x="905"/>
        <item x="368"/>
        <item x="1048"/>
        <item x="200"/>
        <item x="457"/>
        <item x="945"/>
        <item x="437"/>
        <item x="366"/>
        <item x="1081"/>
        <item x="1251"/>
        <item x="1087"/>
        <item x="1057"/>
        <item x="928"/>
        <item x="320"/>
        <item x="24"/>
        <item x="343"/>
        <item x="299"/>
        <item x="1227"/>
        <item x="971"/>
        <item x="736"/>
        <item x="1128"/>
        <item x="694"/>
        <item x="20"/>
        <item x="977"/>
        <item x="150"/>
        <item x="43"/>
        <item x="784"/>
        <item x="701"/>
        <item x="860"/>
        <item x="969"/>
        <item x="534"/>
        <item x="883"/>
        <item x="354"/>
        <item x="714"/>
        <item x="182"/>
        <item x="1041"/>
        <item x="1252"/>
        <item x="225"/>
        <item x="356"/>
        <item x="846"/>
        <item x="376"/>
        <item x="469"/>
        <item x="737"/>
        <item x="126"/>
        <item x="309"/>
        <item x="142"/>
        <item x="668"/>
        <item x="1023"/>
        <item x="627"/>
        <item x="1208"/>
        <item x="509"/>
        <item x="954"/>
        <item x="1151"/>
        <item x="501"/>
        <item x="1323"/>
        <item x="822"/>
        <item x="381"/>
        <item x="472"/>
        <item x="1029"/>
        <item x="1296"/>
        <item x="812"/>
        <item x="358"/>
        <item x="931"/>
        <item x="361"/>
        <item x="681"/>
        <item x="133"/>
        <item x="413"/>
        <item x="159"/>
        <item x="897"/>
        <item x="123"/>
        <item x="1281"/>
        <item x="1096"/>
        <item x="984"/>
        <item x="147"/>
        <item x="108"/>
        <item x="1187"/>
        <item x="697"/>
        <item x="853"/>
        <item x="1062"/>
        <item x="1280"/>
        <item x="617"/>
        <item x="1107"/>
        <item x="323"/>
        <item x="698"/>
        <item x="941"/>
        <item x="764"/>
        <item x="269"/>
        <item x="1054"/>
        <item x="643"/>
        <item x="61"/>
        <item x="818"/>
        <item x="979"/>
        <item x="966"/>
        <item x="1021"/>
        <item x="125"/>
        <item x="801"/>
        <item x="1289"/>
        <item x="1194"/>
        <item x="215"/>
        <item x="345"/>
        <item x="1248"/>
        <item x="597"/>
        <item x="328"/>
        <item x="1086"/>
        <item x="588"/>
        <item x="1261"/>
        <item x="12"/>
        <item x="639"/>
        <item x="993"/>
        <item x="999"/>
        <item x="513"/>
        <item x="902"/>
        <item x="350"/>
        <item x="567"/>
        <item x="1180"/>
        <item x="743"/>
        <item x="1126"/>
        <item x="1228"/>
        <item x="1255"/>
        <item x="710"/>
        <item x="1055"/>
        <item x="364"/>
        <item x="1003"/>
        <item x="1254"/>
        <item x="987"/>
        <item x="1239"/>
        <item x="538"/>
        <item x="1272"/>
        <item x="85"/>
        <item x="839"/>
        <item x="1120"/>
        <item x="86"/>
        <item x="763"/>
        <item x="667"/>
        <item x="964"/>
        <item x="177"/>
        <item x="1114"/>
        <item x="284"/>
        <item x="725"/>
        <item x="1133"/>
        <item x="732"/>
        <item x="716"/>
        <item x="1159"/>
        <item x="255"/>
        <item x="952"/>
        <item x="631"/>
        <item x="1295"/>
        <item x="1250"/>
        <item x="574"/>
        <item x="488"/>
        <item x="267"/>
        <item x="796"/>
        <item x="500"/>
        <item x="480"/>
        <item x="1256"/>
        <item x="1312"/>
        <item x="1084"/>
        <item x="54"/>
        <item x="214"/>
        <item x="386"/>
        <item x="234"/>
        <item x="986"/>
        <item x="884"/>
        <item x="451"/>
        <item x="655"/>
        <item x="477"/>
        <item x="729"/>
        <item t="default"/>
      </items>
      <autoSortScope>
        <pivotArea dataOnly="0" outline="0" fieldPosition="0">
          <references count="1">
            <reference field="4294967294" count="1" selected="0">
              <x v="0"/>
            </reference>
          </references>
        </pivotArea>
      </autoSortScope>
    </pivotField>
    <pivotField dataField="1" showAll="0"/>
    <pivotField showAll="0" defaultSubtotal="0"/>
    <pivotField showAll="0" defaultSubtotal="0">
      <items count="6">
        <item x="0"/>
        <item x="1"/>
        <item x="2"/>
        <item x="3"/>
        <item x="4"/>
        <item x="5"/>
      </items>
    </pivotField>
    <pivotField showAll="0" defaultSubtotal="0">
      <items count="7">
        <item x="0"/>
        <item x="1"/>
        <item x="2"/>
        <item x="3"/>
        <item x="4"/>
        <item x="5"/>
        <item x="6"/>
      </items>
    </pivotField>
  </pivotFields>
  <rowFields count="1">
    <field x="17"/>
  </rowFields>
  <rowItems count="10">
    <i>
      <x v="81"/>
    </i>
    <i>
      <x v="750"/>
    </i>
    <i>
      <x v="181"/>
    </i>
    <i>
      <x v="482"/>
    </i>
    <i>
      <x v="980"/>
    </i>
    <i>
      <x v="251"/>
    </i>
    <i>
      <x v="454"/>
    </i>
    <i>
      <x v="335"/>
    </i>
    <i>
      <x v="573"/>
    </i>
    <i>
      <x v="703"/>
    </i>
  </rowItems>
  <colItems count="1">
    <i/>
  </colItems>
  <dataFields count="1">
    <dataField name="Sum of Sales" fld="18" baseField="0"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8743DB5-4FCC-4B3F-A943-AA861ABD0BDD}" sourceName="Segment">
  <pivotTables>
    <pivotTable tabId="14" name="PivotTable5"/>
    <pivotTable tabId="13" name="PivotTable4"/>
    <pivotTable tabId="9" name="PivotTable1"/>
    <pivotTable tabId="6" name="PivotTable3"/>
    <pivotTable tabId="7" name="PivotTable1"/>
    <pivotTable tabId="10" name="PivotTable2"/>
    <pivotTable tabId="12" name="PivotTable3"/>
  </pivotTables>
  <data>
    <tabular pivotCacheId="178093257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DC19FE-52A3-49C2-8096-739FEA6E38F2}" sourceName="Region">
  <pivotTables>
    <pivotTable tabId="14" name="PivotTable5"/>
    <pivotTable tabId="13" name="PivotTable4"/>
    <pivotTable tabId="9" name="PivotTable1"/>
    <pivotTable tabId="6" name="PivotTable3"/>
    <pivotTable tabId="7" name="PivotTable1"/>
    <pivotTable tabId="10" name="PivotTable2"/>
    <pivotTable tabId="12" name="PivotTable3"/>
  </pivotTables>
  <data>
    <tabular pivotCacheId="178093257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47EF95-CCD7-4B0F-A392-25556D7E1085}" sourceName="Category">
  <pivotTables>
    <pivotTable tabId="14" name="PivotTable5"/>
    <pivotTable tabId="13" name="PivotTable4"/>
    <pivotTable tabId="9" name="PivotTable1"/>
    <pivotTable tabId="6" name="PivotTable3"/>
    <pivotTable tabId="7" name="PivotTable1"/>
    <pivotTable tabId="10" name="PivotTable2"/>
    <pivotTable tabId="12" name="PivotTable3"/>
  </pivotTables>
  <data>
    <tabular pivotCacheId="178093257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5CBFA32D-5ABD-49A2-B6C1-2DE3B898A3D2}" sourceName="Years (Ship Date)">
  <pivotTables>
    <pivotTable tabId="14" name="PivotTable5"/>
    <pivotTable tabId="13" name="PivotTable4"/>
    <pivotTable tabId="9" name="PivotTable1"/>
    <pivotTable tabId="6" name="PivotTable3"/>
    <pivotTable tabId="7" name="PivotTable1"/>
    <pivotTable tabId="10" name="PivotTable2"/>
    <pivotTable tabId="12" name="PivotTable3"/>
  </pivotTables>
  <data>
    <tabular pivotCacheId="1780932576">
      <items count="7">
        <i x="1" s="1"/>
        <i x="2" s="1"/>
        <i x="3" s="1"/>
        <i x="4" s="1"/>
        <i x="5" s="1"/>
        <i x="0"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0AF642F-EE6B-4654-9092-C16DE034499B}" cache="Slicer_Segment" caption="Segment" style="Slicer Style 1" rowHeight="241300"/>
  <slicer name="Region" xr10:uid="{BF9CA89D-7072-4202-BF6F-42F757FD45D9}" cache="Slicer_Region" caption="Region" style="Slicer Style 1" rowHeight="241300"/>
  <slicer name="Category" xr10:uid="{D0BEEA35-7D58-42DC-9D0A-F20ED26E5C28}" cache="Slicer_Category" caption="Category" style="Slicer Style 1" rowHeight="241300"/>
  <slicer name="Years (Ship Date)" xr10:uid="{52B5BA97-6905-41F8-AE20-C26F6782932B}" cache="Slicer_Years__Ship_Date" caption="Years (Ship Dat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8541E-3D7E-46BC-9306-E8922583521F}" name="Table1" displayName="Table1" ref="A2:S2502" totalsRowCount="1" headerRowDxfId="13">
  <autoFilter ref="A2:S2501" xr:uid="{4698541E-3D7E-46BC-9306-E8922583521F}"/>
  <tableColumns count="19">
    <tableColumn id="1" xr3:uid="{D4BD6322-F795-4B79-9F65-0656EF70EA9A}" name="Row ID"/>
    <tableColumn id="2" xr3:uid="{E2805290-5939-413F-AF45-FBC7B8FDC8BF}" name="Order ID"/>
    <tableColumn id="3" xr3:uid="{6CD20AD2-AE92-4FE9-9B52-097C841E214A}" name="Order Date" dataDxfId="12" totalsRowDxfId="11"/>
    <tableColumn id="4" xr3:uid="{56319BF2-7D28-4B80-9F33-40B6479BBA37}" name="Ship Date" dataDxfId="10" totalsRowDxfId="9"/>
    <tableColumn id="19" xr3:uid="{5FC6CC8D-CA56-4E8F-9365-35C976EA1237}" name="SHIPPING SPEED" dataDxfId="8" totalsRowDxfId="7">
      <calculatedColumnFormula>IF(F3="STANDARD CLASS","FAST",IF(F3="SECOND CLASS","SLOW","MODERATE"))</calculatedColumnFormula>
    </tableColumn>
    <tableColumn id="5" xr3:uid="{3DE9AD95-B195-483F-99E4-BCF4F171E9B2}" name="Ship Mode"/>
    <tableColumn id="6" xr3:uid="{2A2AE43C-3AF3-41AE-87C1-24067E9D5FF5}" name="Customer ID"/>
    <tableColumn id="7" xr3:uid="{BA7AECFD-4C9C-46D7-A416-90D29F74DE49}" name="Customer Name"/>
    <tableColumn id="8" xr3:uid="{78E99953-1A7E-4B7B-84C9-BF8A3FE9775A}" name="Segment"/>
    <tableColumn id="9" xr3:uid="{FFFCDE0E-056F-400D-9376-A532D69460B1}" name="Country"/>
    <tableColumn id="10" xr3:uid="{7B0144AE-3A67-47BD-B704-A8E8A4129529}" name="City"/>
    <tableColumn id="11" xr3:uid="{2AD22C49-A1AD-4A77-BDBC-2E5A6E113D89}" name="State"/>
    <tableColumn id="12" xr3:uid="{E1897961-5E85-45F6-8FB8-CD248C13D3AD}" name="Postal Code"/>
    <tableColumn id="13" xr3:uid="{2E4DD430-1AE4-4AE7-BCEB-4D5C52F7E382}" name="Region"/>
    <tableColumn id="14" xr3:uid="{91DB708C-BFFE-446E-8EDC-F6ABC5906258}" name="Product ID"/>
    <tableColumn id="15" xr3:uid="{2D5814B3-BA09-482B-B25C-FA5CDAB29144}" name="Category"/>
    <tableColumn id="16" xr3:uid="{113FCD19-AA51-447B-B36D-EFF9AF0681F4}" name="Sub-Category"/>
    <tableColumn id="17" xr3:uid="{1155515D-1925-441D-808B-883B7F8DF9BF}" name="Product Name"/>
    <tableColumn id="18" xr3:uid="{DD92EE51-6675-48E2-85A0-77B687F49191}" name="Sales" totalsRowFunction="sum" dataDxfId="6" totalsRowDxfId="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97C78-7F86-4F1B-BBED-6C934EE84C0B}">
  <sheetPr codeName="Sheet1"/>
  <dimension ref="A1:S2502"/>
  <sheetViews>
    <sheetView showGridLines="0" zoomScaleNormal="100" workbookViewId="0">
      <pane ySplit="2" topLeftCell="A3" activePane="bottomLeft" state="frozen"/>
      <selection pane="bottomLeft" activeCell="H1" sqref="H1"/>
    </sheetView>
  </sheetViews>
  <sheetFormatPr defaultRowHeight="14.5" x14ac:dyDescent="0.35"/>
  <cols>
    <col min="1" max="1" width="13.6328125" bestFit="1" customWidth="1"/>
    <col min="2" max="2" width="15.54296875" bestFit="1" customWidth="1"/>
    <col min="3" max="3" width="19" style="1" bestFit="1" customWidth="1"/>
    <col min="4" max="4" width="17.26953125" style="1" bestFit="1" customWidth="1"/>
    <col min="5" max="5" width="19.7265625" style="1" customWidth="1"/>
    <col min="6" max="6" width="18.54296875" bestFit="1" customWidth="1"/>
    <col min="7" max="7" width="21.36328125" bestFit="1" customWidth="1"/>
    <col min="8" max="8" width="26.54296875" bestFit="1" customWidth="1"/>
    <col min="9" max="9" width="16.08984375" bestFit="1" customWidth="1"/>
    <col min="10" max="10" width="14.90625" bestFit="1" customWidth="1"/>
    <col min="11" max="11" width="14.36328125" customWidth="1"/>
    <col min="12" max="12" width="10.7265625" bestFit="1" customWidth="1"/>
    <col min="13" max="13" width="20.81640625" bestFit="1" customWidth="1"/>
    <col min="14" max="14" width="13.54296875" bestFit="1" customWidth="1"/>
    <col min="15" max="15" width="18.6328125" bestFit="1" customWidth="1"/>
    <col min="16" max="16" width="16.453125" bestFit="1" customWidth="1"/>
    <col min="17" max="17" width="23.1796875" bestFit="1" customWidth="1"/>
    <col min="18" max="18" width="76.08984375" customWidth="1"/>
    <col min="19" max="19" width="18.7265625" customWidth="1"/>
  </cols>
  <sheetData>
    <row r="1" spans="1:19" s="9" customFormat="1" ht="62.5" customHeight="1" x14ac:dyDescent="0.6">
      <c r="C1" s="10"/>
      <c r="D1" s="10"/>
      <c r="E1" s="10"/>
    </row>
    <row r="2" spans="1:19" s="2" customFormat="1" ht="18" x14ac:dyDescent="0.4">
      <c r="A2" s="2" t="s">
        <v>0</v>
      </c>
      <c r="B2" s="2" t="s">
        <v>1</v>
      </c>
      <c r="C2" s="3" t="s">
        <v>2</v>
      </c>
      <c r="D2" s="3" t="s">
        <v>3</v>
      </c>
      <c r="E2" s="3" t="s">
        <v>5595</v>
      </c>
      <c r="F2" s="2" t="s">
        <v>4</v>
      </c>
      <c r="G2" s="2" t="s">
        <v>5</v>
      </c>
      <c r="H2" s="2" t="s">
        <v>6</v>
      </c>
      <c r="I2" s="2" t="s">
        <v>7</v>
      </c>
      <c r="J2" s="2" t="s">
        <v>8</v>
      </c>
      <c r="K2" s="2" t="s">
        <v>9</v>
      </c>
      <c r="L2" s="2" t="s">
        <v>10</v>
      </c>
      <c r="M2" s="2" t="s">
        <v>11</v>
      </c>
      <c r="N2" s="2" t="s">
        <v>12</v>
      </c>
      <c r="O2" s="2" t="s">
        <v>13</v>
      </c>
      <c r="P2" s="2" t="s">
        <v>14</v>
      </c>
      <c r="Q2" s="2" t="s">
        <v>15</v>
      </c>
      <c r="R2" s="2" t="s">
        <v>16</v>
      </c>
      <c r="S2" s="2" t="s">
        <v>17</v>
      </c>
    </row>
    <row r="3" spans="1:19" x14ac:dyDescent="0.35">
      <c r="A3">
        <v>1</v>
      </c>
      <c r="B3" t="s">
        <v>18</v>
      </c>
      <c r="C3" s="1">
        <v>43047</v>
      </c>
      <c r="D3" s="1">
        <v>43050</v>
      </c>
      <c r="E3" s="1" t="str">
        <f t="shared" ref="E3:E66" si="0">IF(F3="STANDARD CLASS","FAST",IF(F3="SECOND CLASS","SLOW","MODERATE"))</f>
        <v>SLOW</v>
      </c>
      <c r="F3" t="s">
        <v>19</v>
      </c>
      <c r="G3" t="s">
        <v>20</v>
      </c>
      <c r="H3" t="s">
        <v>21</v>
      </c>
      <c r="I3" t="s">
        <v>22</v>
      </c>
      <c r="J3" t="s">
        <v>23</v>
      </c>
      <c r="K3" t="s">
        <v>24</v>
      </c>
      <c r="L3" t="s">
        <v>25</v>
      </c>
      <c r="M3">
        <v>42420</v>
      </c>
      <c r="N3" t="s">
        <v>26</v>
      </c>
      <c r="O3" t="s">
        <v>27</v>
      </c>
      <c r="P3" t="s">
        <v>28</v>
      </c>
      <c r="Q3" t="s">
        <v>29</v>
      </c>
      <c r="R3" t="s">
        <v>30</v>
      </c>
      <c r="S3">
        <v>261.95999999999998</v>
      </c>
    </row>
    <row r="4" spans="1:19" x14ac:dyDescent="0.35">
      <c r="A4">
        <v>2</v>
      </c>
      <c r="B4" t="s">
        <v>18</v>
      </c>
      <c r="C4" s="1">
        <v>43047</v>
      </c>
      <c r="D4" s="1">
        <v>43050</v>
      </c>
      <c r="E4" s="1" t="str">
        <f t="shared" si="0"/>
        <v>SLOW</v>
      </c>
      <c r="F4" t="s">
        <v>19</v>
      </c>
      <c r="G4" t="s">
        <v>20</v>
      </c>
      <c r="H4" t="s">
        <v>21</v>
      </c>
      <c r="I4" t="s">
        <v>22</v>
      </c>
      <c r="J4" t="s">
        <v>23</v>
      </c>
      <c r="K4" t="s">
        <v>24</v>
      </c>
      <c r="L4" t="s">
        <v>25</v>
      </c>
      <c r="M4">
        <v>42420</v>
      </c>
      <c r="N4" t="s">
        <v>26</v>
      </c>
      <c r="O4" t="s">
        <v>31</v>
      </c>
      <c r="P4" t="s">
        <v>28</v>
      </c>
      <c r="Q4" t="s">
        <v>32</v>
      </c>
      <c r="R4" t="s">
        <v>33</v>
      </c>
      <c r="S4">
        <v>731.94</v>
      </c>
    </row>
    <row r="5" spans="1:19" x14ac:dyDescent="0.35">
      <c r="A5">
        <v>3</v>
      </c>
      <c r="B5" t="s">
        <v>34</v>
      </c>
      <c r="C5" s="1">
        <v>42898</v>
      </c>
      <c r="D5" s="1">
        <v>42902</v>
      </c>
      <c r="E5" s="1" t="str">
        <f t="shared" si="0"/>
        <v>SLOW</v>
      </c>
      <c r="F5" t="s">
        <v>19</v>
      </c>
      <c r="G5" t="s">
        <v>35</v>
      </c>
      <c r="H5" t="s">
        <v>36</v>
      </c>
      <c r="I5" t="s">
        <v>37</v>
      </c>
      <c r="J5" t="s">
        <v>23</v>
      </c>
      <c r="K5" t="s">
        <v>38</v>
      </c>
      <c r="L5" t="s">
        <v>39</v>
      </c>
      <c r="M5">
        <v>90036</v>
      </c>
      <c r="N5" t="s">
        <v>40</v>
      </c>
      <c r="O5" t="s">
        <v>41</v>
      </c>
      <c r="P5" t="s">
        <v>42</v>
      </c>
      <c r="Q5" t="s">
        <v>43</v>
      </c>
      <c r="R5" t="s">
        <v>44</v>
      </c>
      <c r="S5">
        <v>14.62</v>
      </c>
    </row>
    <row r="6" spans="1:19" x14ac:dyDescent="0.35">
      <c r="A6">
        <v>4</v>
      </c>
      <c r="B6" t="s">
        <v>45</v>
      </c>
      <c r="C6" s="1">
        <v>42654</v>
      </c>
      <c r="D6" s="1">
        <v>42661</v>
      </c>
      <c r="E6" s="1" t="str">
        <f t="shared" si="0"/>
        <v>FAST</v>
      </c>
      <c r="F6" t="s">
        <v>46</v>
      </c>
      <c r="G6" t="s">
        <v>47</v>
      </c>
      <c r="H6" t="s">
        <v>48</v>
      </c>
      <c r="I6" t="s">
        <v>22</v>
      </c>
      <c r="J6" t="s">
        <v>23</v>
      </c>
      <c r="K6" t="s">
        <v>49</v>
      </c>
      <c r="L6" t="s">
        <v>50</v>
      </c>
      <c r="M6">
        <v>33311</v>
      </c>
      <c r="N6" t="s">
        <v>26</v>
      </c>
      <c r="O6" t="s">
        <v>51</v>
      </c>
      <c r="P6" t="s">
        <v>28</v>
      </c>
      <c r="Q6" t="s">
        <v>52</v>
      </c>
      <c r="R6" t="s">
        <v>53</v>
      </c>
      <c r="S6">
        <v>957.57749999999999</v>
      </c>
    </row>
    <row r="7" spans="1:19" x14ac:dyDescent="0.35">
      <c r="A7">
        <v>5</v>
      </c>
      <c r="B7" t="s">
        <v>45</v>
      </c>
      <c r="C7" s="1">
        <v>42654</v>
      </c>
      <c r="D7" s="1">
        <v>42661</v>
      </c>
      <c r="E7" s="1" t="str">
        <f t="shared" si="0"/>
        <v>FAST</v>
      </c>
      <c r="F7" t="s">
        <v>46</v>
      </c>
      <c r="G7" t="s">
        <v>47</v>
      </c>
      <c r="H7" t="s">
        <v>48</v>
      </c>
      <c r="I7" t="s">
        <v>22</v>
      </c>
      <c r="J7" t="s">
        <v>23</v>
      </c>
      <c r="K7" t="s">
        <v>49</v>
      </c>
      <c r="L7" t="s">
        <v>50</v>
      </c>
      <c r="M7">
        <v>33311</v>
      </c>
      <c r="N7" t="s">
        <v>26</v>
      </c>
      <c r="O7" t="s">
        <v>54</v>
      </c>
      <c r="P7" t="s">
        <v>42</v>
      </c>
      <c r="Q7" t="s">
        <v>55</v>
      </c>
      <c r="R7" t="s">
        <v>56</v>
      </c>
      <c r="S7">
        <v>22.367999999999999</v>
      </c>
    </row>
    <row r="8" spans="1:19" x14ac:dyDescent="0.35">
      <c r="A8">
        <v>6</v>
      </c>
      <c r="B8" t="s">
        <v>57</v>
      </c>
      <c r="C8" s="1">
        <v>42164</v>
      </c>
      <c r="D8" s="1">
        <v>42169</v>
      </c>
      <c r="E8" s="1" t="str">
        <f t="shared" si="0"/>
        <v>FAST</v>
      </c>
      <c r="F8" t="s">
        <v>46</v>
      </c>
      <c r="G8" t="s">
        <v>58</v>
      </c>
      <c r="H8" t="s">
        <v>59</v>
      </c>
      <c r="I8" t="s">
        <v>22</v>
      </c>
      <c r="J8" t="s">
        <v>23</v>
      </c>
      <c r="K8" t="s">
        <v>38</v>
      </c>
      <c r="L8" t="s">
        <v>39</v>
      </c>
      <c r="M8">
        <v>90032</v>
      </c>
      <c r="N8" t="s">
        <v>40</v>
      </c>
      <c r="O8" t="s">
        <v>60</v>
      </c>
      <c r="P8" t="s">
        <v>28</v>
      </c>
      <c r="Q8" t="s">
        <v>61</v>
      </c>
      <c r="R8" t="s">
        <v>62</v>
      </c>
      <c r="S8">
        <v>48.86</v>
      </c>
    </row>
    <row r="9" spans="1:19" x14ac:dyDescent="0.35">
      <c r="A9">
        <v>7</v>
      </c>
      <c r="B9" t="s">
        <v>57</v>
      </c>
      <c r="C9" s="1">
        <v>42164</v>
      </c>
      <c r="D9" s="1">
        <v>42169</v>
      </c>
      <c r="E9" s="1" t="str">
        <f t="shared" si="0"/>
        <v>FAST</v>
      </c>
      <c r="F9" t="s">
        <v>46</v>
      </c>
      <c r="G9" t="s">
        <v>58</v>
      </c>
      <c r="H9" t="s">
        <v>59</v>
      </c>
      <c r="I9" t="s">
        <v>22</v>
      </c>
      <c r="J9" t="s">
        <v>23</v>
      </c>
      <c r="K9" t="s">
        <v>38</v>
      </c>
      <c r="L9" t="s">
        <v>39</v>
      </c>
      <c r="M9">
        <v>90032</v>
      </c>
      <c r="N9" t="s">
        <v>40</v>
      </c>
      <c r="O9" t="s">
        <v>63</v>
      </c>
      <c r="P9" t="s">
        <v>42</v>
      </c>
      <c r="Q9" t="s">
        <v>64</v>
      </c>
      <c r="R9" t="s">
        <v>65</v>
      </c>
      <c r="S9">
        <v>7.28</v>
      </c>
    </row>
    <row r="10" spans="1:19" x14ac:dyDescent="0.35">
      <c r="A10">
        <v>8</v>
      </c>
      <c r="B10" t="s">
        <v>57</v>
      </c>
      <c r="C10" s="1">
        <v>42164</v>
      </c>
      <c r="D10" s="1">
        <v>42169</v>
      </c>
      <c r="E10" s="1" t="str">
        <f t="shared" si="0"/>
        <v>FAST</v>
      </c>
      <c r="F10" t="s">
        <v>46</v>
      </c>
      <c r="G10" t="s">
        <v>58</v>
      </c>
      <c r="H10" t="s">
        <v>59</v>
      </c>
      <c r="I10" t="s">
        <v>22</v>
      </c>
      <c r="J10" t="s">
        <v>23</v>
      </c>
      <c r="K10" t="s">
        <v>38</v>
      </c>
      <c r="L10" t="s">
        <v>39</v>
      </c>
      <c r="M10">
        <v>90032</v>
      </c>
      <c r="N10" t="s">
        <v>40</v>
      </c>
      <c r="O10" t="s">
        <v>66</v>
      </c>
      <c r="P10" t="s">
        <v>67</v>
      </c>
      <c r="Q10" t="s">
        <v>68</v>
      </c>
      <c r="R10" t="s">
        <v>69</v>
      </c>
      <c r="S10">
        <v>907.15200000000004</v>
      </c>
    </row>
    <row r="11" spans="1:19" x14ac:dyDescent="0.35">
      <c r="A11">
        <v>9</v>
      </c>
      <c r="B11" t="s">
        <v>57</v>
      </c>
      <c r="C11" s="1">
        <v>42164</v>
      </c>
      <c r="D11" s="1">
        <v>42169</v>
      </c>
      <c r="E11" s="1" t="str">
        <f t="shared" si="0"/>
        <v>FAST</v>
      </c>
      <c r="F11" t="s">
        <v>46</v>
      </c>
      <c r="G11" t="s">
        <v>58</v>
      </c>
      <c r="H11" t="s">
        <v>59</v>
      </c>
      <c r="I11" t="s">
        <v>22</v>
      </c>
      <c r="J11" t="s">
        <v>23</v>
      </c>
      <c r="K11" t="s">
        <v>38</v>
      </c>
      <c r="L11" t="s">
        <v>39</v>
      </c>
      <c r="M11">
        <v>90032</v>
      </c>
      <c r="N11" t="s">
        <v>40</v>
      </c>
      <c r="O11" t="s">
        <v>70</v>
      </c>
      <c r="P11" t="s">
        <v>42</v>
      </c>
      <c r="Q11" t="s">
        <v>71</v>
      </c>
      <c r="R11" t="s">
        <v>72</v>
      </c>
      <c r="S11">
        <v>18.504000000000001</v>
      </c>
    </row>
    <row r="12" spans="1:19" x14ac:dyDescent="0.35">
      <c r="A12">
        <v>10</v>
      </c>
      <c r="B12" t="s">
        <v>57</v>
      </c>
      <c r="C12" s="1">
        <v>42164</v>
      </c>
      <c r="D12" s="1">
        <v>42169</v>
      </c>
      <c r="E12" s="1" t="str">
        <f t="shared" si="0"/>
        <v>FAST</v>
      </c>
      <c r="F12" t="s">
        <v>46</v>
      </c>
      <c r="G12" t="s">
        <v>58</v>
      </c>
      <c r="H12" t="s">
        <v>59</v>
      </c>
      <c r="I12" t="s">
        <v>22</v>
      </c>
      <c r="J12" t="s">
        <v>23</v>
      </c>
      <c r="K12" t="s">
        <v>38</v>
      </c>
      <c r="L12" t="s">
        <v>39</v>
      </c>
      <c r="M12">
        <v>90032</v>
      </c>
      <c r="N12" t="s">
        <v>40</v>
      </c>
      <c r="O12" t="s">
        <v>73</v>
      </c>
      <c r="P12" t="s">
        <v>42</v>
      </c>
      <c r="Q12" t="s">
        <v>74</v>
      </c>
      <c r="R12" t="s">
        <v>75</v>
      </c>
      <c r="S12">
        <v>114.9</v>
      </c>
    </row>
    <row r="13" spans="1:19" x14ac:dyDescent="0.35">
      <c r="A13">
        <v>11</v>
      </c>
      <c r="B13" t="s">
        <v>57</v>
      </c>
      <c r="C13" s="1">
        <v>42164</v>
      </c>
      <c r="D13" s="1">
        <v>42169</v>
      </c>
      <c r="E13" s="1" t="str">
        <f t="shared" si="0"/>
        <v>FAST</v>
      </c>
      <c r="F13" t="s">
        <v>46</v>
      </c>
      <c r="G13" t="s">
        <v>58</v>
      </c>
      <c r="H13" t="s">
        <v>59</v>
      </c>
      <c r="I13" t="s">
        <v>22</v>
      </c>
      <c r="J13" t="s">
        <v>23</v>
      </c>
      <c r="K13" t="s">
        <v>38</v>
      </c>
      <c r="L13" t="s">
        <v>39</v>
      </c>
      <c r="M13">
        <v>90032</v>
      </c>
      <c r="N13" t="s">
        <v>40</v>
      </c>
      <c r="O13" t="s">
        <v>76</v>
      </c>
      <c r="P13" t="s">
        <v>28</v>
      </c>
      <c r="Q13" t="s">
        <v>52</v>
      </c>
      <c r="R13" t="s">
        <v>77</v>
      </c>
      <c r="S13">
        <v>1706.184</v>
      </c>
    </row>
    <row r="14" spans="1:19" x14ac:dyDescent="0.35">
      <c r="A14">
        <v>12</v>
      </c>
      <c r="B14" t="s">
        <v>57</v>
      </c>
      <c r="C14" s="1">
        <v>42164</v>
      </c>
      <c r="D14" s="1">
        <v>42169</v>
      </c>
      <c r="E14" s="1" t="str">
        <f t="shared" si="0"/>
        <v>FAST</v>
      </c>
      <c r="F14" t="s">
        <v>46</v>
      </c>
      <c r="G14" t="s">
        <v>58</v>
      </c>
      <c r="H14" t="s">
        <v>59</v>
      </c>
      <c r="I14" t="s">
        <v>22</v>
      </c>
      <c r="J14" t="s">
        <v>23</v>
      </c>
      <c r="K14" t="s">
        <v>38</v>
      </c>
      <c r="L14" t="s">
        <v>39</v>
      </c>
      <c r="M14">
        <v>90032</v>
      </c>
      <c r="N14" t="s">
        <v>40</v>
      </c>
      <c r="O14" t="s">
        <v>78</v>
      </c>
      <c r="P14" t="s">
        <v>67</v>
      </c>
      <c r="Q14" t="s">
        <v>68</v>
      </c>
      <c r="R14" t="s">
        <v>79</v>
      </c>
      <c r="S14">
        <v>911.42399999999998</v>
      </c>
    </row>
    <row r="15" spans="1:19" x14ac:dyDescent="0.35">
      <c r="A15">
        <v>13</v>
      </c>
      <c r="B15" t="s">
        <v>80</v>
      </c>
      <c r="C15" s="1">
        <v>43205</v>
      </c>
      <c r="D15" s="1">
        <v>43210</v>
      </c>
      <c r="E15" s="1" t="str">
        <f t="shared" si="0"/>
        <v>FAST</v>
      </c>
      <c r="F15" t="s">
        <v>46</v>
      </c>
      <c r="G15" t="s">
        <v>81</v>
      </c>
      <c r="H15" t="s">
        <v>82</v>
      </c>
      <c r="I15" t="s">
        <v>22</v>
      </c>
      <c r="J15" t="s">
        <v>23</v>
      </c>
      <c r="K15" t="s">
        <v>83</v>
      </c>
      <c r="L15" t="s">
        <v>84</v>
      </c>
      <c r="M15">
        <v>28027</v>
      </c>
      <c r="N15" t="s">
        <v>26</v>
      </c>
      <c r="O15" t="s">
        <v>85</v>
      </c>
      <c r="P15" t="s">
        <v>42</v>
      </c>
      <c r="Q15" t="s">
        <v>86</v>
      </c>
      <c r="R15" t="s">
        <v>87</v>
      </c>
      <c r="S15">
        <v>15.552</v>
      </c>
    </row>
    <row r="16" spans="1:19" x14ac:dyDescent="0.35">
      <c r="A16">
        <v>14</v>
      </c>
      <c r="B16" t="s">
        <v>88</v>
      </c>
      <c r="C16" s="1">
        <v>43074</v>
      </c>
      <c r="D16" s="1">
        <v>43079</v>
      </c>
      <c r="E16" s="1" t="str">
        <f t="shared" si="0"/>
        <v>FAST</v>
      </c>
      <c r="F16" t="s">
        <v>46</v>
      </c>
      <c r="G16" t="s">
        <v>89</v>
      </c>
      <c r="H16" t="s">
        <v>90</v>
      </c>
      <c r="I16" t="s">
        <v>22</v>
      </c>
      <c r="J16" t="s">
        <v>23</v>
      </c>
      <c r="K16" t="s">
        <v>91</v>
      </c>
      <c r="L16" t="s">
        <v>92</v>
      </c>
      <c r="M16">
        <v>98103</v>
      </c>
      <c r="N16" t="s">
        <v>40</v>
      </c>
      <c r="O16" t="s">
        <v>93</v>
      </c>
      <c r="P16" t="s">
        <v>42</v>
      </c>
      <c r="Q16" t="s">
        <v>71</v>
      </c>
      <c r="R16" t="s">
        <v>94</v>
      </c>
      <c r="S16">
        <v>407.976</v>
      </c>
    </row>
    <row r="17" spans="1:19" x14ac:dyDescent="0.35">
      <c r="A17">
        <v>15</v>
      </c>
      <c r="B17" t="s">
        <v>95</v>
      </c>
      <c r="C17" s="1">
        <v>42696</v>
      </c>
      <c r="D17" s="1">
        <v>42700</v>
      </c>
      <c r="E17" s="1" t="str">
        <f t="shared" si="0"/>
        <v>FAST</v>
      </c>
      <c r="F17" t="s">
        <v>46</v>
      </c>
      <c r="G17" t="s">
        <v>96</v>
      </c>
      <c r="H17" t="s">
        <v>97</v>
      </c>
      <c r="I17" t="s">
        <v>98</v>
      </c>
      <c r="J17" t="s">
        <v>23</v>
      </c>
      <c r="K17" t="s">
        <v>99</v>
      </c>
      <c r="L17" t="s">
        <v>100</v>
      </c>
      <c r="M17">
        <v>76106</v>
      </c>
      <c r="N17" t="s">
        <v>101</v>
      </c>
      <c r="O17" t="s">
        <v>102</v>
      </c>
      <c r="P17" t="s">
        <v>42</v>
      </c>
      <c r="Q17" t="s">
        <v>74</v>
      </c>
      <c r="R17" t="s">
        <v>103</v>
      </c>
      <c r="S17">
        <v>68.81</v>
      </c>
    </row>
    <row r="18" spans="1:19" x14ac:dyDescent="0.35">
      <c r="A18">
        <v>16</v>
      </c>
      <c r="B18" t="s">
        <v>95</v>
      </c>
      <c r="C18" s="1">
        <v>42696</v>
      </c>
      <c r="D18" s="1">
        <v>42700</v>
      </c>
      <c r="E18" s="1" t="str">
        <f t="shared" si="0"/>
        <v>FAST</v>
      </c>
      <c r="F18" t="s">
        <v>46</v>
      </c>
      <c r="G18" t="s">
        <v>96</v>
      </c>
      <c r="H18" t="s">
        <v>97</v>
      </c>
      <c r="I18" t="s">
        <v>98</v>
      </c>
      <c r="J18" t="s">
        <v>23</v>
      </c>
      <c r="K18" t="s">
        <v>99</v>
      </c>
      <c r="L18" t="s">
        <v>100</v>
      </c>
      <c r="M18">
        <v>76106</v>
      </c>
      <c r="N18" t="s">
        <v>101</v>
      </c>
      <c r="O18" t="s">
        <v>104</v>
      </c>
      <c r="P18" t="s">
        <v>42</v>
      </c>
      <c r="Q18" t="s">
        <v>71</v>
      </c>
      <c r="R18" t="s">
        <v>105</v>
      </c>
      <c r="S18">
        <v>2.544</v>
      </c>
    </row>
    <row r="19" spans="1:19" x14ac:dyDescent="0.35">
      <c r="A19">
        <v>17</v>
      </c>
      <c r="B19" t="s">
        <v>106</v>
      </c>
      <c r="C19" s="1">
        <v>42319</v>
      </c>
      <c r="D19" s="1">
        <v>42326</v>
      </c>
      <c r="E19" s="1" t="str">
        <f t="shared" si="0"/>
        <v>FAST</v>
      </c>
      <c r="F19" t="s">
        <v>46</v>
      </c>
      <c r="G19" t="s">
        <v>107</v>
      </c>
      <c r="H19" t="s">
        <v>108</v>
      </c>
      <c r="I19" t="s">
        <v>22</v>
      </c>
      <c r="J19" t="s">
        <v>23</v>
      </c>
      <c r="K19" t="s">
        <v>109</v>
      </c>
      <c r="L19" t="s">
        <v>110</v>
      </c>
      <c r="M19">
        <v>53711</v>
      </c>
      <c r="N19" t="s">
        <v>101</v>
      </c>
      <c r="O19" t="s">
        <v>111</v>
      </c>
      <c r="P19" t="s">
        <v>42</v>
      </c>
      <c r="Q19" t="s">
        <v>55</v>
      </c>
      <c r="R19" t="s">
        <v>112</v>
      </c>
      <c r="S19">
        <v>665.88</v>
      </c>
    </row>
    <row r="20" spans="1:19" x14ac:dyDescent="0.35">
      <c r="A20">
        <v>18</v>
      </c>
      <c r="B20" t="s">
        <v>113</v>
      </c>
      <c r="C20" s="1">
        <v>42137</v>
      </c>
      <c r="D20" s="1">
        <v>42139</v>
      </c>
      <c r="E20" s="1" t="str">
        <f t="shared" si="0"/>
        <v>SLOW</v>
      </c>
      <c r="F20" t="s">
        <v>19</v>
      </c>
      <c r="G20" t="s">
        <v>114</v>
      </c>
      <c r="H20" t="s">
        <v>115</v>
      </c>
      <c r="I20" t="s">
        <v>22</v>
      </c>
      <c r="J20" t="s">
        <v>23</v>
      </c>
      <c r="K20" t="s">
        <v>116</v>
      </c>
      <c r="L20" t="s">
        <v>117</v>
      </c>
      <c r="M20">
        <v>84084</v>
      </c>
      <c r="N20" t="s">
        <v>40</v>
      </c>
      <c r="O20" t="s">
        <v>118</v>
      </c>
      <c r="P20" t="s">
        <v>42</v>
      </c>
      <c r="Q20" t="s">
        <v>55</v>
      </c>
      <c r="R20" t="s">
        <v>119</v>
      </c>
      <c r="S20">
        <v>55.5</v>
      </c>
    </row>
    <row r="21" spans="1:19" x14ac:dyDescent="0.35">
      <c r="A21">
        <v>19</v>
      </c>
      <c r="B21" t="s">
        <v>120</v>
      </c>
      <c r="C21" s="1">
        <v>42243</v>
      </c>
      <c r="D21" s="1">
        <v>42248</v>
      </c>
      <c r="E21" s="1" t="str">
        <f t="shared" si="0"/>
        <v>SLOW</v>
      </c>
      <c r="F21" t="s">
        <v>19</v>
      </c>
      <c r="G21" t="s">
        <v>121</v>
      </c>
      <c r="H21" t="s">
        <v>122</v>
      </c>
      <c r="I21" t="s">
        <v>22</v>
      </c>
      <c r="J21" t="s">
        <v>23</v>
      </c>
      <c r="K21" t="s">
        <v>123</v>
      </c>
      <c r="L21" t="s">
        <v>39</v>
      </c>
      <c r="M21">
        <v>94109</v>
      </c>
      <c r="N21" t="s">
        <v>40</v>
      </c>
      <c r="O21" t="s">
        <v>124</v>
      </c>
      <c r="P21" t="s">
        <v>42</v>
      </c>
      <c r="Q21" t="s">
        <v>64</v>
      </c>
      <c r="R21" t="s">
        <v>125</v>
      </c>
      <c r="S21">
        <v>8.56</v>
      </c>
    </row>
    <row r="22" spans="1:19" x14ac:dyDescent="0.35">
      <c r="A22">
        <v>20</v>
      </c>
      <c r="B22" t="s">
        <v>120</v>
      </c>
      <c r="C22" s="1">
        <v>42243</v>
      </c>
      <c r="D22" s="1">
        <v>42248</v>
      </c>
      <c r="E22" s="1" t="str">
        <f t="shared" si="0"/>
        <v>SLOW</v>
      </c>
      <c r="F22" t="s">
        <v>19</v>
      </c>
      <c r="G22" t="s">
        <v>121</v>
      </c>
      <c r="H22" t="s">
        <v>122</v>
      </c>
      <c r="I22" t="s">
        <v>22</v>
      </c>
      <c r="J22" t="s">
        <v>23</v>
      </c>
      <c r="K22" t="s">
        <v>123</v>
      </c>
      <c r="L22" t="s">
        <v>39</v>
      </c>
      <c r="M22">
        <v>94109</v>
      </c>
      <c r="N22" t="s">
        <v>40</v>
      </c>
      <c r="O22" t="s">
        <v>126</v>
      </c>
      <c r="P22" t="s">
        <v>67</v>
      </c>
      <c r="Q22" t="s">
        <v>68</v>
      </c>
      <c r="R22" t="s">
        <v>127</v>
      </c>
      <c r="S22">
        <v>213.48</v>
      </c>
    </row>
    <row r="23" spans="1:19" x14ac:dyDescent="0.35">
      <c r="A23">
        <v>21</v>
      </c>
      <c r="B23" t="s">
        <v>120</v>
      </c>
      <c r="C23" s="1">
        <v>42243</v>
      </c>
      <c r="D23" s="1">
        <v>42248</v>
      </c>
      <c r="E23" s="1" t="str">
        <f t="shared" si="0"/>
        <v>SLOW</v>
      </c>
      <c r="F23" t="s">
        <v>19</v>
      </c>
      <c r="G23" t="s">
        <v>121</v>
      </c>
      <c r="H23" t="s">
        <v>122</v>
      </c>
      <c r="I23" t="s">
        <v>22</v>
      </c>
      <c r="J23" t="s">
        <v>23</v>
      </c>
      <c r="K23" t="s">
        <v>123</v>
      </c>
      <c r="L23" t="s">
        <v>39</v>
      </c>
      <c r="M23">
        <v>94109</v>
      </c>
      <c r="N23" t="s">
        <v>40</v>
      </c>
      <c r="O23" t="s">
        <v>128</v>
      </c>
      <c r="P23" t="s">
        <v>42</v>
      </c>
      <c r="Q23" t="s">
        <v>71</v>
      </c>
      <c r="R23" t="s">
        <v>129</v>
      </c>
      <c r="S23">
        <v>22.72</v>
      </c>
    </row>
    <row r="24" spans="1:19" x14ac:dyDescent="0.35">
      <c r="A24">
        <v>22</v>
      </c>
      <c r="B24" t="s">
        <v>130</v>
      </c>
      <c r="C24" s="1">
        <v>43078</v>
      </c>
      <c r="D24" s="1">
        <v>43082</v>
      </c>
      <c r="E24" s="1" t="str">
        <f t="shared" si="0"/>
        <v>FAST</v>
      </c>
      <c r="F24" t="s">
        <v>46</v>
      </c>
      <c r="G24" t="s">
        <v>131</v>
      </c>
      <c r="H24" t="s">
        <v>132</v>
      </c>
      <c r="I24" t="s">
        <v>37</v>
      </c>
      <c r="J24" t="s">
        <v>23</v>
      </c>
      <c r="K24" t="s">
        <v>133</v>
      </c>
      <c r="L24" t="s">
        <v>134</v>
      </c>
      <c r="M24">
        <v>68025</v>
      </c>
      <c r="N24" t="s">
        <v>101</v>
      </c>
      <c r="O24" t="s">
        <v>135</v>
      </c>
      <c r="P24" t="s">
        <v>42</v>
      </c>
      <c r="Q24" t="s">
        <v>64</v>
      </c>
      <c r="R24" t="s">
        <v>136</v>
      </c>
      <c r="S24">
        <v>19.46</v>
      </c>
    </row>
    <row r="25" spans="1:19" x14ac:dyDescent="0.35">
      <c r="A25">
        <v>23</v>
      </c>
      <c r="B25" t="s">
        <v>130</v>
      </c>
      <c r="C25" s="1">
        <v>43078</v>
      </c>
      <c r="D25" s="1">
        <v>43082</v>
      </c>
      <c r="E25" s="1" t="str">
        <f t="shared" si="0"/>
        <v>FAST</v>
      </c>
      <c r="F25" t="s">
        <v>46</v>
      </c>
      <c r="G25" t="s">
        <v>131</v>
      </c>
      <c r="H25" t="s">
        <v>132</v>
      </c>
      <c r="I25" t="s">
        <v>37</v>
      </c>
      <c r="J25" t="s">
        <v>23</v>
      </c>
      <c r="K25" t="s">
        <v>133</v>
      </c>
      <c r="L25" t="s">
        <v>134</v>
      </c>
      <c r="M25">
        <v>68025</v>
      </c>
      <c r="N25" t="s">
        <v>101</v>
      </c>
      <c r="O25" t="s">
        <v>137</v>
      </c>
      <c r="P25" t="s">
        <v>42</v>
      </c>
      <c r="Q25" t="s">
        <v>74</v>
      </c>
      <c r="R25" t="s">
        <v>138</v>
      </c>
      <c r="S25">
        <v>60.34</v>
      </c>
    </row>
    <row r="26" spans="1:19" x14ac:dyDescent="0.35">
      <c r="A26">
        <v>24</v>
      </c>
      <c r="B26" t="s">
        <v>139</v>
      </c>
      <c r="C26" s="1">
        <v>43297</v>
      </c>
      <c r="D26" s="1">
        <v>43299</v>
      </c>
      <c r="E26" s="1" t="str">
        <f t="shared" si="0"/>
        <v>SLOW</v>
      </c>
      <c r="F26" t="s">
        <v>19</v>
      </c>
      <c r="G26" t="s">
        <v>140</v>
      </c>
      <c r="H26" t="s">
        <v>141</v>
      </c>
      <c r="I26" t="s">
        <v>22</v>
      </c>
      <c r="J26" t="s">
        <v>23</v>
      </c>
      <c r="K26" t="s">
        <v>142</v>
      </c>
      <c r="L26" t="s">
        <v>143</v>
      </c>
      <c r="M26">
        <v>19140</v>
      </c>
      <c r="N26" t="s">
        <v>144</v>
      </c>
      <c r="O26" t="s">
        <v>145</v>
      </c>
      <c r="P26" t="s">
        <v>28</v>
      </c>
      <c r="Q26" t="s">
        <v>32</v>
      </c>
      <c r="R26" t="s">
        <v>146</v>
      </c>
      <c r="S26">
        <v>71.372</v>
      </c>
    </row>
    <row r="27" spans="1:19" x14ac:dyDescent="0.35">
      <c r="A27">
        <v>25</v>
      </c>
      <c r="B27" t="s">
        <v>147</v>
      </c>
      <c r="C27" s="1">
        <v>42638</v>
      </c>
      <c r="D27" s="1">
        <v>42643</v>
      </c>
      <c r="E27" s="1" t="str">
        <f t="shared" si="0"/>
        <v>FAST</v>
      </c>
      <c r="F27" t="s">
        <v>46</v>
      </c>
      <c r="G27" t="s">
        <v>148</v>
      </c>
      <c r="H27" t="s">
        <v>149</v>
      </c>
      <c r="I27" t="s">
        <v>22</v>
      </c>
      <c r="J27" t="s">
        <v>23</v>
      </c>
      <c r="K27" t="s">
        <v>150</v>
      </c>
      <c r="L27" t="s">
        <v>117</v>
      </c>
      <c r="M27">
        <v>84057</v>
      </c>
      <c r="N27" t="s">
        <v>40</v>
      </c>
      <c r="O27" t="s">
        <v>51</v>
      </c>
      <c r="P27" t="s">
        <v>28</v>
      </c>
      <c r="Q27" t="s">
        <v>52</v>
      </c>
      <c r="R27" t="s">
        <v>53</v>
      </c>
      <c r="S27">
        <v>1044.6300000000001</v>
      </c>
    </row>
    <row r="28" spans="1:19" x14ac:dyDescent="0.35">
      <c r="A28">
        <v>26</v>
      </c>
      <c r="B28" t="s">
        <v>151</v>
      </c>
      <c r="C28" s="1">
        <v>42751</v>
      </c>
      <c r="D28" s="1">
        <v>42755</v>
      </c>
      <c r="E28" s="1" t="str">
        <f t="shared" si="0"/>
        <v>SLOW</v>
      </c>
      <c r="F28" t="s">
        <v>19</v>
      </c>
      <c r="G28" t="s">
        <v>152</v>
      </c>
      <c r="H28" t="s">
        <v>153</v>
      </c>
      <c r="I28" t="s">
        <v>22</v>
      </c>
      <c r="J28" t="s">
        <v>23</v>
      </c>
      <c r="K28" t="s">
        <v>38</v>
      </c>
      <c r="L28" t="s">
        <v>39</v>
      </c>
      <c r="M28">
        <v>90049</v>
      </c>
      <c r="N28" t="s">
        <v>40</v>
      </c>
      <c r="O28" t="s">
        <v>154</v>
      </c>
      <c r="P28" t="s">
        <v>42</v>
      </c>
      <c r="Q28" t="s">
        <v>71</v>
      </c>
      <c r="R28" t="s">
        <v>155</v>
      </c>
      <c r="S28">
        <v>11.648</v>
      </c>
    </row>
    <row r="29" spans="1:19" x14ac:dyDescent="0.35">
      <c r="A29">
        <v>27</v>
      </c>
      <c r="B29" t="s">
        <v>151</v>
      </c>
      <c r="C29" s="1">
        <v>42751</v>
      </c>
      <c r="D29" s="1">
        <v>42755</v>
      </c>
      <c r="E29" s="1" t="str">
        <f t="shared" si="0"/>
        <v>SLOW</v>
      </c>
      <c r="F29" t="s">
        <v>19</v>
      </c>
      <c r="G29" t="s">
        <v>152</v>
      </c>
      <c r="H29" t="s">
        <v>153</v>
      </c>
      <c r="I29" t="s">
        <v>22</v>
      </c>
      <c r="J29" t="s">
        <v>23</v>
      </c>
      <c r="K29" t="s">
        <v>38</v>
      </c>
      <c r="L29" t="s">
        <v>39</v>
      </c>
      <c r="M29">
        <v>90049</v>
      </c>
      <c r="N29" t="s">
        <v>40</v>
      </c>
      <c r="O29" t="s">
        <v>156</v>
      </c>
      <c r="P29" t="s">
        <v>67</v>
      </c>
      <c r="Q29" t="s">
        <v>157</v>
      </c>
      <c r="R29" t="s">
        <v>158</v>
      </c>
      <c r="S29">
        <v>90.57</v>
      </c>
    </row>
    <row r="30" spans="1:19" x14ac:dyDescent="0.35">
      <c r="A30">
        <v>28</v>
      </c>
      <c r="B30" t="s">
        <v>159</v>
      </c>
      <c r="C30" s="1">
        <v>42630</v>
      </c>
      <c r="D30" s="1">
        <v>42634</v>
      </c>
      <c r="E30" s="1" t="str">
        <f t="shared" si="0"/>
        <v>FAST</v>
      </c>
      <c r="F30" t="s">
        <v>46</v>
      </c>
      <c r="G30" t="s">
        <v>160</v>
      </c>
      <c r="H30" t="s">
        <v>161</v>
      </c>
      <c r="I30" t="s">
        <v>22</v>
      </c>
      <c r="J30" t="s">
        <v>23</v>
      </c>
      <c r="K30" t="s">
        <v>142</v>
      </c>
      <c r="L30" t="s">
        <v>143</v>
      </c>
      <c r="M30">
        <v>19140</v>
      </c>
      <c r="N30" t="s">
        <v>144</v>
      </c>
      <c r="O30" t="s">
        <v>162</v>
      </c>
      <c r="P30" t="s">
        <v>28</v>
      </c>
      <c r="Q30" t="s">
        <v>29</v>
      </c>
      <c r="R30" t="s">
        <v>163</v>
      </c>
      <c r="S30">
        <v>3083.43</v>
      </c>
    </row>
    <row r="31" spans="1:19" x14ac:dyDescent="0.35">
      <c r="A31">
        <v>29</v>
      </c>
      <c r="B31" t="s">
        <v>159</v>
      </c>
      <c r="C31" s="1">
        <v>42630</v>
      </c>
      <c r="D31" s="1">
        <v>42634</v>
      </c>
      <c r="E31" s="1" t="str">
        <f t="shared" si="0"/>
        <v>FAST</v>
      </c>
      <c r="F31" t="s">
        <v>46</v>
      </c>
      <c r="G31" t="s">
        <v>160</v>
      </c>
      <c r="H31" t="s">
        <v>161</v>
      </c>
      <c r="I31" t="s">
        <v>22</v>
      </c>
      <c r="J31" t="s">
        <v>23</v>
      </c>
      <c r="K31" t="s">
        <v>142</v>
      </c>
      <c r="L31" t="s">
        <v>143</v>
      </c>
      <c r="M31">
        <v>19140</v>
      </c>
      <c r="N31" t="s">
        <v>144</v>
      </c>
      <c r="O31" t="s">
        <v>164</v>
      </c>
      <c r="P31" t="s">
        <v>42</v>
      </c>
      <c r="Q31" t="s">
        <v>71</v>
      </c>
      <c r="R31" t="s">
        <v>165</v>
      </c>
      <c r="S31">
        <v>9.6180000000000003</v>
      </c>
    </row>
    <row r="32" spans="1:19" x14ac:dyDescent="0.35">
      <c r="A32">
        <v>30</v>
      </c>
      <c r="B32" t="s">
        <v>159</v>
      </c>
      <c r="C32" s="1">
        <v>42630</v>
      </c>
      <c r="D32" s="1">
        <v>42634</v>
      </c>
      <c r="E32" s="1" t="str">
        <f t="shared" si="0"/>
        <v>FAST</v>
      </c>
      <c r="F32" t="s">
        <v>46</v>
      </c>
      <c r="G32" t="s">
        <v>160</v>
      </c>
      <c r="H32" t="s">
        <v>161</v>
      </c>
      <c r="I32" t="s">
        <v>22</v>
      </c>
      <c r="J32" t="s">
        <v>23</v>
      </c>
      <c r="K32" t="s">
        <v>142</v>
      </c>
      <c r="L32" t="s">
        <v>143</v>
      </c>
      <c r="M32">
        <v>19140</v>
      </c>
      <c r="N32" t="s">
        <v>144</v>
      </c>
      <c r="O32" t="s">
        <v>166</v>
      </c>
      <c r="P32" t="s">
        <v>28</v>
      </c>
      <c r="Q32" t="s">
        <v>61</v>
      </c>
      <c r="R32" t="s">
        <v>167</v>
      </c>
      <c r="S32">
        <v>124.2</v>
      </c>
    </row>
    <row r="33" spans="1:19" x14ac:dyDescent="0.35">
      <c r="A33">
        <v>31</v>
      </c>
      <c r="B33" t="s">
        <v>159</v>
      </c>
      <c r="C33" s="1">
        <v>42630</v>
      </c>
      <c r="D33" s="1">
        <v>42634</v>
      </c>
      <c r="E33" s="1" t="str">
        <f t="shared" si="0"/>
        <v>FAST</v>
      </c>
      <c r="F33" t="s">
        <v>46</v>
      </c>
      <c r="G33" t="s">
        <v>160</v>
      </c>
      <c r="H33" t="s">
        <v>161</v>
      </c>
      <c r="I33" t="s">
        <v>22</v>
      </c>
      <c r="J33" t="s">
        <v>23</v>
      </c>
      <c r="K33" t="s">
        <v>142</v>
      </c>
      <c r="L33" t="s">
        <v>143</v>
      </c>
      <c r="M33">
        <v>19140</v>
      </c>
      <c r="N33" t="s">
        <v>144</v>
      </c>
      <c r="O33" t="s">
        <v>168</v>
      </c>
      <c r="P33" t="s">
        <v>42</v>
      </c>
      <c r="Q33" t="s">
        <v>169</v>
      </c>
      <c r="R33" t="s">
        <v>170</v>
      </c>
      <c r="S33">
        <v>3.2639999999999998</v>
      </c>
    </row>
    <row r="34" spans="1:19" x14ac:dyDescent="0.35">
      <c r="A34">
        <v>32</v>
      </c>
      <c r="B34" t="s">
        <v>159</v>
      </c>
      <c r="C34" s="1">
        <v>42630</v>
      </c>
      <c r="D34" s="1">
        <v>42634</v>
      </c>
      <c r="E34" s="1" t="str">
        <f t="shared" si="0"/>
        <v>FAST</v>
      </c>
      <c r="F34" t="s">
        <v>46</v>
      </c>
      <c r="G34" t="s">
        <v>160</v>
      </c>
      <c r="H34" t="s">
        <v>161</v>
      </c>
      <c r="I34" t="s">
        <v>22</v>
      </c>
      <c r="J34" t="s">
        <v>23</v>
      </c>
      <c r="K34" t="s">
        <v>142</v>
      </c>
      <c r="L34" t="s">
        <v>143</v>
      </c>
      <c r="M34">
        <v>19140</v>
      </c>
      <c r="N34" t="s">
        <v>144</v>
      </c>
      <c r="O34" t="s">
        <v>171</v>
      </c>
      <c r="P34" t="s">
        <v>42</v>
      </c>
      <c r="Q34" t="s">
        <v>64</v>
      </c>
      <c r="R34" t="s">
        <v>172</v>
      </c>
      <c r="S34">
        <v>86.304000000000002</v>
      </c>
    </row>
    <row r="35" spans="1:19" x14ac:dyDescent="0.35">
      <c r="A35">
        <v>33</v>
      </c>
      <c r="B35" t="s">
        <v>159</v>
      </c>
      <c r="C35" s="1">
        <v>42630</v>
      </c>
      <c r="D35" s="1">
        <v>42634</v>
      </c>
      <c r="E35" s="1" t="str">
        <f t="shared" si="0"/>
        <v>FAST</v>
      </c>
      <c r="F35" t="s">
        <v>46</v>
      </c>
      <c r="G35" t="s">
        <v>160</v>
      </c>
      <c r="H35" t="s">
        <v>161</v>
      </c>
      <c r="I35" t="s">
        <v>22</v>
      </c>
      <c r="J35" t="s">
        <v>23</v>
      </c>
      <c r="K35" t="s">
        <v>142</v>
      </c>
      <c r="L35" t="s">
        <v>143</v>
      </c>
      <c r="M35">
        <v>19140</v>
      </c>
      <c r="N35" t="s">
        <v>144</v>
      </c>
      <c r="O35" t="s">
        <v>173</v>
      </c>
      <c r="P35" t="s">
        <v>42</v>
      </c>
      <c r="Q35" t="s">
        <v>71</v>
      </c>
      <c r="R35" t="s">
        <v>174</v>
      </c>
      <c r="S35">
        <v>6.8579999999999997</v>
      </c>
    </row>
    <row r="36" spans="1:19" x14ac:dyDescent="0.35">
      <c r="A36">
        <v>34</v>
      </c>
      <c r="B36" t="s">
        <v>159</v>
      </c>
      <c r="C36" s="1">
        <v>42630</v>
      </c>
      <c r="D36" s="1">
        <v>42634</v>
      </c>
      <c r="E36" s="1" t="str">
        <f t="shared" si="0"/>
        <v>FAST</v>
      </c>
      <c r="F36" t="s">
        <v>46</v>
      </c>
      <c r="G36" t="s">
        <v>160</v>
      </c>
      <c r="H36" t="s">
        <v>161</v>
      </c>
      <c r="I36" t="s">
        <v>22</v>
      </c>
      <c r="J36" t="s">
        <v>23</v>
      </c>
      <c r="K36" t="s">
        <v>142</v>
      </c>
      <c r="L36" t="s">
        <v>143</v>
      </c>
      <c r="M36">
        <v>19140</v>
      </c>
      <c r="N36" t="s">
        <v>144</v>
      </c>
      <c r="O36" t="s">
        <v>175</v>
      </c>
      <c r="P36" t="s">
        <v>42</v>
      </c>
      <c r="Q36" t="s">
        <v>64</v>
      </c>
      <c r="R36" t="s">
        <v>176</v>
      </c>
      <c r="S36">
        <v>15.76</v>
      </c>
    </row>
    <row r="37" spans="1:19" x14ac:dyDescent="0.35">
      <c r="A37">
        <v>35</v>
      </c>
      <c r="B37" t="s">
        <v>177</v>
      </c>
      <c r="C37" s="1">
        <v>43392</v>
      </c>
      <c r="D37" s="1">
        <v>43396</v>
      </c>
      <c r="E37" s="1" t="str">
        <f t="shared" si="0"/>
        <v>SLOW</v>
      </c>
      <c r="F37" t="s">
        <v>19</v>
      </c>
      <c r="G37" t="s">
        <v>178</v>
      </c>
      <c r="H37" t="s">
        <v>179</v>
      </c>
      <c r="I37" t="s">
        <v>98</v>
      </c>
      <c r="J37" t="s">
        <v>23</v>
      </c>
      <c r="K37" t="s">
        <v>180</v>
      </c>
      <c r="L37" t="s">
        <v>100</v>
      </c>
      <c r="M37">
        <v>77095</v>
      </c>
      <c r="N37" t="s">
        <v>101</v>
      </c>
      <c r="O37" t="s">
        <v>181</v>
      </c>
      <c r="P37" t="s">
        <v>42</v>
      </c>
      <c r="Q37" t="s">
        <v>86</v>
      </c>
      <c r="R37" t="s">
        <v>182</v>
      </c>
      <c r="S37">
        <v>29.472000000000001</v>
      </c>
    </row>
    <row r="38" spans="1:19" x14ac:dyDescent="0.35">
      <c r="A38">
        <v>36</v>
      </c>
      <c r="B38" t="s">
        <v>183</v>
      </c>
      <c r="C38" s="1">
        <v>43077</v>
      </c>
      <c r="D38" s="1">
        <v>43079</v>
      </c>
      <c r="E38" s="1" t="str">
        <f t="shared" si="0"/>
        <v>MODERATE</v>
      </c>
      <c r="F38" t="s">
        <v>184</v>
      </c>
      <c r="G38" t="s">
        <v>185</v>
      </c>
      <c r="H38" t="s">
        <v>186</v>
      </c>
      <c r="I38" t="s">
        <v>37</v>
      </c>
      <c r="J38" t="s">
        <v>23</v>
      </c>
      <c r="K38" t="s">
        <v>187</v>
      </c>
      <c r="L38" t="s">
        <v>100</v>
      </c>
      <c r="M38">
        <v>75080</v>
      </c>
      <c r="N38" t="s">
        <v>101</v>
      </c>
      <c r="O38" t="s">
        <v>188</v>
      </c>
      <c r="P38" t="s">
        <v>67</v>
      </c>
      <c r="Q38" t="s">
        <v>68</v>
      </c>
      <c r="R38" t="s">
        <v>189</v>
      </c>
      <c r="S38">
        <v>1097.5440000000001</v>
      </c>
    </row>
    <row r="39" spans="1:19" x14ac:dyDescent="0.35">
      <c r="A39">
        <v>37</v>
      </c>
      <c r="B39" t="s">
        <v>183</v>
      </c>
      <c r="C39" s="1">
        <v>43077</v>
      </c>
      <c r="D39" s="1">
        <v>43079</v>
      </c>
      <c r="E39" s="1" t="str">
        <f t="shared" si="0"/>
        <v>MODERATE</v>
      </c>
      <c r="F39" t="s">
        <v>184</v>
      </c>
      <c r="G39" t="s">
        <v>185</v>
      </c>
      <c r="H39" t="s">
        <v>186</v>
      </c>
      <c r="I39" t="s">
        <v>37</v>
      </c>
      <c r="J39" t="s">
        <v>23</v>
      </c>
      <c r="K39" t="s">
        <v>187</v>
      </c>
      <c r="L39" t="s">
        <v>100</v>
      </c>
      <c r="M39">
        <v>75080</v>
      </c>
      <c r="N39" t="s">
        <v>101</v>
      </c>
      <c r="O39" t="s">
        <v>190</v>
      </c>
      <c r="P39" t="s">
        <v>28</v>
      </c>
      <c r="Q39" t="s">
        <v>61</v>
      </c>
      <c r="R39" t="s">
        <v>191</v>
      </c>
      <c r="S39">
        <v>190.92</v>
      </c>
    </row>
    <row r="40" spans="1:19" x14ac:dyDescent="0.35">
      <c r="A40">
        <v>39</v>
      </c>
      <c r="B40" t="s">
        <v>192</v>
      </c>
      <c r="C40" s="1">
        <v>42731</v>
      </c>
      <c r="D40" s="1">
        <v>42735</v>
      </c>
      <c r="E40" s="1" t="str">
        <f t="shared" si="0"/>
        <v>FAST</v>
      </c>
      <c r="F40" t="s">
        <v>46</v>
      </c>
      <c r="G40" t="s">
        <v>193</v>
      </c>
      <c r="H40" t="s">
        <v>194</v>
      </c>
      <c r="I40" t="s">
        <v>98</v>
      </c>
      <c r="J40" t="s">
        <v>23</v>
      </c>
      <c r="K40" t="s">
        <v>180</v>
      </c>
      <c r="L40" t="s">
        <v>100</v>
      </c>
      <c r="M40">
        <v>77041</v>
      </c>
      <c r="N40" t="s">
        <v>101</v>
      </c>
      <c r="O40" t="s">
        <v>195</v>
      </c>
      <c r="P40" t="s">
        <v>28</v>
      </c>
      <c r="Q40" t="s">
        <v>29</v>
      </c>
      <c r="R40" t="s">
        <v>196</v>
      </c>
      <c r="S40">
        <v>532.39919999999995</v>
      </c>
    </row>
    <row r="41" spans="1:19" x14ac:dyDescent="0.35">
      <c r="A41">
        <v>40</v>
      </c>
      <c r="B41" t="s">
        <v>192</v>
      </c>
      <c r="C41" s="1">
        <v>42731</v>
      </c>
      <c r="D41" s="1">
        <v>42735</v>
      </c>
      <c r="E41" s="1" t="str">
        <f t="shared" si="0"/>
        <v>FAST</v>
      </c>
      <c r="F41" t="s">
        <v>46</v>
      </c>
      <c r="G41" t="s">
        <v>193</v>
      </c>
      <c r="H41" t="s">
        <v>194</v>
      </c>
      <c r="I41" t="s">
        <v>98</v>
      </c>
      <c r="J41" t="s">
        <v>23</v>
      </c>
      <c r="K41" t="s">
        <v>180</v>
      </c>
      <c r="L41" t="s">
        <v>100</v>
      </c>
      <c r="M41">
        <v>77041</v>
      </c>
      <c r="N41" t="s">
        <v>101</v>
      </c>
      <c r="O41" t="s">
        <v>197</v>
      </c>
      <c r="P41" t="s">
        <v>28</v>
      </c>
      <c r="Q41" t="s">
        <v>32</v>
      </c>
      <c r="R41" t="s">
        <v>198</v>
      </c>
      <c r="S41">
        <v>212.05799999999999</v>
      </c>
    </row>
    <row r="42" spans="1:19" x14ac:dyDescent="0.35">
      <c r="A42">
        <v>41</v>
      </c>
      <c r="B42" t="s">
        <v>192</v>
      </c>
      <c r="C42" s="1">
        <v>42731</v>
      </c>
      <c r="D42" s="1">
        <v>42735</v>
      </c>
      <c r="E42" s="1" t="str">
        <f t="shared" si="0"/>
        <v>FAST</v>
      </c>
      <c r="F42" t="s">
        <v>46</v>
      </c>
      <c r="G42" t="s">
        <v>193</v>
      </c>
      <c r="H42" t="s">
        <v>194</v>
      </c>
      <c r="I42" t="s">
        <v>98</v>
      </c>
      <c r="J42" t="s">
        <v>23</v>
      </c>
      <c r="K42" t="s">
        <v>180</v>
      </c>
      <c r="L42" t="s">
        <v>100</v>
      </c>
      <c r="M42">
        <v>77041</v>
      </c>
      <c r="N42" t="s">
        <v>101</v>
      </c>
      <c r="O42" t="s">
        <v>199</v>
      </c>
      <c r="P42" t="s">
        <v>67</v>
      </c>
      <c r="Q42" t="s">
        <v>68</v>
      </c>
      <c r="R42" t="s">
        <v>200</v>
      </c>
      <c r="S42">
        <v>371.16800000000001</v>
      </c>
    </row>
    <row r="43" spans="1:19" x14ac:dyDescent="0.35">
      <c r="A43">
        <v>42</v>
      </c>
      <c r="B43" t="s">
        <v>201</v>
      </c>
      <c r="C43" s="1">
        <v>43353</v>
      </c>
      <c r="D43" s="1">
        <v>43358</v>
      </c>
      <c r="E43" s="1" t="str">
        <f t="shared" si="0"/>
        <v>FAST</v>
      </c>
      <c r="F43" t="s">
        <v>46</v>
      </c>
      <c r="G43" t="s">
        <v>202</v>
      </c>
      <c r="H43" t="s">
        <v>203</v>
      </c>
      <c r="I43" t="s">
        <v>37</v>
      </c>
      <c r="J43" t="s">
        <v>23</v>
      </c>
      <c r="K43" t="s">
        <v>204</v>
      </c>
      <c r="L43" t="s">
        <v>205</v>
      </c>
      <c r="M43">
        <v>60540</v>
      </c>
      <c r="N43" t="s">
        <v>101</v>
      </c>
      <c r="O43" t="s">
        <v>206</v>
      </c>
      <c r="P43" t="s">
        <v>67</v>
      </c>
      <c r="Q43" t="s">
        <v>68</v>
      </c>
      <c r="R43" t="s">
        <v>207</v>
      </c>
      <c r="S43">
        <v>147.16800000000001</v>
      </c>
    </row>
    <row r="44" spans="1:19" x14ac:dyDescent="0.35">
      <c r="A44">
        <v>43</v>
      </c>
      <c r="B44" t="s">
        <v>208</v>
      </c>
      <c r="C44" s="1">
        <v>42933</v>
      </c>
      <c r="D44" s="1">
        <v>42938</v>
      </c>
      <c r="E44" s="1" t="str">
        <f t="shared" si="0"/>
        <v>FAST</v>
      </c>
      <c r="F44" t="s">
        <v>46</v>
      </c>
      <c r="G44" t="s">
        <v>209</v>
      </c>
      <c r="H44" t="s">
        <v>210</v>
      </c>
      <c r="I44" t="s">
        <v>37</v>
      </c>
      <c r="J44" t="s">
        <v>23</v>
      </c>
      <c r="K44" t="s">
        <v>38</v>
      </c>
      <c r="L44" t="s">
        <v>39</v>
      </c>
      <c r="M44">
        <v>90049</v>
      </c>
      <c r="N44" t="s">
        <v>40</v>
      </c>
      <c r="O44" t="s">
        <v>211</v>
      </c>
      <c r="P44" t="s">
        <v>42</v>
      </c>
      <c r="Q44" t="s">
        <v>55</v>
      </c>
      <c r="R44" t="s">
        <v>212</v>
      </c>
      <c r="S44">
        <v>77.88</v>
      </c>
    </row>
    <row r="45" spans="1:19" x14ac:dyDescent="0.35">
      <c r="A45">
        <v>44</v>
      </c>
      <c r="B45" t="s">
        <v>213</v>
      </c>
      <c r="C45" s="1">
        <v>43362</v>
      </c>
      <c r="D45" s="1">
        <v>43366</v>
      </c>
      <c r="E45" s="1" t="str">
        <f t="shared" si="0"/>
        <v>FAST</v>
      </c>
      <c r="F45" t="s">
        <v>46</v>
      </c>
      <c r="G45" t="s">
        <v>214</v>
      </c>
      <c r="H45" t="s">
        <v>215</v>
      </c>
      <c r="I45" t="s">
        <v>37</v>
      </c>
      <c r="J45" t="s">
        <v>23</v>
      </c>
      <c r="K45" t="s">
        <v>216</v>
      </c>
      <c r="L45" t="s">
        <v>50</v>
      </c>
      <c r="M45">
        <v>32935</v>
      </c>
      <c r="N45" t="s">
        <v>26</v>
      </c>
      <c r="O45" t="s">
        <v>217</v>
      </c>
      <c r="P45" t="s">
        <v>42</v>
      </c>
      <c r="Q45" t="s">
        <v>55</v>
      </c>
      <c r="R45" t="s">
        <v>218</v>
      </c>
      <c r="S45">
        <v>95.616</v>
      </c>
    </row>
    <row r="46" spans="1:19" x14ac:dyDescent="0.35">
      <c r="A46">
        <v>45</v>
      </c>
      <c r="B46" t="s">
        <v>219</v>
      </c>
      <c r="C46" s="1">
        <v>42805</v>
      </c>
      <c r="D46" s="1">
        <v>42807</v>
      </c>
      <c r="E46" s="1" t="str">
        <f t="shared" si="0"/>
        <v>MODERATE</v>
      </c>
      <c r="F46" t="s">
        <v>184</v>
      </c>
      <c r="G46" t="s">
        <v>220</v>
      </c>
      <c r="H46" t="s">
        <v>221</v>
      </c>
      <c r="I46" t="s">
        <v>37</v>
      </c>
      <c r="J46" t="s">
        <v>23</v>
      </c>
      <c r="K46" t="s">
        <v>222</v>
      </c>
      <c r="L46" t="s">
        <v>223</v>
      </c>
      <c r="M46">
        <v>55122</v>
      </c>
      <c r="N46" t="s">
        <v>101</v>
      </c>
      <c r="O46" t="s">
        <v>224</v>
      </c>
      <c r="P46" t="s">
        <v>67</v>
      </c>
      <c r="Q46" t="s">
        <v>157</v>
      </c>
      <c r="R46" t="s">
        <v>225</v>
      </c>
      <c r="S46">
        <v>45.98</v>
      </c>
    </row>
    <row r="47" spans="1:19" x14ac:dyDescent="0.35">
      <c r="A47">
        <v>46</v>
      </c>
      <c r="B47" t="s">
        <v>219</v>
      </c>
      <c r="C47" s="1">
        <v>42805</v>
      </c>
      <c r="D47" s="1">
        <v>42807</v>
      </c>
      <c r="E47" s="1" t="str">
        <f t="shared" si="0"/>
        <v>MODERATE</v>
      </c>
      <c r="F47" t="s">
        <v>184</v>
      </c>
      <c r="G47" t="s">
        <v>220</v>
      </c>
      <c r="H47" t="s">
        <v>221</v>
      </c>
      <c r="I47" t="s">
        <v>37</v>
      </c>
      <c r="J47" t="s">
        <v>23</v>
      </c>
      <c r="K47" t="s">
        <v>222</v>
      </c>
      <c r="L47" t="s">
        <v>223</v>
      </c>
      <c r="M47">
        <v>55122</v>
      </c>
      <c r="N47" t="s">
        <v>101</v>
      </c>
      <c r="O47" t="s">
        <v>226</v>
      </c>
      <c r="P47" t="s">
        <v>42</v>
      </c>
      <c r="Q47" t="s">
        <v>71</v>
      </c>
      <c r="R47" t="s">
        <v>227</v>
      </c>
      <c r="S47">
        <v>17.46</v>
      </c>
    </row>
    <row r="48" spans="1:19" x14ac:dyDescent="0.35">
      <c r="A48">
        <v>47</v>
      </c>
      <c r="B48" t="s">
        <v>228</v>
      </c>
      <c r="C48" s="1">
        <v>42297</v>
      </c>
      <c r="D48" s="1">
        <v>42302</v>
      </c>
      <c r="E48" s="1" t="str">
        <f t="shared" si="0"/>
        <v>SLOW</v>
      </c>
      <c r="F48" t="s">
        <v>19</v>
      </c>
      <c r="G48" t="s">
        <v>229</v>
      </c>
      <c r="H48" t="s">
        <v>230</v>
      </c>
      <c r="I48" t="s">
        <v>22</v>
      </c>
      <c r="J48" t="s">
        <v>23</v>
      </c>
      <c r="K48" t="s">
        <v>231</v>
      </c>
      <c r="L48" t="s">
        <v>232</v>
      </c>
      <c r="M48">
        <v>48185</v>
      </c>
      <c r="N48" t="s">
        <v>101</v>
      </c>
      <c r="O48" t="s">
        <v>233</v>
      </c>
      <c r="P48" t="s">
        <v>42</v>
      </c>
      <c r="Q48" t="s">
        <v>55</v>
      </c>
      <c r="R48" t="s">
        <v>234</v>
      </c>
      <c r="S48">
        <v>211.96</v>
      </c>
    </row>
    <row r="49" spans="1:19" x14ac:dyDescent="0.35">
      <c r="A49">
        <v>48</v>
      </c>
      <c r="B49" t="s">
        <v>235</v>
      </c>
      <c r="C49" s="1">
        <v>42906</v>
      </c>
      <c r="D49" s="1">
        <v>42911</v>
      </c>
      <c r="E49" s="1" t="str">
        <f t="shared" si="0"/>
        <v>FAST</v>
      </c>
      <c r="F49" t="s">
        <v>46</v>
      </c>
      <c r="G49" t="s">
        <v>236</v>
      </c>
      <c r="H49" t="s">
        <v>237</v>
      </c>
      <c r="I49" t="s">
        <v>22</v>
      </c>
      <c r="J49" t="s">
        <v>23</v>
      </c>
      <c r="K49" t="s">
        <v>238</v>
      </c>
      <c r="L49" t="s">
        <v>239</v>
      </c>
      <c r="M49">
        <v>19901</v>
      </c>
      <c r="N49" t="s">
        <v>144</v>
      </c>
      <c r="O49" t="s">
        <v>240</v>
      </c>
      <c r="P49" t="s">
        <v>67</v>
      </c>
      <c r="Q49" t="s">
        <v>157</v>
      </c>
      <c r="R49" t="s">
        <v>241</v>
      </c>
      <c r="S49">
        <v>45</v>
      </c>
    </row>
    <row r="50" spans="1:19" x14ac:dyDescent="0.35">
      <c r="A50">
        <v>49</v>
      </c>
      <c r="B50" t="s">
        <v>235</v>
      </c>
      <c r="C50" s="1">
        <v>42906</v>
      </c>
      <c r="D50" s="1">
        <v>42911</v>
      </c>
      <c r="E50" s="1" t="str">
        <f t="shared" si="0"/>
        <v>FAST</v>
      </c>
      <c r="F50" t="s">
        <v>46</v>
      </c>
      <c r="G50" t="s">
        <v>236</v>
      </c>
      <c r="H50" t="s">
        <v>237</v>
      </c>
      <c r="I50" t="s">
        <v>22</v>
      </c>
      <c r="J50" t="s">
        <v>23</v>
      </c>
      <c r="K50" t="s">
        <v>238</v>
      </c>
      <c r="L50" t="s">
        <v>239</v>
      </c>
      <c r="M50">
        <v>19901</v>
      </c>
      <c r="N50" t="s">
        <v>144</v>
      </c>
      <c r="O50" t="s">
        <v>242</v>
      </c>
      <c r="P50" t="s">
        <v>67</v>
      </c>
      <c r="Q50" t="s">
        <v>68</v>
      </c>
      <c r="R50" t="s">
        <v>243</v>
      </c>
      <c r="S50">
        <v>21.8</v>
      </c>
    </row>
    <row r="51" spans="1:19" x14ac:dyDescent="0.35">
      <c r="A51">
        <v>50</v>
      </c>
      <c r="B51" t="s">
        <v>244</v>
      </c>
      <c r="C51" s="1">
        <v>42478</v>
      </c>
      <c r="D51" s="1">
        <v>42482</v>
      </c>
      <c r="E51" s="1" t="str">
        <f t="shared" si="0"/>
        <v>FAST</v>
      </c>
      <c r="F51" t="s">
        <v>46</v>
      </c>
      <c r="G51" t="s">
        <v>245</v>
      </c>
      <c r="H51" t="s">
        <v>246</v>
      </c>
      <c r="I51" t="s">
        <v>22</v>
      </c>
      <c r="J51" t="s">
        <v>23</v>
      </c>
      <c r="K51" t="s">
        <v>247</v>
      </c>
      <c r="L51" t="s">
        <v>248</v>
      </c>
      <c r="M51">
        <v>47150</v>
      </c>
      <c r="N51" t="s">
        <v>101</v>
      </c>
      <c r="O51" t="s">
        <v>249</v>
      </c>
      <c r="P51" t="s">
        <v>42</v>
      </c>
      <c r="Q51" t="s">
        <v>71</v>
      </c>
      <c r="R51" t="s">
        <v>250</v>
      </c>
      <c r="S51">
        <v>38.22</v>
      </c>
    </row>
    <row r="52" spans="1:19" x14ac:dyDescent="0.35">
      <c r="A52">
        <v>51</v>
      </c>
      <c r="B52" t="s">
        <v>244</v>
      </c>
      <c r="C52" s="1">
        <v>42478</v>
      </c>
      <c r="D52" s="1">
        <v>42482</v>
      </c>
      <c r="E52" s="1" t="str">
        <f t="shared" si="0"/>
        <v>FAST</v>
      </c>
      <c r="F52" t="s">
        <v>46</v>
      </c>
      <c r="G52" t="s">
        <v>245</v>
      </c>
      <c r="H52" t="s">
        <v>246</v>
      </c>
      <c r="I52" t="s">
        <v>22</v>
      </c>
      <c r="J52" t="s">
        <v>23</v>
      </c>
      <c r="K52" t="s">
        <v>247</v>
      </c>
      <c r="L52" t="s">
        <v>248</v>
      </c>
      <c r="M52">
        <v>47150</v>
      </c>
      <c r="N52" t="s">
        <v>101</v>
      </c>
      <c r="O52" t="s">
        <v>251</v>
      </c>
      <c r="P52" t="s">
        <v>42</v>
      </c>
      <c r="Q52" t="s">
        <v>43</v>
      </c>
      <c r="R52" t="s">
        <v>252</v>
      </c>
      <c r="S52">
        <v>75.180000000000007</v>
      </c>
    </row>
    <row r="53" spans="1:19" x14ac:dyDescent="0.35">
      <c r="A53">
        <v>52</v>
      </c>
      <c r="B53" t="s">
        <v>244</v>
      </c>
      <c r="C53" s="1">
        <v>42478</v>
      </c>
      <c r="D53" s="1">
        <v>42482</v>
      </c>
      <c r="E53" s="1" t="str">
        <f t="shared" si="0"/>
        <v>FAST</v>
      </c>
      <c r="F53" t="s">
        <v>46</v>
      </c>
      <c r="G53" t="s">
        <v>245</v>
      </c>
      <c r="H53" t="s">
        <v>246</v>
      </c>
      <c r="I53" t="s">
        <v>22</v>
      </c>
      <c r="J53" t="s">
        <v>23</v>
      </c>
      <c r="K53" t="s">
        <v>247</v>
      </c>
      <c r="L53" t="s">
        <v>248</v>
      </c>
      <c r="M53">
        <v>47150</v>
      </c>
      <c r="N53" t="s">
        <v>101</v>
      </c>
      <c r="O53" t="s">
        <v>253</v>
      </c>
      <c r="P53" t="s">
        <v>28</v>
      </c>
      <c r="Q53" t="s">
        <v>61</v>
      </c>
      <c r="R53" t="s">
        <v>254</v>
      </c>
      <c r="S53">
        <v>6.16</v>
      </c>
    </row>
    <row r="54" spans="1:19" x14ac:dyDescent="0.35">
      <c r="A54">
        <v>53</v>
      </c>
      <c r="B54" t="s">
        <v>244</v>
      </c>
      <c r="C54" s="1">
        <v>42478</v>
      </c>
      <c r="D54" s="1">
        <v>42482</v>
      </c>
      <c r="E54" s="1" t="str">
        <f t="shared" si="0"/>
        <v>FAST</v>
      </c>
      <c r="F54" t="s">
        <v>46</v>
      </c>
      <c r="G54" t="s">
        <v>245</v>
      </c>
      <c r="H54" t="s">
        <v>246</v>
      </c>
      <c r="I54" t="s">
        <v>22</v>
      </c>
      <c r="J54" t="s">
        <v>23</v>
      </c>
      <c r="K54" t="s">
        <v>247</v>
      </c>
      <c r="L54" t="s">
        <v>248</v>
      </c>
      <c r="M54">
        <v>47150</v>
      </c>
      <c r="N54" t="s">
        <v>101</v>
      </c>
      <c r="O54" t="s">
        <v>255</v>
      </c>
      <c r="P54" t="s">
        <v>28</v>
      </c>
      <c r="Q54" t="s">
        <v>32</v>
      </c>
      <c r="R54" t="s">
        <v>256</v>
      </c>
      <c r="S54">
        <v>89.99</v>
      </c>
    </row>
    <row r="55" spans="1:19" x14ac:dyDescent="0.35">
      <c r="A55">
        <v>54</v>
      </c>
      <c r="B55" t="s">
        <v>257</v>
      </c>
      <c r="C55" s="1">
        <v>43080</v>
      </c>
      <c r="D55" s="1">
        <v>43086</v>
      </c>
      <c r="E55" s="1" t="str">
        <f t="shared" si="0"/>
        <v>FAST</v>
      </c>
      <c r="F55" t="s">
        <v>46</v>
      </c>
      <c r="G55" t="s">
        <v>258</v>
      </c>
      <c r="H55" t="s">
        <v>259</v>
      </c>
      <c r="I55" t="s">
        <v>37</v>
      </c>
      <c r="J55" t="s">
        <v>23</v>
      </c>
      <c r="K55" t="s">
        <v>260</v>
      </c>
      <c r="L55" t="s">
        <v>261</v>
      </c>
      <c r="M55">
        <v>10024</v>
      </c>
      <c r="N55" t="s">
        <v>144</v>
      </c>
      <c r="O55" t="s">
        <v>262</v>
      </c>
      <c r="P55" t="s">
        <v>42</v>
      </c>
      <c r="Q55" t="s">
        <v>263</v>
      </c>
      <c r="R55" t="s">
        <v>264</v>
      </c>
      <c r="S55">
        <v>15.26</v>
      </c>
    </row>
    <row r="56" spans="1:19" x14ac:dyDescent="0.35">
      <c r="A56">
        <v>55</v>
      </c>
      <c r="B56" t="s">
        <v>257</v>
      </c>
      <c r="C56" s="1">
        <v>43080</v>
      </c>
      <c r="D56" s="1">
        <v>43086</v>
      </c>
      <c r="E56" s="1" t="str">
        <f t="shared" si="0"/>
        <v>FAST</v>
      </c>
      <c r="F56" t="s">
        <v>46</v>
      </c>
      <c r="G56" t="s">
        <v>258</v>
      </c>
      <c r="H56" t="s">
        <v>259</v>
      </c>
      <c r="I56" t="s">
        <v>37</v>
      </c>
      <c r="J56" t="s">
        <v>23</v>
      </c>
      <c r="K56" t="s">
        <v>260</v>
      </c>
      <c r="L56" t="s">
        <v>261</v>
      </c>
      <c r="M56">
        <v>10024</v>
      </c>
      <c r="N56" t="s">
        <v>144</v>
      </c>
      <c r="O56" t="s">
        <v>265</v>
      </c>
      <c r="P56" t="s">
        <v>67</v>
      </c>
      <c r="Q56" t="s">
        <v>68</v>
      </c>
      <c r="R56" t="s">
        <v>266</v>
      </c>
      <c r="S56">
        <v>1029.95</v>
      </c>
    </row>
    <row r="57" spans="1:19" x14ac:dyDescent="0.35">
      <c r="A57">
        <v>56</v>
      </c>
      <c r="B57" t="s">
        <v>267</v>
      </c>
      <c r="C57" s="1">
        <v>42903</v>
      </c>
      <c r="D57" s="1">
        <v>42904</v>
      </c>
      <c r="E57" s="1" t="str">
        <f t="shared" si="0"/>
        <v>MODERATE</v>
      </c>
      <c r="F57" t="s">
        <v>184</v>
      </c>
      <c r="G57" t="s">
        <v>268</v>
      </c>
      <c r="H57" t="s">
        <v>269</v>
      </c>
      <c r="I57" t="s">
        <v>22</v>
      </c>
      <c r="J57" t="s">
        <v>23</v>
      </c>
      <c r="K57" t="s">
        <v>270</v>
      </c>
      <c r="L57" t="s">
        <v>261</v>
      </c>
      <c r="M57">
        <v>12180</v>
      </c>
      <c r="N57" t="s">
        <v>144</v>
      </c>
      <c r="O57" t="s">
        <v>271</v>
      </c>
      <c r="P57" t="s">
        <v>42</v>
      </c>
      <c r="Q57" t="s">
        <v>55</v>
      </c>
      <c r="R57" t="s">
        <v>272</v>
      </c>
      <c r="S57">
        <v>208.56</v>
      </c>
    </row>
    <row r="58" spans="1:19" x14ac:dyDescent="0.35">
      <c r="A58">
        <v>57</v>
      </c>
      <c r="B58" t="s">
        <v>267</v>
      </c>
      <c r="C58" s="1">
        <v>42903</v>
      </c>
      <c r="D58" s="1">
        <v>42904</v>
      </c>
      <c r="E58" s="1" t="str">
        <f t="shared" si="0"/>
        <v>MODERATE</v>
      </c>
      <c r="F58" t="s">
        <v>184</v>
      </c>
      <c r="G58" t="s">
        <v>268</v>
      </c>
      <c r="H58" t="s">
        <v>269</v>
      </c>
      <c r="I58" t="s">
        <v>22</v>
      </c>
      <c r="J58" t="s">
        <v>23</v>
      </c>
      <c r="K58" t="s">
        <v>270</v>
      </c>
      <c r="L58" t="s">
        <v>261</v>
      </c>
      <c r="M58">
        <v>12180</v>
      </c>
      <c r="N58" t="s">
        <v>144</v>
      </c>
      <c r="O58" t="s">
        <v>273</v>
      </c>
      <c r="P58" t="s">
        <v>42</v>
      </c>
      <c r="Q58" t="s">
        <v>86</v>
      </c>
      <c r="R58" t="s">
        <v>274</v>
      </c>
      <c r="S58">
        <v>32.4</v>
      </c>
    </row>
    <row r="59" spans="1:19" x14ac:dyDescent="0.35">
      <c r="A59">
        <v>58</v>
      </c>
      <c r="B59" t="s">
        <v>267</v>
      </c>
      <c r="C59" s="1">
        <v>42903</v>
      </c>
      <c r="D59" s="1">
        <v>42904</v>
      </c>
      <c r="E59" s="1" t="str">
        <f t="shared" si="0"/>
        <v>MODERATE</v>
      </c>
      <c r="F59" t="s">
        <v>184</v>
      </c>
      <c r="G59" t="s">
        <v>268</v>
      </c>
      <c r="H59" t="s">
        <v>269</v>
      </c>
      <c r="I59" t="s">
        <v>22</v>
      </c>
      <c r="J59" t="s">
        <v>23</v>
      </c>
      <c r="K59" t="s">
        <v>270</v>
      </c>
      <c r="L59" t="s">
        <v>261</v>
      </c>
      <c r="M59">
        <v>12180</v>
      </c>
      <c r="N59" t="s">
        <v>144</v>
      </c>
      <c r="O59" t="s">
        <v>275</v>
      </c>
      <c r="P59" t="s">
        <v>28</v>
      </c>
      <c r="Q59" t="s">
        <v>32</v>
      </c>
      <c r="R59" t="s">
        <v>276</v>
      </c>
      <c r="S59">
        <v>319.41000000000003</v>
      </c>
    </row>
    <row r="60" spans="1:19" x14ac:dyDescent="0.35">
      <c r="A60">
        <v>59</v>
      </c>
      <c r="B60" t="s">
        <v>267</v>
      </c>
      <c r="C60" s="1">
        <v>42903</v>
      </c>
      <c r="D60" s="1">
        <v>42904</v>
      </c>
      <c r="E60" s="1" t="str">
        <f t="shared" si="0"/>
        <v>MODERATE</v>
      </c>
      <c r="F60" t="s">
        <v>184</v>
      </c>
      <c r="G60" t="s">
        <v>268</v>
      </c>
      <c r="H60" t="s">
        <v>269</v>
      </c>
      <c r="I60" t="s">
        <v>22</v>
      </c>
      <c r="J60" t="s">
        <v>23</v>
      </c>
      <c r="K60" t="s">
        <v>270</v>
      </c>
      <c r="L60" t="s">
        <v>261</v>
      </c>
      <c r="M60">
        <v>12180</v>
      </c>
      <c r="N60" t="s">
        <v>144</v>
      </c>
      <c r="O60" t="s">
        <v>277</v>
      </c>
      <c r="P60" t="s">
        <v>42</v>
      </c>
      <c r="Q60" t="s">
        <v>86</v>
      </c>
      <c r="R60" t="s">
        <v>278</v>
      </c>
      <c r="S60">
        <v>14.56</v>
      </c>
    </row>
    <row r="61" spans="1:19" x14ac:dyDescent="0.35">
      <c r="A61">
        <v>60</v>
      </c>
      <c r="B61" t="s">
        <v>267</v>
      </c>
      <c r="C61" s="1">
        <v>42903</v>
      </c>
      <c r="D61" s="1">
        <v>42904</v>
      </c>
      <c r="E61" s="1" t="str">
        <f t="shared" si="0"/>
        <v>MODERATE</v>
      </c>
      <c r="F61" t="s">
        <v>184</v>
      </c>
      <c r="G61" t="s">
        <v>268</v>
      </c>
      <c r="H61" t="s">
        <v>269</v>
      </c>
      <c r="I61" t="s">
        <v>22</v>
      </c>
      <c r="J61" t="s">
        <v>23</v>
      </c>
      <c r="K61" t="s">
        <v>270</v>
      </c>
      <c r="L61" t="s">
        <v>261</v>
      </c>
      <c r="M61">
        <v>12180</v>
      </c>
      <c r="N61" t="s">
        <v>144</v>
      </c>
      <c r="O61" t="s">
        <v>240</v>
      </c>
      <c r="P61" t="s">
        <v>67</v>
      </c>
      <c r="Q61" t="s">
        <v>157</v>
      </c>
      <c r="R61" t="s">
        <v>241</v>
      </c>
      <c r="S61">
        <v>30</v>
      </c>
    </row>
    <row r="62" spans="1:19" x14ac:dyDescent="0.35">
      <c r="A62">
        <v>61</v>
      </c>
      <c r="B62" t="s">
        <v>267</v>
      </c>
      <c r="C62" s="1">
        <v>42903</v>
      </c>
      <c r="D62" s="1">
        <v>42904</v>
      </c>
      <c r="E62" s="1" t="str">
        <f t="shared" si="0"/>
        <v>MODERATE</v>
      </c>
      <c r="F62" t="s">
        <v>184</v>
      </c>
      <c r="G62" t="s">
        <v>268</v>
      </c>
      <c r="H62" t="s">
        <v>269</v>
      </c>
      <c r="I62" t="s">
        <v>22</v>
      </c>
      <c r="J62" t="s">
        <v>23</v>
      </c>
      <c r="K62" t="s">
        <v>270</v>
      </c>
      <c r="L62" t="s">
        <v>261</v>
      </c>
      <c r="M62">
        <v>12180</v>
      </c>
      <c r="N62" t="s">
        <v>144</v>
      </c>
      <c r="O62" t="s">
        <v>279</v>
      </c>
      <c r="P62" t="s">
        <v>42</v>
      </c>
      <c r="Q62" t="s">
        <v>71</v>
      </c>
      <c r="R62" t="s">
        <v>280</v>
      </c>
      <c r="S62">
        <v>48.48</v>
      </c>
    </row>
    <row r="63" spans="1:19" x14ac:dyDescent="0.35">
      <c r="A63">
        <v>62</v>
      </c>
      <c r="B63" t="s">
        <v>267</v>
      </c>
      <c r="C63" s="1">
        <v>42903</v>
      </c>
      <c r="D63" s="1">
        <v>42904</v>
      </c>
      <c r="E63" s="1" t="str">
        <f t="shared" si="0"/>
        <v>MODERATE</v>
      </c>
      <c r="F63" t="s">
        <v>184</v>
      </c>
      <c r="G63" t="s">
        <v>268</v>
      </c>
      <c r="H63" t="s">
        <v>269</v>
      </c>
      <c r="I63" t="s">
        <v>22</v>
      </c>
      <c r="J63" t="s">
        <v>23</v>
      </c>
      <c r="K63" t="s">
        <v>270</v>
      </c>
      <c r="L63" t="s">
        <v>261</v>
      </c>
      <c r="M63">
        <v>12180</v>
      </c>
      <c r="N63" t="s">
        <v>144</v>
      </c>
      <c r="O63" t="s">
        <v>281</v>
      </c>
      <c r="P63" t="s">
        <v>42</v>
      </c>
      <c r="Q63" t="s">
        <v>64</v>
      </c>
      <c r="R63" t="s">
        <v>282</v>
      </c>
      <c r="S63">
        <v>1.68</v>
      </c>
    </row>
    <row r="64" spans="1:19" x14ac:dyDescent="0.35">
      <c r="A64">
        <v>63</v>
      </c>
      <c r="B64" t="s">
        <v>283</v>
      </c>
      <c r="C64" s="1">
        <v>42698</v>
      </c>
      <c r="D64" s="1">
        <v>42704</v>
      </c>
      <c r="E64" s="1" t="str">
        <f t="shared" si="0"/>
        <v>FAST</v>
      </c>
      <c r="F64" t="s">
        <v>46</v>
      </c>
      <c r="G64" t="s">
        <v>284</v>
      </c>
      <c r="H64" t="s">
        <v>285</v>
      </c>
      <c r="I64" t="s">
        <v>22</v>
      </c>
      <c r="J64" t="s">
        <v>23</v>
      </c>
      <c r="K64" t="s">
        <v>38</v>
      </c>
      <c r="L64" t="s">
        <v>39</v>
      </c>
      <c r="M64">
        <v>90004</v>
      </c>
      <c r="N64" t="s">
        <v>40</v>
      </c>
      <c r="O64" t="s">
        <v>286</v>
      </c>
      <c r="P64" t="s">
        <v>67</v>
      </c>
      <c r="Q64" t="s">
        <v>157</v>
      </c>
      <c r="R64" t="s">
        <v>287</v>
      </c>
      <c r="S64">
        <v>13.98</v>
      </c>
    </row>
    <row r="65" spans="1:19" x14ac:dyDescent="0.35">
      <c r="A65">
        <v>64</v>
      </c>
      <c r="B65" t="s">
        <v>283</v>
      </c>
      <c r="C65" s="1">
        <v>42698</v>
      </c>
      <c r="D65" s="1">
        <v>42704</v>
      </c>
      <c r="E65" s="1" t="str">
        <f t="shared" si="0"/>
        <v>FAST</v>
      </c>
      <c r="F65" t="s">
        <v>46</v>
      </c>
      <c r="G65" t="s">
        <v>284</v>
      </c>
      <c r="H65" t="s">
        <v>285</v>
      </c>
      <c r="I65" t="s">
        <v>22</v>
      </c>
      <c r="J65" t="s">
        <v>23</v>
      </c>
      <c r="K65" t="s">
        <v>38</v>
      </c>
      <c r="L65" t="s">
        <v>39</v>
      </c>
      <c r="M65">
        <v>90004</v>
      </c>
      <c r="N65" t="s">
        <v>40</v>
      </c>
      <c r="O65" t="s">
        <v>288</v>
      </c>
      <c r="P65" t="s">
        <v>42</v>
      </c>
      <c r="Q65" t="s">
        <v>71</v>
      </c>
      <c r="R65" t="s">
        <v>289</v>
      </c>
      <c r="S65">
        <v>25.824000000000002</v>
      </c>
    </row>
    <row r="66" spans="1:19" x14ac:dyDescent="0.35">
      <c r="A66">
        <v>65</v>
      </c>
      <c r="B66" t="s">
        <v>283</v>
      </c>
      <c r="C66" s="1">
        <v>42698</v>
      </c>
      <c r="D66" s="1">
        <v>42704</v>
      </c>
      <c r="E66" s="1" t="str">
        <f t="shared" si="0"/>
        <v>FAST</v>
      </c>
      <c r="F66" t="s">
        <v>46</v>
      </c>
      <c r="G66" t="s">
        <v>284</v>
      </c>
      <c r="H66" t="s">
        <v>285</v>
      </c>
      <c r="I66" t="s">
        <v>22</v>
      </c>
      <c r="J66" t="s">
        <v>23</v>
      </c>
      <c r="K66" t="s">
        <v>38</v>
      </c>
      <c r="L66" t="s">
        <v>39</v>
      </c>
      <c r="M66">
        <v>90004</v>
      </c>
      <c r="N66" t="s">
        <v>40</v>
      </c>
      <c r="O66" t="s">
        <v>290</v>
      </c>
      <c r="P66" t="s">
        <v>42</v>
      </c>
      <c r="Q66" t="s">
        <v>86</v>
      </c>
      <c r="R66" t="s">
        <v>291</v>
      </c>
      <c r="S66">
        <v>146.72999999999999</v>
      </c>
    </row>
    <row r="67" spans="1:19" x14ac:dyDescent="0.35">
      <c r="A67">
        <v>66</v>
      </c>
      <c r="B67" t="s">
        <v>283</v>
      </c>
      <c r="C67" s="1">
        <v>42698</v>
      </c>
      <c r="D67" s="1">
        <v>42704</v>
      </c>
      <c r="E67" s="1" t="str">
        <f t="shared" ref="E67:E130" si="1">IF(F67="STANDARD CLASS","FAST",IF(F67="SECOND CLASS","SLOW","MODERATE"))</f>
        <v>FAST</v>
      </c>
      <c r="F67" t="s">
        <v>46</v>
      </c>
      <c r="G67" t="s">
        <v>284</v>
      </c>
      <c r="H67" t="s">
        <v>285</v>
      </c>
      <c r="I67" t="s">
        <v>22</v>
      </c>
      <c r="J67" t="s">
        <v>23</v>
      </c>
      <c r="K67" t="s">
        <v>38</v>
      </c>
      <c r="L67" t="s">
        <v>39</v>
      </c>
      <c r="M67">
        <v>90004</v>
      </c>
      <c r="N67" t="s">
        <v>40</v>
      </c>
      <c r="O67" t="s">
        <v>292</v>
      </c>
      <c r="P67" t="s">
        <v>28</v>
      </c>
      <c r="Q67" t="s">
        <v>61</v>
      </c>
      <c r="R67" t="s">
        <v>293</v>
      </c>
      <c r="S67">
        <v>79.760000000000005</v>
      </c>
    </row>
    <row r="68" spans="1:19" x14ac:dyDescent="0.35">
      <c r="A68">
        <v>67</v>
      </c>
      <c r="B68" t="s">
        <v>294</v>
      </c>
      <c r="C68" s="1">
        <v>42490</v>
      </c>
      <c r="D68" s="1">
        <v>42495</v>
      </c>
      <c r="E68" s="1" t="str">
        <f t="shared" si="1"/>
        <v>FAST</v>
      </c>
      <c r="F68" t="s">
        <v>46</v>
      </c>
      <c r="G68" t="s">
        <v>295</v>
      </c>
      <c r="H68" t="s">
        <v>296</v>
      </c>
      <c r="I68" t="s">
        <v>98</v>
      </c>
      <c r="J68" t="s">
        <v>23</v>
      </c>
      <c r="K68" t="s">
        <v>297</v>
      </c>
      <c r="L68" t="s">
        <v>205</v>
      </c>
      <c r="M68">
        <v>60610</v>
      </c>
      <c r="N68" t="s">
        <v>101</v>
      </c>
      <c r="O68" t="s">
        <v>298</v>
      </c>
      <c r="P68" t="s">
        <v>28</v>
      </c>
      <c r="Q68" t="s">
        <v>32</v>
      </c>
      <c r="R68" t="s">
        <v>299</v>
      </c>
      <c r="S68">
        <v>213.11500000000001</v>
      </c>
    </row>
    <row r="69" spans="1:19" x14ac:dyDescent="0.35">
      <c r="A69">
        <v>68</v>
      </c>
      <c r="B69" t="s">
        <v>300</v>
      </c>
      <c r="C69" s="1">
        <v>42343</v>
      </c>
      <c r="D69" s="1">
        <v>42348</v>
      </c>
      <c r="E69" s="1" t="str">
        <f t="shared" si="1"/>
        <v>FAST</v>
      </c>
      <c r="F69" t="s">
        <v>46</v>
      </c>
      <c r="G69" t="s">
        <v>301</v>
      </c>
      <c r="H69" t="s">
        <v>302</v>
      </c>
      <c r="I69" t="s">
        <v>37</v>
      </c>
      <c r="J69" t="s">
        <v>23</v>
      </c>
      <c r="K69" t="s">
        <v>303</v>
      </c>
      <c r="L69" t="s">
        <v>304</v>
      </c>
      <c r="M69">
        <v>85234</v>
      </c>
      <c r="N69" t="s">
        <v>40</v>
      </c>
      <c r="O69" t="s">
        <v>305</v>
      </c>
      <c r="P69" t="s">
        <v>42</v>
      </c>
      <c r="Q69" t="s">
        <v>64</v>
      </c>
      <c r="R69" t="s">
        <v>306</v>
      </c>
      <c r="S69">
        <v>1113.0239999999999</v>
      </c>
    </row>
    <row r="70" spans="1:19" x14ac:dyDescent="0.35">
      <c r="A70">
        <v>69</v>
      </c>
      <c r="B70" t="s">
        <v>300</v>
      </c>
      <c r="C70" s="1">
        <v>42343</v>
      </c>
      <c r="D70" s="1">
        <v>42348</v>
      </c>
      <c r="E70" s="1" t="str">
        <f t="shared" si="1"/>
        <v>FAST</v>
      </c>
      <c r="F70" t="s">
        <v>46</v>
      </c>
      <c r="G70" t="s">
        <v>301</v>
      </c>
      <c r="H70" t="s">
        <v>302</v>
      </c>
      <c r="I70" t="s">
        <v>37</v>
      </c>
      <c r="J70" t="s">
        <v>23</v>
      </c>
      <c r="K70" t="s">
        <v>303</v>
      </c>
      <c r="L70" t="s">
        <v>304</v>
      </c>
      <c r="M70">
        <v>85234</v>
      </c>
      <c r="N70" t="s">
        <v>40</v>
      </c>
      <c r="O70" t="s">
        <v>307</v>
      </c>
      <c r="P70" t="s">
        <v>67</v>
      </c>
      <c r="Q70" t="s">
        <v>68</v>
      </c>
      <c r="R70" t="s">
        <v>308</v>
      </c>
      <c r="S70">
        <v>167.96799999999999</v>
      </c>
    </row>
    <row r="71" spans="1:19" x14ac:dyDescent="0.35">
      <c r="A71">
        <v>70</v>
      </c>
      <c r="B71" t="s">
        <v>309</v>
      </c>
      <c r="C71" s="1">
        <v>42890</v>
      </c>
      <c r="D71" s="1">
        <v>42892</v>
      </c>
      <c r="E71" s="1" t="str">
        <f t="shared" si="1"/>
        <v>MODERATE</v>
      </c>
      <c r="F71" t="s">
        <v>184</v>
      </c>
      <c r="G71" t="s">
        <v>310</v>
      </c>
      <c r="H71" t="s">
        <v>311</v>
      </c>
      <c r="I71" t="s">
        <v>22</v>
      </c>
      <c r="J71" t="s">
        <v>23</v>
      </c>
      <c r="K71" t="s">
        <v>312</v>
      </c>
      <c r="L71" t="s">
        <v>313</v>
      </c>
      <c r="M71">
        <v>22153</v>
      </c>
      <c r="N71" t="s">
        <v>26</v>
      </c>
      <c r="O71" t="s">
        <v>314</v>
      </c>
      <c r="P71" t="s">
        <v>42</v>
      </c>
      <c r="Q71" t="s">
        <v>86</v>
      </c>
      <c r="R71" t="s">
        <v>315</v>
      </c>
      <c r="S71">
        <v>75.88</v>
      </c>
    </row>
    <row r="72" spans="1:19" x14ac:dyDescent="0.35">
      <c r="A72">
        <v>71</v>
      </c>
      <c r="B72" t="s">
        <v>316</v>
      </c>
      <c r="C72" s="1">
        <v>42996</v>
      </c>
      <c r="D72" s="1">
        <v>43001</v>
      </c>
      <c r="E72" s="1" t="str">
        <f t="shared" si="1"/>
        <v>FAST</v>
      </c>
      <c r="F72" t="s">
        <v>46</v>
      </c>
      <c r="G72" t="s">
        <v>317</v>
      </c>
      <c r="H72" t="s">
        <v>318</v>
      </c>
      <c r="I72" t="s">
        <v>22</v>
      </c>
      <c r="J72" t="s">
        <v>23</v>
      </c>
      <c r="K72" t="s">
        <v>260</v>
      </c>
      <c r="L72" t="s">
        <v>261</v>
      </c>
      <c r="M72">
        <v>10009</v>
      </c>
      <c r="N72" t="s">
        <v>144</v>
      </c>
      <c r="O72" t="s">
        <v>319</v>
      </c>
      <c r="P72" t="s">
        <v>42</v>
      </c>
      <c r="Q72" t="s">
        <v>71</v>
      </c>
      <c r="R72" t="s">
        <v>320</v>
      </c>
      <c r="S72">
        <v>4.6159999999999997</v>
      </c>
    </row>
    <row r="73" spans="1:19" x14ac:dyDescent="0.35">
      <c r="A73">
        <v>72</v>
      </c>
      <c r="B73" t="s">
        <v>321</v>
      </c>
      <c r="C73" s="1">
        <v>43357</v>
      </c>
      <c r="D73" s="1">
        <v>43360</v>
      </c>
      <c r="E73" s="1" t="str">
        <f t="shared" si="1"/>
        <v>SLOW</v>
      </c>
      <c r="F73" t="s">
        <v>19</v>
      </c>
      <c r="G73" t="s">
        <v>160</v>
      </c>
      <c r="H73" t="s">
        <v>161</v>
      </c>
      <c r="I73" t="s">
        <v>22</v>
      </c>
      <c r="J73" t="s">
        <v>23</v>
      </c>
      <c r="K73" t="s">
        <v>322</v>
      </c>
      <c r="L73" t="s">
        <v>232</v>
      </c>
      <c r="M73">
        <v>49201</v>
      </c>
      <c r="N73" t="s">
        <v>101</v>
      </c>
      <c r="O73" t="s">
        <v>323</v>
      </c>
      <c r="P73" t="s">
        <v>42</v>
      </c>
      <c r="Q73" t="s">
        <v>86</v>
      </c>
      <c r="R73" t="s">
        <v>324</v>
      </c>
      <c r="S73">
        <v>19.05</v>
      </c>
    </row>
    <row r="74" spans="1:19" x14ac:dyDescent="0.35">
      <c r="A74">
        <v>73</v>
      </c>
      <c r="B74" t="s">
        <v>325</v>
      </c>
      <c r="C74" s="1">
        <v>42486</v>
      </c>
      <c r="D74" s="1">
        <v>42492</v>
      </c>
      <c r="E74" s="1" t="str">
        <f t="shared" si="1"/>
        <v>FAST</v>
      </c>
      <c r="F74" t="s">
        <v>46</v>
      </c>
      <c r="G74" t="s">
        <v>326</v>
      </c>
      <c r="H74" t="s">
        <v>327</v>
      </c>
      <c r="I74" t="s">
        <v>22</v>
      </c>
      <c r="J74" t="s">
        <v>23</v>
      </c>
      <c r="K74" t="s">
        <v>328</v>
      </c>
      <c r="L74" t="s">
        <v>329</v>
      </c>
      <c r="M74">
        <v>38109</v>
      </c>
      <c r="N74" t="s">
        <v>26</v>
      </c>
      <c r="O74" t="s">
        <v>330</v>
      </c>
      <c r="P74" t="s">
        <v>28</v>
      </c>
      <c r="Q74" t="s">
        <v>32</v>
      </c>
      <c r="R74" t="s">
        <v>331</v>
      </c>
      <c r="S74">
        <v>831.93600000000004</v>
      </c>
    </row>
    <row r="75" spans="1:19" x14ac:dyDescent="0.35">
      <c r="A75">
        <v>74</v>
      </c>
      <c r="B75" t="s">
        <v>325</v>
      </c>
      <c r="C75" s="1">
        <v>42486</v>
      </c>
      <c r="D75" s="1">
        <v>42492</v>
      </c>
      <c r="E75" s="1" t="str">
        <f t="shared" si="1"/>
        <v>FAST</v>
      </c>
      <c r="F75" t="s">
        <v>46</v>
      </c>
      <c r="G75" t="s">
        <v>326</v>
      </c>
      <c r="H75" t="s">
        <v>327</v>
      </c>
      <c r="I75" t="s">
        <v>22</v>
      </c>
      <c r="J75" t="s">
        <v>23</v>
      </c>
      <c r="K75" t="s">
        <v>328</v>
      </c>
      <c r="L75" t="s">
        <v>329</v>
      </c>
      <c r="M75">
        <v>38109</v>
      </c>
      <c r="N75" t="s">
        <v>26</v>
      </c>
      <c r="O75" t="s">
        <v>332</v>
      </c>
      <c r="P75" t="s">
        <v>28</v>
      </c>
      <c r="Q75" t="s">
        <v>61</v>
      </c>
      <c r="R75" t="s">
        <v>333</v>
      </c>
      <c r="S75">
        <v>97.04</v>
      </c>
    </row>
    <row r="76" spans="1:19" x14ac:dyDescent="0.35">
      <c r="A76">
        <v>75</v>
      </c>
      <c r="B76" t="s">
        <v>325</v>
      </c>
      <c r="C76" s="1">
        <v>42486</v>
      </c>
      <c r="D76" s="1">
        <v>42492</v>
      </c>
      <c r="E76" s="1" t="str">
        <f t="shared" si="1"/>
        <v>FAST</v>
      </c>
      <c r="F76" t="s">
        <v>46</v>
      </c>
      <c r="G76" t="s">
        <v>326</v>
      </c>
      <c r="H76" t="s">
        <v>327</v>
      </c>
      <c r="I76" t="s">
        <v>22</v>
      </c>
      <c r="J76" t="s">
        <v>23</v>
      </c>
      <c r="K76" t="s">
        <v>328</v>
      </c>
      <c r="L76" t="s">
        <v>329</v>
      </c>
      <c r="M76">
        <v>38109</v>
      </c>
      <c r="N76" t="s">
        <v>26</v>
      </c>
      <c r="O76" t="s">
        <v>334</v>
      </c>
      <c r="P76" t="s">
        <v>42</v>
      </c>
      <c r="Q76" t="s">
        <v>55</v>
      </c>
      <c r="R76" t="s">
        <v>335</v>
      </c>
      <c r="S76">
        <v>72.784000000000006</v>
      </c>
    </row>
    <row r="77" spans="1:19" x14ac:dyDescent="0.35">
      <c r="A77">
        <v>76</v>
      </c>
      <c r="B77" t="s">
        <v>336</v>
      </c>
      <c r="C77" s="1">
        <v>43443</v>
      </c>
      <c r="D77" s="1">
        <v>43445</v>
      </c>
      <c r="E77" s="1" t="str">
        <f t="shared" si="1"/>
        <v>MODERATE</v>
      </c>
      <c r="F77" t="s">
        <v>184</v>
      </c>
      <c r="G77" t="s">
        <v>337</v>
      </c>
      <c r="H77" t="s">
        <v>338</v>
      </c>
      <c r="I77" t="s">
        <v>37</v>
      </c>
      <c r="J77" t="s">
        <v>23</v>
      </c>
      <c r="K77" t="s">
        <v>180</v>
      </c>
      <c r="L77" t="s">
        <v>100</v>
      </c>
      <c r="M77">
        <v>77041</v>
      </c>
      <c r="N77" t="s">
        <v>101</v>
      </c>
      <c r="O77" t="s">
        <v>339</v>
      </c>
      <c r="P77" t="s">
        <v>42</v>
      </c>
      <c r="Q77" t="s">
        <v>71</v>
      </c>
      <c r="R77" t="s">
        <v>340</v>
      </c>
      <c r="S77">
        <v>1.248</v>
      </c>
    </row>
    <row r="78" spans="1:19" x14ac:dyDescent="0.35">
      <c r="A78">
        <v>78</v>
      </c>
      <c r="B78" t="s">
        <v>336</v>
      </c>
      <c r="C78" s="1">
        <v>43443</v>
      </c>
      <c r="D78" s="1">
        <v>43445</v>
      </c>
      <c r="E78" s="1" t="str">
        <f t="shared" si="1"/>
        <v>MODERATE</v>
      </c>
      <c r="F78" t="s">
        <v>184</v>
      </c>
      <c r="G78" t="s">
        <v>337</v>
      </c>
      <c r="H78" t="s">
        <v>338</v>
      </c>
      <c r="I78" t="s">
        <v>37</v>
      </c>
      <c r="J78" t="s">
        <v>23</v>
      </c>
      <c r="K78" t="s">
        <v>180</v>
      </c>
      <c r="L78" t="s">
        <v>100</v>
      </c>
      <c r="M78">
        <v>77041</v>
      </c>
      <c r="N78" t="s">
        <v>101</v>
      </c>
      <c r="O78" t="s">
        <v>341</v>
      </c>
      <c r="P78" t="s">
        <v>42</v>
      </c>
      <c r="Q78" t="s">
        <v>55</v>
      </c>
      <c r="R78" t="s">
        <v>342</v>
      </c>
      <c r="S78">
        <v>27.24</v>
      </c>
    </row>
    <row r="79" spans="1:19" x14ac:dyDescent="0.35">
      <c r="A79">
        <v>79</v>
      </c>
      <c r="B79" t="s">
        <v>343</v>
      </c>
      <c r="C79" s="1">
        <v>42334</v>
      </c>
      <c r="D79" s="1">
        <v>42339</v>
      </c>
      <c r="E79" s="1" t="str">
        <f t="shared" si="1"/>
        <v>SLOW</v>
      </c>
      <c r="F79" t="s">
        <v>19</v>
      </c>
      <c r="G79" t="s">
        <v>326</v>
      </c>
      <c r="H79" t="s">
        <v>327</v>
      </c>
      <c r="I79" t="s">
        <v>22</v>
      </c>
      <c r="J79" t="s">
        <v>23</v>
      </c>
      <c r="K79" t="s">
        <v>180</v>
      </c>
      <c r="L79" t="s">
        <v>100</v>
      </c>
      <c r="M79">
        <v>77070</v>
      </c>
      <c r="N79" t="s">
        <v>101</v>
      </c>
      <c r="O79" t="s">
        <v>344</v>
      </c>
      <c r="P79" t="s">
        <v>28</v>
      </c>
      <c r="Q79" t="s">
        <v>61</v>
      </c>
      <c r="R79" t="s">
        <v>345</v>
      </c>
      <c r="S79">
        <v>19.3</v>
      </c>
    </row>
    <row r="80" spans="1:19" x14ac:dyDescent="0.35">
      <c r="A80">
        <v>81</v>
      </c>
      <c r="B80" t="s">
        <v>346</v>
      </c>
      <c r="C80" s="1">
        <v>42898</v>
      </c>
      <c r="D80" s="1">
        <v>42901</v>
      </c>
      <c r="E80" s="1" t="str">
        <f t="shared" si="1"/>
        <v>MODERATE</v>
      </c>
      <c r="F80" t="s">
        <v>184</v>
      </c>
      <c r="G80" t="s">
        <v>347</v>
      </c>
      <c r="H80" t="s">
        <v>348</v>
      </c>
      <c r="I80" t="s">
        <v>37</v>
      </c>
      <c r="J80" t="s">
        <v>23</v>
      </c>
      <c r="K80" t="s">
        <v>349</v>
      </c>
      <c r="L80" t="s">
        <v>350</v>
      </c>
      <c r="M80">
        <v>35601</v>
      </c>
      <c r="N80" t="s">
        <v>26</v>
      </c>
      <c r="O80" t="s">
        <v>351</v>
      </c>
      <c r="P80" t="s">
        <v>42</v>
      </c>
      <c r="Q80" t="s">
        <v>71</v>
      </c>
      <c r="R80" t="s">
        <v>352</v>
      </c>
      <c r="S80">
        <v>16.739999999999998</v>
      </c>
    </row>
    <row r="81" spans="1:19" x14ac:dyDescent="0.35">
      <c r="A81">
        <v>82</v>
      </c>
      <c r="B81" t="s">
        <v>353</v>
      </c>
      <c r="C81" s="1">
        <v>42289</v>
      </c>
      <c r="D81" s="1">
        <v>42293</v>
      </c>
      <c r="E81" s="1" t="str">
        <f t="shared" si="1"/>
        <v>FAST</v>
      </c>
      <c r="F81" t="s">
        <v>46</v>
      </c>
      <c r="G81" t="s">
        <v>354</v>
      </c>
      <c r="H81" t="s">
        <v>355</v>
      </c>
      <c r="I81" t="s">
        <v>22</v>
      </c>
      <c r="J81" t="s">
        <v>23</v>
      </c>
      <c r="K81" t="s">
        <v>123</v>
      </c>
      <c r="L81" t="s">
        <v>39</v>
      </c>
      <c r="M81">
        <v>94122</v>
      </c>
      <c r="N81" t="s">
        <v>40</v>
      </c>
      <c r="O81" t="s">
        <v>356</v>
      </c>
      <c r="P81" t="s">
        <v>42</v>
      </c>
      <c r="Q81" t="s">
        <v>64</v>
      </c>
      <c r="R81" t="s">
        <v>357</v>
      </c>
      <c r="S81">
        <v>14.9</v>
      </c>
    </row>
    <row r="82" spans="1:19" x14ac:dyDescent="0.35">
      <c r="A82">
        <v>83</v>
      </c>
      <c r="B82" t="s">
        <v>353</v>
      </c>
      <c r="C82" s="1">
        <v>42289</v>
      </c>
      <c r="D82" s="1">
        <v>42293</v>
      </c>
      <c r="E82" s="1" t="str">
        <f t="shared" si="1"/>
        <v>FAST</v>
      </c>
      <c r="F82" t="s">
        <v>46</v>
      </c>
      <c r="G82" t="s">
        <v>354</v>
      </c>
      <c r="H82" t="s">
        <v>355</v>
      </c>
      <c r="I82" t="s">
        <v>22</v>
      </c>
      <c r="J82" t="s">
        <v>23</v>
      </c>
      <c r="K82" t="s">
        <v>123</v>
      </c>
      <c r="L82" t="s">
        <v>39</v>
      </c>
      <c r="M82">
        <v>94122</v>
      </c>
      <c r="N82" t="s">
        <v>40</v>
      </c>
      <c r="O82" t="s">
        <v>358</v>
      </c>
      <c r="P82" t="s">
        <v>42</v>
      </c>
      <c r="Q82" t="s">
        <v>55</v>
      </c>
      <c r="R82" t="s">
        <v>359</v>
      </c>
      <c r="S82">
        <v>21.39</v>
      </c>
    </row>
    <row r="83" spans="1:19" x14ac:dyDescent="0.35">
      <c r="A83">
        <v>84</v>
      </c>
      <c r="B83" t="s">
        <v>360</v>
      </c>
      <c r="C83" s="1">
        <v>42616</v>
      </c>
      <c r="D83" s="1">
        <v>42621</v>
      </c>
      <c r="E83" s="1" t="str">
        <f t="shared" si="1"/>
        <v>FAST</v>
      </c>
      <c r="F83" t="s">
        <v>46</v>
      </c>
      <c r="G83" t="s">
        <v>361</v>
      </c>
      <c r="H83" t="s">
        <v>362</v>
      </c>
      <c r="I83" t="s">
        <v>37</v>
      </c>
      <c r="J83" t="s">
        <v>23</v>
      </c>
      <c r="K83" t="s">
        <v>363</v>
      </c>
      <c r="L83" t="s">
        <v>84</v>
      </c>
      <c r="M83">
        <v>27707</v>
      </c>
      <c r="N83" t="s">
        <v>26</v>
      </c>
      <c r="O83" t="s">
        <v>364</v>
      </c>
      <c r="P83" t="s">
        <v>42</v>
      </c>
      <c r="Q83" t="s">
        <v>169</v>
      </c>
      <c r="R83" t="s">
        <v>365</v>
      </c>
      <c r="S83">
        <v>200.98400000000001</v>
      </c>
    </row>
    <row r="84" spans="1:19" x14ac:dyDescent="0.35">
      <c r="A84">
        <v>85</v>
      </c>
      <c r="B84" t="s">
        <v>366</v>
      </c>
      <c r="C84" s="1">
        <v>43417</v>
      </c>
      <c r="D84" s="1">
        <v>43420</v>
      </c>
      <c r="E84" s="1" t="str">
        <f t="shared" si="1"/>
        <v>MODERATE</v>
      </c>
      <c r="F84" t="s">
        <v>184</v>
      </c>
      <c r="G84" t="s">
        <v>367</v>
      </c>
      <c r="H84" t="s">
        <v>368</v>
      </c>
      <c r="I84" t="s">
        <v>98</v>
      </c>
      <c r="J84" t="s">
        <v>23</v>
      </c>
      <c r="K84" t="s">
        <v>297</v>
      </c>
      <c r="L84" t="s">
        <v>205</v>
      </c>
      <c r="M84">
        <v>60623</v>
      </c>
      <c r="N84" t="s">
        <v>101</v>
      </c>
      <c r="O84" t="s">
        <v>369</v>
      </c>
      <c r="P84" t="s">
        <v>42</v>
      </c>
      <c r="Q84" t="s">
        <v>55</v>
      </c>
      <c r="R84" t="s">
        <v>370</v>
      </c>
      <c r="S84">
        <v>230.376</v>
      </c>
    </row>
    <row r="85" spans="1:19" x14ac:dyDescent="0.35">
      <c r="A85">
        <v>86</v>
      </c>
      <c r="B85" t="s">
        <v>371</v>
      </c>
      <c r="C85" s="1">
        <v>43248</v>
      </c>
      <c r="D85" s="1">
        <v>43250</v>
      </c>
      <c r="E85" s="1" t="str">
        <f t="shared" si="1"/>
        <v>SLOW</v>
      </c>
      <c r="F85" t="s">
        <v>19</v>
      </c>
      <c r="G85" t="s">
        <v>229</v>
      </c>
      <c r="H85" t="s">
        <v>230</v>
      </c>
      <c r="I85" t="s">
        <v>22</v>
      </c>
      <c r="J85" t="s">
        <v>23</v>
      </c>
      <c r="K85" t="s">
        <v>372</v>
      </c>
      <c r="L85" t="s">
        <v>373</v>
      </c>
      <c r="M85">
        <v>29203</v>
      </c>
      <c r="N85" t="s">
        <v>26</v>
      </c>
      <c r="O85" t="s">
        <v>374</v>
      </c>
      <c r="P85" t="s">
        <v>28</v>
      </c>
      <c r="Q85" t="s">
        <v>32</v>
      </c>
      <c r="R85" t="s">
        <v>375</v>
      </c>
      <c r="S85">
        <v>301.95999999999998</v>
      </c>
    </row>
    <row r="86" spans="1:19" x14ac:dyDescent="0.35">
      <c r="A86">
        <v>87</v>
      </c>
      <c r="B86" t="s">
        <v>376</v>
      </c>
      <c r="C86" s="1">
        <v>43399</v>
      </c>
      <c r="D86" s="1">
        <v>43406</v>
      </c>
      <c r="E86" s="1" t="str">
        <f t="shared" si="1"/>
        <v>FAST</v>
      </c>
      <c r="F86" t="s">
        <v>46</v>
      </c>
      <c r="G86" t="s">
        <v>377</v>
      </c>
      <c r="H86" t="s">
        <v>378</v>
      </c>
      <c r="I86" t="s">
        <v>22</v>
      </c>
      <c r="J86" t="s">
        <v>23</v>
      </c>
      <c r="K86" t="s">
        <v>379</v>
      </c>
      <c r="L86" t="s">
        <v>223</v>
      </c>
      <c r="M86">
        <v>55901</v>
      </c>
      <c r="N86" t="s">
        <v>101</v>
      </c>
      <c r="O86" t="s">
        <v>380</v>
      </c>
      <c r="P86" t="s">
        <v>67</v>
      </c>
      <c r="Q86" t="s">
        <v>157</v>
      </c>
      <c r="R86" t="s">
        <v>381</v>
      </c>
      <c r="S86">
        <v>19.989999999999998</v>
      </c>
    </row>
    <row r="87" spans="1:19" x14ac:dyDescent="0.35">
      <c r="A87">
        <v>88</v>
      </c>
      <c r="B87" t="s">
        <v>376</v>
      </c>
      <c r="C87" s="1">
        <v>43399</v>
      </c>
      <c r="D87" s="1">
        <v>43406</v>
      </c>
      <c r="E87" s="1" t="str">
        <f t="shared" si="1"/>
        <v>FAST</v>
      </c>
      <c r="F87" t="s">
        <v>46</v>
      </c>
      <c r="G87" t="s">
        <v>377</v>
      </c>
      <c r="H87" t="s">
        <v>378</v>
      </c>
      <c r="I87" t="s">
        <v>22</v>
      </c>
      <c r="J87" t="s">
        <v>23</v>
      </c>
      <c r="K87" t="s">
        <v>379</v>
      </c>
      <c r="L87" t="s">
        <v>223</v>
      </c>
      <c r="M87">
        <v>55901</v>
      </c>
      <c r="N87" t="s">
        <v>101</v>
      </c>
      <c r="O87" t="s">
        <v>382</v>
      </c>
      <c r="P87" t="s">
        <v>42</v>
      </c>
      <c r="Q87" t="s">
        <v>43</v>
      </c>
      <c r="R87" t="s">
        <v>383</v>
      </c>
      <c r="S87">
        <v>6.16</v>
      </c>
    </row>
    <row r="88" spans="1:19" x14ac:dyDescent="0.35">
      <c r="A88">
        <v>89</v>
      </c>
      <c r="B88" t="s">
        <v>384</v>
      </c>
      <c r="C88" s="1">
        <v>42830</v>
      </c>
      <c r="D88" s="1">
        <v>42835</v>
      </c>
      <c r="E88" s="1" t="str">
        <f t="shared" si="1"/>
        <v>SLOW</v>
      </c>
      <c r="F88" t="s">
        <v>19</v>
      </c>
      <c r="G88" t="s">
        <v>385</v>
      </c>
      <c r="H88" t="s">
        <v>386</v>
      </c>
      <c r="I88" t="s">
        <v>98</v>
      </c>
      <c r="J88" t="s">
        <v>23</v>
      </c>
      <c r="K88" t="s">
        <v>180</v>
      </c>
      <c r="L88" t="s">
        <v>100</v>
      </c>
      <c r="M88">
        <v>77095</v>
      </c>
      <c r="N88" t="s">
        <v>101</v>
      </c>
      <c r="O88" t="s">
        <v>387</v>
      </c>
      <c r="P88" t="s">
        <v>42</v>
      </c>
      <c r="Q88" t="s">
        <v>55</v>
      </c>
      <c r="R88" t="s">
        <v>388</v>
      </c>
      <c r="S88">
        <v>158.36799999999999</v>
      </c>
    </row>
    <row r="89" spans="1:19" x14ac:dyDescent="0.35">
      <c r="A89">
        <v>90</v>
      </c>
      <c r="B89" t="s">
        <v>389</v>
      </c>
      <c r="C89" s="1">
        <v>42995</v>
      </c>
      <c r="D89" s="1">
        <v>43000</v>
      </c>
      <c r="E89" s="1" t="str">
        <f t="shared" si="1"/>
        <v>FAST</v>
      </c>
      <c r="F89" t="s">
        <v>46</v>
      </c>
      <c r="G89" t="s">
        <v>390</v>
      </c>
      <c r="H89" t="s">
        <v>391</v>
      </c>
      <c r="I89" t="s">
        <v>37</v>
      </c>
      <c r="J89" t="s">
        <v>23</v>
      </c>
      <c r="K89" t="s">
        <v>38</v>
      </c>
      <c r="L89" t="s">
        <v>39</v>
      </c>
      <c r="M89">
        <v>90036</v>
      </c>
      <c r="N89" t="s">
        <v>40</v>
      </c>
      <c r="O89" t="s">
        <v>392</v>
      </c>
      <c r="P89" t="s">
        <v>42</v>
      </c>
      <c r="Q89" t="s">
        <v>64</v>
      </c>
      <c r="R89" t="s">
        <v>393</v>
      </c>
      <c r="S89">
        <v>20.100000000000001</v>
      </c>
    </row>
    <row r="90" spans="1:19" x14ac:dyDescent="0.35">
      <c r="A90">
        <v>91</v>
      </c>
      <c r="B90" t="s">
        <v>389</v>
      </c>
      <c r="C90" s="1">
        <v>42995</v>
      </c>
      <c r="D90" s="1">
        <v>43000</v>
      </c>
      <c r="E90" s="1" t="str">
        <f t="shared" si="1"/>
        <v>FAST</v>
      </c>
      <c r="F90" t="s">
        <v>46</v>
      </c>
      <c r="G90" t="s">
        <v>390</v>
      </c>
      <c r="H90" t="s">
        <v>391</v>
      </c>
      <c r="I90" t="s">
        <v>37</v>
      </c>
      <c r="J90" t="s">
        <v>23</v>
      </c>
      <c r="K90" t="s">
        <v>38</v>
      </c>
      <c r="L90" t="s">
        <v>39</v>
      </c>
      <c r="M90">
        <v>90036</v>
      </c>
      <c r="N90" t="s">
        <v>40</v>
      </c>
      <c r="O90" t="s">
        <v>206</v>
      </c>
      <c r="P90" t="s">
        <v>67</v>
      </c>
      <c r="Q90" t="s">
        <v>68</v>
      </c>
      <c r="R90" t="s">
        <v>207</v>
      </c>
      <c r="S90">
        <v>73.584000000000003</v>
      </c>
    </row>
    <row r="91" spans="1:19" x14ac:dyDescent="0.35">
      <c r="A91">
        <v>92</v>
      </c>
      <c r="B91" t="s">
        <v>389</v>
      </c>
      <c r="C91" s="1">
        <v>42995</v>
      </c>
      <c r="D91" s="1">
        <v>43000</v>
      </c>
      <c r="E91" s="1" t="str">
        <f t="shared" si="1"/>
        <v>FAST</v>
      </c>
      <c r="F91" t="s">
        <v>46</v>
      </c>
      <c r="G91" t="s">
        <v>390</v>
      </c>
      <c r="H91" t="s">
        <v>391</v>
      </c>
      <c r="I91" t="s">
        <v>37</v>
      </c>
      <c r="J91" t="s">
        <v>23</v>
      </c>
      <c r="K91" t="s">
        <v>38</v>
      </c>
      <c r="L91" t="s">
        <v>39</v>
      </c>
      <c r="M91">
        <v>90036</v>
      </c>
      <c r="N91" t="s">
        <v>40</v>
      </c>
      <c r="O91" t="s">
        <v>394</v>
      </c>
      <c r="P91" t="s">
        <v>42</v>
      </c>
      <c r="Q91" t="s">
        <v>86</v>
      </c>
      <c r="R91" t="s">
        <v>395</v>
      </c>
      <c r="S91">
        <v>6.48</v>
      </c>
    </row>
    <row r="92" spans="1:19" x14ac:dyDescent="0.35">
      <c r="A92">
        <v>93</v>
      </c>
      <c r="B92" t="s">
        <v>396</v>
      </c>
      <c r="C92" s="1">
        <v>42400</v>
      </c>
      <c r="D92" s="1">
        <v>42405</v>
      </c>
      <c r="E92" s="1" t="str">
        <f t="shared" si="1"/>
        <v>SLOW</v>
      </c>
      <c r="F92" t="s">
        <v>19</v>
      </c>
      <c r="G92" t="s">
        <v>397</v>
      </c>
      <c r="H92" t="s">
        <v>398</v>
      </c>
      <c r="I92" t="s">
        <v>22</v>
      </c>
      <c r="J92" t="s">
        <v>23</v>
      </c>
      <c r="K92" t="s">
        <v>399</v>
      </c>
      <c r="L92" t="s">
        <v>223</v>
      </c>
      <c r="M92">
        <v>55407</v>
      </c>
      <c r="N92" t="s">
        <v>101</v>
      </c>
      <c r="O92" t="s">
        <v>400</v>
      </c>
      <c r="P92" t="s">
        <v>42</v>
      </c>
      <c r="Q92" t="s">
        <v>86</v>
      </c>
      <c r="R92" t="s">
        <v>401</v>
      </c>
      <c r="S92">
        <v>12.96</v>
      </c>
    </row>
    <row r="93" spans="1:19" x14ac:dyDescent="0.35">
      <c r="A93">
        <v>94</v>
      </c>
      <c r="B93" t="s">
        <v>396</v>
      </c>
      <c r="C93" s="1">
        <v>42400</v>
      </c>
      <c r="D93" s="1">
        <v>42405</v>
      </c>
      <c r="E93" s="1" t="str">
        <f t="shared" si="1"/>
        <v>SLOW</v>
      </c>
      <c r="F93" t="s">
        <v>19</v>
      </c>
      <c r="G93" t="s">
        <v>397</v>
      </c>
      <c r="H93" t="s">
        <v>398</v>
      </c>
      <c r="I93" t="s">
        <v>22</v>
      </c>
      <c r="J93" t="s">
        <v>23</v>
      </c>
      <c r="K93" t="s">
        <v>399</v>
      </c>
      <c r="L93" t="s">
        <v>223</v>
      </c>
      <c r="M93">
        <v>55407</v>
      </c>
      <c r="N93" t="s">
        <v>101</v>
      </c>
      <c r="O93" t="s">
        <v>402</v>
      </c>
      <c r="P93" t="s">
        <v>28</v>
      </c>
      <c r="Q93" t="s">
        <v>61</v>
      </c>
      <c r="R93" t="s">
        <v>403</v>
      </c>
      <c r="S93">
        <v>53.34</v>
      </c>
    </row>
    <row r="94" spans="1:19" x14ac:dyDescent="0.35">
      <c r="A94">
        <v>95</v>
      </c>
      <c r="B94" t="s">
        <v>396</v>
      </c>
      <c r="C94" s="1">
        <v>42400</v>
      </c>
      <c r="D94" s="1">
        <v>42405</v>
      </c>
      <c r="E94" s="1" t="str">
        <f t="shared" si="1"/>
        <v>SLOW</v>
      </c>
      <c r="F94" t="s">
        <v>19</v>
      </c>
      <c r="G94" t="s">
        <v>397</v>
      </c>
      <c r="H94" t="s">
        <v>398</v>
      </c>
      <c r="I94" t="s">
        <v>22</v>
      </c>
      <c r="J94" t="s">
        <v>23</v>
      </c>
      <c r="K94" t="s">
        <v>399</v>
      </c>
      <c r="L94" t="s">
        <v>223</v>
      </c>
      <c r="M94">
        <v>55407</v>
      </c>
      <c r="N94" t="s">
        <v>101</v>
      </c>
      <c r="O94" t="s">
        <v>404</v>
      </c>
      <c r="P94" t="s">
        <v>42</v>
      </c>
      <c r="Q94" t="s">
        <v>71</v>
      </c>
      <c r="R94" t="s">
        <v>405</v>
      </c>
      <c r="S94">
        <v>32.96</v>
      </c>
    </row>
    <row r="95" spans="1:19" x14ac:dyDescent="0.35">
      <c r="A95">
        <v>96</v>
      </c>
      <c r="B95" t="s">
        <v>406</v>
      </c>
      <c r="C95" s="1">
        <v>43410</v>
      </c>
      <c r="D95" s="1">
        <v>43416</v>
      </c>
      <c r="E95" s="1" t="str">
        <f t="shared" si="1"/>
        <v>FAST</v>
      </c>
      <c r="F95" t="s">
        <v>46</v>
      </c>
      <c r="G95" t="s">
        <v>407</v>
      </c>
      <c r="H95" t="s">
        <v>408</v>
      </c>
      <c r="I95" t="s">
        <v>98</v>
      </c>
      <c r="J95" t="s">
        <v>23</v>
      </c>
      <c r="K95" t="s">
        <v>409</v>
      </c>
      <c r="L95" t="s">
        <v>410</v>
      </c>
      <c r="M95">
        <v>97206</v>
      </c>
      <c r="N95" t="s">
        <v>40</v>
      </c>
      <c r="O95" t="s">
        <v>411</v>
      </c>
      <c r="P95" t="s">
        <v>42</v>
      </c>
      <c r="Q95" t="s">
        <v>71</v>
      </c>
      <c r="R95" t="s">
        <v>412</v>
      </c>
      <c r="S95">
        <v>5.6820000000000004</v>
      </c>
    </row>
    <row r="96" spans="1:19" x14ac:dyDescent="0.35">
      <c r="A96">
        <v>98</v>
      </c>
      <c r="B96" t="s">
        <v>415</v>
      </c>
      <c r="C96" s="1">
        <v>43268</v>
      </c>
      <c r="D96" s="1">
        <v>43271</v>
      </c>
      <c r="E96" s="1" t="str">
        <f t="shared" si="1"/>
        <v>MODERATE</v>
      </c>
      <c r="F96" t="s">
        <v>184</v>
      </c>
      <c r="G96" t="s">
        <v>416</v>
      </c>
      <c r="H96" t="s">
        <v>417</v>
      </c>
      <c r="I96" t="s">
        <v>22</v>
      </c>
      <c r="J96" t="s">
        <v>23</v>
      </c>
      <c r="K96" t="s">
        <v>123</v>
      </c>
      <c r="L96" t="s">
        <v>39</v>
      </c>
      <c r="M96">
        <v>94122</v>
      </c>
      <c r="N96" t="s">
        <v>40</v>
      </c>
      <c r="O96" t="s">
        <v>418</v>
      </c>
      <c r="P96" t="s">
        <v>42</v>
      </c>
      <c r="Q96" t="s">
        <v>71</v>
      </c>
      <c r="R96" t="s">
        <v>419</v>
      </c>
      <c r="S96">
        <v>51.311999999999998</v>
      </c>
    </row>
    <row r="97" spans="1:19" x14ac:dyDescent="0.35">
      <c r="A97">
        <v>99</v>
      </c>
      <c r="B97" t="s">
        <v>420</v>
      </c>
      <c r="C97" s="1">
        <v>42984</v>
      </c>
      <c r="D97" s="1">
        <v>42989</v>
      </c>
      <c r="E97" s="1" t="str">
        <f t="shared" si="1"/>
        <v>FAST</v>
      </c>
      <c r="F97" t="s">
        <v>46</v>
      </c>
      <c r="G97" t="s">
        <v>421</v>
      </c>
      <c r="H97" t="s">
        <v>422</v>
      </c>
      <c r="I97" t="s">
        <v>37</v>
      </c>
      <c r="J97" t="s">
        <v>23</v>
      </c>
      <c r="K97" t="s">
        <v>423</v>
      </c>
      <c r="L97" t="s">
        <v>223</v>
      </c>
      <c r="M97">
        <v>55106</v>
      </c>
      <c r="N97" t="s">
        <v>101</v>
      </c>
      <c r="O97" t="s">
        <v>424</v>
      </c>
      <c r="P97" t="s">
        <v>42</v>
      </c>
      <c r="Q97" t="s">
        <v>74</v>
      </c>
      <c r="R97" t="s">
        <v>425</v>
      </c>
      <c r="S97">
        <v>77.88</v>
      </c>
    </row>
    <row r="98" spans="1:19" x14ac:dyDescent="0.35">
      <c r="A98">
        <v>100</v>
      </c>
      <c r="B98" t="s">
        <v>426</v>
      </c>
      <c r="C98" s="1">
        <v>42976</v>
      </c>
      <c r="D98" s="1">
        <v>42980</v>
      </c>
      <c r="E98" s="1" t="str">
        <f t="shared" si="1"/>
        <v>FAST</v>
      </c>
      <c r="F98" t="s">
        <v>46</v>
      </c>
      <c r="G98" t="s">
        <v>427</v>
      </c>
      <c r="H98" t="s">
        <v>428</v>
      </c>
      <c r="I98" t="s">
        <v>98</v>
      </c>
      <c r="J98" t="s">
        <v>23</v>
      </c>
      <c r="K98" t="s">
        <v>297</v>
      </c>
      <c r="L98" t="s">
        <v>205</v>
      </c>
      <c r="M98">
        <v>60610</v>
      </c>
      <c r="N98" t="s">
        <v>101</v>
      </c>
      <c r="O98" t="s">
        <v>429</v>
      </c>
      <c r="P98" t="s">
        <v>42</v>
      </c>
      <c r="Q98" t="s">
        <v>86</v>
      </c>
      <c r="R98" t="s">
        <v>430</v>
      </c>
      <c r="S98">
        <v>64.623999999999995</v>
      </c>
    </row>
    <row r="99" spans="1:19" x14ac:dyDescent="0.35">
      <c r="A99">
        <v>101</v>
      </c>
      <c r="B99" t="s">
        <v>426</v>
      </c>
      <c r="C99" s="1">
        <v>42976</v>
      </c>
      <c r="D99" s="1">
        <v>42980</v>
      </c>
      <c r="E99" s="1" t="str">
        <f t="shared" si="1"/>
        <v>FAST</v>
      </c>
      <c r="F99" t="s">
        <v>46</v>
      </c>
      <c r="G99" t="s">
        <v>427</v>
      </c>
      <c r="H99" t="s">
        <v>428</v>
      </c>
      <c r="I99" t="s">
        <v>98</v>
      </c>
      <c r="J99" t="s">
        <v>23</v>
      </c>
      <c r="K99" t="s">
        <v>297</v>
      </c>
      <c r="L99" t="s">
        <v>205</v>
      </c>
      <c r="M99">
        <v>60610</v>
      </c>
      <c r="N99" t="s">
        <v>101</v>
      </c>
      <c r="O99" t="s">
        <v>431</v>
      </c>
      <c r="P99" t="s">
        <v>67</v>
      </c>
      <c r="Q99" t="s">
        <v>157</v>
      </c>
      <c r="R99" t="s">
        <v>432</v>
      </c>
      <c r="S99">
        <v>95.975999999999999</v>
      </c>
    </row>
    <row r="100" spans="1:19" x14ac:dyDescent="0.35">
      <c r="A100">
        <v>102</v>
      </c>
      <c r="B100" t="s">
        <v>426</v>
      </c>
      <c r="C100" s="1">
        <v>42976</v>
      </c>
      <c r="D100" s="1">
        <v>42980</v>
      </c>
      <c r="E100" s="1" t="str">
        <f t="shared" si="1"/>
        <v>FAST</v>
      </c>
      <c r="F100" t="s">
        <v>46</v>
      </c>
      <c r="G100" t="s">
        <v>427</v>
      </c>
      <c r="H100" t="s">
        <v>428</v>
      </c>
      <c r="I100" t="s">
        <v>98</v>
      </c>
      <c r="J100" t="s">
        <v>23</v>
      </c>
      <c r="K100" t="s">
        <v>297</v>
      </c>
      <c r="L100" t="s">
        <v>205</v>
      </c>
      <c r="M100">
        <v>60610</v>
      </c>
      <c r="N100" t="s">
        <v>101</v>
      </c>
      <c r="O100" t="s">
        <v>433</v>
      </c>
      <c r="P100" t="s">
        <v>42</v>
      </c>
      <c r="Q100" t="s">
        <v>71</v>
      </c>
      <c r="R100" t="s">
        <v>434</v>
      </c>
      <c r="S100">
        <v>1.788</v>
      </c>
    </row>
    <row r="101" spans="1:19" x14ac:dyDescent="0.35">
      <c r="A101">
        <v>103</v>
      </c>
      <c r="B101" t="s">
        <v>435</v>
      </c>
      <c r="C101" s="1">
        <v>43070</v>
      </c>
      <c r="D101" s="1">
        <v>43073</v>
      </c>
      <c r="E101" s="1" t="str">
        <f t="shared" si="1"/>
        <v>SLOW</v>
      </c>
      <c r="F101" t="s">
        <v>19</v>
      </c>
      <c r="G101" t="s">
        <v>436</v>
      </c>
      <c r="H101" t="s">
        <v>437</v>
      </c>
      <c r="I101" t="s">
        <v>22</v>
      </c>
      <c r="J101" t="s">
        <v>23</v>
      </c>
      <c r="K101" t="s">
        <v>379</v>
      </c>
      <c r="L101" t="s">
        <v>223</v>
      </c>
      <c r="M101">
        <v>55901</v>
      </c>
      <c r="N101" t="s">
        <v>101</v>
      </c>
      <c r="O101" t="s">
        <v>438</v>
      </c>
      <c r="P101" t="s">
        <v>42</v>
      </c>
      <c r="Q101" t="s">
        <v>86</v>
      </c>
      <c r="R101" t="s">
        <v>439</v>
      </c>
      <c r="S101">
        <v>23.92</v>
      </c>
    </row>
    <row r="102" spans="1:19" x14ac:dyDescent="0.35">
      <c r="A102">
        <v>104</v>
      </c>
      <c r="B102" t="s">
        <v>440</v>
      </c>
      <c r="C102" s="1">
        <v>42687</v>
      </c>
      <c r="D102" s="1">
        <v>42691</v>
      </c>
      <c r="E102" s="1" t="str">
        <f t="shared" si="1"/>
        <v>FAST</v>
      </c>
      <c r="F102" t="s">
        <v>46</v>
      </c>
      <c r="G102" t="s">
        <v>441</v>
      </c>
      <c r="H102" t="s">
        <v>442</v>
      </c>
      <c r="I102" t="s">
        <v>22</v>
      </c>
      <c r="J102" t="s">
        <v>23</v>
      </c>
      <c r="K102" t="s">
        <v>443</v>
      </c>
      <c r="L102" t="s">
        <v>444</v>
      </c>
      <c r="M102">
        <v>80013</v>
      </c>
      <c r="N102" t="s">
        <v>40</v>
      </c>
      <c r="O102" t="s">
        <v>445</v>
      </c>
      <c r="P102" t="s">
        <v>67</v>
      </c>
      <c r="Q102" t="s">
        <v>157</v>
      </c>
      <c r="R102" t="s">
        <v>446</v>
      </c>
      <c r="S102">
        <v>238.89599999999999</v>
      </c>
    </row>
    <row r="103" spans="1:19" x14ac:dyDescent="0.35">
      <c r="A103">
        <v>105</v>
      </c>
      <c r="B103" t="s">
        <v>440</v>
      </c>
      <c r="C103" s="1">
        <v>42687</v>
      </c>
      <c r="D103" s="1">
        <v>42691</v>
      </c>
      <c r="E103" s="1" t="str">
        <f t="shared" si="1"/>
        <v>FAST</v>
      </c>
      <c r="F103" t="s">
        <v>46</v>
      </c>
      <c r="G103" t="s">
        <v>441</v>
      </c>
      <c r="H103" t="s">
        <v>442</v>
      </c>
      <c r="I103" t="s">
        <v>22</v>
      </c>
      <c r="J103" t="s">
        <v>23</v>
      </c>
      <c r="K103" t="s">
        <v>443</v>
      </c>
      <c r="L103" t="s">
        <v>444</v>
      </c>
      <c r="M103">
        <v>80013</v>
      </c>
      <c r="N103" t="s">
        <v>40</v>
      </c>
      <c r="O103" t="s">
        <v>447</v>
      </c>
      <c r="P103" t="s">
        <v>28</v>
      </c>
      <c r="Q103" t="s">
        <v>61</v>
      </c>
      <c r="R103" t="s">
        <v>448</v>
      </c>
      <c r="S103">
        <v>102.36</v>
      </c>
    </row>
    <row r="104" spans="1:19" x14ac:dyDescent="0.35">
      <c r="A104">
        <v>106</v>
      </c>
      <c r="B104" t="s">
        <v>440</v>
      </c>
      <c r="C104" s="1">
        <v>42687</v>
      </c>
      <c r="D104" s="1">
        <v>42691</v>
      </c>
      <c r="E104" s="1" t="str">
        <f t="shared" si="1"/>
        <v>FAST</v>
      </c>
      <c r="F104" t="s">
        <v>46</v>
      </c>
      <c r="G104" t="s">
        <v>441</v>
      </c>
      <c r="H104" t="s">
        <v>442</v>
      </c>
      <c r="I104" t="s">
        <v>22</v>
      </c>
      <c r="J104" t="s">
        <v>23</v>
      </c>
      <c r="K104" t="s">
        <v>443</v>
      </c>
      <c r="L104" t="s">
        <v>444</v>
      </c>
      <c r="M104">
        <v>80013</v>
      </c>
      <c r="N104" t="s">
        <v>40</v>
      </c>
      <c r="O104" t="s">
        <v>449</v>
      </c>
      <c r="P104" t="s">
        <v>42</v>
      </c>
      <c r="Q104" t="s">
        <v>71</v>
      </c>
      <c r="R104" t="s">
        <v>450</v>
      </c>
      <c r="S104">
        <v>36.881999999999998</v>
      </c>
    </row>
    <row r="105" spans="1:19" x14ac:dyDescent="0.35">
      <c r="A105">
        <v>107</v>
      </c>
      <c r="B105" t="s">
        <v>451</v>
      </c>
      <c r="C105" s="1">
        <v>43427</v>
      </c>
      <c r="D105" s="1">
        <v>43432</v>
      </c>
      <c r="E105" s="1" t="str">
        <f t="shared" si="1"/>
        <v>FAST</v>
      </c>
      <c r="F105" t="s">
        <v>46</v>
      </c>
      <c r="G105" t="s">
        <v>452</v>
      </c>
      <c r="H105" t="s">
        <v>453</v>
      </c>
      <c r="I105" t="s">
        <v>22</v>
      </c>
      <c r="J105" t="s">
        <v>23</v>
      </c>
      <c r="K105" t="s">
        <v>454</v>
      </c>
      <c r="L105" t="s">
        <v>84</v>
      </c>
      <c r="M105">
        <v>28205</v>
      </c>
      <c r="N105" t="s">
        <v>26</v>
      </c>
      <c r="O105" t="s">
        <v>455</v>
      </c>
      <c r="P105" t="s">
        <v>67</v>
      </c>
      <c r="Q105" t="s">
        <v>157</v>
      </c>
      <c r="R105" t="s">
        <v>456</v>
      </c>
      <c r="S105">
        <v>74.111999999999995</v>
      </c>
    </row>
    <row r="106" spans="1:19" x14ac:dyDescent="0.35">
      <c r="A106">
        <v>108</v>
      </c>
      <c r="B106" t="s">
        <v>451</v>
      </c>
      <c r="C106" s="1">
        <v>43427</v>
      </c>
      <c r="D106" s="1">
        <v>43432</v>
      </c>
      <c r="E106" s="1" t="str">
        <f t="shared" si="1"/>
        <v>FAST</v>
      </c>
      <c r="F106" t="s">
        <v>46</v>
      </c>
      <c r="G106" t="s">
        <v>452</v>
      </c>
      <c r="H106" t="s">
        <v>453</v>
      </c>
      <c r="I106" t="s">
        <v>22</v>
      </c>
      <c r="J106" t="s">
        <v>23</v>
      </c>
      <c r="K106" t="s">
        <v>454</v>
      </c>
      <c r="L106" t="s">
        <v>84</v>
      </c>
      <c r="M106">
        <v>28205</v>
      </c>
      <c r="N106" t="s">
        <v>26</v>
      </c>
      <c r="O106" t="s">
        <v>457</v>
      </c>
      <c r="P106" t="s">
        <v>67</v>
      </c>
      <c r="Q106" t="s">
        <v>68</v>
      </c>
      <c r="R106" t="s">
        <v>458</v>
      </c>
      <c r="S106">
        <v>27.992000000000001</v>
      </c>
    </row>
    <row r="107" spans="1:19" x14ac:dyDescent="0.35">
      <c r="A107">
        <v>109</v>
      </c>
      <c r="B107" t="s">
        <v>451</v>
      </c>
      <c r="C107" s="1">
        <v>43427</v>
      </c>
      <c r="D107" s="1">
        <v>43432</v>
      </c>
      <c r="E107" s="1" t="str">
        <f t="shared" si="1"/>
        <v>FAST</v>
      </c>
      <c r="F107" t="s">
        <v>46</v>
      </c>
      <c r="G107" t="s">
        <v>452</v>
      </c>
      <c r="H107" t="s">
        <v>453</v>
      </c>
      <c r="I107" t="s">
        <v>22</v>
      </c>
      <c r="J107" t="s">
        <v>23</v>
      </c>
      <c r="K107" t="s">
        <v>454</v>
      </c>
      <c r="L107" t="s">
        <v>84</v>
      </c>
      <c r="M107">
        <v>28205</v>
      </c>
      <c r="N107" t="s">
        <v>26</v>
      </c>
      <c r="O107" t="s">
        <v>459</v>
      </c>
      <c r="P107" t="s">
        <v>42</v>
      </c>
      <c r="Q107" t="s">
        <v>64</v>
      </c>
      <c r="R107" t="s">
        <v>460</v>
      </c>
      <c r="S107">
        <v>3.3039999999999998</v>
      </c>
    </row>
    <row r="108" spans="1:19" x14ac:dyDescent="0.35">
      <c r="A108">
        <v>110</v>
      </c>
      <c r="B108" t="s">
        <v>461</v>
      </c>
      <c r="C108" s="1">
        <v>42658</v>
      </c>
      <c r="D108" s="1">
        <v>42663</v>
      </c>
      <c r="E108" s="1" t="str">
        <f t="shared" si="1"/>
        <v>FAST</v>
      </c>
      <c r="F108" t="s">
        <v>46</v>
      </c>
      <c r="G108" t="s">
        <v>462</v>
      </c>
      <c r="H108" t="s">
        <v>463</v>
      </c>
      <c r="I108" t="s">
        <v>98</v>
      </c>
      <c r="J108" t="s">
        <v>23</v>
      </c>
      <c r="K108" t="s">
        <v>464</v>
      </c>
      <c r="L108" t="s">
        <v>205</v>
      </c>
      <c r="M108">
        <v>60462</v>
      </c>
      <c r="N108" t="s">
        <v>101</v>
      </c>
      <c r="O108" t="s">
        <v>465</v>
      </c>
      <c r="P108" t="s">
        <v>67</v>
      </c>
      <c r="Q108" t="s">
        <v>157</v>
      </c>
      <c r="R108" t="s">
        <v>466</v>
      </c>
      <c r="S108">
        <v>339.96</v>
      </c>
    </row>
    <row r="109" spans="1:19" x14ac:dyDescent="0.35">
      <c r="A109">
        <v>111</v>
      </c>
      <c r="B109" t="s">
        <v>467</v>
      </c>
      <c r="C109" s="1">
        <v>43459</v>
      </c>
      <c r="D109" s="1">
        <v>43464</v>
      </c>
      <c r="E109" s="1" t="str">
        <f t="shared" si="1"/>
        <v>FAST</v>
      </c>
      <c r="F109" t="s">
        <v>46</v>
      </c>
      <c r="G109" t="s">
        <v>468</v>
      </c>
      <c r="H109" t="s">
        <v>469</v>
      </c>
      <c r="I109" t="s">
        <v>37</v>
      </c>
      <c r="J109" t="s">
        <v>23</v>
      </c>
      <c r="K109" t="s">
        <v>260</v>
      </c>
      <c r="L109" t="s">
        <v>261</v>
      </c>
      <c r="M109">
        <v>10035</v>
      </c>
      <c r="N109" t="s">
        <v>144</v>
      </c>
      <c r="O109" t="s">
        <v>470</v>
      </c>
      <c r="P109" t="s">
        <v>28</v>
      </c>
      <c r="Q109" t="s">
        <v>61</v>
      </c>
      <c r="R109" t="s">
        <v>471</v>
      </c>
      <c r="S109">
        <v>41.96</v>
      </c>
    </row>
    <row r="110" spans="1:19" x14ac:dyDescent="0.35">
      <c r="A110">
        <v>112</v>
      </c>
      <c r="B110" t="s">
        <v>472</v>
      </c>
      <c r="C110" s="1">
        <v>43042</v>
      </c>
      <c r="D110" s="1">
        <v>43049</v>
      </c>
      <c r="E110" s="1" t="str">
        <f t="shared" si="1"/>
        <v>FAST</v>
      </c>
      <c r="F110" t="s">
        <v>46</v>
      </c>
      <c r="G110" t="s">
        <v>473</v>
      </c>
      <c r="H110" t="s">
        <v>474</v>
      </c>
      <c r="I110" t="s">
        <v>22</v>
      </c>
      <c r="J110" t="s">
        <v>23</v>
      </c>
      <c r="K110" t="s">
        <v>475</v>
      </c>
      <c r="L110" t="s">
        <v>476</v>
      </c>
      <c r="M110">
        <v>50322</v>
      </c>
      <c r="N110" t="s">
        <v>101</v>
      </c>
      <c r="O110" t="s">
        <v>477</v>
      </c>
      <c r="P110" t="s">
        <v>42</v>
      </c>
      <c r="Q110" t="s">
        <v>64</v>
      </c>
      <c r="R110" t="s">
        <v>478</v>
      </c>
      <c r="S110">
        <v>75.959999999999994</v>
      </c>
    </row>
    <row r="111" spans="1:19" x14ac:dyDescent="0.35">
      <c r="A111">
        <v>113</v>
      </c>
      <c r="B111" t="s">
        <v>472</v>
      </c>
      <c r="C111" s="1">
        <v>43042</v>
      </c>
      <c r="D111" s="1">
        <v>43049</v>
      </c>
      <c r="E111" s="1" t="str">
        <f t="shared" si="1"/>
        <v>FAST</v>
      </c>
      <c r="F111" t="s">
        <v>46</v>
      </c>
      <c r="G111" t="s">
        <v>473</v>
      </c>
      <c r="H111" t="s">
        <v>474</v>
      </c>
      <c r="I111" t="s">
        <v>22</v>
      </c>
      <c r="J111" t="s">
        <v>23</v>
      </c>
      <c r="K111" t="s">
        <v>475</v>
      </c>
      <c r="L111" t="s">
        <v>476</v>
      </c>
      <c r="M111">
        <v>50322</v>
      </c>
      <c r="N111" t="s">
        <v>101</v>
      </c>
      <c r="O111" t="s">
        <v>479</v>
      </c>
      <c r="P111" t="s">
        <v>42</v>
      </c>
      <c r="Q111" t="s">
        <v>71</v>
      </c>
      <c r="R111" t="s">
        <v>480</v>
      </c>
      <c r="S111">
        <v>27.24</v>
      </c>
    </row>
    <row r="112" spans="1:19" x14ac:dyDescent="0.35">
      <c r="A112">
        <v>114</v>
      </c>
      <c r="B112" t="s">
        <v>481</v>
      </c>
      <c r="C112" s="1">
        <v>42241</v>
      </c>
      <c r="D112" s="1">
        <v>42243</v>
      </c>
      <c r="E112" s="1" t="str">
        <f t="shared" si="1"/>
        <v>SLOW</v>
      </c>
      <c r="F112" t="s">
        <v>19</v>
      </c>
      <c r="G112" t="s">
        <v>482</v>
      </c>
      <c r="H112" t="s">
        <v>483</v>
      </c>
      <c r="I112" t="s">
        <v>22</v>
      </c>
      <c r="J112" t="s">
        <v>23</v>
      </c>
      <c r="K112" t="s">
        <v>484</v>
      </c>
      <c r="L112" t="s">
        <v>485</v>
      </c>
      <c r="M112">
        <v>43229</v>
      </c>
      <c r="N112" t="s">
        <v>144</v>
      </c>
      <c r="O112" t="s">
        <v>486</v>
      </c>
      <c r="P112" t="s">
        <v>42</v>
      </c>
      <c r="Q112" t="s">
        <v>263</v>
      </c>
      <c r="R112" t="s">
        <v>487</v>
      </c>
      <c r="S112">
        <v>40.095999999999997</v>
      </c>
    </row>
    <row r="113" spans="1:19" x14ac:dyDescent="0.35">
      <c r="A113">
        <v>115</v>
      </c>
      <c r="B113" t="s">
        <v>481</v>
      </c>
      <c r="C113" s="1">
        <v>42241</v>
      </c>
      <c r="D113" s="1">
        <v>42243</v>
      </c>
      <c r="E113" s="1" t="str">
        <f t="shared" si="1"/>
        <v>SLOW</v>
      </c>
      <c r="F113" t="s">
        <v>19</v>
      </c>
      <c r="G113" t="s">
        <v>482</v>
      </c>
      <c r="H113" t="s">
        <v>483</v>
      </c>
      <c r="I113" t="s">
        <v>22</v>
      </c>
      <c r="J113" t="s">
        <v>23</v>
      </c>
      <c r="K113" t="s">
        <v>484</v>
      </c>
      <c r="L113" t="s">
        <v>485</v>
      </c>
      <c r="M113">
        <v>43229</v>
      </c>
      <c r="N113" t="s">
        <v>144</v>
      </c>
      <c r="O113" t="s">
        <v>488</v>
      </c>
      <c r="P113" t="s">
        <v>42</v>
      </c>
      <c r="Q113" t="s">
        <v>169</v>
      </c>
      <c r="R113" t="s">
        <v>489</v>
      </c>
      <c r="S113">
        <v>4.72</v>
      </c>
    </row>
    <row r="114" spans="1:19" x14ac:dyDescent="0.35">
      <c r="A114">
        <v>116</v>
      </c>
      <c r="B114" t="s">
        <v>481</v>
      </c>
      <c r="C114" s="1">
        <v>42241</v>
      </c>
      <c r="D114" s="1">
        <v>42243</v>
      </c>
      <c r="E114" s="1" t="str">
        <f t="shared" si="1"/>
        <v>SLOW</v>
      </c>
      <c r="F114" t="s">
        <v>19</v>
      </c>
      <c r="G114" t="s">
        <v>482</v>
      </c>
      <c r="H114" t="s">
        <v>483</v>
      </c>
      <c r="I114" t="s">
        <v>22</v>
      </c>
      <c r="J114" t="s">
        <v>23</v>
      </c>
      <c r="K114" t="s">
        <v>484</v>
      </c>
      <c r="L114" t="s">
        <v>485</v>
      </c>
      <c r="M114">
        <v>43229</v>
      </c>
      <c r="N114" t="s">
        <v>144</v>
      </c>
      <c r="O114" t="s">
        <v>490</v>
      </c>
      <c r="P114" t="s">
        <v>42</v>
      </c>
      <c r="Q114" t="s">
        <v>86</v>
      </c>
      <c r="R114" t="s">
        <v>491</v>
      </c>
      <c r="S114">
        <v>23.975999999999999</v>
      </c>
    </row>
    <row r="115" spans="1:19" x14ac:dyDescent="0.35">
      <c r="A115">
        <v>117</v>
      </c>
      <c r="B115" t="s">
        <v>481</v>
      </c>
      <c r="C115" s="1">
        <v>42241</v>
      </c>
      <c r="D115" s="1">
        <v>42243</v>
      </c>
      <c r="E115" s="1" t="str">
        <f t="shared" si="1"/>
        <v>SLOW</v>
      </c>
      <c r="F115" t="s">
        <v>19</v>
      </c>
      <c r="G115" t="s">
        <v>482</v>
      </c>
      <c r="H115" t="s">
        <v>483</v>
      </c>
      <c r="I115" t="s">
        <v>22</v>
      </c>
      <c r="J115" t="s">
        <v>23</v>
      </c>
      <c r="K115" t="s">
        <v>484</v>
      </c>
      <c r="L115" t="s">
        <v>485</v>
      </c>
      <c r="M115">
        <v>43229</v>
      </c>
      <c r="N115" t="s">
        <v>144</v>
      </c>
      <c r="O115" t="s">
        <v>492</v>
      </c>
      <c r="P115" t="s">
        <v>42</v>
      </c>
      <c r="Q115" t="s">
        <v>169</v>
      </c>
      <c r="R115" t="s">
        <v>493</v>
      </c>
      <c r="S115">
        <v>130.464</v>
      </c>
    </row>
    <row r="116" spans="1:19" x14ac:dyDescent="0.35">
      <c r="A116">
        <v>118</v>
      </c>
      <c r="B116" t="s">
        <v>494</v>
      </c>
      <c r="C116" s="1">
        <v>42431</v>
      </c>
      <c r="D116" s="1">
        <v>42435</v>
      </c>
      <c r="E116" s="1" t="str">
        <f t="shared" si="1"/>
        <v>FAST</v>
      </c>
      <c r="F116" t="s">
        <v>46</v>
      </c>
      <c r="G116" t="s">
        <v>495</v>
      </c>
      <c r="H116" t="s">
        <v>496</v>
      </c>
      <c r="I116" t="s">
        <v>22</v>
      </c>
      <c r="J116" t="s">
        <v>23</v>
      </c>
      <c r="K116" t="s">
        <v>91</v>
      </c>
      <c r="L116" t="s">
        <v>92</v>
      </c>
      <c r="M116">
        <v>98103</v>
      </c>
      <c r="N116" t="s">
        <v>40</v>
      </c>
      <c r="O116" t="s">
        <v>497</v>
      </c>
      <c r="P116" t="s">
        <v>28</v>
      </c>
      <c r="Q116" t="s">
        <v>52</v>
      </c>
      <c r="R116" t="s">
        <v>498</v>
      </c>
      <c r="S116">
        <v>787.53</v>
      </c>
    </row>
    <row r="117" spans="1:19" x14ac:dyDescent="0.35">
      <c r="A117">
        <v>119</v>
      </c>
      <c r="B117" t="s">
        <v>499</v>
      </c>
      <c r="C117" s="1">
        <v>42465</v>
      </c>
      <c r="D117" s="1">
        <v>42470</v>
      </c>
      <c r="E117" s="1" t="str">
        <f t="shared" si="1"/>
        <v>FAST</v>
      </c>
      <c r="F117" t="s">
        <v>46</v>
      </c>
      <c r="G117" t="s">
        <v>500</v>
      </c>
      <c r="H117" t="s">
        <v>501</v>
      </c>
      <c r="I117" t="s">
        <v>37</v>
      </c>
      <c r="J117" t="s">
        <v>23</v>
      </c>
      <c r="K117" t="s">
        <v>502</v>
      </c>
      <c r="L117" t="s">
        <v>329</v>
      </c>
      <c r="M117">
        <v>37620</v>
      </c>
      <c r="N117" t="s">
        <v>26</v>
      </c>
      <c r="O117" t="s">
        <v>503</v>
      </c>
      <c r="P117" t="s">
        <v>42</v>
      </c>
      <c r="Q117" t="s">
        <v>71</v>
      </c>
      <c r="R117" t="s">
        <v>504</v>
      </c>
      <c r="S117">
        <v>157.79400000000001</v>
      </c>
    </row>
    <row r="118" spans="1:19" x14ac:dyDescent="0.35">
      <c r="A118">
        <v>120</v>
      </c>
      <c r="B118" t="s">
        <v>505</v>
      </c>
      <c r="C118" s="1">
        <v>42898</v>
      </c>
      <c r="D118" s="1">
        <v>42901</v>
      </c>
      <c r="E118" s="1" t="str">
        <f t="shared" si="1"/>
        <v>MODERATE</v>
      </c>
      <c r="F118" t="s">
        <v>184</v>
      </c>
      <c r="G118" t="s">
        <v>506</v>
      </c>
      <c r="H118" t="s">
        <v>507</v>
      </c>
      <c r="I118" t="s">
        <v>22</v>
      </c>
      <c r="J118" t="s">
        <v>23</v>
      </c>
      <c r="K118" t="s">
        <v>508</v>
      </c>
      <c r="L118" t="s">
        <v>239</v>
      </c>
      <c r="M118">
        <v>19805</v>
      </c>
      <c r="N118" t="s">
        <v>144</v>
      </c>
      <c r="O118" t="s">
        <v>509</v>
      </c>
      <c r="P118" t="s">
        <v>28</v>
      </c>
      <c r="Q118" t="s">
        <v>61</v>
      </c>
      <c r="R118" t="s">
        <v>510</v>
      </c>
      <c r="S118">
        <v>47.04</v>
      </c>
    </row>
    <row r="119" spans="1:19" x14ac:dyDescent="0.35">
      <c r="A119">
        <v>121</v>
      </c>
      <c r="B119" t="s">
        <v>505</v>
      </c>
      <c r="C119" s="1">
        <v>42898</v>
      </c>
      <c r="D119" s="1">
        <v>42901</v>
      </c>
      <c r="E119" s="1" t="str">
        <f t="shared" si="1"/>
        <v>MODERATE</v>
      </c>
      <c r="F119" t="s">
        <v>184</v>
      </c>
      <c r="G119" t="s">
        <v>506</v>
      </c>
      <c r="H119" t="s">
        <v>507</v>
      </c>
      <c r="I119" t="s">
        <v>22</v>
      </c>
      <c r="J119" t="s">
        <v>23</v>
      </c>
      <c r="K119" t="s">
        <v>508</v>
      </c>
      <c r="L119" t="s">
        <v>239</v>
      </c>
      <c r="M119">
        <v>19805</v>
      </c>
      <c r="N119" t="s">
        <v>144</v>
      </c>
      <c r="O119" t="s">
        <v>70</v>
      </c>
      <c r="P119" t="s">
        <v>42</v>
      </c>
      <c r="Q119" t="s">
        <v>71</v>
      </c>
      <c r="R119" t="s">
        <v>72</v>
      </c>
      <c r="S119">
        <v>30.84</v>
      </c>
    </row>
    <row r="120" spans="1:19" x14ac:dyDescent="0.35">
      <c r="A120">
        <v>122</v>
      </c>
      <c r="B120" t="s">
        <v>505</v>
      </c>
      <c r="C120" s="1">
        <v>42898</v>
      </c>
      <c r="D120" s="1">
        <v>42901</v>
      </c>
      <c r="E120" s="1" t="str">
        <f t="shared" si="1"/>
        <v>MODERATE</v>
      </c>
      <c r="F120" t="s">
        <v>184</v>
      </c>
      <c r="G120" t="s">
        <v>506</v>
      </c>
      <c r="H120" t="s">
        <v>507</v>
      </c>
      <c r="I120" t="s">
        <v>22</v>
      </c>
      <c r="J120" t="s">
        <v>23</v>
      </c>
      <c r="K120" t="s">
        <v>508</v>
      </c>
      <c r="L120" t="s">
        <v>239</v>
      </c>
      <c r="M120">
        <v>19805</v>
      </c>
      <c r="N120" t="s">
        <v>144</v>
      </c>
      <c r="O120" t="s">
        <v>511</v>
      </c>
      <c r="P120" t="s">
        <v>42</v>
      </c>
      <c r="Q120" t="s">
        <v>55</v>
      </c>
      <c r="R120" t="s">
        <v>512</v>
      </c>
      <c r="S120">
        <v>226.56</v>
      </c>
    </row>
    <row r="121" spans="1:19" x14ac:dyDescent="0.35">
      <c r="A121">
        <v>123</v>
      </c>
      <c r="B121" t="s">
        <v>505</v>
      </c>
      <c r="C121" s="1">
        <v>42898</v>
      </c>
      <c r="D121" s="1">
        <v>42901</v>
      </c>
      <c r="E121" s="1" t="str">
        <f t="shared" si="1"/>
        <v>MODERATE</v>
      </c>
      <c r="F121" t="s">
        <v>184</v>
      </c>
      <c r="G121" t="s">
        <v>506</v>
      </c>
      <c r="H121" t="s">
        <v>507</v>
      </c>
      <c r="I121" t="s">
        <v>22</v>
      </c>
      <c r="J121" t="s">
        <v>23</v>
      </c>
      <c r="K121" t="s">
        <v>508</v>
      </c>
      <c r="L121" t="s">
        <v>239</v>
      </c>
      <c r="M121">
        <v>19805</v>
      </c>
      <c r="N121" t="s">
        <v>144</v>
      </c>
      <c r="O121" t="s">
        <v>513</v>
      </c>
      <c r="P121" t="s">
        <v>42</v>
      </c>
      <c r="Q121" t="s">
        <v>169</v>
      </c>
      <c r="R121" t="s">
        <v>514</v>
      </c>
      <c r="S121">
        <v>115.02</v>
      </c>
    </row>
    <row r="122" spans="1:19" x14ac:dyDescent="0.35">
      <c r="A122">
        <v>124</v>
      </c>
      <c r="B122" t="s">
        <v>505</v>
      </c>
      <c r="C122" s="1">
        <v>42898</v>
      </c>
      <c r="D122" s="1">
        <v>42901</v>
      </c>
      <c r="E122" s="1" t="str">
        <f t="shared" si="1"/>
        <v>MODERATE</v>
      </c>
      <c r="F122" t="s">
        <v>184</v>
      </c>
      <c r="G122" t="s">
        <v>506</v>
      </c>
      <c r="H122" t="s">
        <v>507</v>
      </c>
      <c r="I122" t="s">
        <v>22</v>
      </c>
      <c r="J122" t="s">
        <v>23</v>
      </c>
      <c r="K122" t="s">
        <v>508</v>
      </c>
      <c r="L122" t="s">
        <v>239</v>
      </c>
      <c r="M122">
        <v>19805</v>
      </c>
      <c r="N122" t="s">
        <v>144</v>
      </c>
      <c r="O122" t="s">
        <v>515</v>
      </c>
      <c r="P122" t="s">
        <v>67</v>
      </c>
      <c r="Q122" t="s">
        <v>68</v>
      </c>
      <c r="R122" t="s">
        <v>516</v>
      </c>
      <c r="S122">
        <v>68.040000000000006</v>
      </c>
    </row>
    <row r="123" spans="1:19" x14ac:dyDescent="0.35">
      <c r="A123">
        <v>125</v>
      </c>
      <c r="B123" t="s">
        <v>517</v>
      </c>
      <c r="C123" s="1">
        <v>42364</v>
      </c>
      <c r="D123" s="1">
        <v>42366</v>
      </c>
      <c r="E123" s="1" t="str">
        <f t="shared" si="1"/>
        <v>SLOW</v>
      </c>
      <c r="F123" t="s">
        <v>19</v>
      </c>
      <c r="G123" t="s">
        <v>518</v>
      </c>
      <c r="H123" t="s">
        <v>519</v>
      </c>
      <c r="I123" t="s">
        <v>98</v>
      </c>
      <c r="J123" t="s">
        <v>23</v>
      </c>
      <c r="K123" t="s">
        <v>180</v>
      </c>
      <c r="L123" t="s">
        <v>100</v>
      </c>
      <c r="M123">
        <v>77041</v>
      </c>
      <c r="N123" t="s">
        <v>101</v>
      </c>
      <c r="O123" t="s">
        <v>520</v>
      </c>
      <c r="P123" t="s">
        <v>28</v>
      </c>
      <c r="Q123" t="s">
        <v>32</v>
      </c>
      <c r="R123" t="s">
        <v>521</v>
      </c>
      <c r="S123">
        <v>600.55799999999999</v>
      </c>
    </row>
    <row r="124" spans="1:19" x14ac:dyDescent="0.35">
      <c r="A124">
        <v>126</v>
      </c>
      <c r="B124" t="s">
        <v>522</v>
      </c>
      <c r="C124" s="1">
        <v>42267</v>
      </c>
      <c r="D124" s="1">
        <v>42272</v>
      </c>
      <c r="E124" s="1" t="str">
        <f t="shared" si="1"/>
        <v>FAST</v>
      </c>
      <c r="F124" t="s">
        <v>46</v>
      </c>
      <c r="G124" t="s">
        <v>523</v>
      </c>
      <c r="H124" t="s">
        <v>524</v>
      </c>
      <c r="I124" t="s">
        <v>22</v>
      </c>
      <c r="J124" t="s">
        <v>23</v>
      </c>
      <c r="K124" t="s">
        <v>525</v>
      </c>
      <c r="L124" t="s">
        <v>205</v>
      </c>
      <c r="M124">
        <v>61701</v>
      </c>
      <c r="N124" t="s">
        <v>101</v>
      </c>
      <c r="O124" t="s">
        <v>526</v>
      </c>
      <c r="P124" t="s">
        <v>28</v>
      </c>
      <c r="Q124" t="s">
        <v>52</v>
      </c>
      <c r="R124" t="s">
        <v>527</v>
      </c>
      <c r="S124">
        <v>617.70000000000005</v>
      </c>
    </row>
    <row r="125" spans="1:19" x14ac:dyDescent="0.35">
      <c r="A125">
        <v>127</v>
      </c>
      <c r="B125" t="s">
        <v>528</v>
      </c>
      <c r="C125" s="1">
        <v>43409</v>
      </c>
      <c r="D125" s="1">
        <v>43416</v>
      </c>
      <c r="E125" s="1" t="str">
        <f t="shared" si="1"/>
        <v>FAST</v>
      </c>
      <c r="F125" t="s">
        <v>46</v>
      </c>
      <c r="G125" t="s">
        <v>529</v>
      </c>
      <c r="H125" t="s">
        <v>530</v>
      </c>
      <c r="I125" t="s">
        <v>22</v>
      </c>
      <c r="J125" t="s">
        <v>23</v>
      </c>
      <c r="K125" t="s">
        <v>531</v>
      </c>
      <c r="L125" t="s">
        <v>304</v>
      </c>
      <c r="M125">
        <v>85023</v>
      </c>
      <c r="N125" t="s">
        <v>40</v>
      </c>
      <c r="O125" t="s">
        <v>532</v>
      </c>
      <c r="P125" t="s">
        <v>42</v>
      </c>
      <c r="Q125" t="s">
        <v>71</v>
      </c>
      <c r="R125" t="s">
        <v>533</v>
      </c>
      <c r="S125">
        <v>2.3879999999999999</v>
      </c>
    </row>
    <row r="126" spans="1:19" x14ac:dyDescent="0.35">
      <c r="A126">
        <v>128</v>
      </c>
      <c r="B126" t="s">
        <v>528</v>
      </c>
      <c r="C126" s="1">
        <v>43409</v>
      </c>
      <c r="D126" s="1">
        <v>43416</v>
      </c>
      <c r="E126" s="1" t="str">
        <f t="shared" si="1"/>
        <v>FAST</v>
      </c>
      <c r="F126" t="s">
        <v>46</v>
      </c>
      <c r="G126" t="s">
        <v>529</v>
      </c>
      <c r="H126" t="s">
        <v>530</v>
      </c>
      <c r="I126" t="s">
        <v>22</v>
      </c>
      <c r="J126" t="s">
        <v>23</v>
      </c>
      <c r="K126" t="s">
        <v>531</v>
      </c>
      <c r="L126" t="s">
        <v>304</v>
      </c>
      <c r="M126">
        <v>85023</v>
      </c>
      <c r="N126" t="s">
        <v>40</v>
      </c>
      <c r="O126" t="s">
        <v>534</v>
      </c>
      <c r="P126" t="s">
        <v>42</v>
      </c>
      <c r="Q126" t="s">
        <v>55</v>
      </c>
      <c r="R126" t="s">
        <v>535</v>
      </c>
      <c r="S126">
        <v>243.99199999999999</v>
      </c>
    </row>
    <row r="127" spans="1:19" x14ac:dyDescent="0.35">
      <c r="A127">
        <v>129</v>
      </c>
      <c r="B127" t="s">
        <v>536</v>
      </c>
      <c r="C127" s="1">
        <v>43045</v>
      </c>
      <c r="D127" s="1">
        <v>43049</v>
      </c>
      <c r="E127" s="1" t="str">
        <f t="shared" si="1"/>
        <v>SLOW</v>
      </c>
      <c r="F127" t="s">
        <v>19</v>
      </c>
      <c r="G127" t="s">
        <v>537</v>
      </c>
      <c r="H127" t="s">
        <v>538</v>
      </c>
      <c r="I127" t="s">
        <v>98</v>
      </c>
      <c r="J127" t="s">
        <v>23</v>
      </c>
      <c r="K127" t="s">
        <v>38</v>
      </c>
      <c r="L127" t="s">
        <v>39</v>
      </c>
      <c r="M127">
        <v>90004</v>
      </c>
      <c r="N127" t="s">
        <v>40</v>
      </c>
      <c r="O127" t="s">
        <v>298</v>
      </c>
      <c r="P127" t="s">
        <v>28</v>
      </c>
      <c r="Q127" t="s">
        <v>32</v>
      </c>
      <c r="R127" t="s">
        <v>539</v>
      </c>
      <c r="S127">
        <v>81.424000000000007</v>
      </c>
    </row>
    <row r="128" spans="1:19" x14ac:dyDescent="0.35">
      <c r="A128">
        <v>130</v>
      </c>
      <c r="B128" t="s">
        <v>536</v>
      </c>
      <c r="C128" s="1">
        <v>43045</v>
      </c>
      <c r="D128" s="1">
        <v>43049</v>
      </c>
      <c r="E128" s="1" t="str">
        <f t="shared" si="1"/>
        <v>SLOW</v>
      </c>
      <c r="F128" t="s">
        <v>19</v>
      </c>
      <c r="G128" t="s">
        <v>537</v>
      </c>
      <c r="H128" t="s">
        <v>538</v>
      </c>
      <c r="I128" t="s">
        <v>98</v>
      </c>
      <c r="J128" t="s">
        <v>23</v>
      </c>
      <c r="K128" t="s">
        <v>38</v>
      </c>
      <c r="L128" t="s">
        <v>39</v>
      </c>
      <c r="M128">
        <v>90004</v>
      </c>
      <c r="N128" t="s">
        <v>40</v>
      </c>
      <c r="O128" t="s">
        <v>540</v>
      </c>
      <c r="P128" t="s">
        <v>28</v>
      </c>
      <c r="Q128" t="s">
        <v>61</v>
      </c>
      <c r="R128" t="s">
        <v>541</v>
      </c>
      <c r="S128">
        <v>238.56</v>
      </c>
    </row>
    <row r="129" spans="1:19" x14ac:dyDescent="0.35">
      <c r="A129">
        <v>131</v>
      </c>
      <c r="B129" t="s">
        <v>542</v>
      </c>
      <c r="C129" s="1">
        <v>43133</v>
      </c>
      <c r="D129" s="1">
        <v>43136</v>
      </c>
      <c r="E129" s="1" t="str">
        <f t="shared" si="1"/>
        <v>MODERATE</v>
      </c>
      <c r="F129" t="s">
        <v>184</v>
      </c>
      <c r="G129" t="s">
        <v>543</v>
      </c>
      <c r="H129" t="s">
        <v>544</v>
      </c>
      <c r="I129" t="s">
        <v>37</v>
      </c>
      <c r="J129" t="s">
        <v>23</v>
      </c>
      <c r="K129" t="s">
        <v>484</v>
      </c>
      <c r="L129" t="s">
        <v>485</v>
      </c>
      <c r="M129">
        <v>43229</v>
      </c>
      <c r="N129" t="s">
        <v>144</v>
      </c>
      <c r="O129" t="s">
        <v>545</v>
      </c>
      <c r="P129" t="s">
        <v>67</v>
      </c>
      <c r="Q129" t="s">
        <v>68</v>
      </c>
      <c r="R129" t="s">
        <v>546</v>
      </c>
      <c r="S129">
        <v>59.97</v>
      </c>
    </row>
    <row r="130" spans="1:19" x14ac:dyDescent="0.35">
      <c r="A130">
        <v>132</v>
      </c>
      <c r="B130" t="s">
        <v>542</v>
      </c>
      <c r="C130" s="1">
        <v>43133</v>
      </c>
      <c r="D130" s="1">
        <v>43136</v>
      </c>
      <c r="E130" s="1" t="str">
        <f t="shared" si="1"/>
        <v>MODERATE</v>
      </c>
      <c r="F130" t="s">
        <v>184</v>
      </c>
      <c r="G130" t="s">
        <v>543</v>
      </c>
      <c r="H130" t="s">
        <v>544</v>
      </c>
      <c r="I130" t="s">
        <v>37</v>
      </c>
      <c r="J130" t="s">
        <v>23</v>
      </c>
      <c r="K130" t="s">
        <v>484</v>
      </c>
      <c r="L130" t="s">
        <v>485</v>
      </c>
      <c r="M130">
        <v>43229</v>
      </c>
      <c r="N130" t="s">
        <v>144</v>
      </c>
      <c r="O130" t="s">
        <v>547</v>
      </c>
      <c r="P130" t="s">
        <v>42</v>
      </c>
      <c r="Q130" t="s">
        <v>86</v>
      </c>
      <c r="R130" t="s">
        <v>548</v>
      </c>
      <c r="S130">
        <v>78.304000000000002</v>
      </c>
    </row>
    <row r="131" spans="1:19" x14ac:dyDescent="0.35">
      <c r="A131">
        <v>133</v>
      </c>
      <c r="B131" t="s">
        <v>542</v>
      </c>
      <c r="C131" s="1">
        <v>43133</v>
      </c>
      <c r="D131" s="1">
        <v>43136</v>
      </c>
      <c r="E131" s="1" t="str">
        <f t="shared" ref="E131:E194" si="2">IF(F131="STANDARD CLASS","FAST",IF(F131="SECOND CLASS","SLOW","MODERATE"))</f>
        <v>MODERATE</v>
      </c>
      <c r="F131" t="s">
        <v>184</v>
      </c>
      <c r="G131" t="s">
        <v>543</v>
      </c>
      <c r="H131" t="s">
        <v>544</v>
      </c>
      <c r="I131" t="s">
        <v>37</v>
      </c>
      <c r="J131" t="s">
        <v>23</v>
      </c>
      <c r="K131" t="s">
        <v>484</v>
      </c>
      <c r="L131" t="s">
        <v>485</v>
      </c>
      <c r="M131">
        <v>43229</v>
      </c>
      <c r="N131" t="s">
        <v>144</v>
      </c>
      <c r="O131" t="s">
        <v>549</v>
      </c>
      <c r="P131" t="s">
        <v>42</v>
      </c>
      <c r="Q131" t="s">
        <v>263</v>
      </c>
      <c r="R131" t="s">
        <v>550</v>
      </c>
      <c r="S131">
        <v>21.456</v>
      </c>
    </row>
    <row r="132" spans="1:19" x14ac:dyDescent="0.35">
      <c r="A132">
        <v>134</v>
      </c>
      <c r="B132" t="s">
        <v>551</v>
      </c>
      <c r="C132" s="1">
        <v>43021</v>
      </c>
      <c r="D132" s="1">
        <v>43027</v>
      </c>
      <c r="E132" s="1" t="str">
        <f t="shared" si="2"/>
        <v>FAST</v>
      </c>
      <c r="F132" t="s">
        <v>46</v>
      </c>
      <c r="G132" t="s">
        <v>552</v>
      </c>
      <c r="H132" t="s">
        <v>553</v>
      </c>
      <c r="I132" t="s">
        <v>22</v>
      </c>
      <c r="J132" t="s">
        <v>23</v>
      </c>
      <c r="K132" t="s">
        <v>554</v>
      </c>
      <c r="L132" t="s">
        <v>39</v>
      </c>
      <c r="M132">
        <v>95661</v>
      </c>
      <c r="N132" t="s">
        <v>40</v>
      </c>
      <c r="O132" t="s">
        <v>555</v>
      </c>
      <c r="P132" t="s">
        <v>42</v>
      </c>
      <c r="Q132" t="s">
        <v>86</v>
      </c>
      <c r="R132" t="s">
        <v>556</v>
      </c>
      <c r="S132">
        <v>20.04</v>
      </c>
    </row>
    <row r="133" spans="1:19" x14ac:dyDescent="0.35">
      <c r="A133">
        <v>135</v>
      </c>
      <c r="B133" t="s">
        <v>551</v>
      </c>
      <c r="C133" s="1">
        <v>43021</v>
      </c>
      <c r="D133" s="1">
        <v>43027</v>
      </c>
      <c r="E133" s="1" t="str">
        <f t="shared" si="2"/>
        <v>FAST</v>
      </c>
      <c r="F133" t="s">
        <v>46</v>
      </c>
      <c r="G133" t="s">
        <v>552</v>
      </c>
      <c r="H133" t="s">
        <v>553</v>
      </c>
      <c r="I133" t="s">
        <v>22</v>
      </c>
      <c r="J133" t="s">
        <v>23</v>
      </c>
      <c r="K133" t="s">
        <v>554</v>
      </c>
      <c r="L133" t="s">
        <v>39</v>
      </c>
      <c r="M133">
        <v>95661</v>
      </c>
      <c r="N133" t="s">
        <v>40</v>
      </c>
      <c r="O133" t="s">
        <v>557</v>
      </c>
      <c r="P133" t="s">
        <v>42</v>
      </c>
      <c r="Q133" t="s">
        <v>86</v>
      </c>
      <c r="R133" t="s">
        <v>558</v>
      </c>
      <c r="S133">
        <v>35.44</v>
      </c>
    </row>
    <row r="134" spans="1:19" x14ac:dyDescent="0.35">
      <c r="A134">
        <v>136</v>
      </c>
      <c r="B134" t="s">
        <v>551</v>
      </c>
      <c r="C134" s="1">
        <v>43021</v>
      </c>
      <c r="D134" s="1">
        <v>43027</v>
      </c>
      <c r="E134" s="1" t="str">
        <f t="shared" si="2"/>
        <v>FAST</v>
      </c>
      <c r="F134" t="s">
        <v>46</v>
      </c>
      <c r="G134" t="s">
        <v>552</v>
      </c>
      <c r="H134" t="s">
        <v>553</v>
      </c>
      <c r="I134" t="s">
        <v>22</v>
      </c>
      <c r="J134" t="s">
        <v>23</v>
      </c>
      <c r="K134" t="s">
        <v>554</v>
      </c>
      <c r="L134" t="s">
        <v>39</v>
      </c>
      <c r="M134">
        <v>95661</v>
      </c>
      <c r="N134" t="s">
        <v>40</v>
      </c>
      <c r="O134" t="s">
        <v>559</v>
      </c>
      <c r="P134" t="s">
        <v>42</v>
      </c>
      <c r="Q134" t="s">
        <v>64</v>
      </c>
      <c r="R134" t="s">
        <v>560</v>
      </c>
      <c r="S134">
        <v>11.52</v>
      </c>
    </row>
    <row r="135" spans="1:19" x14ac:dyDescent="0.35">
      <c r="A135">
        <v>137</v>
      </c>
      <c r="B135" t="s">
        <v>551</v>
      </c>
      <c r="C135" s="1">
        <v>43021</v>
      </c>
      <c r="D135" s="1">
        <v>43027</v>
      </c>
      <c r="E135" s="1" t="str">
        <f t="shared" si="2"/>
        <v>FAST</v>
      </c>
      <c r="F135" t="s">
        <v>46</v>
      </c>
      <c r="G135" t="s">
        <v>552</v>
      </c>
      <c r="H135" t="s">
        <v>553</v>
      </c>
      <c r="I135" t="s">
        <v>22</v>
      </c>
      <c r="J135" t="s">
        <v>23</v>
      </c>
      <c r="K135" t="s">
        <v>554</v>
      </c>
      <c r="L135" t="s">
        <v>39</v>
      </c>
      <c r="M135">
        <v>95661</v>
      </c>
      <c r="N135" t="s">
        <v>40</v>
      </c>
      <c r="O135" t="s">
        <v>561</v>
      </c>
      <c r="P135" t="s">
        <v>42</v>
      </c>
      <c r="Q135" t="s">
        <v>263</v>
      </c>
      <c r="R135" t="s">
        <v>562</v>
      </c>
      <c r="S135">
        <v>4.0199999999999996</v>
      </c>
    </row>
    <row r="136" spans="1:19" x14ac:dyDescent="0.35">
      <c r="A136">
        <v>138</v>
      </c>
      <c r="B136" t="s">
        <v>551</v>
      </c>
      <c r="C136" s="1">
        <v>43021</v>
      </c>
      <c r="D136" s="1">
        <v>43027</v>
      </c>
      <c r="E136" s="1" t="str">
        <f t="shared" si="2"/>
        <v>FAST</v>
      </c>
      <c r="F136" t="s">
        <v>46</v>
      </c>
      <c r="G136" t="s">
        <v>552</v>
      </c>
      <c r="H136" t="s">
        <v>553</v>
      </c>
      <c r="I136" t="s">
        <v>22</v>
      </c>
      <c r="J136" t="s">
        <v>23</v>
      </c>
      <c r="K136" t="s">
        <v>554</v>
      </c>
      <c r="L136" t="s">
        <v>39</v>
      </c>
      <c r="M136">
        <v>95661</v>
      </c>
      <c r="N136" t="s">
        <v>40</v>
      </c>
      <c r="O136" t="s">
        <v>563</v>
      </c>
      <c r="P136" t="s">
        <v>42</v>
      </c>
      <c r="Q136" t="s">
        <v>71</v>
      </c>
      <c r="R136" t="s">
        <v>564</v>
      </c>
      <c r="S136">
        <v>76.176000000000002</v>
      </c>
    </row>
    <row r="137" spans="1:19" x14ac:dyDescent="0.35">
      <c r="A137">
        <v>139</v>
      </c>
      <c r="B137" t="s">
        <v>551</v>
      </c>
      <c r="C137" s="1">
        <v>43021</v>
      </c>
      <c r="D137" s="1">
        <v>43027</v>
      </c>
      <c r="E137" s="1" t="str">
        <f t="shared" si="2"/>
        <v>FAST</v>
      </c>
      <c r="F137" t="s">
        <v>46</v>
      </c>
      <c r="G137" t="s">
        <v>552</v>
      </c>
      <c r="H137" t="s">
        <v>553</v>
      </c>
      <c r="I137" t="s">
        <v>22</v>
      </c>
      <c r="J137" t="s">
        <v>23</v>
      </c>
      <c r="K137" t="s">
        <v>554</v>
      </c>
      <c r="L137" t="s">
        <v>39</v>
      </c>
      <c r="M137">
        <v>95661</v>
      </c>
      <c r="N137" t="s">
        <v>40</v>
      </c>
      <c r="O137" t="s">
        <v>565</v>
      </c>
      <c r="P137" t="s">
        <v>42</v>
      </c>
      <c r="Q137" t="s">
        <v>566</v>
      </c>
      <c r="R137" t="s">
        <v>567</v>
      </c>
      <c r="S137">
        <v>65.88</v>
      </c>
    </row>
    <row r="138" spans="1:19" x14ac:dyDescent="0.35">
      <c r="A138">
        <v>140</v>
      </c>
      <c r="B138" t="s">
        <v>551</v>
      </c>
      <c r="C138" s="1">
        <v>43021</v>
      </c>
      <c r="D138" s="1">
        <v>43027</v>
      </c>
      <c r="E138" s="1" t="str">
        <f t="shared" si="2"/>
        <v>FAST</v>
      </c>
      <c r="F138" t="s">
        <v>46</v>
      </c>
      <c r="G138" t="s">
        <v>552</v>
      </c>
      <c r="H138" t="s">
        <v>553</v>
      </c>
      <c r="I138" t="s">
        <v>22</v>
      </c>
      <c r="J138" t="s">
        <v>23</v>
      </c>
      <c r="K138" t="s">
        <v>554</v>
      </c>
      <c r="L138" t="s">
        <v>39</v>
      </c>
      <c r="M138">
        <v>95661</v>
      </c>
      <c r="N138" t="s">
        <v>40</v>
      </c>
      <c r="O138" t="s">
        <v>253</v>
      </c>
      <c r="P138" t="s">
        <v>28</v>
      </c>
      <c r="Q138" t="s">
        <v>61</v>
      </c>
      <c r="R138" t="s">
        <v>254</v>
      </c>
      <c r="S138">
        <v>43.12</v>
      </c>
    </row>
    <row r="139" spans="1:19" x14ac:dyDescent="0.35">
      <c r="A139">
        <v>141</v>
      </c>
      <c r="B139" t="s">
        <v>568</v>
      </c>
      <c r="C139" s="1">
        <v>42983</v>
      </c>
      <c r="D139" s="1">
        <v>42985</v>
      </c>
      <c r="E139" s="1" t="str">
        <f t="shared" si="2"/>
        <v>SLOW</v>
      </c>
      <c r="F139" t="s">
        <v>19</v>
      </c>
      <c r="G139" t="s">
        <v>569</v>
      </c>
      <c r="H139" t="s">
        <v>570</v>
      </c>
      <c r="I139" t="s">
        <v>37</v>
      </c>
      <c r="J139" t="s">
        <v>23</v>
      </c>
      <c r="K139" t="s">
        <v>142</v>
      </c>
      <c r="L139" t="s">
        <v>143</v>
      </c>
      <c r="M139">
        <v>19140</v>
      </c>
      <c r="N139" t="s">
        <v>144</v>
      </c>
      <c r="O139" t="s">
        <v>166</v>
      </c>
      <c r="P139" t="s">
        <v>28</v>
      </c>
      <c r="Q139" t="s">
        <v>61</v>
      </c>
      <c r="R139" t="s">
        <v>167</v>
      </c>
      <c r="S139">
        <v>82.8</v>
      </c>
    </row>
    <row r="140" spans="1:19" x14ac:dyDescent="0.35">
      <c r="A140">
        <v>142</v>
      </c>
      <c r="B140" t="s">
        <v>571</v>
      </c>
      <c r="C140" s="1">
        <v>43361</v>
      </c>
      <c r="D140" s="1">
        <v>43366</v>
      </c>
      <c r="E140" s="1" t="str">
        <f t="shared" si="2"/>
        <v>FAST</v>
      </c>
      <c r="F140" t="s">
        <v>46</v>
      </c>
      <c r="G140" t="s">
        <v>572</v>
      </c>
      <c r="H140" t="s">
        <v>573</v>
      </c>
      <c r="I140" t="s">
        <v>37</v>
      </c>
      <c r="J140" t="s">
        <v>23</v>
      </c>
      <c r="K140" t="s">
        <v>123</v>
      </c>
      <c r="L140" t="s">
        <v>39</v>
      </c>
      <c r="M140">
        <v>94122</v>
      </c>
      <c r="N140" t="s">
        <v>40</v>
      </c>
      <c r="O140" t="s">
        <v>574</v>
      </c>
      <c r="P140" t="s">
        <v>42</v>
      </c>
      <c r="Q140" t="s">
        <v>64</v>
      </c>
      <c r="R140" t="s">
        <v>575</v>
      </c>
      <c r="S140">
        <v>8.82</v>
      </c>
    </row>
    <row r="141" spans="1:19" x14ac:dyDescent="0.35">
      <c r="A141">
        <v>143</v>
      </c>
      <c r="B141" t="s">
        <v>571</v>
      </c>
      <c r="C141" s="1">
        <v>43361</v>
      </c>
      <c r="D141" s="1">
        <v>43366</v>
      </c>
      <c r="E141" s="1" t="str">
        <f t="shared" si="2"/>
        <v>FAST</v>
      </c>
      <c r="F141" t="s">
        <v>46</v>
      </c>
      <c r="G141" t="s">
        <v>572</v>
      </c>
      <c r="H141" t="s">
        <v>573</v>
      </c>
      <c r="I141" t="s">
        <v>37</v>
      </c>
      <c r="J141" t="s">
        <v>23</v>
      </c>
      <c r="K141" t="s">
        <v>123</v>
      </c>
      <c r="L141" t="s">
        <v>39</v>
      </c>
      <c r="M141">
        <v>94122</v>
      </c>
      <c r="N141" t="s">
        <v>40</v>
      </c>
      <c r="O141" t="s">
        <v>576</v>
      </c>
      <c r="P141" t="s">
        <v>42</v>
      </c>
      <c r="Q141" t="s">
        <v>169</v>
      </c>
      <c r="R141" t="s">
        <v>577</v>
      </c>
      <c r="S141">
        <v>10.86</v>
      </c>
    </row>
    <row r="142" spans="1:19" x14ac:dyDescent="0.35">
      <c r="A142">
        <v>144</v>
      </c>
      <c r="B142" t="s">
        <v>571</v>
      </c>
      <c r="C142" s="1">
        <v>43361</v>
      </c>
      <c r="D142" s="1">
        <v>43366</v>
      </c>
      <c r="E142" s="1" t="str">
        <f t="shared" si="2"/>
        <v>FAST</v>
      </c>
      <c r="F142" t="s">
        <v>46</v>
      </c>
      <c r="G142" t="s">
        <v>572</v>
      </c>
      <c r="H142" t="s">
        <v>573</v>
      </c>
      <c r="I142" t="s">
        <v>37</v>
      </c>
      <c r="J142" t="s">
        <v>23</v>
      </c>
      <c r="K142" t="s">
        <v>123</v>
      </c>
      <c r="L142" t="s">
        <v>39</v>
      </c>
      <c r="M142">
        <v>94122</v>
      </c>
      <c r="N142" t="s">
        <v>40</v>
      </c>
      <c r="O142" t="s">
        <v>578</v>
      </c>
      <c r="P142" t="s">
        <v>42</v>
      </c>
      <c r="Q142" t="s">
        <v>86</v>
      </c>
      <c r="R142" t="s">
        <v>579</v>
      </c>
      <c r="S142">
        <v>143.69999999999999</v>
      </c>
    </row>
    <row r="143" spans="1:19" x14ac:dyDescent="0.35">
      <c r="A143">
        <v>145</v>
      </c>
      <c r="B143" t="s">
        <v>580</v>
      </c>
      <c r="C143" s="1">
        <v>43456</v>
      </c>
      <c r="D143" s="1">
        <v>43461</v>
      </c>
      <c r="E143" s="1" t="str">
        <f t="shared" si="2"/>
        <v>FAST</v>
      </c>
      <c r="F143" t="s">
        <v>46</v>
      </c>
      <c r="G143" t="s">
        <v>581</v>
      </c>
      <c r="H143" t="s">
        <v>582</v>
      </c>
      <c r="I143" t="s">
        <v>22</v>
      </c>
      <c r="J143" t="s">
        <v>23</v>
      </c>
      <c r="K143" t="s">
        <v>583</v>
      </c>
      <c r="L143" t="s">
        <v>584</v>
      </c>
      <c r="M143">
        <v>64055</v>
      </c>
      <c r="N143" t="s">
        <v>101</v>
      </c>
      <c r="O143" t="s">
        <v>585</v>
      </c>
      <c r="P143" t="s">
        <v>42</v>
      </c>
      <c r="Q143" t="s">
        <v>74</v>
      </c>
      <c r="R143" t="s">
        <v>586</v>
      </c>
      <c r="S143">
        <v>839.43</v>
      </c>
    </row>
    <row r="144" spans="1:19" x14ac:dyDescent="0.35">
      <c r="A144">
        <v>146</v>
      </c>
      <c r="B144" t="s">
        <v>587</v>
      </c>
      <c r="C144" s="1">
        <v>42620</v>
      </c>
      <c r="D144" s="1">
        <v>42625</v>
      </c>
      <c r="E144" s="1" t="str">
        <f t="shared" si="2"/>
        <v>FAST</v>
      </c>
      <c r="F144" t="s">
        <v>46</v>
      </c>
      <c r="G144" t="s">
        <v>588</v>
      </c>
      <c r="H144" t="s">
        <v>589</v>
      </c>
      <c r="I144" t="s">
        <v>22</v>
      </c>
      <c r="J144" t="s">
        <v>23</v>
      </c>
      <c r="K144" t="s">
        <v>590</v>
      </c>
      <c r="L144" t="s">
        <v>39</v>
      </c>
      <c r="M144">
        <v>91104</v>
      </c>
      <c r="N144" t="s">
        <v>40</v>
      </c>
      <c r="O144" t="s">
        <v>369</v>
      </c>
      <c r="P144" t="s">
        <v>42</v>
      </c>
      <c r="Q144" t="s">
        <v>55</v>
      </c>
      <c r="R144" t="s">
        <v>370</v>
      </c>
      <c r="S144">
        <v>671.93</v>
      </c>
    </row>
    <row r="145" spans="1:19" x14ac:dyDescent="0.35">
      <c r="A145">
        <v>147</v>
      </c>
      <c r="B145" t="s">
        <v>591</v>
      </c>
      <c r="C145" s="1">
        <v>42299</v>
      </c>
      <c r="D145" s="1">
        <v>42305</v>
      </c>
      <c r="E145" s="1" t="str">
        <f t="shared" si="2"/>
        <v>FAST</v>
      </c>
      <c r="F145" t="s">
        <v>46</v>
      </c>
      <c r="G145" t="s">
        <v>592</v>
      </c>
      <c r="H145" t="s">
        <v>593</v>
      </c>
      <c r="I145" t="s">
        <v>98</v>
      </c>
      <c r="J145" t="s">
        <v>23</v>
      </c>
      <c r="K145" t="s">
        <v>594</v>
      </c>
      <c r="L145" t="s">
        <v>485</v>
      </c>
      <c r="M145">
        <v>43055</v>
      </c>
      <c r="N145" t="s">
        <v>144</v>
      </c>
      <c r="O145" t="s">
        <v>595</v>
      </c>
      <c r="P145" t="s">
        <v>28</v>
      </c>
      <c r="Q145" t="s">
        <v>61</v>
      </c>
      <c r="R145" t="s">
        <v>596</v>
      </c>
      <c r="S145">
        <v>93.888000000000005</v>
      </c>
    </row>
    <row r="146" spans="1:19" x14ac:dyDescent="0.35">
      <c r="A146">
        <v>148</v>
      </c>
      <c r="B146" t="s">
        <v>597</v>
      </c>
      <c r="C146" s="1">
        <v>43074</v>
      </c>
      <c r="D146" s="1">
        <v>43078</v>
      </c>
      <c r="E146" s="1" t="str">
        <f t="shared" si="2"/>
        <v>FAST</v>
      </c>
      <c r="F146" t="s">
        <v>46</v>
      </c>
      <c r="G146" t="s">
        <v>598</v>
      </c>
      <c r="H146" t="s">
        <v>599</v>
      </c>
      <c r="I146" t="s">
        <v>37</v>
      </c>
      <c r="J146" t="s">
        <v>23</v>
      </c>
      <c r="K146" t="s">
        <v>600</v>
      </c>
      <c r="L146" t="s">
        <v>110</v>
      </c>
      <c r="M146">
        <v>53132</v>
      </c>
      <c r="N146" t="s">
        <v>101</v>
      </c>
      <c r="O146" t="s">
        <v>601</v>
      </c>
      <c r="P146" t="s">
        <v>67</v>
      </c>
      <c r="Q146" t="s">
        <v>68</v>
      </c>
      <c r="R146" t="s">
        <v>602</v>
      </c>
      <c r="S146">
        <v>384.45</v>
      </c>
    </row>
    <row r="147" spans="1:19" x14ac:dyDescent="0.35">
      <c r="A147">
        <v>149</v>
      </c>
      <c r="B147" t="s">
        <v>597</v>
      </c>
      <c r="C147" s="1">
        <v>43074</v>
      </c>
      <c r="D147" s="1">
        <v>43078</v>
      </c>
      <c r="E147" s="1" t="str">
        <f t="shared" si="2"/>
        <v>FAST</v>
      </c>
      <c r="F147" t="s">
        <v>46</v>
      </c>
      <c r="G147" t="s">
        <v>598</v>
      </c>
      <c r="H147" t="s">
        <v>599</v>
      </c>
      <c r="I147" t="s">
        <v>37</v>
      </c>
      <c r="J147" t="s">
        <v>23</v>
      </c>
      <c r="K147" t="s">
        <v>600</v>
      </c>
      <c r="L147" t="s">
        <v>110</v>
      </c>
      <c r="M147">
        <v>53132</v>
      </c>
      <c r="N147" t="s">
        <v>101</v>
      </c>
      <c r="O147" t="s">
        <v>603</v>
      </c>
      <c r="P147" t="s">
        <v>67</v>
      </c>
      <c r="Q147" t="s">
        <v>68</v>
      </c>
      <c r="R147" t="s">
        <v>604</v>
      </c>
      <c r="S147">
        <v>149.97</v>
      </c>
    </row>
    <row r="148" spans="1:19" x14ac:dyDescent="0.35">
      <c r="A148">
        <v>150</v>
      </c>
      <c r="B148" t="s">
        <v>597</v>
      </c>
      <c r="C148" s="1">
        <v>43074</v>
      </c>
      <c r="D148" s="1">
        <v>43078</v>
      </c>
      <c r="E148" s="1" t="str">
        <f t="shared" si="2"/>
        <v>FAST</v>
      </c>
      <c r="F148" t="s">
        <v>46</v>
      </c>
      <c r="G148" t="s">
        <v>598</v>
      </c>
      <c r="H148" t="s">
        <v>599</v>
      </c>
      <c r="I148" t="s">
        <v>37</v>
      </c>
      <c r="J148" t="s">
        <v>23</v>
      </c>
      <c r="K148" t="s">
        <v>600</v>
      </c>
      <c r="L148" t="s">
        <v>110</v>
      </c>
      <c r="M148">
        <v>53132</v>
      </c>
      <c r="N148" t="s">
        <v>101</v>
      </c>
      <c r="O148" t="s">
        <v>31</v>
      </c>
      <c r="P148" t="s">
        <v>28</v>
      </c>
      <c r="Q148" t="s">
        <v>32</v>
      </c>
      <c r="R148" t="s">
        <v>33</v>
      </c>
      <c r="S148">
        <v>1951.84</v>
      </c>
    </row>
    <row r="149" spans="1:19" x14ac:dyDescent="0.35">
      <c r="A149">
        <v>151</v>
      </c>
      <c r="B149" t="s">
        <v>597</v>
      </c>
      <c r="C149" s="1">
        <v>43074</v>
      </c>
      <c r="D149" s="1">
        <v>43078</v>
      </c>
      <c r="E149" s="1" t="str">
        <f t="shared" si="2"/>
        <v>FAST</v>
      </c>
      <c r="F149" t="s">
        <v>46</v>
      </c>
      <c r="G149" t="s">
        <v>598</v>
      </c>
      <c r="H149" t="s">
        <v>599</v>
      </c>
      <c r="I149" t="s">
        <v>37</v>
      </c>
      <c r="J149" t="s">
        <v>23</v>
      </c>
      <c r="K149" t="s">
        <v>600</v>
      </c>
      <c r="L149" t="s">
        <v>110</v>
      </c>
      <c r="M149">
        <v>53132</v>
      </c>
      <c r="N149" t="s">
        <v>101</v>
      </c>
      <c r="O149" t="s">
        <v>605</v>
      </c>
      <c r="P149" t="s">
        <v>42</v>
      </c>
      <c r="Q149" t="s">
        <v>71</v>
      </c>
      <c r="R149" t="s">
        <v>606</v>
      </c>
      <c r="S149">
        <v>171.55</v>
      </c>
    </row>
    <row r="150" spans="1:19" x14ac:dyDescent="0.35">
      <c r="A150">
        <v>152</v>
      </c>
      <c r="B150" t="s">
        <v>607</v>
      </c>
      <c r="C150" s="1">
        <v>42807</v>
      </c>
      <c r="D150" s="1">
        <v>42810</v>
      </c>
      <c r="E150" s="1" t="str">
        <f t="shared" si="2"/>
        <v>MODERATE</v>
      </c>
      <c r="F150" t="s">
        <v>184</v>
      </c>
      <c r="G150" t="s">
        <v>608</v>
      </c>
      <c r="H150" t="s">
        <v>609</v>
      </c>
      <c r="I150" t="s">
        <v>98</v>
      </c>
      <c r="J150" t="s">
        <v>23</v>
      </c>
      <c r="K150" t="s">
        <v>610</v>
      </c>
      <c r="L150" t="s">
        <v>304</v>
      </c>
      <c r="M150">
        <v>85254</v>
      </c>
      <c r="N150" t="s">
        <v>40</v>
      </c>
      <c r="O150" t="s">
        <v>611</v>
      </c>
      <c r="P150" t="s">
        <v>42</v>
      </c>
      <c r="Q150" t="s">
        <v>74</v>
      </c>
      <c r="R150" t="s">
        <v>612</v>
      </c>
      <c r="S150">
        <v>157.91999999999999</v>
      </c>
    </row>
    <row r="151" spans="1:19" x14ac:dyDescent="0.35">
      <c r="A151">
        <v>153</v>
      </c>
      <c r="B151" t="s">
        <v>607</v>
      </c>
      <c r="C151" s="1">
        <v>42807</v>
      </c>
      <c r="D151" s="1">
        <v>42810</v>
      </c>
      <c r="E151" s="1" t="str">
        <f t="shared" si="2"/>
        <v>MODERATE</v>
      </c>
      <c r="F151" t="s">
        <v>184</v>
      </c>
      <c r="G151" t="s">
        <v>608</v>
      </c>
      <c r="H151" t="s">
        <v>609</v>
      </c>
      <c r="I151" t="s">
        <v>98</v>
      </c>
      <c r="J151" t="s">
        <v>23</v>
      </c>
      <c r="K151" t="s">
        <v>610</v>
      </c>
      <c r="L151" t="s">
        <v>304</v>
      </c>
      <c r="M151">
        <v>85254</v>
      </c>
      <c r="N151" t="s">
        <v>40</v>
      </c>
      <c r="O151" t="s">
        <v>613</v>
      </c>
      <c r="P151" t="s">
        <v>67</v>
      </c>
      <c r="Q151" t="s">
        <v>68</v>
      </c>
      <c r="R151" t="s">
        <v>614</v>
      </c>
      <c r="S151">
        <v>203.184</v>
      </c>
    </row>
    <row r="152" spans="1:19" x14ac:dyDescent="0.35">
      <c r="A152">
        <v>154</v>
      </c>
      <c r="B152" t="s">
        <v>615</v>
      </c>
      <c r="C152" s="1">
        <v>42521</v>
      </c>
      <c r="D152" s="1">
        <v>42523</v>
      </c>
      <c r="E152" s="1" t="str">
        <f t="shared" si="2"/>
        <v>MODERATE</v>
      </c>
      <c r="F152" t="s">
        <v>184</v>
      </c>
      <c r="G152" t="s">
        <v>616</v>
      </c>
      <c r="H152" t="s">
        <v>617</v>
      </c>
      <c r="I152" t="s">
        <v>37</v>
      </c>
      <c r="J152" t="s">
        <v>23</v>
      </c>
      <c r="K152" t="s">
        <v>618</v>
      </c>
      <c r="L152" t="s">
        <v>39</v>
      </c>
      <c r="M152">
        <v>95123</v>
      </c>
      <c r="N152" t="s">
        <v>40</v>
      </c>
      <c r="O152" t="s">
        <v>619</v>
      </c>
      <c r="P152" t="s">
        <v>42</v>
      </c>
      <c r="Q152" t="s">
        <v>86</v>
      </c>
      <c r="R152" t="s">
        <v>620</v>
      </c>
      <c r="S152">
        <v>58.38</v>
      </c>
    </row>
    <row r="153" spans="1:19" x14ac:dyDescent="0.35">
      <c r="A153">
        <v>155</v>
      </c>
      <c r="B153" t="s">
        <v>615</v>
      </c>
      <c r="C153" s="1">
        <v>42521</v>
      </c>
      <c r="D153" s="1">
        <v>42523</v>
      </c>
      <c r="E153" s="1" t="str">
        <f t="shared" si="2"/>
        <v>MODERATE</v>
      </c>
      <c r="F153" t="s">
        <v>184</v>
      </c>
      <c r="G153" t="s">
        <v>616</v>
      </c>
      <c r="H153" t="s">
        <v>617</v>
      </c>
      <c r="I153" t="s">
        <v>37</v>
      </c>
      <c r="J153" t="s">
        <v>23</v>
      </c>
      <c r="K153" t="s">
        <v>618</v>
      </c>
      <c r="L153" t="s">
        <v>39</v>
      </c>
      <c r="M153">
        <v>95123</v>
      </c>
      <c r="N153" t="s">
        <v>40</v>
      </c>
      <c r="O153" t="s">
        <v>621</v>
      </c>
      <c r="P153" t="s">
        <v>42</v>
      </c>
      <c r="Q153" t="s">
        <v>86</v>
      </c>
      <c r="R153" t="s">
        <v>622</v>
      </c>
      <c r="S153">
        <v>105.52</v>
      </c>
    </row>
    <row r="154" spans="1:19" x14ac:dyDescent="0.35">
      <c r="A154">
        <v>156</v>
      </c>
      <c r="B154" t="s">
        <v>615</v>
      </c>
      <c r="C154" s="1">
        <v>42521</v>
      </c>
      <c r="D154" s="1">
        <v>42523</v>
      </c>
      <c r="E154" s="1" t="str">
        <f t="shared" si="2"/>
        <v>MODERATE</v>
      </c>
      <c r="F154" t="s">
        <v>184</v>
      </c>
      <c r="G154" t="s">
        <v>616</v>
      </c>
      <c r="H154" t="s">
        <v>617</v>
      </c>
      <c r="I154" t="s">
        <v>37</v>
      </c>
      <c r="J154" t="s">
        <v>23</v>
      </c>
      <c r="K154" t="s">
        <v>618</v>
      </c>
      <c r="L154" t="s">
        <v>39</v>
      </c>
      <c r="M154">
        <v>95123</v>
      </c>
      <c r="N154" t="s">
        <v>40</v>
      </c>
      <c r="O154" t="s">
        <v>623</v>
      </c>
      <c r="P154" t="s">
        <v>42</v>
      </c>
      <c r="Q154" t="s">
        <v>55</v>
      </c>
      <c r="R154" t="s">
        <v>624</v>
      </c>
      <c r="S154">
        <v>80.88</v>
      </c>
    </row>
    <row r="155" spans="1:19" x14ac:dyDescent="0.35">
      <c r="A155">
        <v>157</v>
      </c>
      <c r="B155" t="s">
        <v>625</v>
      </c>
      <c r="C155" s="1">
        <v>42518</v>
      </c>
      <c r="D155" s="1">
        <v>42524</v>
      </c>
      <c r="E155" s="1" t="str">
        <f t="shared" si="2"/>
        <v>FAST</v>
      </c>
      <c r="F155" t="s">
        <v>46</v>
      </c>
      <c r="G155" t="s">
        <v>626</v>
      </c>
      <c r="H155" t="s">
        <v>627</v>
      </c>
      <c r="I155" t="s">
        <v>98</v>
      </c>
      <c r="J155" t="s">
        <v>23</v>
      </c>
      <c r="K155" t="s">
        <v>91</v>
      </c>
      <c r="L155" t="s">
        <v>92</v>
      </c>
      <c r="M155">
        <v>98105</v>
      </c>
      <c r="N155" t="s">
        <v>40</v>
      </c>
      <c r="O155" t="s">
        <v>628</v>
      </c>
      <c r="P155" t="s">
        <v>42</v>
      </c>
      <c r="Q155" t="s">
        <v>64</v>
      </c>
      <c r="R155" t="s">
        <v>629</v>
      </c>
      <c r="S155">
        <v>6.63</v>
      </c>
    </row>
    <row r="156" spans="1:19" x14ac:dyDescent="0.35">
      <c r="A156">
        <v>158</v>
      </c>
      <c r="B156" t="s">
        <v>630</v>
      </c>
      <c r="C156" s="1">
        <v>42064</v>
      </c>
      <c r="D156" s="1">
        <v>42069</v>
      </c>
      <c r="E156" s="1" t="str">
        <f t="shared" si="2"/>
        <v>SLOW</v>
      </c>
      <c r="F156" t="s">
        <v>19</v>
      </c>
      <c r="G156" t="s">
        <v>631</v>
      </c>
      <c r="H156" t="s">
        <v>632</v>
      </c>
      <c r="I156" t="s">
        <v>22</v>
      </c>
      <c r="J156" t="s">
        <v>23</v>
      </c>
      <c r="K156" t="s">
        <v>91</v>
      </c>
      <c r="L156" t="s">
        <v>92</v>
      </c>
      <c r="M156">
        <v>98115</v>
      </c>
      <c r="N156" t="s">
        <v>40</v>
      </c>
      <c r="O156" t="s">
        <v>520</v>
      </c>
      <c r="P156" t="s">
        <v>28</v>
      </c>
      <c r="Q156" t="s">
        <v>32</v>
      </c>
      <c r="R156" t="s">
        <v>521</v>
      </c>
      <c r="S156">
        <v>457.56799999999998</v>
      </c>
    </row>
    <row r="157" spans="1:19" x14ac:dyDescent="0.35">
      <c r="A157">
        <v>159</v>
      </c>
      <c r="B157" t="s">
        <v>633</v>
      </c>
      <c r="C157" s="1">
        <v>43059</v>
      </c>
      <c r="D157" s="1">
        <v>43063</v>
      </c>
      <c r="E157" s="1" t="str">
        <f t="shared" si="2"/>
        <v>FAST</v>
      </c>
      <c r="F157" t="s">
        <v>46</v>
      </c>
      <c r="G157" t="s">
        <v>634</v>
      </c>
      <c r="H157" t="s">
        <v>635</v>
      </c>
      <c r="I157" t="s">
        <v>22</v>
      </c>
      <c r="J157" t="s">
        <v>23</v>
      </c>
      <c r="K157" t="s">
        <v>636</v>
      </c>
      <c r="L157" t="s">
        <v>637</v>
      </c>
      <c r="M157">
        <v>73034</v>
      </c>
      <c r="N157" t="s">
        <v>101</v>
      </c>
      <c r="O157" t="s">
        <v>638</v>
      </c>
      <c r="P157" t="s">
        <v>42</v>
      </c>
      <c r="Q157" t="s">
        <v>43</v>
      </c>
      <c r="R157" t="s">
        <v>639</v>
      </c>
      <c r="S157">
        <v>14.62</v>
      </c>
    </row>
    <row r="158" spans="1:19" x14ac:dyDescent="0.35">
      <c r="A158">
        <v>160</v>
      </c>
      <c r="B158" t="s">
        <v>633</v>
      </c>
      <c r="C158" s="1">
        <v>43059</v>
      </c>
      <c r="D158" s="1">
        <v>43063</v>
      </c>
      <c r="E158" s="1" t="str">
        <f t="shared" si="2"/>
        <v>FAST</v>
      </c>
      <c r="F158" t="s">
        <v>46</v>
      </c>
      <c r="G158" t="s">
        <v>634</v>
      </c>
      <c r="H158" t="s">
        <v>635</v>
      </c>
      <c r="I158" t="s">
        <v>22</v>
      </c>
      <c r="J158" t="s">
        <v>23</v>
      </c>
      <c r="K158" t="s">
        <v>636</v>
      </c>
      <c r="L158" t="s">
        <v>637</v>
      </c>
      <c r="M158">
        <v>73034</v>
      </c>
      <c r="N158" t="s">
        <v>101</v>
      </c>
      <c r="O158" t="s">
        <v>640</v>
      </c>
      <c r="P158" t="s">
        <v>67</v>
      </c>
      <c r="Q158" t="s">
        <v>68</v>
      </c>
      <c r="R158" t="s">
        <v>641</v>
      </c>
      <c r="S158">
        <v>944.93</v>
      </c>
    </row>
    <row r="159" spans="1:19" x14ac:dyDescent="0.35">
      <c r="A159">
        <v>161</v>
      </c>
      <c r="B159" t="s">
        <v>642</v>
      </c>
      <c r="C159" s="1">
        <v>42866</v>
      </c>
      <c r="D159" s="1">
        <v>42867</v>
      </c>
      <c r="E159" s="1" t="str">
        <f t="shared" si="2"/>
        <v>MODERATE</v>
      </c>
      <c r="F159" t="s">
        <v>184</v>
      </c>
      <c r="G159" t="s">
        <v>643</v>
      </c>
      <c r="H159" t="s">
        <v>644</v>
      </c>
      <c r="I159" t="s">
        <v>22</v>
      </c>
      <c r="J159" t="s">
        <v>23</v>
      </c>
      <c r="K159" t="s">
        <v>38</v>
      </c>
      <c r="L159" t="s">
        <v>39</v>
      </c>
      <c r="M159">
        <v>90045</v>
      </c>
      <c r="N159" t="s">
        <v>40</v>
      </c>
      <c r="O159" t="s">
        <v>645</v>
      </c>
      <c r="P159" t="s">
        <v>42</v>
      </c>
      <c r="Q159" t="s">
        <v>86</v>
      </c>
      <c r="R159" t="s">
        <v>646</v>
      </c>
      <c r="S159">
        <v>5.98</v>
      </c>
    </row>
    <row r="160" spans="1:19" x14ac:dyDescent="0.35">
      <c r="A160">
        <v>162</v>
      </c>
      <c r="B160" t="s">
        <v>647</v>
      </c>
      <c r="C160" s="1">
        <v>42732</v>
      </c>
      <c r="D160" s="1">
        <v>42735</v>
      </c>
      <c r="E160" s="1" t="str">
        <f t="shared" si="2"/>
        <v>SLOW</v>
      </c>
      <c r="F160" t="s">
        <v>19</v>
      </c>
      <c r="G160" t="s">
        <v>648</v>
      </c>
      <c r="H160" t="s">
        <v>649</v>
      </c>
      <c r="I160" t="s">
        <v>22</v>
      </c>
      <c r="J160" t="s">
        <v>23</v>
      </c>
      <c r="K160" t="s">
        <v>142</v>
      </c>
      <c r="L160" t="s">
        <v>143</v>
      </c>
      <c r="M160">
        <v>19134</v>
      </c>
      <c r="N160" t="s">
        <v>144</v>
      </c>
      <c r="O160" t="s">
        <v>650</v>
      </c>
      <c r="P160" t="s">
        <v>67</v>
      </c>
      <c r="Q160" t="s">
        <v>157</v>
      </c>
      <c r="R160" t="s">
        <v>651</v>
      </c>
      <c r="S160">
        <v>54.384</v>
      </c>
    </row>
    <row r="161" spans="1:19" x14ac:dyDescent="0.35">
      <c r="A161">
        <v>163</v>
      </c>
      <c r="B161" t="s">
        <v>652</v>
      </c>
      <c r="C161" s="1">
        <v>43055</v>
      </c>
      <c r="D161" s="1">
        <v>43059</v>
      </c>
      <c r="E161" s="1" t="str">
        <f t="shared" si="2"/>
        <v>FAST</v>
      </c>
      <c r="F161" t="s">
        <v>46</v>
      </c>
      <c r="G161" t="s">
        <v>653</v>
      </c>
      <c r="H161" t="s">
        <v>654</v>
      </c>
      <c r="I161" t="s">
        <v>22</v>
      </c>
      <c r="J161" t="s">
        <v>23</v>
      </c>
      <c r="K161" t="s">
        <v>655</v>
      </c>
      <c r="L161" t="s">
        <v>656</v>
      </c>
      <c r="M161">
        <v>88220</v>
      </c>
      <c r="N161" t="s">
        <v>40</v>
      </c>
      <c r="O161" t="s">
        <v>657</v>
      </c>
      <c r="P161" t="s">
        <v>42</v>
      </c>
      <c r="Q161" t="s">
        <v>169</v>
      </c>
      <c r="R161" t="s">
        <v>658</v>
      </c>
      <c r="S161">
        <v>28.4</v>
      </c>
    </row>
    <row r="162" spans="1:19" x14ac:dyDescent="0.35">
      <c r="A162">
        <v>164</v>
      </c>
      <c r="B162" t="s">
        <v>659</v>
      </c>
      <c r="C162" s="1">
        <v>43046</v>
      </c>
      <c r="D162" s="1">
        <v>43050</v>
      </c>
      <c r="E162" s="1" t="str">
        <f t="shared" si="2"/>
        <v>FAST</v>
      </c>
      <c r="F162" t="s">
        <v>46</v>
      </c>
      <c r="G162" t="s">
        <v>660</v>
      </c>
      <c r="H162" t="s">
        <v>661</v>
      </c>
      <c r="I162" t="s">
        <v>22</v>
      </c>
      <c r="J162" t="s">
        <v>23</v>
      </c>
      <c r="K162" t="s">
        <v>91</v>
      </c>
      <c r="L162" t="s">
        <v>92</v>
      </c>
      <c r="M162">
        <v>98115</v>
      </c>
      <c r="N162" t="s">
        <v>40</v>
      </c>
      <c r="O162" t="s">
        <v>662</v>
      </c>
      <c r="P162" t="s">
        <v>42</v>
      </c>
      <c r="Q162" t="s">
        <v>71</v>
      </c>
      <c r="R162" t="s">
        <v>663</v>
      </c>
      <c r="S162">
        <v>27.68</v>
      </c>
    </row>
    <row r="163" spans="1:19" x14ac:dyDescent="0.35">
      <c r="A163">
        <v>165</v>
      </c>
      <c r="B163" t="s">
        <v>664</v>
      </c>
      <c r="C163" s="1">
        <v>42255</v>
      </c>
      <c r="D163" s="1">
        <v>42259</v>
      </c>
      <c r="E163" s="1" t="str">
        <f t="shared" si="2"/>
        <v>FAST</v>
      </c>
      <c r="F163" t="s">
        <v>46</v>
      </c>
      <c r="G163" t="s">
        <v>665</v>
      </c>
      <c r="H163" t="s">
        <v>666</v>
      </c>
      <c r="I163" t="s">
        <v>22</v>
      </c>
      <c r="J163" t="s">
        <v>23</v>
      </c>
      <c r="K163" t="s">
        <v>667</v>
      </c>
      <c r="L163" t="s">
        <v>100</v>
      </c>
      <c r="M163">
        <v>78207</v>
      </c>
      <c r="N163" t="s">
        <v>101</v>
      </c>
      <c r="O163" t="s">
        <v>668</v>
      </c>
      <c r="P163" t="s">
        <v>42</v>
      </c>
      <c r="Q163" t="s">
        <v>64</v>
      </c>
      <c r="R163" t="s">
        <v>669</v>
      </c>
      <c r="S163">
        <v>9.9359999999999999</v>
      </c>
    </row>
    <row r="164" spans="1:19" x14ac:dyDescent="0.35">
      <c r="A164">
        <v>166</v>
      </c>
      <c r="B164" t="s">
        <v>664</v>
      </c>
      <c r="C164" s="1">
        <v>42255</v>
      </c>
      <c r="D164" s="1">
        <v>42259</v>
      </c>
      <c r="E164" s="1" t="str">
        <f t="shared" si="2"/>
        <v>FAST</v>
      </c>
      <c r="F164" t="s">
        <v>46</v>
      </c>
      <c r="G164" t="s">
        <v>665</v>
      </c>
      <c r="H164" t="s">
        <v>666</v>
      </c>
      <c r="I164" t="s">
        <v>22</v>
      </c>
      <c r="J164" t="s">
        <v>23</v>
      </c>
      <c r="K164" t="s">
        <v>667</v>
      </c>
      <c r="L164" t="s">
        <v>100</v>
      </c>
      <c r="M164">
        <v>78207</v>
      </c>
      <c r="N164" t="s">
        <v>101</v>
      </c>
      <c r="O164" t="s">
        <v>670</v>
      </c>
      <c r="P164" t="s">
        <v>67</v>
      </c>
      <c r="Q164" t="s">
        <v>671</v>
      </c>
      <c r="R164" t="s">
        <v>672</v>
      </c>
      <c r="S164">
        <v>8159.9520000000002</v>
      </c>
    </row>
    <row r="165" spans="1:19" x14ac:dyDescent="0.35">
      <c r="A165">
        <v>167</v>
      </c>
      <c r="B165" t="s">
        <v>664</v>
      </c>
      <c r="C165" s="1">
        <v>42255</v>
      </c>
      <c r="D165" s="1">
        <v>42259</v>
      </c>
      <c r="E165" s="1" t="str">
        <f t="shared" si="2"/>
        <v>FAST</v>
      </c>
      <c r="F165" t="s">
        <v>46</v>
      </c>
      <c r="G165" t="s">
        <v>665</v>
      </c>
      <c r="H165" t="s">
        <v>666</v>
      </c>
      <c r="I165" t="s">
        <v>22</v>
      </c>
      <c r="J165" t="s">
        <v>23</v>
      </c>
      <c r="K165" t="s">
        <v>667</v>
      </c>
      <c r="L165" t="s">
        <v>100</v>
      </c>
      <c r="M165">
        <v>78207</v>
      </c>
      <c r="N165" t="s">
        <v>101</v>
      </c>
      <c r="O165" t="s">
        <v>673</v>
      </c>
      <c r="P165" t="s">
        <v>42</v>
      </c>
      <c r="Q165" t="s">
        <v>55</v>
      </c>
      <c r="R165" t="s">
        <v>674</v>
      </c>
      <c r="S165">
        <v>275.928</v>
      </c>
    </row>
    <row r="166" spans="1:19" x14ac:dyDescent="0.35">
      <c r="A166">
        <v>168</v>
      </c>
      <c r="B166" t="s">
        <v>664</v>
      </c>
      <c r="C166" s="1">
        <v>42255</v>
      </c>
      <c r="D166" s="1">
        <v>42259</v>
      </c>
      <c r="E166" s="1" t="str">
        <f t="shared" si="2"/>
        <v>FAST</v>
      </c>
      <c r="F166" t="s">
        <v>46</v>
      </c>
      <c r="G166" t="s">
        <v>665</v>
      </c>
      <c r="H166" t="s">
        <v>666</v>
      </c>
      <c r="I166" t="s">
        <v>22</v>
      </c>
      <c r="J166" t="s">
        <v>23</v>
      </c>
      <c r="K166" t="s">
        <v>667</v>
      </c>
      <c r="L166" t="s">
        <v>100</v>
      </c>
      <c r="M166">
        <v>78207</v>
      </c>
      <c r="N166" t="s">
        <v>101</v>
      </c>
      <c r="O166" t="s">
        <v>675</v>
      </c>
      <c r="P166" t="s">
        <v>28</v>
      </c>
      <c r="Q166" t="s">
        <v>32</v>
      </c>
      <c r="R166" t="s">
        <v>676</v>
      </c>
      <c r="S166">
        <v>1740.06</v>
      </c>
    </row>
    <row r="167" spans="1:19" x14ac:dyDescent="0.35">
      <c r="A167">
        <v>169</v>
      </c>
      <c r="B167" t="s">
        <v>664</v>
      </c>
      <c r="C167" s="1">
        <v>42255</v>
      </c>
      <c r="D167" s="1">
        <v>42259</v>
      </c>
      <c r="E167" s="1" t="str">
        <f t="shared" si="2"/>
        <v>FAST</v>
      </c>
      <c r="F167" t="s">
        <v>46</v>
      </c>
      <c r="G167" t="s">
        <v>665</v>
      </c>
      <c r="H167" t="s">
        <v>666</v>
      </c>
      <c r="I167" t="s">
        <v>22</v>
      </c>
      <c r="J167" t="s">
        <v>23</v>
      </c>
      <c r="K167" t="s">
        <v>667</v>
      </c>
      <c r="L167" t="s">
        <v>100</v>
      </c>
      <c r="M167">
        <v>78207</v>
      </c>
      <c r="N167" t="s">
        <v>101</v>
      </c>
      <c r="O167" t="s">
        <v>677</v>
      </c>
      <c r="P167" t="s">
        <v>42</v>
      </c>
      <c r="Q167" t="s">
        <v>64</v>
      </c>
      <c r="R167" t="s">
        <v>678</v>
      </c>
      <c r="S167">
        <v>32.064</v>
      </c>
    </row>
    <row r="168" spans="1:19" x14ac:dyDescent="0.35">
      <c r="A168">
        <v>170</v>
      </c>
      <c r="B168" t="s">
        <v>664</v>
      </c>
      <c r="C168" s="1">
        <v>42255</v>
      </c>
      <c r="D168" s="1">
        <v>42259</v>
      </c>
      <c r="E168" s="1" t="str">
        <f t="shared" si="2"/>
        <v>FAST</v>
      </c>
      <c r="F168" t="s">
        <v>46</v>
      </c>
      <c r="G168" t="s">
        <v>665</v>
      </c>
      <c r="H168" t="s">
        <v>666</v>
      </c>
      <c r="I168" t="s">
        <v>22</v>
      </c>
      <c r="J168" t="s">
        <v>23</v>
      </c>
      <c r="K168" t="s">
        <v>667</v>
      </c>
      <c r="L168" t="s">
        <v>100</v>
      </c>
      <c r="M168">
        <v>78207</v>
      </c>
      <c r="N168" t="s">
        <v>101</v>
      </c>
      <c r="O168" t="s">
        <v>679</v>
      </c>
      <c r="P168" t="s">
        <v>42</v>
      </c>
      <c r="Q168" t="s">
        <v>74</v>
      </c>
      <c r="R168" t="s">
        <v>680</v>
      </c>
      <c r="S168">
        <v>177.98</v>
      </c>
    </row>
    <row r="169" spans="1:19" x14ac:dyDescent="0.35">
      <c r="A169">
        <v>171</v>
      </c>
      <c r="B169" t="s">
        <v>664</v>
      </c>
      <c r="C169" s="1">
        <v>42255</v>
      </c>
      <c r="D169" s="1">
        <v>42259</v>
      </c>
      <c r="E169" s="1" t="str">
        <f t="shared" si="2"/>
        <v>FAST</v>
      </c>
      <c r="F169" t="s">
        <v>46</v>
      </c>
      <c r="G169" t="s">
        <v>665</v>
      </c>
      <c r="H169" t="s">
        <v>666</v>
      </c>
      <c r="I169" t="s">
        <v>22</v>
      </c>
      <c r="J169" t="s">
        <v>23</v>
      </c>
      <c r="K169" t="s">
        <v>667</v>
      </c>
      <c r="L169" t="s">
        <v>100</v>
      </c>
      <c r="M169">
        <v>78207</v>
      </c>
      <c r="N169" t="s">
        <v>101</v>
      </c>
      <c r="O169" t="s">
        <v>681</v>
      </c>
      <c r="P169" t="s">
        <v>67</v>
      </c>
      <c r="Q169" t="s">
        <v>68</v>
      </c>
      <c r="R169" t="s">
        <v>682</v>
      </c>
      <c r="S169">
        <v>143.976</v>
      </c>
    </row>
    <row r="170" spans="1:19" x14ac:dyDescent="0.35">
      <c r="A170">
        <v>172</v>
      </c>
      <c r="B170" t="s">
        <v>683</v>
      </c>
      <c r="C170" s="1">
        <v>42221</v>
      </c>
      <c r="D170" s="1">
        <v>42225</v>
      </c>
      <c r="E170" s="1" t="str">
        <f t="shared" si="2"/>
        <v>FAST</v>
      </c>
      <c r="F170" t="s">
        <v>46</v>
      </c>
      <c r="G170" t="s">
        <v>684</v>
      </c>
      <c r="H170" t="s">
        <v>685</v>
      </c>
      <c r="I170" t="s">
        <v>22</v>
      </c>
      <c r="J170" t="s">
        <v>23</v>
      </c>
      <c r="K170" t="s">
        <v>38</v>
      </c>
      <c r="L170" t="s">
        <v>39</v>
      </c>
      <c r="M170">
        <v>90004</v>
      </c>
      <c r="N170" t="s">
        <v>40</v>
      </c>
      <c r="O170" t="s">
        <v>686</v>
      </c>
      <c r="P170" t="s">
        <v>42</v>
      </c>
      <c r="Q170" t="s">
        <v>86</v>
      </c>
      <c r="R170" t="s">
        <v>687</v>
      </c>
      <c r="S170">
        <v>20.94</v>
      </c>
    </row>
    <row r="171" spans="1:19" x14ac:dyDescent="0.35">
      <c r="A171">
        <v>173</v>
      </c>
      <c r="B171" t="s">
        <v>683</v>
      </c>
      <c r="C171" s="1">
        <v>42221</v>
      </c>
      <c r="D171" s="1">
        <v>42225</v>
      </c>
      <c r="E171" s="1" t="str">
        <f t="shared" si="2"/>
        <v>FAST</v>
      </c>
      <c r="F171" t="s">
        <v>46</v>
      </c>
      <c r="G171" t="s">
        <v>684</v>
      </c>
      <c r="H171" t="s">
        <v>685</v>
      </c>
      <c r="I171" t="s">
        <v>22</v>
      </c>
      <c r="J171" t="s">
        <v>23</v>
      </c>
      <c r="K171" t="s">
        <v>38</v>
      </c>
      <c r="L171" t="s">
        <v>39</v>
      </c>
      <c r="M171">
        <v>90004</v>
      </c>
      <c r="N171" t="s">
        <v>40</v>
      </c>
      <c r="O171" t="s">
        <v>688</v>
      </c>
      <c r="P171" t="s">
        <v>42</v>
      </c>
      <c r="Q171" t="s">
        <v>86</v>
      </c>
      <c r="R171" t="s">
        <v>689</v>
      </c>
      <c r="S171">
        <v>110.96</v>
      </c>
    </row>
    <row r="172" spans="1:19" x14ac:dyDescent="0.35">
      <c r="A172">
        <v>174</v>
      </c>
      <c r="B172" t="s">
        <v>683</v>
      </c>
      <c r="C172" s="1">
        <v>42221</v>
      </c>
      <c r="D172" s="1">
        <v>42225</v>
      </c>
      <c r="E172" s="1" t="str">
        <f t="shared" si="2"/>
        <v>FAST</v>
      </c>
      <c r="F172" t="s">
        <v>46</v>
      </c>
      <c r="G172" t="s">
        <v>684</v>
      </c>
      <c r="H172" t="s">
        <v>685</v>
      </c>
      <c r="I172" t="s">
        <v>22</v>
      </c>
      <c r="J172" t="s">
        <v>23</v>
      </c>
      <c r="K172" t="s">
        <v>38</v>
      </c>
      <c r="L172" t="s">
        <v>39</v>
      </c>
      <c r="M172">
        <v>90004</v>
      </c>
      <c r="N172" t="s">
        <v>40</v>
      </c>
      <c r="O172" t="s">
        <v>690</v>
      </c>
      <c r="P172" t="s">
        <v>28</v>
      </c>
      <c r="Q172" t="s">
        <v>32</v>
      </c>
      <c r="R172" t="s">
        <v>691</v>
      </c>
      <c r="S172">
        <v>340.14400000000001</v>
      </c>
    </row>
    <row r="173" spans="1:19" x14ac:dyDescent="0.35">
      <c r="A173">
        <v>175</v>
      </c>
      <c r="B173" t="s">
        <v>692</v>
      </c>
      <c r="C173" s="1">
        <v>42261</v>
      </c>
      <c r="D173" s="1">
        <v>42266</v>
      </c>
      <c r="E173" s="1" t="str">
        <f t="shared" si="2"/>
        <v>FAST</v>
      </c>
      <c r="F173" t="s">
        <v>46</v>
      </c>
      <c r="G173" t="s">
        <v>693</v>
      </c>
      <c r="H173" t="s">
        <v>694</v>
      </c>
      <c r="I173" t="s">
        <v>37</v>
      </c>
      <c r="J173" t="s">
        <v>23</v>
      </c>
      <c r="K173" t="s">
        <v>297</v>
      </c>
      <c r="L173" t="s">
        <v>205</v>
      </c>
      <c r="M173">
        <v>60623</v>
      </c>
      <c r="N173" t="s">
        <v>101</v>
      </c>
      <c r="O173" t="s">
        <v>695</v>
      </c>
      <c r="P173" t="s">
        <v>42</v>
      </c>
      <c r="Q173" t="s">
        <v>74</v>
      </c>
      <c r="R173" t="s">
        <v>696</v>
      </c>
      <c r="S173">
        <v>52.448</v>
      </c>
    </row>
    <row r="174" spans="1:19" x14ac:dyDescent="0.35">
      <c r="A174">
        <v>176</v>
      </c>
      <c r="B174" t="s">
        <v>692</v>
      </c>
      <c r="C174" s="1">
        <v>42261</v>
      </c>
      <c r="D174" s="1">
        <v>42266</v>
      </c>
      <c r="E174" s="1" t="str">
        <f t="shared" si="2"/>
        <v>FAST</v>
      </c>
      <c r="F174" t="s">
        <v>46</v>
      </c>
      <c r="G174" t="s">
        <v>693</v>
      </c>
      <c r="H174" t="s">
        <v>694</v>
      </c>
      <c r="I174" t="s">
        <v>37</v>
      </c>
      <c r="J174" t="s">
        <v>23</v>
      </c>
      <c r="K174" t="s">
        <v>297</v>
      </c>
      <c r="L174" t="s">
        <v>205</v>
      </c>
      <c r="M174">
        <v>60623</v>
      </c>
      <c r="N174" t="s">
        <v>101</v>
      </c>
      <c r="O174" t="s">
        <v>697</v>
      </c>
      <c r="P174" t="s">
        <v>42</v>
      </c>
      <c r="Q174" t="s">
        <v>43</v>
      </c>
      <c r="R174" t="s">
        <v>698</v>
      </c>
      <c r="S174">
        <v>20.16</v>
      </c>
    </row>
    <row r="175" spans="1:19" x14ac:dyDescent="0.35">
      <c r="A175">
        <v>177</v>
      </c>
      <c r="B175" t="s">
        <v>699</v>
      </c>
      <c r="C175" s="1">
        <v>43211</v>
      </c>
      <c r="D175" s="1">
        <v>43215</v>
      </c>
      <c r="E175" s="1" t="str">
        <f t="shared" si="2"/>
        <v>SLOW</v>
      </c>
      <c r="F175" t="s">
        <v>19</v>
      </c>
      <c r="G175" t="s">
        <v>700</v>
      </c>
      <c r="H175" t="s">
        <v>701</v>
      </c>
      <c r="I175" t="s">
        <v>22</v>
      </c>
      <c r="J175" t="s">
        <v>23</v>
      </c>
      <c r="K175" t="s">
        <v>180</v>
      </c>
      <c r="L175" t="s">
        <v>100</v>
      </c>
      <c r="M175">
        <v>77036</v>
      </c>
      <c r="N175" t="s">
        <v>101</v>
      </c>
      <c r="O175" t="s">
        <v>702</v>
      </c>
      <c r="P175" t="s">
        <v>42</v>
      </c>
      <c r="Q175" t="s">
        <v>74</v>
      </c>
      <c r="R175" t="s">
        <v>703</v>
      </c>
      <c r="S175">
        <v>97.263999999999996</v>
      </c>
    </row>
    <row r="176" spans="1:19" x14ac:dyDescent="0.35">
      <c r="A176">
        <v>178</v>
      </c>
      <c r="B176" t="s">
        <v>704</v>
      </c>
      <c r="C176" s="1">
        <v>42695</v>
      </c>
      <c r="D176" s="1">
        <v>42697</v>
      </c>
      <c r="E176" s="1" t="str">
        <f t="shared" si="2"/>
        <v>SLOW</v>
      </c>
      <c r="F176" t="s">
        <v>19</v>
      </c>
      <c r="G176" t="s">
        <v>326</v>
      </c>
      <c r="H176" t="s">
        <v>327</v>
      </c>
      <c r="I176" t="s">
        <v>22</v>
      </c>
      <c r="J176" t="s">
        <v>23</v>
      </c>
      <c r="K176" t="s">
        <v>594</v>
      </c>
      <c r="L176" t="s">
        <v>485</v>
      </c>
      <c r="M176">
        <v>43055</v>
      </c>
      <c r="N176" t="s">
        <v>144</v>
      </c>
      <c r="O176" t="s">
        <v>705</v>
      </c>
      <c r="P176" t="s">
        <v>28</v>
      </c>
      <c r="Q176" t="s">
        <v>32</v>
      </c>
      <c r="R176" t="s">
        <v>706</v>
      </c>
      <c r="S176">
        <v>396.80200000000002</v>
      </c>
    </row>
    <row r="177" spans="1:19" x14ac:dyDescent="0.35">
      <c r="A177">
        <v>179</v>
      </c>
      <c r="B177" t="s">
        <v>704</v>
      </c>
      <c r="C177" s="1">
        <v>42695</v>
      </c>
      <c r="D177" s="1">
        <v>42697</v>
      </c>
      <c r="E177" s="1" t="str">
        <f t="shared" si="2"/>
        <v>SLOW</v>
      </c>
      <c r="F177" t="s">
        <v>19</v>
      </c>
      <c r="G177" t="s">
        <v>326</v>
      </c>
      <c r="H177" t="s">
        <v>327</v>
      </c>
      <c r="I177" t="s">
        <v>22</v>
      </c>
      <c r="J177" t="s">
        <v>23</v>
      </c>
      <c r="K177" t="s">
        <v>594</v>
      </c>
      <c r="L177" t="s">
        <v>485</v>
      </c>
      <c r="M177">
        <v>43055</v>
      </c>
      <c r="N177" t="s">
        <v>144</v>
      </c>
      <c r="O177" t="s">
        <v>707</v>
      </c>
      <c r="P177" t="s">
        <v>42</v>
      </c>
      <c r="Q177" t="s">
        <v>566</v>
      </c>
      <c r="R177" t="s">
        <v>708</v>
      </c>
      <c r="S177">
        <v>15.88</v>
      </c>
    </row>
    <row r="178" spans="1:19" x14ac:dyDescent="0.35">
      <c r="A178">
        <v>180</v>
      </c>
      <c r="B178" t="s">
        <v>709</v>
      </c>
      <c r="C178" s="1">
        <v>42719</v>
      </c>
      <c r="D178" s="1">
        <v>42723</v>
      </c>
      <c r="E178" s="1" t="str">
        <f t="shared" si="2"/>
        <v>FAST</v>
      </c>
      <c r="F178" t="s">
        <v>46</v>
      </c>
      <c r="G178" t="s">
        <v>710</v>
      </c>
      <c r="H178" t="s">
        <v>711</v>
      </c>
      <c r="I178" t="s">
        <v>98</v>
      </c>
      <c r="J178" t="s">
        <v>23</v>
      </c>
      <c r="K178" t="s">
        <v>260</v>
      </c>
      <c r="L178" t="s">
        <v>261</v>
      </c>
      <c r="M178">
        <v>10009</v>
      </c>
      <c r="N178" t="s">
        <v>144</v>
      </c>
      <c r="O178" t="s">
        <v>712</v>
      </c>
      <c r="P178" t="s">
        <v>42</v>
      </c>
      <c r="Q178" t="s">
        <v>64</v>
      </c>
      <c r="R178" t="s">
        <v>713</v>
      </c>
      <c r="S178">
        <v>3.28</v>
      </c>
    </row>
    <row r="179" spans="1:19" x14ac:dyDescent="0.35">
      <c r="A179">
        <v>181</v>
      </c>
      <c r="B179" t="s">
        <v>714</v>
      </c>
      <c r="C179" s="1">
        <v>42343</v>
      </c>
      <c r="D179" s="1">
        <v>42347</v>
      </c>
      <c r="E179" s="1" t="str">
        <f t="shared" si="2"/>
        <v>SLOW</v>
      </c>
      <c r="F179" t="s">
        <v>19</v>
      </c>
      <c r="G179" t="s">
        <v>715</v>
      </c>
      <c r="H179" t="s">
        <v>716</v>
      </c>
      <c r="I179" t="s">
        <v>37</v>
      </c>
      <c r="J179" t="s">
        <v>23</v>
      </c>
      <c r="K179" t="s">
        <v>349</v>
      </c>
      <c r="L179" t="s">
        <v>205</v>
      </c>
      <c r="M179">
        <v>62521</v>
      </c>
      <c r="N179" t="s">
        <v>101</v>
      </c>
      <c r="O179" t="s">
        <v>717</v>
      </c>
      <c r="P179" t="s">
        <v>42</v>
      </c>
      <c r="Q179" t="s">
        <v>55</v>
      </c>
      <c r="R179" t="s">
        <v>718</v>
      </c>
      <c r="S179">
        <v>24.815999999999999</v>
      </c>
    </row>
    <row r="180" spans="1:19" x14ac:dyDescent="0.35">
      <c r="A180">
        <v>182</v>
      </c>
      <c r="B180" t="s">
        <v>714</v>
      </c>
      <c r="C180" s="1">
        <v>42343</v>
      </c>
      <c r="D180" s="1">
        <v>42347</v>
      </c>
      <c r="E180" s="1" t="str">
        <f t="shared" si="2"/>
        <v>SLOW</v>
      </c>
      <c r="F180" t="s">
        <v>19</v>
      </c>
      <c r="G180" t="s">
        <v>715</v>
      </c>
      <c r="H180" t="s">
        <v>716</v>
      </c>
      <c r="I180" t="s">
        <v>37</v>
      </c>
      <c r="J180" t="s">
        <v>23</v>
      </c>
      <c r="K180" t="s">
        <v>349</v>
      </c>
      <c r="L180" t="s">
        <v>205</v>
      </c>
      <c r="M180">
        <v>62521</v>
      </c>
      <c r="N180" t="s">
        <v>101</v>
      </c>
      <c r="O180" t="s">
        <v>719</v>
      </c>
      <c r="P180" t="s">
        <v>67</v>
      </c>
      <c r="Q180" t="s">
        <v>157</v>
      </c>
      <c r="R180" t="s">
        <v>720</v>
      </c>
      <c r="S180">
        <v>408.74400000000003</v>
      </c>
    </row>
    <row r="181" spans="1:19" x14ac:dyDescent="0.35">
      <c r="A181">
        <v>183</v>
      </c>
      <c r="B181" t="s">
        <v>721</v>
      </c>
      <c r="C181" s="1">
        <v>42327</v>
      </c>
      <c r="D181" s="1">
        <v>42332</v>
      </c>
      <c r="E181" s="1" t="str">
        <f t="shared" si="2"/>
        <v>SLOW</v>
      </c>
      <c r="F181" t="s">
        <v>19</v>
      </c>
      <c r="G181" t="s">
        <v>722</v>
      </c>
      <c r="H181" t="s">
        <v>723</v>
      </c>
      <c r="I181" t="s">
        <v>98</v>
      </c>
      <c r="J181" t="s">
        <v>23</v>
      </c>
      <c r="K181" t="s">
        <v>724</v>
      </c>
      <c r="L181" t="s">
        <v>725</v>
      </c>
      <c r="M181">
        <v>71203</v>
      </c>
      <c r="N181" t="s">
        <v>26</v>
      </c>
      <c r="O181" t="s">
        <v>726</v>
      </c>
      <c r="P181" t="s">
        <v>67</v>
      </c>
      <c r="Q181" t="s">
        <v>68</v>
      </c>
      <c r="R181" t="s">
        <v>727</v>
      </c>
      <c r="S181">
        <v>503.96</v>
      </c>
    </row>
    <row r="182" spans="1:19" x14ac:dyDescent="0.35">
      <c r="A182">
        <v>184</v>
      </c>
      <c r="B182" t="s">
        <v>721</v>
      </c>
      <c r="C182" s="1">
        <v>42327</v>
      </c>
      <c r="D182" s="1">
        <v>42332</v>
      </c>
      <c r="E182" s="1" t="str">
        <f t="shared" si="2"/>
        <v>SLOW</v>
      </c>
      <c r="F182" t="s">
        <v>19</v>
      </c>
      <c r="G182" t="s">
        <v>722</v>
      </c>
      <c r="H182" t="s">
        <v>723</v>
      </c>
      <c r="I182" t="s">
        <v>98</v>
      </c>
      <c r="J182" t="s">
        <v>23</v>
      </c>
      <c r="K182" t="s">
        <v>724</v>
      </c>
      <c r="L182" t="s">
        <v>725</v>
      </c>
      <c r="M182">
        <v>71203</v>
      </c>
      <c r="N182" t="s">
        <v>26</v>
      </c>
      <c r="O182" t="s">
        <v>728</v>
      </c>
      <c r="P182" t="s">
        <v>67</v>
      </c>
      <c r="Q182" t="s">
        <v>68</v>
      </c>
      <c r="R182" t="s">
        <v>729</v>
      </c>
      <c r="S182">
        <v>149.94999999999999</v>
      </c>
    </row>
    <row r="183" spans="1:19" x14ac:dyDescent="0.35">
      <c r="A183">
        <v>185</v>
      </c>
      <c r="B183" t="s">
        <v>721</v>
      </c>
      <c r="C183" s="1">
        <v>42327</v>
      </c>
      <c r="D183" s="1">
        <v>42332</v>
      </c>
      <c r="E183" s="1" t="str">
        <f t="shared" si="2"/>
        <v>SLOW</v>
      </c>
      <c r="F183" t="s">
        <v>19</v>
      </c>
      <c r="G183" t="s">
        <v>722</v>
      </c>
      <c r="H183" t="s">
        <v>723</v>
      </c>
      <c r="I183" t="s">
        <v>98</v>
      </c>
      <c r="J183" t="s">
        <v>23</v>
      </c>
      <c r="K183" t="s">
        <v>724</v>
      </c>
      <c r="L183" t="s">
        <v>725</v>
      </c>
      <c r="M183">
        <v>71203</v>
      </c>
      <c r="N183" t="s">
        <v>26</v>
      </c>
      <c r="O183" t="s">
        <v>730</v>
      </c>
      <c r="P183" t="s">
        <v>67</v>
      </c>
      <c r="Q183" t="s">
        <v>157</v>
      </c>
      <c r="R183" t="s">
        <v>731</v>
      </c>
      <c r="S183">
        <v>29</v>
      </c>
    </row>
    <row r="184" spans="1:19" x14ac:dyDescent="0.35">
      <c r="A184">
        <v>186</v>
      </c>
      <c r="B184" t="s">
        <v>732</v>
      </c>
      <c r="C184" s="1">
        <v>43067</v>
      </c>
      <c r="D184" s="1">
        <v>43071</v>
      </c>
      <c r="E184" s="1" t="str">
        <f t="shared" si="2"/>
        <v>FAST</v>
      </c>
      <c r="F184" t="s">
        <v>46</v>
      </c>
      <c r="G184" t="s">
        <v>733</v>
      </c>
      <c r="H184" t="s">
        <v>734</v>
      </c>
      <c r="I184" t="s">
        <v>22</v>
      </c>
      <c r="J184" t="s">
        <v>23</v>
      </c>
      <c r="K184" t="s">
        <v>735</v>
      </c>
      <c r="L184" t="s">
        <v>736</v>
      </c>
      <c r="M184">
        <v>6824</v>
      </c>
      <c r="N184" t="s">
        <v>144</v>
      </c>
      <c r="O184" t="s">
        <v>737</v>
      </c>
      <c r="P184" t="s">
        <v>42</v>
      </c>
      <c r="Q184" t="s">
        <v>71</v>
      </c>
      <c r="R184" t="s">
        <v>738</v>
      </c>
      <c r="S184">
        <v>7.16</v>
      </c>
    </row>
    <row r="185" spans="1:19" x14ac:dyDescent="0.35">
      <c r="A185">
        <v>187</v>
      </c>
      <c r="B185" t="s">
        <v>739</v>
      </c>
      <c r="C185" s="1">
        <v>42242</v>
      </c>
      <c r="D185" s="1">
        <v>42246</v>
      </c>
      <c r="E185" s="1" t="str">
        <f t="shared" si="2"/>
        <v>FAST</v>
      </c>
      <c r="F185" t="s">
        <v>46</v>
      </c>
      <c r="G185" t="s">
        <v>740</v>
      </c>
      <c r="H185" t="s">
        <v>741</v>
      </c>
      <c r="I185" t="s">
        <v>98</v>
      </c>
      <c r="J185" t="s">
        <v>23</v>
      </c>
      <c r="K185" t="s">
        <v>38</v>
      </c>
      <c r="L185" t="s">
        <v>39</v>
      </c>
      <c r="M185">
        <v>90032</v>
      </c>
      <c r="N185" t="s">
        <v>40</v>
      </c>
      <c r="O185" t="s">
        <v>742</v>
      </c>
      <c r="P185" t="s">
        <v>67</v>
      </c>
      <c r="Q185" t="s">
        <v>157</v>
      </c>
      <c r="R185" t="s">
        <v>743</v>
      </c>
      <c r="S185">
        <v>176.8</v>
      </c>
    </row>
    <row r="186" spans="1:19" x14ac:dyDescent="0.35">
      <c r="A186">
        <v>188</v>
      </c>
      <c r="B186" t="s">
        <v>744</v>
      </c>
      <c r="C186" s="1">
        <v>42932</v>
      </c>
      <c r="D186" s="1">
        <v>42938</v>
      </c>
      <c r="E186" s="1" t="str">
        <f t="shared" si="2"/>
        <v>FAST</v>
      </c>
      <c r="F186" t="s">
        <v>46</v>
      </c>
      <c r="G186" t="s">
        <v>745</v>
      </c>
      <c r="H186" t="s">
        <v>746</v>
      </c>
      <c r="I186" t="s">
        <v>37</v>
      </c>
      <c r="J186" t="s">
        <v>23</v>
      </c>
      <c r="K186" t="s">
        <v>747</v>
      </c>
      <c r="L186" t="s">
        <v>100</v>
      </c>
      <c r="M186">
        <v>75051</v>
      </c>
      <c r="N186" t="s">
        <v>101</v>
      </c>
      <c r="O186" t="s">
        <v>748</v>
      </c>
      <c r="P186" t="s">
        <v>42</v>
      </c>
      <c r="Q186" t="s">
        <v>55</v>
      </c>
      <c r="R186" t="s">
        <v>749</v>
      </c>
      <c r="S186">
        <v>37.223999999999997</v>
      </c>
    </row>
    <row r="187" spans="1:19" x14ac:dyDescent="0.35">
      <c r="A187">
        <v>189</v>
      </c>
      <c r="B187" t="s">
        <v>744</v>
      </c>
      <c r="C187" s="1">
        <v>42932</v>
      </c>
      <c r="D187" s="1">
        <v>42938</v>
      </c>
      <c r="E187" s="1" t="str">
        <f t="shared" si="2"/>
        <v>FAST</v>
      </c>
      <c r="F187" t="s">
        <v>46</v>
      </c>
      <c r="G187" t="s">
        <v>745</v>
      </c>
      <c r="H187" t="s">
        <v>746</v>
      </c>
      <c r="I187" t="s">
        <v>37</v>
      </c>
      <c r="J187" t="s">
        <v>23</v>
      </c>
      <c r="K187" t="s">
        <v>747</v>
      </c>
      <c r="L187" t="s">
        <v>100</v>
      </c>
      <c r="M187">
        <v>75051</v>
      </c>
      <c r="N187" t="s">
        <v>101</v>
      </c>
      <c r="O187" t="s">
        <v>619</v>
      </c>
      <c r="P187" t="s">
        <v>42</v>
      </c>
      <c r="Q187" t="s">
        <v>86</v>
      </c>
      <c r="R187" t="s">
        <v>620</v>
      </c>
      <c r="S187">
        <v>20.015999999999998</v>
      </c>
    </row>
    <row r="188" spans="1:19" x14ac:dyDescent="0.35">
      <c r="A188">
        <v>190</v>
      </c>
      <c r="B188" t="s">
        <v>750</v>
      </c>
      <c r="C188" s="1">
        <v>42655</v>
      </c>
      <c r="D188" s="1">
        <v>42657</v>
      </c>
      <c r="E188" s="1" t="str">
        <f t="shared" si="2"/>
        <v>MODERATE</v>
      </c>
      <c r="F188" t="s">
        <v>184</v>
      </c>
      <c r="G188" t="s">
        <v>751</v>
      </c>
      <c r="H188" t="s">
        <v>752</v>
      </c>
      <c r="I188" t="s">
        <v>98</v>
      </c>
      <c r="J188" t="s">
        <v>23</v>
      </c>
      <c r="K188" t="s">
        <v>260</v>
      </c>
      <c r="L188" t="s">
        <v>261</v>
      </c>
      <c r="M188">
        <v>10035</v>
      </c>
      <c r="N188" t="s">
        <v>144</v>
      </c>
      <c r="O188" t="s">
        <v>753</v>
      </c>
      <c r="P188" t="s">
        <v>28</v>
      </c>
      <c r="Q188" t="s">
        <v>29</v>
      </c>
      <c r="R188" t="s">
        <v>754</v>
      </c>
      <c r="S188">
        <v>899.13599999999997</v>
      </c>
    </row>
    <row r="189" spans="1:19" x14ac:dyDescent="0.35">
      <c r="A189">
        <v>191</v>
      </c>
      <c r="B189" t="s">
        <v>750</v>
      </c>
      <c r="C189" s="1">
        <v>42655</v>
      </c>
      <c r="D189" s="1">
        <v>42657</v>
      </c>
      <c r="E189" s="1" t="str">
        <f t="shared" si="2"/>
        <v>MODERATE</v>
      </c>
      <c r="F189" t="s">
        <v>184</v>
      </c>
      <c r="G189" t="s">
        <v>751</v>
      </c>
      <c r="H189" t="s">
        <v>752</v>
      </c>
      <c r="I189" t="s">
        <v>98</v>
      </c>
      <c r="J189" t="s">
        <v>23</v>
      </c>
      <c r="K189" t="s">
        <v>260</v>
      </c>
      <c r="L189" t="s">
        <v>261</v>
      </c>
      <c r="M189">
        <v>10035</v>
      </c>
      <c r="N189" t="s">
        <v>144</v>
      </c>
      <c r="O189" t="s">
        <v>755</v>
      </c>
      <c r="P189" t="s">
        <v>67</v>
      </c>
      <c r="Q189" t="s">
        <v>68</v>
      </c>
      <c r="R189" t="s">
        <v>756</v>
      </c>
      <c r="S189">
        <v>71.760000000000005</v>
      </c>
    </row>
    <row r="190" spans="1:19" x14ac:dyDescent="0.35">
      <c r="A190">
        <v>192</v>
      </c>
      <c r="B190" t="s">
        <v>750</v>
      </c>
      <c r="C190" s="1">
        <v>42655</v>
      </c>
      <c r="D190" s="1">
        <v>42657</v>
      </c>
      <c r="E190" s="1" t="str">
        <f t="shared" si="2"/>
        <v>MODERATE</v>
      </c>
      <c r="F190" t="s">
        <v>184</v>
      </c>
      <c r="G190" t="s">
        <v>751</v>
      </c>
      <c r="H190" t="s">
        <v>752</v>
      </c>
      <c r="I190" t="s">
        <v>98</v>
      </c>
      <c r="J190" t="s">
        <v>23</v>
      </c>
      <c r="K190" t="s">
        <v>260</v>
      </c>
      <c r="L190" t="s">
        <v>261</v>
      </c>
      <c r="M190">
        <v>10035</v>
      </c>
      <c r="N190" t="s">
        <v>144</v>
      </c>
      <c r="O190" t="s">
        <v>757</v>
      </c>
      <c r="P190" t="s">
        <v>42</v>
      </c>
      <c r="Q190" t="s">
        <v>86</v>
      </c>
      <c r="R190" t="s">
        <v>758</v>
      </c>
      <c r="S190">
        <v>51.84</v>
      </c>
    </row>
    <row r="191" spans="1:19" x14ac:dyDescent="0.35">
      <c r="A191">
        <v>193</v>
      </c>
      <c r="B191" t="s">
        <v>750</v>
      </c>
      <c r="C191" s="1">
        <v>42655</v>
      </c>
      <c r="D191" s="1">
        <v>42657</v>
      </c>
      <c r="E191" s="1" t="str">
        <f t="shared" si="2"/>
        <v>MODERATE</v>
      </c>
      <c r="F191" t="s">
        <v>184</v>
      </c>
      <c r="G191" t="s">
        <v>751</v>
      </c>
      <c r="H191" t="s">
        <v>752</v>
      </c>
      <c r="I191" t="s">
        <v>98</v>
      </c>
      <c r="J191" t="s">
        <v>23</v>
      </c>
      <c r="K191" t="s">
        <v>260</v>
      </c>
      <c r="L191" t="s">
        <v>261</v>
      </c>
      <c r="M191">
        <v>10035</v>
      </c>
      <c r="N191" t="s">
        <v>144</v>
      </c>
      <c r="O191" t="s">
        <v>195</v>
      </c>
      <c r="P191" t="s">
        <v>28</v>
      </c>
      <c r="Q191" t="s">
        <v>29</v>
      </c>
      <c r="R191" t="s">
        <v>196</v>
      </c>
      <c r="S191">
        <v>626.35199999999998</v>
      </c>
    </row>
    <row r="192" spans="1:19" x14ac:dyDescent="0.35">
      <c r="A192">
        <v>195</v>
      </c>
      <c r="B192" t="s">
        <v>759</v>
      </c>
      <c r="C192" s="1">
        <v>42674</v>
      </c>
      <c r="D192" s="1">
        <v>42680</v>
      </c>
      <c r="E192" s="1" t="str">
        <f t="shared" si="2"/>
        <v>FAST</v>
      </c>
      <c r="F192" t="s">
        <v>46</v>
      </c>
      <c r="G192" t="s">
        <v>760</v>
      </c>
      <c r="H192" t="s">
        <v>761</v>
      </c>
      <c r="I192" t="s">
        <v>37</v>
      </c>
      <c r="J192" t="s">
        <v>23</v>
      </c>
      <c r="K192" t="s">
        <v>762</v>
      </c>
      <c r="L192" t="s">
        <v>39</v>
      </c>
      <c r="M192">
        <v>92374</v>
      </c>
      <c r="N192" t="s">
        <v>40</v>
      </c>
      <c r="O192" t="s">
        <v>168</v>
      </c>
      <c r="P192" t="s">
        <v>42</v>
      </c>
      <c r="Q192" t="s">
        <v>169</v>
      </c>
      <c r="R192" t="s">
        <v>170</v>
      </c>
      <c r="S192">
        <v>14.28</v>
      </c>
    </row>
    <row r="193" spans="1:19" x14ac:dyDescent="0.35">
      <c r="A193">
        <v>196</v>
      </c>
      <c r="B193" t="s">
        <v>763</v>
      </c>
      <c r="C193" s="1">
        <v>42084</v>
      </c>
      <c r="D193" s="1">
        <v>42088</v>
      </c>
      <c r="E193" s="1" t="str">
        <f t="shared" si="2"/>
        <v>FAST</v>
      </c>
      <c r="F193" t="s">
        <v>46</v>
      </c>
      <c r="G193" t="s">
        <v>764</v>
      </c>
      <c r="H193" t="s">
        <v>765</v>
      </c>
      <c r="I193" t="s">
        <v>22</v>
      </c>
      <c r="J193" t="s">
        <v>23</v>
      </c>
      <c r="K193" t="s">
        <v>766</v>
      </c>
      <c r="L193" t="s">
        <v>485</v>
      </c>
      <c r="M193">
        <v>45011</v>
      </c>
      <c r="N193" t="s">
        <v>144</v>
      </c>
      <c r="O193" t="s">
        <v>767</v>
      </c>
      <c r="P193" t="s">
        <v>42</v>
      </c>
      <c r="Q193" t="s">
        <v>64</v>
      </c>
      <c r="R193" t="s">
        <v>768</v>
      </c>
      <c r="S193">
        <v>7.4080000000000004</v>
      </c>
    </row>
    <row r="194" spans="1:19" x14ac:dyDescent="0.35">
      <c r="A194">
        <v>197</v>
      </c>
      <c r="B194" t="s">
        <v>763</v>
      </c>
      <c r="C194" s="1">
        <v>42084</v>
      </c>
      <c r="D194" s="1">
        <v>42088</v>
      </c>
      <c r="E194" s="1" t="str">
        <f t="shared" si="2"/>
        <v>FAST</v>
      </c>
      <c r="F194" t="s">
        <v>46</v>
      </c>
      <c r="G194" t="s">
        <v>764</v>
      </c>
      <c r="H194" t="s">
        <v>765</v>
      </c>
      <c r="I194" t="s">
        <v>22</v>
      </c>
      <c r="J194" t="s">
        <v>23</v>
      </c>
      <c r="K194" t="s">
        <v>766</v>
      </c>
      <c r="L194" t="s">
        <v>485</v>
      </c>
      <c r="M194">
        <v>45011</v>
      </c>
      <c r="N194" t="s">
        <v>144</v>
      </c>
      <c r="O194" t="s">
        <v>769</v>
      </c>
      <c r="P194" t="s">
        <v>42</v>
      </c>
      <c r="Q194" t="s">
        <v>64</v>
      </c>
      <c r="R194" t="s">
        <v>770</v>
      </c>
      <c r="S194">
        <v>6.048</v>
      </c>
    </row>
    <row r="195" spans="1:19" x14ac:dyDescent="0.35">
      <c r="A195">
        <v>198</v>
      </c>
      <c r="B195" t="s">
        <v>771</v>
      </c>
      <c r="C195" s="1">
        <v>43410</v>
      </c>
      <c r="D195" s="1">
        <v>43417</v>
      </c>
      <c r="E195" s="1" t="str">
        <f t="shared" ref="E195:E258" si="3">IF(F195="STANDARD CLASS","FAST",IF(F195="SECOND CLASS","SLOW","MODERATE"))</f>
        <v>FAST</v>
      </c>
      <c r="F195" t="s">
        <v>46</v>
      </c>
      <c r="G195" t="s">
        <v>772</v>
      </c>
      <c r="H195" t="s">
        <v>773</v>
      </c>
      <c r="I195" t="s">
        <v>98</v>
      </c>
      <c r="J195" t="s">
        <v>23</v>
      </c>
      <c r="K195" t="s">
        <v>774</v>
      </c>
      <c r="L195" t="s">
        <v>775</v>
      </c>
      <c r="M195">
        <v>7090</v>
      </c>
      <c r="N195" t="s">
        <v>144</v>
      </c>
      <c r="O195" t="s">
        <v>776</v>
      </c>
      <c r="P195" t="s">
        <v>42</v>
      </c>
      <c r="Q195" t="s">
        <v>55</v>
      </c>
      <c r="R195" t="s">
        <v>777</v>
      </c>
      <c r="S195">
        <v>46.26</v>
      </c>
    </row>
    <row r="196" spans="1:19" x14ac:dyDescent="0.35">
      <c r="A196">
        <v>199</v>
      </c>
      <c r="B196" t="s">
        <v>778</v>
      </c>
      <c r="C196" s="1">
        <v>43287</v>
      </c>
      <c r="D196" s="1">
        <v>43294</v>
      </c>
      <c r="E196" s="1" t="str">
        <f t="shared" si="3"/>
        <v>FAST</v>
      </c>
      <c r="F196" t="s">
        <v>46</v>
      </c>
      <c r="G196" t="s">
        <v>779</v>
      </c>
      <c r="H196" t="s">
        <v>780</v>
      </c>
      <c r="I196" t="s">
        <v>37</v>
      </c>
      <c r="J196" t="s">
        <v>23</v>
      </c>
      <c r="K196" t="s">
        <v>142</v>
      </c>
      <c r="L196" t="s">
        <v>143</v>
      </c>
      <c r="M196">
        <v>19120</v>
      </c>
      <c r="N196" t="s">
        <v>144</v>
      </c>
      <c r="O196" t="s">
        <v>781</v>
      </c>
      <c r="P196" t="s">
        <v>42</v>
      </c>
      <c r="Q196" t="s">
        <v>71</v>
      </c>
      <c r="R196" t="s">
        <v>782</v>
      </c>
      <c r="S196">
        <v>2.9460000000000002</v>
      </c>
    </row>
    <row r="197" spans="1:19" x14ac:dyDescent="0.35">
      <c r="A197">
        <v>200</v>
      </c>
      <c r="B197" t="s">
        <v>778</v>
      </c>
      <c r="C197" s="1">
        <v>43287</v>
      </c>
      <c r="D197" s="1">
        <v>43294</v>
      </c>
      <c r="E197" s="1" t="str">
        <f t="shared" si="3"/>
        <v>FAST</v>
      </c>
      <c r="F197" t="s">
        <v>46</v>
      </c>
      <c r="G197" t="s">
        <v>779</v>
      </c>
      <c r="H197" t="s">
        <v>780</v>
      </c>
      <c r="I197" t="s">
        <v>37</v>
      </c>
      <c r="J197" t="s">
        <v>23</v>
      </c>
      <c r="K197" t="s">
        <v>142</v>
      </c>
      <c r="L197" t="s">
        <v>143</v>
      </c>
      <c r="M197">
        <v>19120</v>
      </c>
      <c r="N197" t="s">
        <v>144</v>
      </c>
      <c r="O197" t="s">
        <v>783</v>
      </c>
      <c r="P197" t="s">
        <v>42</v>
      </c>
      <c r="Q197" t="s">
        <v>86</v>
      </c>
      <c r="R197" t="s">
        <v>784</v>
      </c>
      <c r="S197">
        <v>16.056000000000001</v>
      </c>
    </row>
    <row r="198" spans="1:19" x14ac:dyDescent="0.35">
      <c r="A198">
        <v>201</v>
      </c>
      <c r="B198" t="s">
        <v>785</v>
      </c>
      <c r="C198" s="1">
        <v>43275</v>
      </c>
      <c r="D198" s="1">
        <v>43280</v>
      </c>
      <c r="E198" s="1" t="str">
        <f t="shared" si="3"/>
        <v>FAST</v>
      </c>
      <c r="F198" t="s">
        <v>46</v>
      </c>
      <c r="G198" t="s">
        <v>786</v>
      </c>
      <c r="H198" t="s">
        <v>787</v>
      </c>
      <c r="I198" t="s">
        <v>22</v>
      </c>
      <c r="J198" t="s">
        <v>23</v>
      </c>
      <c r="K198" t="s">
        <v>788</v>
      </c>
      <c r="L198" t="s">
        <v>485</v>
      </c>
      <c r="M198">
        <v>44312</v>
      </c>
      <c r="N198" t="s">
        <v>144</v>
      </c>
      <c r="O198" t="s">
        <v>789</v>
      </c>
      <c r="P198" t="s">
        <v>42</v>
      </c>
      <c r="Q198" t="s">
        <v>86</v>
      </c>
      <c r="R198" t="s">
        <v>790</v>
      </c>
      <c r="S198">
        <v>21.744</v>
      </c>
    </row>
    <row r="199" spans="1:19" x14ac:dyDescent="0.35">
      <c r="A199">
        <v>202</v>
      </c>
      <c r="B199" t="s">
        <v>791</v>
      </c>
      <c r="C199" s="1">
        <v>42219</v>
      </c>
      <c r="D199" s="1">
        <v>42221</v>
      </c>
      <c r="E199" s="1" t="str">
        <f t="shared" si="3"/>
        <v>MODERATE</v>
      </c>
      <c r="F199" t="s">
        <v>184</v>
      </c>
      <c r="G199" t="s">
        <v>792</v>
      </c>
      <c r="H199" t="s">
        <v>793</v>
      </c>
      <c r="I199" t="s">
        <v>22</v>
      </c>
      <c r="J199" t="s">
        <v>23</v>
      </c>
      <c r="K199" t="s">
        <v>794</v>
      </c>
      <c r="L199" t="s">
        <v>444</v>
      </c>
      <c r="M199">
        <v>80219</v>
      </c>
      <c r="N199" t="s">
        <v>40</v>
      </c>
      <c r="O199" t="s">
        <v>795</v>
      </c>
      <c r="P199" t="s">
        <v>28</v>
      </c>
      <c r="Q199" t="s">
        <v>52</v>
      </c>
      <c r="R199" t="s">
        <v>796</v>
      </c>
      <c r="S199">
        <v>218.75</v>
      </c>
    </row>
    <row r="200" spans="1:19" x14ac:dyDescent="0.35">
      <c r="A200">
        <v>203</v>
      </c>
      <c r="B200" t="s">
        <v>791</v>
      </c>
      <c r="C200" s="1">
        <v>42219</v>
      </c>
      <c r="D200" s="1">
        <v>42221</v>
      </c>
      <c r="E200" s="1" t="str">
        <f t="shared" si="3"/>
        <v>MODERATE</v>
      </c>
      <c r="F200" t="s">
        <v>184</v>
      </c>
      <c r="G200" t="s">
        <v>792</v>
      </c>
      <c r="H200" t="s">
        <v>793</v>
      </c>
      <c r="I200" t="s">
        <v>22</v>
      </c>
      <c r="J200" t="s">
        <v>23</v>
      </c>
      <c r="K200" t="s">
        <v>794</v>
      </c>
      <c r="L200" t="s">
        <v>444</v>
      </c>
      <c r="M200">
        <v>80219</v>
      </c>
      <c r="N200" t="s">
        <v>40</v>
      </c>
      <c r="O200" t="s">
        <v>797</v>
      </c>
      <c r="P200" t="s">
        <v>42</v>
      </c>
      <c r="Q200" t="s">
        <v>74</v>
      </c>
      <c r="R200" t="s">
        <v>798</v>
      </c>
      <c r="S200">
        <v>2.6</v>
      </c>
    </row>
    <row r="201" spans="1:19" x14ac:dyDescent="0.35">
      <c r="A201">
        <v>204</v>
      </c>
      <c r="B201" t="s">
        <v>799</v>
      </c>
      <c r="C201" s="1">
        <v>43451</v>
      </c>
      <c r="D201" s="1">
        <v>43455</v>
      </c>
      <c r="E201" s="1" t="str">
        <f t="shared" si="3"/>
        <v>SLOW</v>
      </c>
      <c r="F201" t="s">
        <v>19</v>
      </c>
      <c r="G201" t="s">
        <v>800</v>
      </c>
      <c r="H201" t="s">
        <v>801</v>
      </c>
      <c r="I201" t="s">
        <v>22</v>
      </c>
      <c r="J201" t="s">
        <v>23</v>
      </c>
      <c r="K201" t="s">
        <v>802</v>
      </c>
      <c r="L201" t="s">
        <v>100</v>
      </c>
      <c r="M201">
        <v>75220</v>
      </c>
      <c r="N201" t="s">
        <v>101</v>
      </c>
      <c r="O201" t="s">
        <v>803</v>
      </c>
      <c r="P201" t="s">
        <v>42</v>
      </c>
      <c r="Q201" t="s">
        <v>74</v>
      </c>
      <c r="R201" t="s">
        <v>804</v>
      </c>
      <c r="S201">
        <v>66.284000000000006</v>
      </c>
    </row>
    <row r="202" spans="1:19" x14ac:dyDescent="0.35">
      <c r="A202">
        <v>205</v>
      </c>
      <c r="B202" t="s">
        <v>805</v>
      </c>
      <c r="C202" s="1">
        <v>43254</v>
      </c>
      <c r="D202" s="1">
        <v>43258</v>
      </c>
      <c r="E202" s="1" t="str">
        <f t="shared" si="3"/>
        <v>FAST</v>
      </c>
      <c r="F202" t="s">
        <v>46</v>
      </c>
      <c r="G202" t="s">
        <v>806</v>
      </c>
      <c r="H202" t="s">
        <v>807</v>
      </c>
      <c r="I202" t="s">
        <v>37</v>
      </c>
      <c r="J202" t="s">
        <v>23</v>
      </c>
      <c r="K202" t="s">
        <v>600</v>
      </c>
      <c r="L202" t="s">
        <v>329</v>
      </c>
      <c r="M202">
        <v>37064</v>
      </c>
      <c r="N202" t="s">
        <v>26</v>
      </c>
      <c r="O202" t="s">
        <v>808</v>
      </c>
      <c r="P202" t="s">
        <v>28</v>
      </c>
      <c r="Q202" t="s">
        <v>61</v>
      </c>
      <c r="R202" t="s">
        <v>809</v>
      </c>
      <c r="S202">
        <v>35.167999999999999</v>
      </c>
    </row>
    <row r="203" spans="1:19" x14ac:dyDescent="0.35">
      <c r="A203">
        <v>206</v>
      </c>
      <c r="B203" t="s">
        <v>810</v>
      </c>
      <c r="C203" s="1">
        <v>43443</v>
      </c>
      <c r="D203" s="1">
        <v>43448</v>
      </c>
      <c r="E203" s="1" t="str">
        <f t="shared" si="3"/>
        <v>FAST</v>
      </c>
      <c r="F203" t="s">
        <v>46</v>
      </c>
      <c r="G203" t="s">
        <v>811</v>
      </c>
      <c r="H203" t="s">
        <v>812</v>
      </c>
      <c r="I203" t="s">
        <v>22</v>
      </c>
      <c r="J203" t="s">
        <v>23</v>
      </c>
      <c r="K203" t="s">
        <v>813</v>
      </c>
      <c r="L203" t="s">
        <v>39</v>
      </c>
      <c r="M203">
        <v>90604</v>
      </c>
      <c r="N203" t="s">
        <v>40</v>
      </c>
      <c r="O203" t="s">
        <v>814</v>
      </c>
      <c r="P203" t="s">
        <v>67</v>
      </c>
      <c r="Q203" t="s">
        <v>68</v>
      </c>
      <c r="R203" t="s">
        <v>815</v>
      </c>
      <c r="S203">
        <v>444.76799999999997</v>
      </c>
    </row>
    <row r="204" spans="1:19" x14ac:dyDescent="0.35">
      <c r="A204">
        <v>207</v>
      </c>
      <c r="B204" t="s">
        <v>816</v>
      </c>
      <c r="C204" s="1">
        <v>43435</v>
      </c>
      <c r="D204" s="1">
        <v>43441</v>
      </c>
      <c r="E204" s="1" t="str">
        <f t="shared" si="3"/>
        <v>FAST</v>
      </c>
      <c r="F204" t="s">
        <v>46</v>
      </c>
      <c r="G204" t="s">
        <v>817</v>
      </c>
      <c r="H204" t="s">
        <v>818</v>
      </c>
      <c r="I204" t="s">
        <v>22</v>
      </c>
      <c r="J204" t="s">
        <v>23</v>
      </c>
      <c r="K204" t="s">
        <v>819</v>
      </c>
      <c r="L204" t="s">
        <v>232</v>
      </c>
      <c r="M204">
        <v>48601</v>
      </c>
      <c r="N204" t="s">
        <v>101</v>
      </c>
      <c r="O204" t="s">
        <v>820</v>
      </c>
      <c r="P204" t="s">
        <v>42</v>
      </c>
      <c r="Q204" t="s">
        <v>55</v>
      </c>
      <c r="R204" t="s">
        <v>821</v>
      </c>
      <c r="S204">
        <v>83.92</v>
      </c>
    </row>
    <row r="205" spans="1:19" x14ac:dyDescent="0.35">
      <c r="A205">
        <v>208</v>
      </c>
      <c r="B205" t="s">
        <v>816</v>
      </c>
      <c r="C205" s="1">
        <v>43435</v>
      </c>
      <c r="D205" s="1">
        <v>43441</v>
      </c>
      <c r="E205" s="1" t="str">
        <f t="shared" si="3"/>
        <v>FAST</v>
      </c>
      <c r="F205" t="s">
        <v>46</v>
      </c>
      <c r="G205" t="s">
        <v>817</v>
      </c>
      <c r="H205" t="s">
        <v>818</v>
      </c>
      <c r="I205" t="s">
        <v>22</v>
      </c>
      <c r="J205" t="s">
        <v>23</v>
      </c>
      <c r="K205" t="s">
        <v>819</v>
      </c>
      <c r="L205" t="s">
        <v>232</v>
      </c>
      <c r="M205">
        <v>48601</v>
      </c>
      <c r="N205" t="s">
        <v>101</v>
      </c>
      <c r="O205" t="s">
        <v>822</v>
      </c>
      <c r="P205" t="s">
        <v>67</v>
      </c>
      <c r="Q205" t="s">
        <v>68</v>
      </c>
      <c r="R205" t="s">
        <v>823</v>
      </c>
      <c r="S205">
        <v>131.97999999999999</v>
      </c>
    </row>
    <row r="206" spans="1:19" x14ac:dyDescent="0.35">
      <c r="A206">
        <v>209</v>
      </c>
      <c r="B206" t="s">
        <v>816</v>
      </c>
      <c r="C206" s="1">
        <v>43435</v>
      </c>
      <c r="D206" s="1">
        <v>43441</v>
      </c>
      <c r="E206" s="1" t="str">
        <f t="shared" si="3"/>
        <v>FAST</v>
      </c>
      <c r="F206" t="s">
        <v>46</v>
      </c>
      <c r="G206" t="s">
        <v>817</v>
      </c>
      <c r="H206" t="s">
        <v>818</v>
      </c>
      <c r="I206" t="s">
        <v>22</v>
      </c>
      <c r="J206" t="s">
        <v>23</v>
      </c>
      <c r="K206" t="s">
        <v>819</v>
      </c>
      <c r="L206" t="s">
        <v>232</v>
      </c>
      <c r="M206">
        <v>48601</v>
      </c>
      <c r="N206" t="s">
        <v>101</v>
      </c>
      <c r="O206" t="s">
        <v>532</v>
      </c>
      <c r="P206" t="s">
        <v>42</v>
      </c>
      <c r="Q206" t="s">
        <v>71</v>
      </c>
      <c r="R206" t="s">
        <v>533</v>
      </c>
      <c r="S206">
        <v>15.92</v>
      </c>
    </row>
    <row r="207" spans="1:19" x14ac:dyDescent="0.35">
      <c r="A207">
        <v>210</v>
      </c>
      <c r="B207" t="s">
        <v>816</v>
      </c>
      <c r="C207" s="1">
        <v>43435</v>
      </c>
      <c r="D207" s="1">
        <v>43441</v>
      </c>
      <c r="E207" s="1" t="str">
        <f t="shared" si="3"/>
        <v>FAST</v>
      </c>
      <c r="F207" t="s">
        <v>46</v>
      </c>
      <c r="G207" t="s">
        <v>817</v>
      </c>
      <c r="H207" t="s">
        <v>818</v>
      </c>
      <c r="I207" t="s">
        <v>22</v>
      </c>
      <c r="J207" t="s">
        <v>23</v>
      </c>
      <c r="K207" t="s">
        <v>819</v>
      </c>
      <c r="L207" t="s">
        <v>232</v>
      </c>
      <c r="M207">
        <v>48601</v>
      </c>
      <c r="N207" t="s">
        <v>101</v>
      </c>
      <c r="O207" t="s">
        <v>824</v>
      </c>
      <c r="P207" t="s">
        <v>42</v>
      </c>
      <c r="Q207" t="s">
        <v>263</v>
      </c>
      <c r="R207" t="s">
        <v>825</v>
      </c>
      <c r="S207">
        <v>52.29</v>
      </c>
    </row>
    <row r="208" spans="1:19" x14ac:dyDescent="0.35">
      <c r="A208">
        <v>211</v>
      </c>
      <c r="B208" t="s">
        <v>816</v>
      </c>
      <c r="C208" s="1">
        <v>43435</v>
      </c>
      <c r="D208" s="1">
        <v>43441</v>
      </c>
      <c r="E208" s="1" t="str">
        <f t="shared" si="3"/>
        <v>FAST</v>
      </c>
      <c r="F208" t="s">
        <v>46</v>
      </c>
      <c r="G208" t="s">
        <v>817</v>
      </c>
      <c r="H208" t="s">
        <v>818</v>
      </c>
      <c r="I208" t="s">
        <v>22</v>
      </c>
      <c r="J208" t="s">
        <v>23</v>
      </c>
      <c r="K208" t="s">
        <v>819</v>
      </c>
      <c r="L208" t="s">
        <v>232</v>
      </c>
      <c r="M208">
        <v>48601</v>
      </c>
      <c r="N208" t="s">
        <v>101</v>
      </c>
      <c r="O208" t="s">
        <v>826</v>
      </c>
      <c r="P208" t="s">
        <v>42</v>
      </c>
      <c r="Q208" t="s">
        <v>55</v>
      </c>
      <c r="R208" t="s">
        <v>827</v>
      </c>
      <c r="S208">
        <v>91.99</v>
      </c>
    </row>
    <row r="209" spans="1:19" x14ac:dyDescent="0.35">
      <c r="A209">
        <v>212</v>
      </c>
      <c r="B209" t="s">
        <v>828</v>
      </c>
      <c r="C209" s="1">
        <v>42409</v>
      </c>
      <c r="D209" s="1">
        <v>42413</v>
      </c>
      <c r="E209" s="1" t="str">
        <f t="shared" si="3"/>
        <v>SLOW</v>
      </c>
      <c r="F209" t="s">
        <v>19</v>
      </c>
      <c r="G209" t="s">
        <v>829</v>
      </c>
      <c r="H209" t="s">
        <v>830</v>
      </c>
      <c r="I209" t="s">
        <v>37</v>
      </c>
      <c r="J209" t="s">
        <v>23</v>
      </c>
      <c r="K209" t="s">
        <v>802</v>
      </c>
      <c r="L209" t="s">
        <v>100</v>
      </c>
      <c r="M209">
        <v>75220</v>
      </c>
      <c r="N209" t="s">
        <v>101</v>
      </c>
      <c r="O209" t="s">
        <v>831</v>
      </c>
      <c r="P209" t="s">
        <v>67</v>
      </c>
      <c r="Q209" t="s">
        <v>157</v>
      </c>
      <c r="R209" t="s">
        <v>832</v>
      </c>
      <c r="S209">
        <v>20.8</v>
      </c>
    </row>
    <row r="210" spans="1:19" x14ac:dyDescent="0.35">
      <c r="A210">
        <v>213</v>
      </c>
      <c r="B210" t="s">
        <v>833</v>
      </c>
      <c r="C210" s="1">
        <v>42371</v>
      </c>
      <c r="D210" s="1">
        <v>42378</v>
      </c>
      <c r="E210" s="1" t="str">
        <f t="shared" si="3"/>
        <v>FAST</v>
      </c>
      <c r="F210" t="s">
        <v>46</v>
      </c>
      <c r="G210" t="s">
        <v>834</v>
      </c>
      <c r="H210" t="s">
        <v>835</v>
      </c>
      <c r="I210" t="s">
        <v>37</v>
      </c>
      <c r="J210" t="s">
        <v>23</v>
      </c>
      <c r="K210" t="s">
        <v>836</v>
      </c>
      <c r="L210" t="s">
        <v>485</v>
      </c>
      <c r="M210">
        <v>44256</v>
      </c>
      <c r="N210" t="s">
        <v>144</v>
      </c>
      <c r="O210" t="s">
        <v>837</v>
      </c>
      <c r="P210" t="s">
        <v>42</v>
      </c>
      <c r="Q210" t="s">
        <v>43</v>
      </c>
      <c r="R210" t="s">
        <v>838</v>
      </c>
      <c r="S210">
        <v>23.68</v>
      </c>
    </row>
    <row r="211" spans="1:19" x14ac:dyDescent="0.35">
      <c r="A211">
        <v>214</v>
      </c>
      <c r="B211" t="s">
        <v>833</v>
      </c>
      <c r="C211" s="1">
        <v>42371</v>
      </c>
      <c r="D211" s="1">
        <v>42378</v>
      </c>
      <c r="E211" s="1" t="str">
        <f t="shared" si="3"/>
        <v>FAST</v>
      </c>
      <c r="F211" t="s">
        <v>46</v>
      </c>
      <c r="G211" t="s">
        <v>834</v>
      </c>
      <c r="H211" t="s">
        <v>835</v>
      </c>
      <c r="I211" t="s">
        <v>37</v>
      </c>
      <c r="J211" t="s">
        <v>23</v>
      </c>
      <c r="K211" t="s">
        <v>836</v>
      </c>
      <c r="L211" t="s">
        <v>485</v>
      </c>
      <c r="M211">
        <v>44256</v>
      </c>
      <c r="N211" t="s">
        <v>144</v>
      </c>
      <c r="O211" t="s">
        <v>839</v>
      </c>
      <c r="P211" t="s">
        <v>28</v>
      </c>
      <c r="Q211" t="s">
        <v>29</v>
      </c>
      <c r="R211" t="s">
        <v>840</v>
      </c>
      <c r="S211">
        <v>452.45</v>
      </c>
    </row>
    <row r="212" spans="1:19" x14ac:dyDescent="0.35">
      <c r="A212">
        <v>215</v>
      </c>
      <c r="B212" t="s">
        <v>833</v>
      </c>
      <c r="C212" s="1">
        <v>42371</v>
      </c>
      <c r="D212" s="1">
        <v>42378</v>
      </c>
      <c r="E212" s="1" t="str">
        <f t="shared" si="3"/>
        <v>FAST</v>
      </c>
      <c r="F212" t="s">
        <v>46</v>
      </c>
      <c r="G212" t="s">
        <v>834</v>
      </c>
      <c r="H212" t="s">
        <v>835</v>
      </c>
      <c r="I212" t="s">
        <v>37</v>
      </c>
      <c r="J212" t="s">
        <v>23</v>
      </c>
      <c r="K212" t="s">
        <v>836</v>
      </c>
      <c r="L212" t="s">
        <v>485</v>
      </c>
      <c r="M212">
        <v>44256</v>
      </c>
      <c r="N212" t="s">
        <v>144</v>
      </c>
      <c r="O212" t="s">
        <v>457</v>
      </c>
      <c r="P212" t="s">
        <v>67</v>
      </c>
      <c r="Q212" t="s">
        <v>68</v>
      </c>
      <c r="R212" t="s">
        <v>458</v>
      </c>
      <c r="S212">
        <v>62.981999999999999</v>
      </c>
    </row>
    <row r="213" spans="1:19" x14ac:dyDescent="0.35">
      <c r="A213">
        <v>216</v>
      </c>
      <c r="B213" t="s">
        <v>833</v>
      </c>
      <c r="C213" s="1">
        <v>42371</v>
      </c>
      <c r="D213" s="1">
        <v>42378</v>
      </c>
      <c r="E213" s="1" t="str">
        <f t="shared" si="3"/>
        <v>FAST</v>
      </c>
      <c r="F213" t="s">
        <v>46</v>
      </c>
      <c r="G213" t="s">
        <v>834</v>
      </c>
      <c r="H213" t="s">
        <v>835</v>
      </c>
      <c r="I213" t="s">
        <v>37</v>
      </c>
      <c r="J213" t="s">
        <v>23</v>
      </c>
      <c r="K213" t="s">
        <v>836</v>
      </c>
      <c r="L213" t="s">
        <v>485</v>
      </c>
      <c r="M213">
        <v>44256</v>
      </c>
      <c r="N213" t="s">
        <v>144</v>
      </c>
      <c r="O213" t="s">
        <v>841</v>
      </c>
      <c r="P213" t="s">
        <v>67</v>
      </c>
      <c r="Q213" t="s">
        <v>671</v>
      </c>
      <c r="R213" t="s">
        <v>842</v>
      </c>
      <c r="S213">
        <v>1188</v>
      </c>
    </row>
    <row r="214" spans="1:19" x14ac:dyDescent="0.35">
      <c r="A214">
        <v>217</v>
      </c>
      <c r="B214" t="s">
        <v>833</v>
      </c>
      <c r="C214" s="1">
        <v>42371</v>
      </c>
      <c r="D214" s="1">
        <v>42378</v>
      </c>
      <c r="E214" s="1" t="str">
        <f t="shared" si="3"/>
        <v>FAST</v>
      </c>
      <c r="F214" t="s">
        <v>46</v>
      </c>
      <c r="G214" t="s">
        <v>834</v>
      </c>
      <c r="H214" t="s">
        <v>835</v>
      </c>
      <c r="I214" t="s">
        <v>37</v>
      </c>
      <c r="J214" t="s">
        <v>23</v>
      </c>
      <c r="K214" t="s">
        <v>836</v>
      </c>
      <c r="L214" t="s">
        <v>485</v>
      </c>
      <c r="M214">
        <v>44256</v>
      </c>
      <c r="N214" t="s">
        <v>144</v>
      </c>
      <c r="O214" t="s">
        <v>843</v>
      </c>
      <c r="P214" t="s">
        <v>67</v>
      </c>
      <c r="Q214" t="s">
        <v>157</v>
      </c>
      <c r="R214" t="s">
        <v>844</v>
      </c>
      <c r="S214">
        <v>89.584000000000003</v>
      </c>
    </row>
    <row r="215" spans="1:19" x14ac:dyDescent="0.35">
      <c r="A215">
        <v>218</v>
      </c>
      <c r="B215" t="s">
        <v>845</v>
      </c>
      <c r="C215" s="1">
        <v>43036</v>
      </c>
      <c r="D215" s="1">
        <v>43040</v>
      </c>
      <c r="E215" s="1" t="str">
        <f t="shared" si="3"/>
        <v>FAST</v>
      </c>
      <c r="F215" t="s">
        <v>46</v>
      </c>
      <c r="G215" t="s">
        <v>846</v>
      </c>
      <c r="H215" t="s">
        <v>847</v>
      </c>
      <c r="I215" t="s">
        <v>22</v>
      </c>
      <c r="J215" t="s">
        <v>23</v>
      </c>
      <c r="K215" t="s">
        <v>38</v>
      </c>
      <c r="L215" t="s">
        <v>39</v>
      </c>
      <c r="M215">
        <v>90032</v>
      </c>
      <c r="N215" t="s">
        <v>40</v>
      </c>
      <c r="O215" t="s">
        <v>748</v>
      </c>
      <c r="P215" t="s">
        <v>42</v>
      </c>
      <c r="Q215" t="s">
        <v>55</v>
      </c>
      <c r="R215" t="s">
        <v>749</v>
      </c>
      <c r="S215">
        <v>93.06</v>
      </c>
    </row>
    <row r="216" spans="1:19" x14ac:dyDescent="0.35">
      <c r="A216">
        <v>219</v>
      </c>
      <c r="B216" t="s">
        <v>845</v>
      </c>
      <c r="C216" s="1">
        <v>43036</v>
      </c>
      <c r="D216" s="1">
        <v>43040</v>
      </c>
      <c r="E216" s="1" t="str">
        <f t="shared" si="3"/>
        <v>FAST</v>
      </c>
      <c r="F216" t="s">
        <v>46</v>
      </c>
      <c r="G216" t="s">
        <v>846</v>
      </c>
      <c r="H216" t="s">
        <v>847</v>
      </c>
      <c r="I216" t="s">
        <v>22</v>
      </c>
      <c r="J216" t="s">
        <v>23</v>
      </c>
      <c r="K216" t="s">
        <v>38</v>
      </c>
      <c r="L216" t="s">
        <v>39</v>
      </c>
      <c r="M216">
        <v>90032</v>
      </c>
      <c r="N216" t="s">
        <v>40</v>
      </c>
      <c r="O216" t="s">
        <v>848</v>
      </c>
      <c r="P216" t="s">
        <v>67</v>
      </c>
      <c r="Q216" t="s">
        <v>68</v>
      </c>
      <c r="R216" t="s">
        <v>849</v>
      </c>
      <c r="S216">
        <v>302.37599999999998</v>
      </c>
    </row>
    <row r="217" spans="1:19" x14ac:dyDescent="0.35">
      <c r="A217">
        <v>220</v>
      </c>
      <c r="B217" t="s">
        <v>850</v>
      </c>
      <c r="C217" s="1">
        <v>42728</v>
      </c>
      <c r="D217" s="1">
        <v>42731</v>
      </c>
      <c r="E217" s="1" t="str">
        <f t="shared" si="3"/>
        <v>MODERATE</v>
      </c>
      <c r="F217" t="s">
        <v>184</v>
      </c>
      <c r="G217" t="s">
        <v>851</v>
      </c>
      <c r="H217" t="s">
        <v>852</v>
      </c>
      <c r="I217" t="s">
        <v>22</v>
      </c>
      <c r="J217" t="s">
        <v>23</v>
      </c>
      <c r="K217" t="s">
        <v>853</v>
      </c>
      <c r="L217" t="s">
        <v>485</v>
      </c>
      <c r="M217">
        <v>43017</v>
      </c>
      <c r="N217" t="s">
        <v>144</v>
      </c>
      <c r="O217" t="s">
        <v>854</v>
      </c>
      <c r="P217" t="s">
        <v>42</v>
      </c>
      <c r="Q217" t="s">
        <v>263</v>
      </c>
      <c r="R217" t="s">
        <v>855</v>
      </c>
      <c r="S217">
        <v>5.5839999999999996</v>
      </c>
    </row>
    <row r="218" spans="1:19" x14ac:dyDescent="0.35">
      <c r="A218">
        <v>221</v>
      </c>
      <c r="B218" t="s">
        <v>850</v>
      </c>
      <c r="C218" s="1">
        <v>42728</v>
      </c>
      <c r="D218" s="1">
        <v>42731</v>
      </c>
      <c r="E218" s="1" t="str">
        <f t="shared" si="3"/>
        <v>MODERATE</v>
      </c>
      <c r="F218" t="s">
        <v>184</v>
      </c>
      <c r="G218" t="s">
        <v>851</v>
      </c>
      <c r="H218" t="s">
        <v>852</v>
      </c>
      <c r="I218" t="s">
        <v>22</v>
      </c>
      <c r="J218" t="s">
        <v>23</v>
      </c>
      <c r="K218" t="s">
        <v>853</v>
      </c>
      <c r="L218" t="s">
        <v>485</v>
      </c>
      <c r="M218">
        <v>43017</v>
      </c>
      <c r="N218" t="s">
        <v>144</v>
      </c>
      <c r="O218" t="s">
        <v>856</v>
      </c>
      <c r="P218" t="s">
        <v>42</v>
      </c>
      <c r="Q218" t="s">
        <v>86</v>
      </c>
      <c r="R218" t="s">
        <v>857</v>
      </c>
      <c r="S218">
        <v>22.704000000000001</v>
      </c>
    </row>
    <row r="219" spans="1:19" x14ac:dyDescent="0.35">
      <c r="A219">
        <v>222</v>
      </c>
      <c r="B219" t="s">
        <v>850</v>
      </c>
      <c r="C219" s="1">
        <v>42728</v>
      </c>
      <c r="D219" s="1">
        <v>42731</v>
      </c>
      <c r="E219" s="1" t="str">
        <f t="shared" si="3"/>
        <v>MODERATE</v>
      </c>
      <c r="F219" t="s">
        <v>184</v>
      </c>
      <c r="G219" t="s">
        <v>851</v>
      </c>
      <c r="H219" t="s">
        <v>852</v>
      </c>
      <c r="I219" t="s">
        <v>22</v>
      </c>
      <c r="J219" t="s">
        <v>23</v>
      </c>
      <c r="K219" t="s">
        <v>853</v>
      </c>
      <c r="L219" t="s">
        <v>485</v>
      </c>
      <c r="M219">
        <v>43017</v>
      </c>
      <c r="N219" t="s">
        <v>144</v>
      </c>
      <c r="O219" t="s">
        <v>404</v>
      </c>
      <c r="P219" t="s">
        <v>42</v>
      </c>
      <c r="Q219" t="s">
        <v>71</v>
      </c>
      <c r="R219" t="s">
        <v>405</v>
      </c>
      <c r="S219">
        <v>19.776</v>
      </c>
    </row>
    <row r="220" spans="1:19" x14ac:dyDescent="0.35">
      <c r="A220">
        <v>223</v>
      </c>
      <c r="B220" t="s">
        <v>850</v>
      </c>
      <c r="C220" s="1">
        <v>42728</v>
      </c>
      <c r="D220" s="1">
        <v>42731</v>
      </c>
      <c r="E220" s="1" t="str">
        <f t="shared" si="3"/>
        <v>MODERATE</v>
      </c>
      <c r="F220" t="s">
        <v>184</v>
      </c>
      <c r="G220" t="s">
        <v>851</v>
      </c>
      <c r="H220" t="s">
        <v>852</v>
      </c>
      <c r="I220" t="s">
        <v>22</v>
      </c>
      <c r="J220" t="s">
        <v>23</v>
      </c>
      <c r="K220" t="s">
        <v>853</v>
      </c>
      <c r="L220" t="s">
        <v>485</v>
      </c>
      <c r="M220">
        <v>43017</v>
      </c>
      <c r="N220" t="s">
        <v>144</v>
      </c>
      <c r="O220" t="s">
        <v>858</v>
      </c>
      <c r="P220" t="s">
        <v>28</v>
      </c>
      <c r="Q220" t="s">
        <v>61</v>
      </c>
      <c r="R220" t="s">
        <v>859</v>
      </c>
      <c r="S220">
        <v>72.703999999999994</v>
      </c>
    </row>
    <row r="221" spans="1:19" x14ac:dyDescent="0.35">
      <c r="A221">
        <v>224</v>
      </c>
      <c r="B221" t="s">
        <v>850</v>
      </c>
      <c r="C221" s="1">
        <v>42728</v>
      </c>
      <c r="D221" s="1">
        <v>42731</v>
      </c>
      <c r="E221" s="1" t="str">
        <f t="shared" si="3"/>
        <v>MODERATE</v>
      </c>
      <c r="F221" t="s">
        <v>184</v>
      </c>
      <c r="G221" t="s">
        <v>851</v>
      </c>
      <c r="H221" t="s">
        <v>852</v>
      </c>
      <c r="I221" t="s">
        <v>22</v>
      </c>
      <c r="J221" t="s">
        <v>23</v>
      </c>
      <c r="K221" t="s">
        <v>853</v>
      </c>
      <c r="L221" t="s">
        <v>485</v>
      </c>
      <c r="M221">
        <v>43017</v>
      </c>
      <c r="N221" t="s">
        <v>144</v>
      </c>
      <c r="O221" t="s">
        <v>860</v>
      </c>
      <c r="P221" t="s">
        <v>67</v>
      </c>
      <c r="Q221" t="s">
        <v>671</v>
      </c>
      <c r="R221" t="s">
        <v>861</v>
      </c>
      <c r="S221">
        <v>479.988</v>
      </c>
    </row>
    <row r="222" spans="1:19" x14ac:dyDescent="0.35">
      <c r="A222">
        <v>225</v>
      </c>
      <c r="B222" t="s">
        <v>850</v>
      </c>
      <c r="C222" s="1">
        <v>42728</v>
      </c>
      <c r="D222" s="1">
        <v>42731</v>
      </c>
      <c r="E222" s="1" t="str">
        <f t="shared" si="3"/>
        <v>MODERATE</v>
      </c>
      <c r="F222" t="s">
        <v>184</v>
      </c>
      <c r="G222" t="s">
        <v>851</v>
      </c>
      <c r="H222" t="s">
        <v>852</v>
      </c>
      <c r="I222" t="s">
        <v>22</v>
      </c>
      <c r="J222" t="s">
        <v>23</v>
      </c>
      <c r="K222" t="s">
        <v>853</v>
      </c>
      <c r="L222" t="s">
        <v>485</v>
      </c>
      <c r="M222">
        <v>43017</v>
      </c>
      <c r="N222" t="s">
        <v>144</v>
      </c>
      <c r="O222" t="s">
        <v>862</v>
      </c>
      <c r="P222" t="s">
        <v>42</v>
      </c>
      <c r="Q222" t="s">
        <v>64</v>
      </c>
      <c r="R222" t="s">
        <v>863</v>
      </c>
      <c r="S222">
        <v>27.167999999999999</v>
      </c>
    </row>
    <row r="223" spans="1:19" x14ac:dyDescent="0.35">
      <c r="A223">
        <v>226</v>
      </c>
      <c r="B223" t="s">
        <v>864</v>
      </c>
      <c r="C223" s="1">
        <v>42591</v>
      </c>
      <c r="D223" s="1">
        <v>42598</v>
      </c>
      <c r="E223" s="1" t="str">
        <f t="shared" si="3"/>
        <v>FAST</v>
      </c>
      <c r="F223" t="s">
        <v>46</v>
      </c>
      <c r="G223" t="s">
        <v>865</v>
      </c>
      <c r="H223" t="s">
        <v>866</v>
      </c>
      <c r="I223" t="s">
        <v>37</v>
      </c>
      <c r="J223" t="s">
        <v>23</v>
      </c>
      <c r="K223" t="s">
        <v>867</v>
      </c>
      <c r="L223" t="s">
        <v>232</v>
      </c>
      <c r="M223">
        <v>48227</v>
      </c>
      <c r="N223" t="s">
        <v>101</v>
      </c>
      <c r="O223" t="s">
        <v>868</v>
      </c>
      <c r="P223" t="s">
        <v>42</v>
      </c>
      <c r="Q223" t="s">
        <v>64</v>
      </c>
      <c r="R223" t="s">
        <v>869</v>
      </c>
      <c r="S223">
        <v>2.2000000000000002</v>
      </c>
    </row>
    <row r="224" spans="1:19" x14ac:dyDescent="0.35">
      <c r="A224">
        <v>227</v>
      </c>
      <c r="B224" t="s">
        <v>864</v>
      </c>
      <c r="C224" s="1">
        <v>42591</v>
      </c>
      <c r="D224" s="1">
        <v>42598</v>
      </c>
      <c r="E224" s="1" t="str">
        <f t="shared" si="3"/>
        <v>FAST</v>
      </c>
      <c r="F224" t="s">
        <v>46</v>
      </c>
      <c r="G224" t="s">
        <v>865</v>
      </c>
      <c r="H224" t="s">
        <v>866</v>
      </c>
      <c r="I224" t="s">
        <v>37</v>
      </c>
      <c r="J224" t="s">
        <v>23</v>
      </c>
      <c r="K224" t="s">
        <v>867</v>
      </c>
      <c r="L224" t="s">
        <v>232</v>
      </c>
      <c r="M224">
        <v>48227</v>
      </c>
      <c r="N224" t="s">
        <v>101</v>
      </c>
      <c r="O224" t="s">
        <v>870</v>
      </c>
      <c r="P224" t="s">
        <v>28</v>
      </c>
      <c r="Q224" t="s">
        <v>52</v>
      </c>
      <c r="R224" t="s">
        <v>871</v>
      </c>
      <c r="S224">
        <v>622.45000000000005</v>
      </c>
    </row>
    <row r="225" spans="1:19" x14ac:dyDescent="0.35">
      <c r="A225">
        <v>228</v>
      </c>
      <c r="B225" t="s">
        <v>864</v>
      </c>
      <c r="C225" s="1">
        <v>42591</v>
      </c>
      <c r="D225" s="1">
        <v>42598</v>
      </c>
      <c r="E225" s="1" t="str">
        <f t="shared" si="3"/>
        <v>FAST</v>
      </c>
      <c r="F225" t="s">
        <v>46</v>
      </c>
      <c r="G225" t="s">
        <v>865</v>
      </c>
      <c r="H225" t="s">
        <v>866</v>
      </c>
      <c r="I225" t="s">
        <v>37</v>
      </c>
      <c r="J225" t="s">
        <v>23</v>
      </c>
      <c r="K225" t="s">
        <v>867</v>
      </c>
      <c r="L225" t="s">
        <v>232</v>
      </c>
      <c r="M225">
        <v>48227</v>
      </c>
      <c r="N225" t="s">
        <v>101</v>
      </c>
      <c r="O225" t="s">
        <v>872</v>
      </c>
      <c r="P225" t="s">
        <v>42</v>
      </c>
      <c r="Q225" t="s">
        <v>55</v>
      </c>
      <c r="R225" t="s">
        <v>873</v>
      </c>
      <c r="S225">
        <v>21.98</v>
      </c>
    </row>
    <row r="226" spans="1:19" x14ac:dyDescent="0.35">
      <c r="A226">
        <v>229</v>
      </c>
      <c r="B226" t="s">
        <v>874</v>
      </c>
      <c r="C226" s="1">
        <v>42428</v>
      </c>
      <c r="D226" s="1">
        <v>42433</v>
      </c>
      <c r="E226" s="1" t="str">
        <f t="shared" si="3"/>
        <v>FAST</v>
      </c>
      <c r="F226" t="s">
        <v>46</v>
      </c>
      <c r="G226" t="s">
        <v>875</v>
      </c>
      <c r="H226" t="s">
        <v>876</v>
      </c>
      <c r="I226" t="s">
        <v>22</v>
      </c>
      <c r="J226" t="s">
        <v>23</v>
      </c>
      <c r="K226" t="s">
        <v>372</v>
      </c>
      <c r="L226" t="s">
        <v>329</v>
      </c>
      <c r="M226">
        <v>38401</v>
      </c>
      <c r="N226" t="s">
        <v>26</v>
      </c>
      <c r="O226" t="s">
        <v>877</v>
      </c>
      <c r="P226" t="s">
        <v>28</v>
      </c>
      <c r="Q226" t="s">
        <v>32</v>
      </c>
      <c r="R226" t="s">
        <v>878</v>
      </c>
      <c r="S226">
        <v>161.56800000000001</v>
      </c>
    </row>
    <row r="227" spans="1:19" x14ac:dyDescent="0.35">
      <c r="A227">
        <v>230</v>
      </c>
      <c r="B227" t="s">
        <v>874</v>
      </c>
      <c r="C227" s="1">
        <v>42428</v>
      </c>
      <c r="D227" s="1">
        <v>42433</v>
      </c>
      <c r="E227" s="1" t="str">
        <f t="shared" si="3"/>
        <v>FAST</v>
      </c>
      <c r="F227" t="s">
        <v>46</v>
      </c>
      <c r="G227" t="s">
        <v>875</v>
      </c>
      <c r="H227" t="s">
        <v>876</v>
      </c>
      <c r="I227" t="s">
        <v>22</v>
      </c>
      <c r="J227" t="s">
        <v>23</v>
      </c>
      <c r="K227" t="s">
        <v>372</v>
      </c>
      <c r="L227" t="s">
        <v>329</v>
      </c>
      <c r="M227">
        <v>38401</v>
      </c>
      <c r="N227" t="s">
        <v>26</v>
      </c>
      <c r="O227" t="s">
        <v>879</v>
      </c>
      <c r="P227" t="s">
        <v>28</v>
      </c>
      <c r="Q227" t="s">
        <v>32</v>
      </c>
      <c r="R227" t="s">
        <v>880</v>
      </c>
      <c r="S227">
        <v>389.69600000000003</v>
      </c>
    </row>
    <row r="228" spans="1:19" x14ac:dyDescent="0.35">
      <c r="A228">
        <v>231</v>
      </c>
      <c r="B228" t="s">
        <v>881</v>
      </c>
      <c r="C228" s="1">
        <v>42260</v>
      </c>
      <c r="D228" s="1">
        <v>42264</v>
      </c>
      <c r="E228" s="1" t="str">
        <f t="shared" si="3"/>
        <v>FAST</v>
      </c>
      <c r="F228" t="s">
        <v>46</v>
      </c>
      <c r="G228" t="s">
        <v>882</v>
      </c>
      <c r="H228" t="s">
        <v>883</v>
      </c>
      <c r="I228" t="s">
        <v>37</v>
      </c>
      <c r="J228" t="s">
        <v>23</v>
      </c>
      <c r="K228" t="s">
        <v>454</v>
      </c>
      <c r="L228" t="s">
        <v>84</v>
      </c>
      <c r="M228">
        <v>28205</v>
      </c>
      <c r="N228" t="s">
        <v>26</v>
      </c>
      <c r="O228" t="s">
        <v>884</v>
      </c>
      <c r="P228" t="s">
        <v>42</v>
      </c>
      <c r="Q228" t="s">
        <v>71</v>
      </c>
      <c r="R228" t="s">
        <v>885</v>
      </c>
      <c r="S228">
        <v>18.648</v>
      </c>
    </row>
    <row r="229" spans="1:19" x14ac:dyDescent="0.35">
      <c r="A229">
        <v>232</v>
      </c>
      <c r="B229" t="s">
        <v>886</v>
      </c>
      <c r="C229" s="1">
        <v>43197</v>
      </c>
      <c r="D229" s="1">
        <v>43202</v>
      </c>
      <c r="E229" s="1" t="str">
        <f t="shared" si="3"/>
        <v>FAST</v>
      </c>
      <c r="F229" t="s">
        <v>46</v>
      </c>
      <c r="G229" t="s">
        <v>367</v>
      </c>
      <c r="H229" t="s">
        <v>368</v>
      </c>
      <c r="I229" t="s">
        <v>98</v>
      </c>
      <c r="J229" t="s">
        <v>23</v>
      </c>
      <c r="K229" t="s">
        <v>887</v>
      </c>
      <c r="L229" t="s">
        <v>50</v>
      </c>
      <c r="M229">
        <v>33614</v>
      </c>
      <c r="N229" t="s">
        <v>26</v>
      </c>
      <c r="O229" t="s">
        <v>888</v>
      </c>
      <c r="P229" t="s">
        <v>28</v>
      </c>
      <c r="Q229" t="s">
        <v>52</v>
      </c>
      <c r="R229" t="s">
        <v>889</v>
      </c>
      <c r="S229">
        <v>233.86</v>
      </c>
    </row>
    <row r="230" spans="1:19" x14ac:dyDescent="0.35">
      <c r="A230">
        <v>233</v>
      </c>
      <c r="B230" t="s">
        <v>886</v>
      </c>
      <c r="C230" s="1">
        <v>43197</v>
      </c>
      <c r="D230" s="1">
        <v>43202</v>
      </c>
      <c r="E230" s="1" t="str">
        <f t="shared" si="3"/>
        <v>FAST</v>
      </c>
      <c r="F230" t="s">
        <v>46</v>
      </c>
      <c r="G230" t="s">
        <v>367</v>
      </c>
      <c r="H230" t="s">
        <v>368</v>
      </c>
      <c r="I230" t="s">
        <v>98</v>
      </c>
      <c r="J230" t="s">
        <v>23</v>
      </c>
      <c r="K230" t="s">
        <v>887</v>
      </c>
      <c r="L230" t="s">
        <v>50</v>
      </c>
      <c r="M230">
        <v>33614</v>
      </c>
      <c r="N230" t="s">
        <v>26</v>
      </c>
      <c r="O230" t="s">
        <v>890</v>
      </c>
      <c r="P230" t="s">
        <v>28</v>
      </c>
      <c r="Q230" t="s">
        <v>52</v>
      </c>
      <c r="R230" t="s">
        <v>891</v>
      </c>
      <c r="S230">
        <v>620.61450000000002</v>
      </c>
    </row>
    <row r="231" spans="1:19" x14ac:dyDescent="0.35">
      <c r="A231">
        <v>234</v>
      </c>
      <c r="B231" t="s">
        <v>886</v>
      </c>
      <c r="C231" s="1">
        <v>43197</v>
      </c>
      <c r="D231" s="1">
        <v>43202</v>
      </c>
      <c r="E231" s="1" t="str">
        <f t="shared" si="3"/>
        <v>FAST</v>
      </c>
      <c r="F231" t="s">
        <v>46</v>
      </c>
      <c r="G231" t="s">
        <v>367</v>
      </c>
      <c r="H231" t="s">
        <v>368</v>
      </c>
      <c r="I231" t="s">
        <v>98</v>
      </c>
      <c r="J231" t="s">
        <v>23</v>
      </c>
      <c r="K231" t="s">
        <v>887</v>
      </c>
      <c r="L231" t="s">
        <v>50</v>
      </c>
      <c r="M231">
        <v>33614</v>
      </c>
      <c r="N231" t="s">
        <v>26</v>
      </c>
      <c r="O231" t="s">
        <v>884</v>
      </c>
      <c r="P231" t="s">
        <v>42</v>
      </c>
      <c r="Q231" t="s">
        <v>71</v>
      </c>
      <c r="R231" t="s">
        <v>885</v>
      </c>
      <c r="S231">
        <v>5.3280000000000003</v>
      </c>
    </row>
    <row r="232" spans="1:19" x14ac:dyDescent="0.35">
      <c r="A232">
        <v>235</v>
      </c>
      <c r="B232" t="s">
        <v>886</v>
      </c>
      <c r="C232" s="1">
        <v>43197</v>
      </c>
      <c r="D232" s="1">
        <v>43202</v>
      </c>
      <c r="E232" s="1" t="str">
        <f t="shared" si="3"/>
        <v>FAST</v>
      </c>
      <c r="F232" t="s">
        <v>46</v>
      </c>
      <c r="G232" t="s">
        <v>367</v>
      </c>
      <c r="H232" t="s">
        <v>368</v>
      </c>
      <c r="I232" t="s">
        <v>98</v>
      </c>
      <c r="J232" t="s">
        <v>23</v>
      </c>
      <c r="K232" t="s">
        <v>887</v>
      </c>
      <c r="L232" t="s">
        <v>50</v>
      </c>
      <c r="M232">
        <v>33614</v>
      </c>
      <c r="N232" t="s">
        <v>26</v>
      </c>
      <c r="O232" t="s">
        <v>892</v>
      </c>
      <c r="P232" t="s">
        <v>28</v>
      </c>
      <c r="Q232" t="s">
        <v>61</v>
      </c>
      <c r="R232" t="s">
        <v>893</v>
      </c>
      <c r="S232">
        <v>258.072</v>
      </c>
    </row>
    <row r="233" spans="1:19" x14ac:dyDescent="0.35">
      <c r="A233">
        <v>236</v>
      </c>
      <c r="B233" t="s">
        <v>886</v>
      </c>
      <c r="C233" s="1">
        <v>43197</v>
      </c>
      <c r="D233" s="1">
        <v>43202</v>
      </c>
      <c r="E233" s="1" t="str">
        <f t="shared" si="3"/>
        <v>FAST</v>
      </c>
      <c r="F233" t="s">
        <v>46</v>
      </c>
      <c r="G233" t="s">
        <v>367</v>
      </c>
      <c r="H233" t="s">
        <v>368</v>
      </c>
      <c r="I233" t="s">
        <v>98</v>
      </c>
      <c r="J233" t="s">
        <v>23</v>
      </c>
      <c r="K233" t="s">
        <v>887</v>
      </c>
      <c r="L233" t="s">
        <v>50</v>
      </c>
      <c r="M233">
        <v>33614</v>
      </c>
      <c r="N233" t="s">
        <v>26</v>
      </c>
      <c r="O233" t="s">
        <v>894</v>
      </c>
      <c r="P233" t="s">
        <v>67</v>
      </c>
      <c r="Q233" t="s">
        <v>157</v>
      </c>
      <c r="R233" t="s">
        <v>895</v>
      </c>
      <c r="S233">
        <v>617.976</v>
      </c>
    </row>
    <row r="234" spans="1:19" x14ac:dyDescent="0.35">
      <c r="A234">
        <v>237</v>
      </c>
      <c r="B234" t="s">
        <v>896</v>
      </c>
      <c r="C234" s="1">
        <v>43416</v>
      </c>
      <c r="D234" s="1">
        <v>43420</v>
      </c>
      <c r="E234" s="1" t="str">
        <f t="shared" si="3"/>
        <v>FAST</v>
      </c>
      <c r="F234" t="s">
        <v>46</v>
      </c>
      <c r="G234" t="s">
        <v>897</v>
      </c>
      <c r="H234" t="s">
        <v>898</v>
      </c>
      <c r="I234" t="s">
        <v>37</v>
      </c>
      <c r="J234" t="s">
        <v>23</v>
      </c>
      <c r="K234" t="s">
        <v>899</v>
      </c>
      <c r="L234" t="s">
        <v>39</v>
      </c>
      <c r="M234">
        <v>95051</v>
      </c>
      <c r="N234" t="s">
        <v>40</v>
      </c>
      <c r="O234" t="s">
        <v>900</v>
      </c>
      <c r="P234" t="s">
        <v>42</v>
      </c>
      <c r="Q234" t="s">
        <v>86</v>
      </c>
      <c r="R234" t="s">
        <v>901</v>
      </c>
      <c r="S234">
        <v>10.56</v>
      </c>
    </row>
    <row r="235" spans="1:19" x14ac:dyDescent="0.35">
      <c r="A235">
        <v>238</v>
      </c>
      <c r="B235" t="s">
        <v>902</v>
      </c>
      <c r="C235" s="1">
        <v>42890</v>
      </c>
      <c r="D235" s="1">
        <v>42895</v>
      </c>
      <c r="E235" s="1" t="str">
        <f t="shared" si="3"/>
        <v>SLOW</v>
      </c>
      <c r="F235" t="s">
        <v>19</v>
      </c>
      <c r="G235" t="s">
        <v>903</v>
      </c>
      <c r="H235" t="s">
        <v>904</v>
      </c>
      <c r="I235" t="s">
        <v>22</v>
      </c>
      <c r="J235" t="s">
        <v>23</v>
      </c>
      <c r="K235" t="s">
        <v>297</v>
      </c>
      <c r="L235" t="s">
        <v>205</v>
      </c>
      <c r="M235">
        <v>60610</v>
      </c>
      <c r="N235" t="s">
        <v>101</v>
      </c>
      <c r="O235" t="s">
        <v>905</v>
      </c>
      <c r="P235" t="s">
        <v>42</v>
      </c>
      <c r="Q235" t="s">
        <v>86</v>
      </c>
      <c r="R235" t="s">
        <v>906</v>
      </c>
      <c r="S235">
        <v>25.92</v>
      </c>
    </row>
    <row r="236" spans="1:19" x14ac:dyDescent="0.35">
      <c r="A236">
        <v>239</v>
      </c>
      <c r="B236" t="s">
        <v>902</v>
      </c>
      <c r="C236" s="1">
        <v>42890</v>
      </c>
      <c r="D236" s="1">
        <v>42895</v>
      </c>
      <c r="E236" s="1" t="str">
        <f t="shared" si="3"/>
        <v>SLOW</v>
      </c>
      <c r="F236" t="s">
        <v>19</v>
      </c>
      <c r="G236" t="s">
        <v>903</v>
      </c>
      <c r="H236" t="s">
        <v>904</v>
      </c>
      <c r="I236" t="s">
        <v>22</v>
      </c>
      <c r="J236" t="s">
        <v>23</v>
      </c>
      <c r="K236" t="s">
        <v>297</v>
      </c>
      <c r="L236" t="s">
        <v>205</v>
      </c>
      <c r="M236">
        <v>60610</v>
      </c>
      <c r="N236" t="s">
        <v>101</v>
      </c>
      <c r="O236" t="s">
        <v>907</v>
      </c>
      <c r="P236" t="s">
        <v>28</v>
      </c>
      <c r="Q236" t="s">
        <v>61</v>
      </c>
      <c r="R236" t="s">
        <v>908</v>
      </c>
      <c r="S236">
        <v>419.68</v>
      </c>
    </row>
    <row r="237" spans="1:19" x14ac:dyDescent="0.35">
      <c r="A237">
        <v>240</v>
      </c>
      <c r="B237" t="s">
        <v>902</v>
      </c>
      <c r="C237" s="1">
        <v>42890</v>
      </c>
      <c r="D237" s="1">
        <v>42895</v>
      </c>
      <c r="E237" s="1" t="str">
        <f t="shared" si="3"/>
        <v>SLOW</v>
      </c>
      <c r="F237" t="s">
        <v>19</v>
      </c>
      <c r="G237" t="s">
        <v>903</v>
      </c>
      <c r="H237" t="s">
        <v>904</v>
      </c>
      <c r="I237" t="s">
        <v>22</v>
      </c>
      <c r="J237" t="s">
        <v>23</v>
      </c>
      <c r="K237" t="s">
        <v>297</v>
      </c>
      <c r="L237" t="s">
        <v>205</v>
      </c>
      <c r="M237">
        <v>60610</v>
      </c>
      <c r="N237" t="s">
        <v>101</v>
      </c>
      <c r="O237" t="s">
        <v>909</v>
      </c>
      <c r="P237" t="s">
        <v>28</v>
      </c>
      <c r="Q237" t="s">
        <v>61</v>
      </c>
      <c r="R237" t="s">
        <v>910</v>
      </c>
      <c r="S237">
        <v>11.688000000000001</v>
      </c>
    </row>
    <row r="238" spans="1:19" x14ac:dyDescent="0.35">
      <c r="A238">
        <v>241</v>
      </c>
      <c r="B238" t="s">
        <v>902</v>
      </c>
      <c r="C238" s="1">
        <v>42890</v>
      </c>
      <c r="D238" s="1">
        <v>42895</v>
      </c>
      <c r="E238" s="1" t="str">
        <f t="shared" si="3"/>
        <v>SLOW</v>
      </c>
      <c r="F238" t="s">
        <v>19</v>
      </c>
      <c r="G238" t="s">
        <v>903</v>
      </c>
      <c r="H238" t="s">
        <v>904</v>
      </c>
      <c r="I238" t="s">
        <v>22</v>
      </c>
      <c r="J238" t="s">
        <v>23</v>
      </c>
      <c r="K238" t="s">
        <v>297</v>
      </c>
      <c r="L238" t="s">
        <v>205</v>
      </c>
      <c r="M238">
        <v>60610</v>
      </c>
      <c r="N238" t="s">
        <v>101</v>
      </c>
      <c r="O238" t="s">
        <v>911</v>
      </c>
      <c r="P238" t="s">
        <v>67</v>
      </c>
      <c r="Q238" t="s">
        <v>68</v>
      </c>
      <c r="R238" t="s">
        <v>912</v>
      </c>
      <c r="S238">
        <v>31.984000000000002</v>
      </c>
    </row>
    <row r="239" spans="1:19" x14ac:dyDescent="0.35">
      <c r="A239">
        <v>242</v>
      </c>
      <c r="B239" t="s">
        <v>902</v>
      </c>
      <c r="C239" s="1">
        <v>42890</v>
      </c>
      <c r="D239" s="1">
        <v>42895</v>
      </c>
      <c r="E239" s="1" t="str">
        <f t="shared" si="3"/>
        <v>SLOW</v>
      </c>
      <c r="F239" t="s">
        <v>19</v>
      </c>
      <c r="G239" t="s">
        <v>903</v>
      </c>
      <c r="H239" t="s">
        <v>904</v>
      </c>
      <c r="I239" t="s">
        <v>22</v>
      </c>
      <c r="J239" t="s">
        <v>23</v>
      </c>
      <c r="K239" t="s">
        <v>297</v>
      </c>
      <c r="L239" t="s">
        <v>205</v>
      </c>
      <c r="M239">
        <v>60610</v>
      </c>
      <c r="N239" t="s">
        <v>101</v>
      </c>
      <c r="O239" t="s">
        <v>913</v>
      </c>
      <c r="P239" t="s">
        <v>28</v>
      </c>
      <c r="Q239" t="s">
        <v>52</v>
      </c>
      <c r="R239" t="s">
        <v>914</v>
      </c>
      <c r="S239">
        <v>177.22499999999999</v>
      </c>
    </row>
    <row r="240" spans="1:19" x14ac:dyDescent="0.35">
      <c r="A240">
        <v>243</v>
      </c>
      <c r="B240" t="s">
        <v>902</v>
      </c>
      <c r="C240" s="1">
        <v>42890</v>
      </c>
      <c r="D240" s="1">
        <v>42895</v>
      </c>
      <c r="E240" s="1" t="str">
        <f t="shared" si="3"/>
        <v>SLOW</v>
      </c>
      <c r="F240" t="s">
        <v>19</v>
      </c>
      <c r="G240" t="s">
        <v>903</v>
      </c>
      <c r="H240" t="s">
        <v>904</v>
      </c>
      <c r="I240" t="s">
        <v>22</v>
      </c>
      <c r="J240" t="s">
        <v>23</v>
      </c>
      <c r="K240" t="s">
        <v>297</v>
      </c>
      <c r="L240" t="s">
        <v>205</v>
      </c>
      <c r="M240">
        <v>60610</v>
      </c>
      <c r="N240" t="s">
        <v>101</v>
      </c>
      <c r="O240" t="s">
        <v>915</v>
      </c>
      <c r="P240" t="s">
        <v>28</v>
      </c>
      <c r="Q240" t="s">
        <v>61</v>
      </c>
      <c r="R240" t="s">
        <v>916</v>
      </c>
      <c r="S240">
        <v>4.0439999999999996</v>
      </c>
    </row>
    <row r="241" spans="1:19" x14ac:dyDescent="0.35">
      <c r="A241">
        <v>244</v>
      </c>
      <c r="B241" t="s">
        <v>902</v>
      </c>
      <c r="C241" s="1">
        <v>42890</v>
      </c>
      <c r="D241" s="1">
        <v>42895</v>
      </c>
      <c r="E241" s="1" t="str">
        <f t="shared" si="3"/>
        <v>SLOW</v>
      </c>
      <c r="F241" t="s">
        <v>19</v>
      </c>
      <c r="G241" t="s">
        <v>903</v>
      </c>
      <c r="H241" t="s">
        <v>904</v>
      </c>
      <c r="I241" t="s">
        <v>22</v>
      </c>
      <c r="J241" t="s">
        <v>23</v>
      </c>
      <c r="K241" t="s">
        <v>297</v>
      </c>
      <c r="L241" t="s">
        <v>205</v>
      </c>
      <c r="M241">
        <v>60610</v>
      </c>
      <c r="N241" t="s">
        <v>101</v>
      </c>
      <c r="O241" t="s">
        <v>767</v>
      </c>
      <c r="P241" t="s">
        <v>42</v>
      </c>
      <c r="Q241" t="s">
        <v>64</v>
      </c>
      <c r="R241" t="s">
        <v>768</v>
      </c>
      <c r="S241">
        <v>7.4080000000000004</v>
      </c>
    </row>
    <row r="242" spans="1:19" x14ac:dyDescent="0.35">
      <c r="A242">
        <v>245</v>
      </c>
      <c r="B242" t="s">
        <v>917</v>
      </c>
      <c r="C242" s="1">
        <v>42156</v>
      </c>
      <c r="D242" s="1">
        <v>42161</v>
      </c>
      <c r="E242" s="1" t="str">
        <f t="shared" si="3"/>
        <v>SLOW</v>
      </c>
      <c r="F242" t="s">
        <v>19</v>
      </c>
      <c r="G242" t="s">
        <v>918</v>
      </c>
      <c r="H242" t="s">
        <v>919</v>
      </c>
      <c r="I242" t="s">
        <v>98</v>
      </c>
      <c r="J242" t="s">
        <v>23</v>
      </c>
      <c r="K242" t="s">
        <v>920</v>
      </c>
      <c r="L242" t="s">
        <v>223</v>
      </c>
      <c r="M242">
        <v>55044</v>
      </c>
      <c r="N242" t="s">
        <v>101</v>
      </c>
      <c r="O242" t="s">
        <v>520</v>
      </c>
      <c r="P242" t="s">
        <v>28</v>
      </c>
      <c r="Q242" t="s">
        <v>32</v>
      </c>
      <c r="R242" t="s">
        <v>521</v>
      </c>
      <c r="S242">
        <v>2001.86</v>
      </c>
    </row>
    <row r="243" spans="1:19" x14ac:dyDescent="0.35">
      <c r="A243">
        <v>246</v>
      </c>
      <c r="B243" t="s">
        <v>917</v>
      </c>
      <c r="C243" s="1">
        <v>42156</v>
      </c>
      <c r="D243" s="1">
        <v>42161</v>
      </c>
      <c r="E243" s="1" t="str">
        <f t="shared" si="3"/>
        <v>SLOW</v>
      </c>
      <c r="F243" t="s">
        <v>19</v>
      </c>
      <c r="G243" t="s">
        <v>918</v>
      </c>
      <c r="H243" t="s">
        <v>919</v>
      </c>
      <c r="I243" t="s">
        <v>98</v>
      </c>
      <c r="J243" t="s">
        <v>23</v>
      </c>
      <c r="K243" t="s">
        <v>920</v>
      </c>
      <c r="L243" t="s">
        <v>223</v>
      </c>
      <c r="M243">
        <v>55044</v>
      </c>
      <c r="N243" t="s">
        <v>101</v>
      </c>
      <c r="O243" t="s">
        <v>921</v>
      </c>
      <c r="P243" t="s">
        <v>42</v>
      </c>
      <c r="Q243" t="s">
        <v>55</v>
      </c>
      <c r="R243" t="s">
        <v>922</v>
      </c>
      <c r="S243">
        <v>166.72</v>
      </c>
    </row>
    <row r="244" spans="1:19" x14ac:dyDescent="0.35">
      <c r="A244">
        <v>247</v>
      </c>
      <c r="B244" t="s">
        <v>917</v>
      </c>
      <c r="C244" s="1">
        <v>42156</v>
      </c>
      <c r="D244" s="1">
        <v>42161</v>
      </c>
      <c r="E244" s="1" t="str">
        <f t="shared" si="3"/>
        <v>SLOW</v>
      </c>
      <c r="F244" t="s">
        <v>19</v>
      </c>
      <c r="G244" t="s">
        <v>918</v>
      </c>
      <c r="H244" t="s">
        <v>919</v>
      </c>
      <c r="I244" t="s">
        <v>98</v>
      </c>
      <c r="J244" t="s">
        <v>23</v>
      </c>
      <c r="K244" t="s">
        <v>920</v>
      </c>
      <c r="L244" t="s">
        <v>223</v>
      </c>
      <c r="M244">
        <v>55044</v>
      </c>
      <c r="N244" t="s">
        <v>101</v>
      </c>
      <c r="O244" t="s">
        <v>923</v>
      </c>
      <c r="P244" t="s">
        <v>42</v>
      </c>
      <c r="Q244" t="s">
        <v>86</v>
      </c>
      <c r="R244" t="s">
        <v>924</v>
      </c>
      <c r="S244">
        <v>47.88</v>
      </c>
    </row>
    <row r="245" spans="1:19" x14ac:dyDescent="0.35">
      <c r="A245">
        <v>248</v>
      </c>
      <c r="B245" t="s">
        <v>917</v>
      </c>
      <c r="C245" s="1">
        <v>42156</v>
      </c>
      <c r="D245" s="1">
        <v>42161</v>
      </c>
      <c r="E245" s="1" t="str">
        <f t="shared" si="3"/>
        <v>SLOW</v>
      </c>
      <c r="F245" t="s">
        <v>19</v>
      </c>
      <c r="G245" t="s">
        <v>918</v>
      </c>
      <c r="H245" t="s">
        <v>919</v>
      </c>
      <c r="I245" t="s">
        <v>98</v>
      </c>
      <c r="J245" t="s">
        <v>23</v>
      </c>
      <c r="K245" t="s">
        <v>920</v>
      </c>
      <c r="L245" t="s">
        <v>223</v>
      </c>
      <c r="M245">
        <v>55044</v>
      </c>
      <c r="N245" t="s">
        <v>101</v>
      </c>
      <c r="O245" t="s">
        <v>925</v>
      </c>
      <c r="P245" t="s">
        <v>42</v>
      </c>
      <c r="Q245" t="s">
        <v>74</v>
      </c>
      <c r="R245" t="s">
        <v>926</v>
      </c>
      <c r="S245">
        <v>1503.25</v>
      </c>
    </row>
    <row r="246" spans="1:19" x14ac:dyDescent="0.35">
      <c r="A246">
        <v>249</v>
      </c>
      <c r="B246" t="s">
        <v>917</v>
      </c>
      <c r="C246" s="1">
        <v>42156</v>
      </c>
      <c r="D246" s="1">
        <v>42161</v>
      </c>
      <c r="E246" s="1" t="str">
        <f t="shared" si="3"/>
        <v>SLOW</v>
      </c>
      <c r="F246" t="s">
        <v>19</v>
      </c>
      <c r="G246" t="s">
        <v>918</v>
      </c>
      <c r="H246" t="s">
        <v>919</v>
      </c>
      <c r="I246" t="s">
        <v>98</v>
      </c>
      <c r="J246" t="s">
        <v>23</v>
      </c>
      <c r="K246" t="s">
        <v>920</v>
      </c>
      <c r="L246" t="s">
        <v>223</v>
      </c>
      <c r="M246">
        <v>55044</v>
      </c>
      <c r="N246" t="s">
        <v>101</v>
      </c>
      <c r="O246" t="s">
        <v>757</v>
      </c>
      <c r="P246" t="s">
        <v>42</v>
      </c>
      <c r="Q246" t="s">
        <v>86</v>
      </c>
      <c r="R246" t="s">
        <v>758</v>
      </c>
      <c r="S246">
        <v>25.92</v>
      </c>
    </row>
    <row r="247" spans="1:19" x14ac:dyDescent="0.35">
      <c r="A247">
        <v>250</v>
      </c>
      <c r="B247" t="s">
        <v>927</v>
      </c>
      <c r="C247" s="1">
        <v>43079</v>
      </c>
      <c r="D247" s="1">
        <v>43084</v>
      </c>
      <c r="E247" s="1" t="str">
        <f t="shared" si="3"/>
        <v>SLOW</v>
      </c>
      <c r="F247" t="s">
        <v>19</v>
      </c>
      <c r="G247" t="s">
        <v>928</v>
      </c>
      <c r="H247" t="s">
        <v>929</v>
      </c>
      <c r="I247" t="s">
        <v>22</v>
      </c>
      <c r="J247" t="s">
        <v>23</v>
      </c>
      <c r="K247" t="s">
        <v>123</v>
      </c>
      <c r="L247" t="s">
        <v>39</v>
      </c>
      <c r="M247">
        <v>94109</v>
      </c>
      <c r="N247" t="s">
        <v>40</v>
      </c>
      <c r="O247" t="s">
        <v>930</v>
      </c>
      <c r="P247" t="s">
        <v>28</v>
      </c>
      <c r="Q247" t="s">
        <v>32</v>
      </c>
      <c r="R247" t="s">
        <v>931</v>
      </c>
      <c r="S247">
        <v>321.56799999999998</v>
      </c>
    </row>
    <row r="248" spans="1:19" x14ac:dyDescent="0.35">
      <c r="A248">
        <v>251</v>
      </c>
      <c r="B248" t="s">
        <v>932</v>
      </c>
      <c r="C248" s="1">
        <v>42989</v>
      </c>
      <c r="D248" s="1">
        <v>42995</v>
      </c>
      <c r="E248" s="1" t="str">
        <f t="shared" si="3"/>
        <v>FAST</v>
      </c>
      <c r="F248" t="s">
        <v>46</v>
      </c>
      <c r="G248" t="s">
        <v>933</v>
      </c>
      <c r="H248" t="s">
        <v>934</v>
      </c>
      <c r="I248" t="s">
        <v>22</v>
      </c>
      <c r="J248" t="s">
        <v>23</v>
      </c>
      <c r="K248" t="s">
        <v>935</v>
      </c>
      <c r="L248" t="s">
        <v>39</v>
      </c>
      <c r="M248">
        <v>92037</v>
      </c>
      <c r="N248" t="s">
        <v>40</v>
      </c>
      <c r="O248" t="s">
        <v>936</v>
      </c>
      <c r="P248" t="s">
        <v>42</v>
      </c>
      <c r="Q248" t="s">
        <v>86</v>
      </c>
      <c r="R248" t="s">
        <v>937</v>
      </c>
      <c r="S248">
        <v>7.61</v>
      </c>
    </row>
    <row r="249" spans="1:19" x14ac:dyDescent="0.35">
      <c r="A249">
        <v>252</v>
      </c>
      <c r="B249" t="s">
        <v>932</v>
      </c>
      <c r="C249" s="1">
        <v>42989</v>
      </c>
      <c r="D249" s="1">
        <v>42995</v>
      </c>
      <c r="E249" s="1" t="str">
        <f t="shared" si="3"/>
        <v>FAST</v>
      </c>
      <c r="F249" t="s">
        <v>46</v>
      </c>
      <c r="G249" t="s">
        <v>933</v>
      </c>
      <c r="H249" t="s">
        <v>934</v>
      </c>
      <c r="I249" t="s">
        <v>22</v>
      </c>
      <c r="J249" t="s">
        <v>23</v>
      </c>
      <c r="K249" t="s">
        <v>935</v>
      </c>
      <c r="L249" t="s">
        <v>39</v>
      </c>
      <c r="M249">
        <v>92037</v>
      </c>
      <c r="N249" t="s">
        <v>40</v>
      </c>
      <c r="O249" t="s">
        <v>894</v>
      </c>
      <c r="P249" t="s">
        <v>67</v>
      </c>
      <c r="Q249" t="s">
        <v>157</v>
      </c>
      <c r="R249" t="s">
        <v>895</v>
      </c>
      <c r="S249">
        <v>3347.37</v>
      </c>
    </row>
    <row r="250" spans="1:19" x14ac:dyDescent="0.35">
      <c r="A250">
        <v>253</v>
      </c>
      <c r="B250" t="s">
        <v>938</v>
      </c>
      <c r="C250" s="1">
        <v>43079</v>
      </c>
      <c r="D250" s="1">
        <v>43082</v>
      </c>
      <c r="E250" s="1" t="str">
        <f t="shared" si="3"/>
        <v>MODERATE</v>
      </c>
      <c r="F250" t="s">
        <v>184</v>
      </c>
      <c r="G250" t="s">
        <v>939</v>
      </c>
      <c r="H250" t="s">
        <v>940</v>
      </c>
      <c r="I250" t="s">
        <v>22</v>
      </c>
      <c r="J250" t="s">
        <v>23</v>
      </c>
      <c r="K250" t="s">
        <v>260</v>
      </c>
      <c r="L250" t="s">
        <v>261</v>
      </c>
      <c r="M250">
        <v>10024</v>
      </c>
      <c r="N250" t="s">
        <v>144</v>
      </c>
      <c r="O250" t="s">
        <v>941</v>
      </c>
      <c r="P250" t="s">
        <v>42</v>
      </c>
      <c r="Q250" t="s">
        <v>55</v>
      </c>
      <c r="R250" t="s">
        <v>942</v>
      </c>
      <c r="S250">
        <v>80.58</v>
      </c>
    </row>
    <row r="251" spans="1:19" x14ac:dyDescent="0.35">
      <c r="A251">
        <v>254</v>
      </c>
      <c r="B251" t="s">
        <v>938</v>
      </c>
      <c r="C251" s="1">
        <v>43079</v>
      </c>
      <c r="D251" s="1">
        <v>43082</v>
      </c>
      <c r="E251" s="1" t="str">
        <f t="shared" si="3"/>
        <v>MODERATE</v>
      </c>
      <c r="F251" t="s">
        <v>184</v>
      </c>
      <c r="G251" t="s">
        <v>939</v>
      </c>
      <c r="H251" t="s">
        <v>940</v>
      </c>
      <c r="I251" t="s">
        <v>22</v>
      </c>
      <c r="J251" t="s">
        <v>23</v>
      </c>
      <c r="K251" t="s">
        <v>260</v>
      </c>
      <c r="L251" t="s">
        <v>261</v>
      </c>
      <c r="M251">
        <v>10024</v>
      </c>
      <c r="N251" t="s">
        <v>144</v>
      </c>
      <c r="O251" t="s">
        <v>943</v>
      </c>
      <c r="P251" t="s">
        <v>42</v>
      </c>
      <c r="Q251" t="s">
        <v>169</v>
      </c>
      <c r="R251" t="s">
        <v>944</v>
      </c>
      <c r="S251">
        <v>361.92</v>
      </c>
    </row>
    <row r="252" spans="1:19" x14ac:dyDescent="0.35">
      <c r="A252">
        <v>255</v>
      </c>
      <c r="B252" t="s">
        <v>945</v>
      </c>
      <c r="C252" s="1">
        <v>42702</v>
      </c>
      <c r="D252" s="1">
        <v>42708</v>
      </c>
      <c r="E252" s="1" t="str">
        <f t="shared" si="3"/>
        <v>FAST</v>
      </c>
      <c r="F252" t="s">
        <v>46</v>
      </c>
      <c r="G252" t="s">
        <v>946</v>
      </c>
      <c r="H252" t="s">
        <v>947</v>
      </c>
      <c r="I252" t="s">
        <v>37</v>
      </c>
      <c r="J252" t="s">
        <v>23</v>
      </c>
      <c r="K252" t="s">
        <v>297</v>
      </c>
      <c r="L252" t="s">
        <v>205</v>
      </c>
      <c r="M252">
        <v>60623</v>
      </c>
      <c r="N252" t="s">
        <v>101</v>
      </c>
      <c r="O252" t="s">
        <v>915</v>
      </c>
      <c r="P252" t="s">
        <v>28</v>
      </c>
      <c r="Q252" t="s">
        <v>61</v>
      </c>
      <c r="R252" t="s">
        <v>916</v>
      </c>
      <c r="S252">
        <v>12.132</v>
      </c>
    </row>
    <row r="253" spans="1:19" x14ac:dyDescent="0.35">
      <c r="A253">
        <v>256</v>
      </c>
      <c r="B253" t="s">
        <v>945</v>
      </c>
      <c r="C253" s="1">
        <v>42702</v>
      </c>
      <c r="D253" s="1">
        <v>42708</v>
      </c>
      <c r="E253" s="1" t="str">
        <f t="shared" si="3"/>
        <v>FAST</v>
      </c>
      <c r="F253" t="s">
        <v>46</v>
      </c>
      <c r="G253" t="s">
        <v>946</v>
      </c>
      <c r="H253" t="s">
        <v>947</v>
      </c>
      <c r="I253" t="s">
        <v>37</v>
      </c>
      <c r="J253" t="s">
        <v>23</v>
      </c>
      <c r="K253" t="s">
        <v>297</v>
      </c>
      <c r="L253" t="s">
        <v>205</v>
      </c>
      <c r="M253">
        <v>60623</v>
      </c>
      <c r="N253" t="s">
        <v>101</v>
      </c>
      <c r="O253" t="s">
        <v>948</v>
      </c>
      <c r="P253" t="s">
        <v>42</v>
      </c>
      <c r="Q253" t="s">
        <v>55</v>
      </c>
      <c r="R253" t="s">
        <v>949</v>
      </c>
      <c r="S253">
        <v>82.367999999999995</v>
      </c>
    </row>
    <row r="254" spans="1:19" x14ac:dyDescent="0.35">
      <c r="A254">
        <v>257</v>
      </c>
      <c r="B254" t="s">
        <v>945</v>
      </c>
      <c r="C254" s="1">
        <v>42702</v>
      </c>
      <c r="D254" s="1">
        <v>42708</v>
      </c>
      <c r="E254" s="1" t="str">
        <f t="shared" si="3"/>
        <v>FAST</v>
      </c>
      <c r="F254" t="s">
        <v>46</v>
      </c>
      <c r="G254" t="s">
        <v>946</v>
      </c>
      <c r="H254" t="s">
        <v>947</v>
      </c>
      <c r="I254" t="s">
        <v>37</v>
      </c>
      <c r="J254" t="s">
        <v>23</v>
      </c>
      <c r="K254" t="s">
        <v>297</v>
      </c>
      <c r="L254" t="s">
        <v>205</v>
      </c>
      <c r="M254">
        <v>60623</v>
      </c>
      <c r="N254" t="s">
        <v>101</v>
      </c>
      <c r="O254" t="s">
        <v>623</v>
      </c>
      <c r="P254" t="s">
        <v>42</v>
      </c>
      <c r="Q254" t="s">
        <v>55</v>
      </c>
      <c r="R254" t="s">
        <v>624</v>
      </c>
      <c r="S254">
        <v>53.92</v>
      </c>
    </row>
    <row r="255" spans="1:19" x14ac:dyDescent="0.35">
      <c r="A255">
        <v>258</v>
      </c>
      <c r="B255" t="s">
        <v>945</v>
      </c>
      <c r="C255" s="1">
        <v>42702</v>
      </c>
      <c r="D255" s="1">
        <v>42708</v>
      </c>
      <c r="E255" s="1" t="str">
        <f t="shared" si="3"/>
        <v>FAST</v>
      </c>
      <c r="F255" t="s">
        <v>46</v>
      </c>
      <c r="G255" t="s">
        <v>946</v>
      </c>
      <c r="H255" t="s">
        <v>947</v>
      </c>
      <c r="I255" t="s">
        <v>37</v>
      </c>
      <c r="J255" t="s">
        <v>23</v>
      </c>
      <c r="K255" t="s">
        <v>297</v>
      </c>
      <c r="L255" t="s">
        <v>205</v>
      </c>
      <c r="M255">
        <v>60623</v>
      </c>
      <c r="N255" t="s">
        <v>101</v>
      </c>
      <c r="O255" t="s">
        <v>950</v>
      </c>
      <c r="P255" t="s">
        <v>67</v>
      </c>
      <c r="Q255" t="s">
        <v>68</v>
      </c>
      <c r="R255" t="s">
        <v>951</v>
      </c>
      <c r="S255">
        <v>647.904</v>
      </c>
    </row>
    <row r="256" spans="1:19" x14ac:dyDescent="0.35">
      <c r="A256">
        <v>259</v>
      </c>
      <c r="B256" t="s">
        <v>952</v>
      </c>
      <c r="C256" s="1">
        <v>43435</v>
      </c>
      <c r="D256" s="1">
        <v>43437</v>
      </c>
      <c r="E256" s="1" t="str">
        <f t="shared" si="3"/>
        <v>SLOW</v>
      </c>
      <c r="F256" t="s">
        <v>19</v>
      </c>
      <c r="G256" t="s">
        <v>953</v>
      </c>
      <c r="H256" t="s">
        <v>954</v>
      </c>
      <c r="I256" t="s">
        <v>22</v>
      </c>
      <c r="J256" t="s">
        <v>23</v>
      </c>
      <c r="K256" t="s">
        <v>260</v>
      </c>
      <c r="L256" t="s">
        <v>261</v>
      </c>
      <c r="M256">
        <v>10009</v>
      </c>
      <c r="N256" t="s">
        <v>144</v>
      </c>
      <c r="O256" t="s">
        <v>955</v>
      </c>
      <c r="P256" t="s">
        <v>67</v>
      </c>
      <c r="Q256" t="s">
        <v>157</v>
      </c>
      <c r="R256" t="s">
        <v>956</v>
      </c>
      <c r="S256">
        <v>20.37</v>
      </c>
    </row>
    <row r="257" spans="1:19" x14ac:dyDescent="0.35">
      <c r="A257">
        <v>260</v>
      </c>
      <c r="B257" t="s">
        <v>952</v>
      </c>
      <c r="C257" s="1">
        <v>43435</v>
      </c>
      <c r="D257" s="1">
        <v>43437</v>
      </c>
      <c r="E257" s="1" t="str">
        <f t="shared" si="3"/>
        <v>SLOW</v>
      </c>
      <c r="F257" t="s">
        <v>19</v>
      </c>
      <c r="G257" t="s">
        <v>953</v>
      </c>
      <c r="H257" t="s">
        <v>954</v>
      </c>
      <c r="I257" t="s">
        <v>22</v>
      </c>
      <c r="J257" t="s">
        <v>23</v>
      </c>
      <c r="K257" t="s">
        <v>260</v>
      </c>
      <c r="L257" t="s">
        <v>261</v>
      </c>
      <c r="M257">
        <v>10009</v>
      </c>
      <c r="N257" t="s">
        <v>144</v>
      </c>
      <c r="O257" t="s">
        <v>957</v>
      </c>
      <c r="P257" t="s">
        <v>42</v>
      </c>
      <c r="Q257" t="s">
        <v>55</v>
      </c>
      <c r="R257" t="s">
        <v>958</v>
      </c>
      <c r="S257">
        <v>221.55</v>
      </c>
    </row>
    <row r="258" spans="1:19" x14ac:dyDescent="0.35">
      <c r="A258">
        <v>261</v>
      </c>
      <c r="B258" t="s">
        <v>952</v>
      </c>
      <c r="C258" s="1">
        <v>43435</v>
      </c>
      <c r="D258" s="1">
        <v>43437</v>
      </c>
      <c r="E258" s="1" t="str">
        <f t="shared" si="3"/>
        <v>SLOW</v>
      </c>
      <c r="F258" t="s">
        <v>19</v>
      </c>
      <c r="G258" t="s">
        <v>953</v>
      </c>
      <c r="H258" t="s">
        <v>954</v>
      </c>
      <c r="I258" t="s">
        <v>22</v>
      </c>
      <c r="J258" t="s">
        <v>23</v>
      </c>
      <c r="K258" t="s">
        <v>260</v>
      </c>
      <c r="L258" t="s">
        <v>261</v>
      </c>
      <c r="M258">
        <v>10009</v>
      </c>
      <c r="N258" t="s">
        <v>144</v>
      </c>
      <c r="O258" t="s">
        <v>959</v>
      </c>
      <c r="P258" t="s">
        <v>42</v>
      </c>
      <c r="Q258" t="s">
        <v>71</v>
      </c>
      <c r="R258" t="s">
        <v>960</v>
      </c>
      <c r="S258">
        <v>17.52</v>
      </c>
    </row>
    <row r="259" spans="1:19" x14ac:dyDescent="0.35">
      <c r="A259">
        <v>262</v>
      </c>
      <c r="B259" t="s">
        <v>961</v>
      </c>
      <c r="C259" s="1">
        <v>43259</v>
      </c>
      <c r="D259" s="1">
        <v>43263</v>
      </c>
      <c r="E259" s="1" t="str">
        <f t="shared" ref="E259:E322" si="4">IF(F259="STANDARD CLASS","FAST",IF(F259="SECOND CLASS","SLOW","MODERATE"))</f>
        <v>FAST</v>
      </c>
      <c r="F259" t="s">
        <v>46</v>
      </c>
      <c r="G259" t="s">
        <v>962</v>
      </c>
      <c r="H259" t="s">
        <v>963</v>
      </c>
      <c r="I259" t="s">
        <v>37</v>
      </c>
      <c r="J259" t="s">
        <v>23</v>
      </c>
      <c r="K259" t="s">
        <v>590</v>
      </c>
      <c r="L259" t="s">
        <v>100</v>
      </c>
      <c r="M259">
        <v>77506</v>
      </c>
      <c r="N259" t="s">
        <v>101</v>
      </c>
      <c r="O259" t="s">
        <v>964</v>
      </c>
      <c r="P259" t="s">
        <v>42</v>
      </c>
      <c r="Q259" t="s">
        <v>74</v>
      </c>
      <c r="R259" t="s">
        <v>965</v>
      </c>
      <c r="S259">
        <v>1.6240000000000001</v>
      </c>
    </row>
    <row r="260" spans="1:19" x14ac:dyDescent="0.35">
      <c r="A260">
        <v>263</v>
      </c>
      <c r="B260" t="s">
        <v>966</v>
      </c>
      <c r="C260" s="1">
        <v>42266</v>
      </c>
      <c r="D260" s="1">
        <v>42268</v>
      </c>
      <c r="E260" s="1" t="str">
        <f t="shared" si="4"/>
        <v>SLOW</v>
      </c>
      <c r="F260" t="s">
        <v>19</v>
      </c>
      <c r="G260" t="s">
        <v>967</v>
      </c>
      <c r="H260" t="s">
        <v>968</v>
      </c>
      <c r="I260" t="s">
        <v>37</v>
      </c>
      <c r="J260" t="s">
        <v>23</v>
      </c>
      <c r="K260" t="s">
        <v>180</v>
      </c>
      <c r="L260" t="s">
        <v>100</v>
      </c>
      <c r="M260">
        <v>77036</v>
      </c>
      <c r="N260" t="s">
        <v>101</v>
      </c>
      <c r="O260" t="s">
        <v>670</v>
      </c>
      <c r="P260" t="s">
        <v>67</v>
      </c>
      <c r="Q260" t="s">
        <v>671</v>
      </c>
      <c r="R260" t="s">
        <v>672</v>
      </c>
      <c r="S260">
        <v>3059.982</v>
      </c>
    </row>
    <row r="261" spans="1:19" x14ac:dyDescent="0.35">
      <c r="A261">
        <v>264</v>
      </c>
      <c r="B261" t="s">
        <v>966</v>
      </c>
      <c r="C261" s="1">
        <v>42266</v>
      </c>
      <c r="D261" s="1">
        <v>42268</v>
      </c>
      <c r="E261" s="1" t="str">
        <f t="shared" si="4"/>
        <v>SLOW</v>
      </c>
      <c r="F261" t="s">
        <v>19</v>
      </c>
      <c r="G261" t="s">
        <v>967</v>
      </c>
      <c r="H261" t="s">
        <v>968</v>
      </c>
      <c r="I261" t="s">
        <v>37</v>
      </c>
      <c r="J261" t="s">
        <v>23</v>
      </c>
      <c r="K261" t="s">
        <v>180</v>
      </c>
      <c r="L261" t="s">
        <v>100</v>
      </c>
      <c r="M261">
        <v>77036</v>
      </c>
      <c r="N261" t="s">
        <v>101</v>
      </c>
      <c r="O261" t="s">
        <v>969</v>
      </c>
      <c r="P261" t="s">
        <v>67</v>
      </c>
      <c r="Q261" t="s">
        <v>671</v>
      </c>
      <c r="R261" t="s">
        <v>970</v>
      </c>
      <c r="S261">
        <v>2519.9580000000001</v>
      </c>
    </row>
    <row r="262" spans="1:19" x14ac:dyDescent="0.35">
      <c r="A262">
        <v>265</v>
      </c>
      <c r="B262" t="s">
        <v>971</v>
      </c>
      <c r="C262" s="1">
        <v>42892</v>
      </c>
      <c r="D262" s="1">
        <v>42899</v>
      </c>
      <c r="E262" s="1" t="str">
        <f t="shared" si="4"/>
        <v>FAST</v>
      </c>
      <c r="F262" t="s">
        <v>46</v>
      </c>
      <c r="G262" t="s">
        <v>972</v>
      </c>
      <c r="H262" t="s">
        <v>973</v>
      </c>
      <c r="I262" t="s">
        <v>22</v>
      </c>
      <c r="J262" t="s">
        <v>23</v>
      </c>
      <c r="K262" t="s">
        <v>297</v>
      </c>
      <c r="L262" t="s">
        <v>205</v>
      </c>
      <c r="M262">
        <v>60610</v>
      </c>
      <c r="N262" t="s">
        <v>101</v>
      </c>
      <c r="O262" t="s">
        <v>974</v>
      </c>
      <c r="P262" t="s">
        <v>67</v>
      </c>
      <c r="Q262" t="s">
        <v>68</v>
      </c>
      <c r="R262" t="s">
        <v>975</v>
      </c>
      <c r="S262">
        <v>328.22399999999999</v>
      </c>
    </row>
    <row r="263" spans="1:19" x14ac:dyDescent="0.35">
      <c r="A263">
        <v>266</v>
      </c>
      <c r="B263" t="s">
        <v>976</v>
      </c>
      <c r="C263" s="1">
        <v>42684</v>
      </c>
      <c r="D263" s="1">
        <v>42689</v>
      </c>
      <c r="E263" s="1" t="str">
        <f t="shared" si="4"/>
        <v>FAST</v>
      </c>
      <c r="F263" t="s">
        <v>46</v>
      </c>
      <c r="G263" t="s">
        <v>977</v>
      </c>
      <c r="H263" t="s">
        <v>978</v>
      </c>
      <c r="I263" t="s">
        <v>22</v>
      </c>
      <c r="J263" t="s">
        <v>23</v>
      </c>
      <c r="K263" t="s">
        <v>979</v>
      </c>
      <c r="L263" t="s">
        <v>39</v>
      </c>
      <c r="M263">
        <v>94513</v>
      </c>
      <c r="N263" t="s">
        <v>40</v>
      </c>
      <c r="O263" t="s">
        <v>980</v>
      </c>
      <c r="P263" t="s">
        <v>67</v>
      </c>
      <c r="Q263" t="s">
        <v>157</v>
      </c>
      <c r="R263" t="s">
        <v>981</v>
      </c>
      <c r="S263">
        <v>79.900000000000006</v>
      </c>
    </row>
    <row r="264" spans="1:19" x14ac:dyDescent="0.35">
      <c r="A264">
        <v>267</v>
      </c>
      <c r="B264" t="s">
        <v>982</v>
      </c>
      <c r="C264" s="1">
        <v>43267</v>
      </c>
      <c r="D264" s="1">
        <v>43271</v>
      </c>
      <c r="E264" s="1" t="str">
        <f t="shared" si="4"/>
        <v>FAST</v>
      </c>
      <c r="F264" t="s">
        <v>46</v>
      </c>
      <c r="G264" t="s">
        <v>983</v>
      </c>
      <c r="H264" t="s">
        <v>984</v>
      </c>
      <c r="I264" t="s">
        <v>37</v>
      </c>
      <c r="J264" t="s">
        <v>23</v>
      </c>
      <c r="K264" t="s">
        <v>985</v>
      </c>
      <c r="L264" t="s">
        <v>84</v>
      </c>
      <c r="M264">
        <v>27514</v>
      </c>
      <c r="N264" t="s">
        <v>26</v>
      </c>
      <c r="O264" t="s">
        <v>986</v>
      </c>
      <c r="P264" t="s">
        <v>42</v>
      </c>
      <c r="Q264" t="s">
        <v>64</v>
      </c>
      <c r="R264" t="s">
        <v>987</v>
      </c>
      <c r="S264">
        <v>14.016</v>
      </c>
    </row>
    <row r="265" spans="1:19" x14ac:dyDescent="0.35">
      <c r="A265">
        <v>268</v>
      </c>
      <c r="B265" t="s">
        <v>988</v>
      </c>
      <c r="C265" s="1">
        <v>42757</v>
      </c>
      <c r="D265" s="1">
        <v>42763</v>
      </c>
      <c r="E265" s="1" t="str">
        <f t="shared" si="4"/>
        <v>FAST</v>
      </c>
      <c r="F265" t="s">
        <v>46</v>
      </c>
      <c r="G265" t="s">
        <v>377</v>
      </c>
      <c r="H265" t="s">
        <v>378</v>
      </c>
      <c r="I265" t="s">
        <v>22</v>
      </c>
      <c r="J265" t="s">
        <v>23</v>
      </c>
      <c r="K265" t="s">
        <v>989</v>
      </c>
      <c r="L265" t="s">
        <v>775</v>
      </c>
      <c r="M265">
        <v>7960</v>
      </c>
      <c r="N265" t="s">
        <v>144</v>
      </c>
      <c r="O265" t="s">
        <v>990</v>
      </c>
      <c r="P265" t="s">
        <v>42</v>
      </c>
      <c r="Q265" t="s">
        <v>263</v>
      </c>
      <c r="R265" t="s">
        <v>991</v>
      </c>
      <c r="S265">
        <v>7.56</v>
      </c>
    </row>
    <row r="266" spans="1:19" x14ac:dyDescent="0.35">
      <c r="A266">
        <v>269</v>
      </c>
      <c r="B266" t="s">
        <v>992</v>
      </c>
      <c r="C266" s="1">
        <v>43443</v>
      </c>
      <c r="D266" s="1">
        <v>43447</v>
      </c>
      <c r="E266" s="1" t="str">
        <f t="shared" si="4"/>
        <v>FAST</v>
      </c>
      <c r="F266" t="s">
        <v>46</v>
      </c>
      <c r="G266" t="s">
        <v>993</v>
      </c>
      <c r="H266" t="s">
        <v>994</v>
      </c>
      <c r="I266" t="s">
        <v>37</v>
      </c>
      <c r="J266" t="s">
        <v>23</v>
      </c>
      <c r="K266" t="s">
        <v>995</v>
      </c>
      <c r="L266" t="s">
        <v>485</v>
      </c>
      <c r="M266">
        <v>45231</v>
      </c>
      <c r="N266" t="s">
        <v>144</v>
      </c>
      <c r="O266" t="s">
        <v>996</v>
      </c>
      <c r="P266" t="s">
        <v>42</v>
      </c>
      <c r="Q266" t="s">
        <v>55</v>
      </c>
      <c r="R266" t="s">
        <v>997</v>
      </c>
      <c r="S266">
        <v>37.207999999999998</v>
      </c>
    </row>
    <row r="267" spans="1:19" x14ac:dyDescent="0.35">
      <c r="A267">
        <v>270</v>
      </c>
      <c r="B267" t="s">
        <v>992</v>
      </c>
      <c r="C267" s="1">
        <v>43443</v>
      </c>
      <c r="D267" s="1">
        <v>43447</v>
      </c>
      <c r="E267" s="1" t="str">
        <f t="shared" si="4"/>
        <v>FAST</v>
      </c>
      <c r="F267" t="s">
        <v>46</v>
      </c>
      <c r="G267" t="s">
        <v>993</v>
      </c>
      <c r="H267" t="s">
        <v>994</v>
      </c>
      <c r="I267" t="s">
        <v>37</v>
      </c>
      <c r="J267" t="s">
        <v>23</v>
      </c>
      <c r="K267" t="s">
        <v>995</v>
      </c>
      <c r="L267" t="s">
        <v>485</v>
      </c>
      <c r="M267">
        <v>45231</v>
      </c>
      <c r="N267" t="s">
        <v>144</v>
      </c>
      <c r="O267" t="s">
        <v>998</v>
      </c>
      <c r="P267" t="s">
        <v>42</v>
      </c>
      <c r="Q267" t="s">
        <v>169</v>
      </c>
      <c r="R267" t="s">
        <v>999</v>
      </c>
      <c r="S267">
        <v>57.576000000000001</v>
      </c>
    </row>
    <row r="268" spans="1:19" x14ac:dyDescent="0.35">
      <c r="A268">
        <v>271</v>
      </c>
      <c r="B268" t="s">
        <v>1000</v>
      </c>
      <c r="C268" s="1">
        <v>43462</v>
      </c>
      <c r="D268" s="1">
        <v>43467</v>
      </c>
      <c r="E268" s="1" t="str">
        <f t="shared" si="4"/>
        <v>SLOW</v>
      </c>
      <c r="F268" t="s">
        <v>19</v>
      </c>
      <c r="G268" t="s">
        <v>1001</v>
      </c>
      <c r="H268" t="s">
        <v>1002</v>
      </c>
      <c r="I268" t="s">
        <v>37</v>
      </c>
      <c r="J268" t="s">
        <v>23</v>
      </c>
      <c r="K268" t="s">
        <v>123</v>
      </c>
      <c r="L268" t="s">
        <v>39</v>
      </c>
      <c r="M268">
        <v>94110</v>
      </c>
      <c r="N268" t="s">
        <v>40</v>
      </c>
      <c r="O268" t="s">
        <v>1003</v>
      </c>
      <c r="P268" t="s">
        <v>42</v>
      </c>
      <c r="Q268" t="s">
        <v>55</v>
      </c>
      <c r="R268" t="s">
        <v>1004</v>
      </c>
      <c r="S268">
        <v>725.84</v>
      </c>
    </row>
    <row r="269" spans="1:19" x14ac:dyDescent="0.35">
      <c r="A269">
        <v>272</v>
      </c>
      <c r="B269" t="s">
        <v>1005</v>
      </c>
      <c r="C269" s="1">
        <v>42581</v>
      </c>
      <c r="D269" s="1">
        <v>42582</v>
      </c>
      <c r="E269" s="1" t="str">
        <f t="shared" si="4"/>
        <v>MODERATE</v>
      </c>
      <c r="F269" t="s">
        <v>184</v>
      </c>
      <c r="G269" t="s">
        <v>588</v>
      </c>
      <c r="H269" t="s">
        <v>589</v>
      </c>
      <c r="I269" t="s">
        <v>22</v>
      </c>
      <c r="J269" t="s">
        <v>23</v>
      </c>
      <c r="K269" t="s">
        <v>123</v>
      </c>
      <c r="L269" t="s">
        <v>39</v>
      </c>
      <c r="M269">
        <v>94109</v>
      </c>
      <c r="N269" t="s">
        <v>40</v>
      </c>
      <c r="O269" t="s">
        <v>1006</v>
      </c>
      <c r="P269" t="s">
        <v>67</v>
      </c>
      <c r="Q269" t="s">
        <v>157</v>
      </c>
      <c r="R269" t="s">
        <v>1007</v>
      </c>
      <c r="S269">
        <v>209.93</v>
      </c>
    </row>
    <row r="270" spans="1:19" x14ac:dyDescent="0.35">
      <c r="A270">
        <v>273</v>
      </c>
      <c r="B270" t="s">
        <v>1005</v>
      </c>
      <c r="C270" s="1">
        <v>42581</v>
      </c>
      <c r="D270" s="1">
        <v>42582</v>
      </c>
      <c r="E270" s="1" t="str">
        <f t="shared" si="4"/>
        <v>MODERATE</v>
      </c>
      <c r="F270" t="s">
        <v>184</v>
      </c>
      <c r="G270" t="s">
        <v>588</v>
      </c>
      <c r="H270" t="s">
        <v>589</v>
      </c>
      <c r="I270" t="s">
        <v>22</v>
      </c>
      <c r="J270" t="s">
        <v>23</v>
      </c>
      <c r="K270" t="s">
        <v>123</v>
      </c>
      <c r="L270" t="s">
        <v>39</v>
      </c>
      <c r="M270">
        <v>94109</v>
      </c>
      <c r="N270" t="s">
        <v>40</v>
      </c>
      <c r="O270" t="s">
        <v>1008</v>
      </c>
      <c r="P270" t="s">
        <v>28</v>
      </c>
      <c r="Q270" t="s">
        <v>61</v>
      </c>
      <c r="R270" t="s">
        <v>1009</v>
      </c>
      <c r="S270">
        <v>5.28</v>
      </c>
    </row>
    <row r="271" spans="1:19" x14ac:dyDescent="0.35">
      <c r="A271">
        <v>274</v>
      </c>
      <c r="B271" t="s">
        <v>1005</v>
      </c>
      <c r="C271" s="1">
        <v>42581</v>
      </c>
      <c r="D271" s="1">
        <v>42582</v>
      </c>
      <c r="E271" s="1" t="str">
        <f t="shared" si="4"/>
        <v>MODERATE</v>
      </c>
      <c r="F271" t="s">
        <v>184</v>
      </c>
      <c r="G271" t="s">
        <v>588</v>
      </c>
      <c r="H271" t="s">
        <v>589</v>
      </c>
      <c r="I271" t="s">
        <v>22</v>
      </c>
      <c r="J271" t="s">
        <v>23</v>
      </c>
      <c r="K271" t="s">
        <v>123</v>
      </c>
      <c r="L271" t="s">
        <v>39</v>
      </c>
      <c r="M271">
        <v>94109</v>
      </c>
      <c r="N271" t="s">
        <v>40</v>
      </c>
      <c r="O271" t="s">
        <v>1010</v>
      </c>
      <c r="P271" t="s">
        <v>42</v>
      </c>
      <c r="Q271" t="s">
        <v>71</v>
      </c>
      <c r="R271" t="s">
        <v>1011</v>
      </c>
      <c r="S271">
        <v>10.92</v>
      </c>
    </row>
    <row r="272" spans="1:19" x14ac:dyDescent="0.35">
      <c r="A272">
        <v>275</v>
      </c>
      <c r="B272" t="s">
        <v>1012</v>
      </c>
      <c r="C272" s="1">
        <v>43359</v>
      </c>
      <c r="D272" s="1">
        <v>43360</v>
      </c>
      <c r="E272" s="1" t="str">
        <f t="shared" si="4"/>
        <v>MODERATE</v>
      </c>
      <c r="F272" t="s">
        <v>184</v>
      </c>
      <c r="G272" t="s">
        <v>1013</v>
      </c>
      <c r="H272" t="s">
        <v>1014</v>
      </c>
      <c r="I272" t="s">
        <v>37</v>
      </c>
      <c r="J272" t="s">
        <v>23</v>
      </c>
      <c r="K272" t="s">
        <v>1015</v>
      </c>
      <c r="L272" t="s">
        <v>39</v>
      </c>
      <c r="M272">
        <v>90301</v>
      </c>
      <c r="N272" t="s">
        <v>40</v>
      </c>
      <c r="O272" t="s">
        <v>1016</v>
      </c>
      <c r="P272" t="s">
        <v>42</v>
      </c>
      <c r="Q272" t="s">
        <v>86</v>
      </c>
      <c r="R272" t="s">
        <v>1017</v>
      </c>
      <c r="S272">
        <v>8.82</v>
      </c>
    </row>
    <row r="273" spans="1:19" x14ac:dyDescent="0.35">
      <c r="A273">
        <v>276</v>
      </c>
      <c r="B273" t="s">
        <v>1012</v>
      </c>
      <c r="C273" s="1">
        <v>43359</v>
      </c>
      <c r="D273" s="1">
        <v>43360</v>
      </c>
      <c r="E273" s="1" t="str">
        <f t="shared" si="4"/>
        <v>MODERATE</v>
      </c>
      <c r="F273" t="s">
        <v>184</v>
      </c>
      <c r="G273" t="s">
        <v>1013</v>
      </c>
      <c r="H273" t="s">
        <v>1014</v>
      </c>
      <c r="I273" t="s">
        <v>37</v>
      </c>
      <c r="J273" t="s">
        <v>23</v>
      </c>
      <c r="K273" t="s">
        <v>1015</v>
      </c>
      <c r="L273" t="s">
        <v>39</v>
      </c>
      <c r="M273">
        <v>90301</v>
      </c>
      <c r="N273" t="s">
        <v>40</v>
      </c>
      <c r="O273" t="s">
        <v>1018</v>
      </c>
      <c r="P273" t="s">
        <v>42</v>
      </c>
      <c r="Q273" t="s">
        <v>64</v>
      </c>
      <c r="R273" t="s">
        <v>1019</v>
      </c>
      <c r="S273">
        <v>5.98</v>
      </c>
    </row>
    <row r="274" spans="1:19" x14ac:dyDescent="0.35">
      <c r="A274">
        <v>277</v>
      </c>
      <c r="B274" t="s">
        <v>1020</v>
      </c>
      <c r="C274" s="1">
        <v>43386</v>
      </c>
      <c r="D274" s="1">
        <v>43390</v>
      </c>
      <c r="E274" s="1" t="str">
        <f t="shared" si="4"/>
        <v>FAST</v>
      </c>
      <c r="F274" t="s">
        <v>46</v>
      </c>
      <c r="G274" t="s">
        <v>1021</v>
      </c>
      <c r="H274" t="s">
        <v>1022</v>
      </c>
      <c r="I274" t="s">
        <v>37</v>
      </c>
      <c r="J274" t="s">
        <v>23</v>
      </c>
      <c r="K274" t="s">
        <v>142</v>
      </c>
      <c r="L274" t="s">
        <v>143</v>
      </c>
      <c r="M274">
        <v>19140</v>
      </c>
      <c r="N274" t="s">
        <v>144</v>
      </c>
      <c r="O274" t="s">
        <v>1023</v>
      </c>
      <c r="P274" t="s">
        <v>42</v>
      </c>
      <c r="Q274" t="s">
        <v>86</v>
      </c>
      <c r="R274" t="s">
        <v>1024</v>
      </c>
      <c r="S274">
        <v>11.648</v>
      </c>
    </row>
    <row r="275" spans="1:19" x14ac:dyDescent="0.35">
      <c r="A275">
        <v>278</v>
      </c>
      <c r="B275" t="s">
        <v>1020</v>
      </c>
      <c r="C275" s="1">
        <v>43386</v>
      </c>
      <c r="D275" s="1">
        <v>43390</v>
      </c>
      <c r="E275" s="1" t="str">
        <f t="shared" si="4"/>
        <v>FAST</v>
      </c>
      <c r="F275" t="s">
        <v>46</v>
      </c>
      <c r="G275" t="s">
        <v>1021</v>
      </c>
      <c r="H275" t="s">
        <v>1022</v>
      </c>
      <c r="I275" t="s">
        <v>37</v>
      </c>
      <c r="J275" t="s">
        <v>23</v>
      </c>
      <c r="K275" t="s">
        <v>142</v>
      </c>
      <c r="L275" t="s">
        <v>143</v>
      </c>
      <c r="M275">
        <v>19140</v>
      </c>
      <c r="N275" t="s">
        <v>144</v>
      </c>
      <c r="O275" t="s">
        <v>1025</v>
      </c>
      <c r="P275" t="s">
        <v>42</v>
      </c>
      <c r="Q275" t="s">
        <v>86</v>
      </c>
      <c r="R275" t="s">
        <v>1026</v>
      </c>
      <c r="S275">
        <v>18.175999999999998</v>
      </c>
    </row>
    <row r="276" spans="1:19" x14ac:dyDescent="0.35">
      <c r="A276">
        <v>279</v>
      </c>
      <c r="B276" t="s">
        <v>1020</v>
      </c>
      <c r="C276" s="1">
        <v>43386</v>
      </c>
      <c r="D276" s="1">
        <v>43390</v>
      </c>
      <c r="E276" s="1" t="str">
        <f t="shared" si="4"/>
        <v>FAST</v>
      </c>
      <c r="F276" t="s">
        <v>46</v>
      </c>
      <c r="G276" t="s">
        <v>1021</v>
      </c>
      <c r="H276" t="s">
        <v>1022</v>
      </c>
      <c r="I276" t="s">
        <v>37</v>
      </c>
      <c r="J276" t="s">
        <v>23</v>
      </c>
      <c r="K276" t="s">
        <v>142</v>
      </c>
      <c r="L276" t="s">
        <v>143</v>
      </c>
      <c r="M276">
        <v>19140</v>
      </c>
      <c r="N276" t="s">
        <v>144</v>
      </c>
      <c r="O276" t="s">
        <v>1027</v>
      </c>
      <c r="P276" t="s">
        <v>42</v>
      </c>
      <c r="Q276" t="s">
        <v>55</v>
      </c>
      <c r="R276" t="s">
        <v>1028</v>
      </c>
      <c r="S276">
        <v>59.712000000000003</v>
      </c>
    </row>
    <row r="277" spans="1:19" x14ac:dyDescent="0.35">
      <c r="A277">
        <v>280</v>
      </c>
      <c r="B277" t="s">
        <v>1020</v>
      </c>
      <c r="C277" s="1">
        <v>43386</v>
      </c>
      <c r="D277" s="1">
        <v>43390</v>
      </c>
      <c r="E277" s="1" t="str">
        <f t="shared" si="4"/>
        <v>FAST</v>
      </c>
      <c r="F277" t="s">
        <v>46</v>
      </c>
      <c r="G277" t="s">
        <v>1021</v>
      </c>
      <c r="H277" t="s">
        <v>1022</v>
      </c>
      <c r="I277" t="s">
        <v>37</v>
      </c>
      <c r="J277" t="s">
        <v>23</v>
      </c>
      <c r="K277" t="s">
        <v>142</v>
      </c>
      <c r="L277" t="s">
        <v>143</v>
      </c>
      <c r="M277">
        <v>19140</v>
      </c>
      <c r="N277" t="s">
        <v>144</v>
      </c>
      <c r="O277" t="s">
        <v>1029</v>
      </c>
      <c r="P277" t="s">
        <v>42</v>
      </c>
      <c r="Q277" t="s">
        <v>43</v>
      </c>
      <c r="R277" t="s">
        <v>1030</v>
      </c>
      <c r="S277">
        <v>24.84</v>
      </c>
    </row>
    <row r="278" spans="1:19" x14ac:dyDescent="0.35">
      <c r="A278">
        <v>281</v>
      </c>
      <c r="B278" t="s">
        <v>1031</v>
      </c>
      <c r="C278" s="1">
        <v>42639</v>
      </c>
      <c r="D278" s="1">
        <v>42641</v>
      </c>
      <c r="E278" s="1" t="str">
        <f t="shared" si="4"/>
        <v>SLOW</v>
      </c>
      <c r="F278" t="s">
        <v>19</v>
      </c>
      <c r="G278" t="s">
        <v>506</v>
      </c>
      <c r="H278" t="s">
        <v>507</v>
      </c>
      <c r="I278" t="s">
        <v>22</v>
      </c>
      <c r="J278" t="s">
        <v>23</v>
      </c>
      <c r="K278" t="s">
        <v>180</v>
      </c>
      <c r="L278" t="s">
        <v>100</v>
      </c>
      <c r="M278">
        <v>77070</v>
      </c>
      <c r="N278" t="s">
        <v>101</v>
      </c>
      <c r="O278" t="s">
        <v>1032</v>
      </c>
      <c r="P278" t="s">
        <v>42</v>
      </c>
      <c r="Q278" t="s">
        <v>71</v>
      </c>
      <c r="R278" t="s">
        <v>1033</v>
      </c>
      <c r="S278">
        <v>2.08</v>
      </c>
    </row>
    <row r="279" spans="1:19" x14ac:dyDescent="0.35">
      <c r="A279">
        <v>282</v>
      </c>
      <c r="B279" t="s">
        <v>1031</v>
      </c>
      <c r="C279" s="1">
        <v>42639</v>
      </c>
      <c r="D279" s="1">
        <v>42641</v>
      </c>
      <c r="E279" s="1" t="str">
        <f t="shared" si="4"/>
        <v>SLOW</v>
      </c>
      <c r="F279" t="s">
        <v>19</v>
      </c>
      <c r="G279" t="s">
        <v>506</v>
      </c>
      <c r="H279" t="s">
        <v>507</v>
      </c>
      <c r="I279" t="s">
        <v>22</v>
      </c>
      <c r="J279" t="s">
        <v>23</v>
      </c>
      <c r="K279" t="s">
        <v>180</v>
      </c>
      <c r="L279" t="s">
        <v>100</v>
      </c>
      <c r="M279">
        <v>77070</v>
      </c>
      <c r="N279" t="s">
        <v>101</v>
      </c>
      <c r="O279" t="s">
        <v>1034</v>
      </c>
      <c r="P279" t="s">
        <v>67</v>
      </c>
      <c r="Q279" t="s">
        <v>68</v>
      </c>
      <c r="R279" t="s">
        <v>1035</v>
      </c>
      <c r="S279">
        <v>1114.4000000000001</v>
      </c>
    </row>
    <row r="280" spans="1:19" x14ac:dyDescent="0.35">
      <c r="A280">
        <v>283</v>
      </c>
      <c r="B280" t="s">
        <v>1036</v>
      </c>
      <c r="C280" s="1">
        <v>42676</v>
      </c>
      <c r="D280" s="1">
        <v>42680</v>
      </c>
      <c r="E280" s="1" t="str">
        <f t="shared" si="4"/>
        <v>FAST</v>
      </c>
      <c r="F280" t="s">
        <v>46</v>
      </c>
      <c r="G280" t="s">
        <v>1037</v>
      </c>
      <c r="H280" t="s">
        <v>1038</v>
      </c>
      <c r="I280" t="s">
        <v>22</v>
      </c>
      <c r="J280" t="s">
        <v>23</v>
      </c>
      <c r="K280" t="s">
        <v>38</v>
      </c>
      <c r="L280" t="s">
        <v>39</v>
      </c>
      <c r="M280">
        <v>90004</v>
      </c>
      <c r="N280" t="s">
        <v>40</v>
      </c>
      <c r="O280" t="s">
        <v>1039</v>
      </c>
      <c r="P280" t="s">
        <v>28</v>
      </c>
      <c r="Q280" t="s">
        <v>52</v>
      </c>
      <c r="R280" t="s">
        <v>1040</v>
      </c>
      <c r="S280">
        <v>1038.8399999999999</v>
      </c>
    </row>
    <row r="281" spans="1:19" x14ac:dyDescent="0.35">
      <c r="A281">
        <v>284</v>
      </c>
      <c r="B281" t="s">
        <v>1041</v>
      </c>
      <c r="C281" s="1">
        <v>42639</v>
      </c>
      <c r="D281" s="1">
        <v>42645</v>
      </c>
      <c r="E281" s="1" t="str">
        <f t="shared" si="4"/>
        <v>FAST</v>
      </c>
      <c r="F281" t="s">
        <v>46</v>
      </c>
      <c r="G281" t="s">
        <v>160</v>
      </c>
      <c r="H281" t="s">
        <v>161</v>
      </c>
      <c r="I281" t="s">
        <v>22</v>
      </c>
      <c r="J281" t="s">
        <v>23</v>
      </c>
      <c r="K281" t="s">
        <v>409</v>
      </c>
      <c r="L281" t="s">
        <v>410</v>
      </c>
      <c r="M281">
        <v>97206</v>
      </c>
      <c r="N281" t="s">
        <v>40</v>
      </c>
      <c r="O281" t="s">
        <v>1042</v>
      </c>
      <c r="P281" t="s">
        <v>42</v>
      </c>
      <c r="Q281" t="s">
        <v>86</v>
      </c>
      <c r="R281" t="s">
        <v>182</v>
      </c>
      <c r="S281">
        <v>141.76</v>
      </c>
    </row>
    <row r="282" spans="1:19" x14ac:dyDescent="0.35">
      <c r="A282">
        <v>285</v>
      </c>
      <c r="B282" t="s">
        <v>1041</v>
      </c>
      <c r="C282" s="1">
        <v>42639</v>
      </c>
      <c r="D282" s="1">
        <v>42645</v>
      </c>
      <c r="E282" s="1" t="str">
        <f t="shared" si="4"/>
        <v>FAST</v>
      </c>
      <c r="F282" t="s">
        <v>46</v>
      </c>
      <c r="G282" t="s">
        <v>160</v>
      </c>
      <c r="H282" t="s">
        <v>161</v>
      </c>
      <c r="I282" t="s">
        <v>22</v>
      </c>
      <c r="J282" t="s">
        <v>23</v>
      </c>
      <c r="K282" t="s">
        <v>409</v>
      </c>
      <c r="L282" t="s">
        <v>410</v>
      </c>
      <c r="M282">
        <v>97206</v>
      </c>
      <c r="N282" t="s">
        <v>40</v>
      </c>
      <c r="O282" t="s">
        <v>1043</v>
      </c>
      <c r="P282" t="s">
        <v>67</v>
      </c>
      <c r="Q282" t="s">
        <v>157</v>
      </c>
      <c r="R282" t="s">
        <v>1044</v>
      </c>
      <c r="S282">
        <v>239.8</v>
      </c>
    </row>
    <row r="283" spans="1:19" x14ac:dyDescent="0.35">
      <c r="A283">
        <v>286</v>
      </c>
      <c r="B283" t="s">
        <v>1041</v>
      </c>
      <c r="C283" s="1">
        <v>42639</v>
      </c>
      <c r="D283" s="1">
        <v>42645</v>
      </c>
      <c r="E283" s="1" t="str">
        <f t="shared" si="4"/>
        <v>FAST</v>
      </c>
      <c r="F283" t="s">
        <v>46</v>
      </c>
      <c r="G283" t="s">
        <v>160</v>
      </c>
      <c r="H283" t="s">
        <v>161</v>
      </c>
      <c r="I283" t="s">
        <v>22</v>
      </c>
      <c r="J283" t="s">
        <v>23</v>
      </c>
      <c r="K283" t="s">
        <v>409</v>
      </c>
      <c r="L283" t="s">
        <v>410</v>
      </c>
      <c r="M283">
        <v>97206</v>
      </c>
      <c r="N283" t="s">
        <v>40</v>
      </c>
      <c r="O283" t="s">
        <v>1045</v>
      </c>
      <c r="P283" t="s">
        <v>42</v>
      </c>
      <c r="Q283" t="s">
        <v>86</v>
      </c>
      <c r="R283" t="s">
        <v>1046</v>
      </c>
      <c r="S283">
        <v>31.103999999999999</v>
      </c>
    </row>
    <row r="284" spans="1:19" x14ac:dyDescent="0.35">
      <c r="A284">
        <v>287</v>
      </c>
      <c r="B284" t="s">
        <v>1047</v>
      </c>
      <c r="C284" s="1">
        <v>43087</v>
      </c>
      <c r="D284" s="1">
        <v>43089</v>
      </c>
      <c r="E284" s="1" t="str">
        <f t="shared" si="4"/>
        <v>SLOW</v>
      </c>
      <c r="F284" t="s">
        <v>19</v>
      </c>
      <c r="G284" t="s">
        <v>1048</v>
      </c>
      <c r="H284" t="s">
        <v>1049</v>
      </c>
      <c r="I284" t="s">
        <v>37</v>
      </c>
      <c r="J284" t="s">
        <v>23</v>
      </c>
      <c r="K284" t="s">
        <v>1050</v>
      </c>
      <c r="L284" t="s">
        <v>50</v>
      </c>
      <c r="M284">
        <v>33319</v>
      </c>
      <c r="N284" t="s">
        <v>26</v>
      </c>
      <c r="O284" t="s">
        <v>1051</v>
      </c>
      <c r="P284" t="s">
        <v>42</v>
      </c>
      <c r="Q284" t="s">
        <v>71</v>
      </c>
      <c r="R284" t="s">
        <v>1052</v>
      </c>
      <c r="S284">
        <v>254.05799999999999</v>
      </c>
    </row>
    <row r="285" spans="1:19" x14ac:dyDescent="0.35">
      <c r="A285">
        <v>288</v>
      </c>
      <c r="B285" t="s">
        <v>1047</v>
      </c>
      <c r="C285" s="1">
        <v>43087</v>
      </c>
      <c r="D285" s="1">
        <v>43089</v>
      </c>
      <c r="E285" s="1" t="str">
        <f t="shared" si="4"/>
        <v>SLOW</v>
      </c>
      <c r="F285" t="s">
        <v>19</v>
      </c>
      <c r="G285" t="s">
        <v>1048</v>
      </c>
      <c r="H285" t="s">
        <v>1049</v>
      </c>
      <c r="I285" t="s">
        <v>37</v>
      </c>
      <c r="J285" t="s">
        <v>23</v>
      </c>
      <c r="K285" t="s">
        <v>1050</v>
      </c>
      <c r="L285" t="s">
        <v>50</v>
      </c>
      <c r="M285">
        <v>33319</v>
      </c>
      <c r="N285" t="s">
        <v>26</v>
      </c>
      <c r="O285" t="s">
        <v>702</v>
      </c>
      <c r="P285" t="s">
        <v>42</v>
      </c>
      <c r="Q285" t="s">
        <v>74</v>
      </c>
      <c r="R285" t="s">
        <v>703</v>
      </c>
      <c r="S285">
        <v>194.52799999999999</v>
      </c>
    </row>
    <row r="286" spans="1:19" x14ac:dyDescent="0.35">
      <c r="A286">
        <v>289</v>
      </c>
      <c r="B286" t="s">
        <v>1047</v>
      </c>
      <c r="C286" s="1">
        <v>43087</v>
      </c>
      <c r="D286" s="1">
        <v>43089</v>
      </c>
      <c r="E286" s="1" t="str">
        <f t="shared" si="4"/>
        <v>SLOW</v>
      </c>
      <c r="F286" t="s">
        <v>19</v>
      </c>
      <c r="G286" t="s">
        <v>1048</v>
      </c>
      <c r="H286" t="s">
        <v>1049</v>
      </c>
      <c r="I286" t="s">
        <v>37</v>
      </c>
      <c r="J286" t="s">
        <v>23</v>
      </c>
      <c r="K286" t="s">
        <v>1050</v>
      </c>
      <c r="L286" t="s">
        <v>50</v>
      </c>
      <c r="M286">
        <v>33319</v>
      </c>
      <c r="N286" t="s">
        <v>26</v>
      </c>
      <c r="O286" t="s">
        <v>1053</v>
      </c>
      <c r="P286" t="s">
        <v>42</v>
      </c>
      <c r="Q286" t="s">
        <v>566</v>
      </c>
      <c r="R286" t="s">
        <v>1054</v>
      </c>
      <c r="S286">
        <v>961.48</v>
      </c>
    </row>
    <row r="287" spans="1:19" x14ac:dyDescent="0.35">
      <c r="A287">
        <v>290</v>
      </c>
      <c r="B287" t="s">
        <v>1055</v>
      </c>
      <c r="C287" s="1">
        <v>43059</v>
      </c>
      <c r="D287" s="1">
        <v>43063</v>
      </c>
      <c r="E287" s="1" t="str">
        <f t="shared" si="4"/>
        <v>SLOW</v>
      </c>
      <c r="F287" t="s">
        <v>19</v>
      </c>
      <c r="G287" t="s">
        <v>1056</v>
      </c>
      <c r="H287" t="s">
        <v>1057</v>
      </c>
      <c r="I287" t="s">
        <v>98</v>
      </c>
      <c r="J287" t="s">
        <v>23</v>
      </c>
      <c r="K287" t="s">
        <v>484</v>
      </c>
      <c r="L287" t="s">
        <v>485</v>
      </c>
      <c r="M287">
        <v>43229</v>
      </c>
      <c r="N287" t="s">
        <v>144</v>
      </c>
      <c r="O287" t="s">
        <v>1058</v>
      </c>
      <c r="P287" t="s">
        <v>42</v>
      </c>
      <c r="Q287" t="s">
        <v>263</v>
      </c>
      <c r="R287" t="s">
        <v>1059</v>
      </c>
      <c r="S287">
        <v>19.096</v>
      </c>
    </row>
    <row r="288" spans="1:19" x14ac:dyDescent="0.35">
      <c r="A288">
        <v>291</v>
      </c>
      <c r="B288" t="s">
        <v>1055</v>
      </c>
      <c r="C288" s="1">
        <v>43059</v>
      </c>
      <c r="D288" s="1">
        <v>43063</v>
      </c>
      <c r="E288" s="1" t="str">
        <f t="shared" si="4"/>
        <v>SLOW</v>
      </c>
      <c r="F288" t="s">
        <v>19</v>
      </c>
      <c r="G288" t="s">
        <v>1056</v>
      </c>
      <c r="H288" t="s">
        <v>1057</v>
      </c>
      <c r="I288" t="s">
        <v>98</v>
      </c>
      <c r="J288" t="s">
        <v>23</v>
      </c>
      <c r="K288" t="s">
        <v>484</v>
      </c>
      <c r="L288" t="s">
        <v>485</v>
      </c>
      <c r="M288">
        <v>43229</v>
      </c>
      <c r="N288" t="s">
        <v>144</v>
      </c>
      <c r="O288" t="s">
        <v>1060</v>
      </c>
      <c r="P288" t="s">
        <v>42</v>
      </c>
      <c r="Q288" t="s">
        <v>43</v>
      </c>
      <c r="R288" t="s">
        <v>1061</v>
      </c>
      <c r="S288">
        <v>18.495999999999999</v>
      </c>
    </row>
    <row r="289" spans="1:19" x14ac:dyDescent="0.35">
      <c r="A289">
        <v>292</v>
      </c>
      <c r="B289" t="s">
        <v>1055</v>
      </c>
      <c r="C289" s="1">
        <v>43059</v>
      </c>
      <c r="D289" s="1">
        <v>43063</v>
      </c>
      <c r="E289" s="1" t="str">
        <f t="shared" si="4"/>
        <v>SLOW</v>
      </c>
      <c r="F289" t="s">
        <v>19</v>
      </c>
      <c r="G289" t="s">
        <v>1056</v>
      </c>
      <c r="H289" t="s">
        <v>1057</v>
      </c>
      <c r="I289" t="s">
        <v>98</v>
      </c>
      <c r="J289" t="s">
        <v>23</v>
      </c>
      <c r="K289" t="s">
        <v>484</v>
      </c>
      <c r="L289" t="s">
        <v>485</v>
      </c>
      <c r="M289">
        <v>43229</v>
      </c>
      <c r="N289" t="s">
        <v>144</v>
      </c>
      <c r="O289" t="s">
        <v>1062</v>
      </c>
      <c r="P289" t="s">
        <v>67</v>
      </c>
      <c r="Q289" t="s">
        <v>157</v>
      </c>
      <c r="R289" t="s">
        <v>1063</v>
      </c>
      <c r="S289">
        <v>255.98400000000001</v>
      </c>
    </row>
    <row r="290" spans="1:19" x14ac:dyDescent="0.35">
      <c r="A290">
        <v>293</v>
      </c>
      <c r="B290" t="s">
        <v>1055</v>
      </c>
      <c r="C290" s="1">
        <v>43059</v>
      </c>
      <c r="D290" s="1">
        <v>43063</v>
      </c>
      <c r="E290" s="1" t="str">
        <f t="shared" si="4"/>
        <v>SLOW</v>
      </c>
      <c r="F290" t="s">
        <v>19</v>
      </c>
      <c r="G290" t="s">
        <v>1056</v>
      </c>
      <c r="H290" t="s">
        <v>1057</v>
      </c>
      <c r="I290" t="s">
        <v>98</v>
      </c>
      <c r="J290" t="s">
        <v>23</v>
      </c>
      <c r="K290" t="s">
        <v>484</v>
      </c>
      <c r="L290" t="s">
        <v>485</v>
      </c>
      <c r="M290">
        <v>43229</v>
      </c>
      <c r="N290" t="s">
        <v>144</v>
      </c>
      <c r="O290" t="s">
        <v>1064</v>
      </c>
      <c r="P290" t="s">
        <v>28</v>
      </c>
      <c r="Q290" t="s">
        <v>29</v>
      </c>
      <c r="R290" t="s">
        <v>1065</v>
      </c>
      <c r="S290">
        <v>86.97</v>
      </c>
    </row>
    <row r="291" spans="1:19" x14ac:dyDescent="0.35">
      <c r="A291">
        <v>294</v>
      </c>
      <c r="B291" t="s">
        <v>1066</v>
      </c>
      <c r="C291" s="1">
        <v>42364</v>
      </c>
      <c r="D291" s="1">
        <v>42366</v>
      </c>
      <c r="E291" s="1" t="str">
        <f t="shared" si="4"/>
        <v>MODERATE</v>
      </c>
      <c r="F291" t="s">
        <v>184</v>
      </c>
      <c r="G291" t="s">
        <v>1067</v>
      </c>
      <c r="H291" t="s">
        <v>1068</v>
      </c>
      <c r="I291" t="s">
        <v>37</v>
      </c>
      <c r="J291" t="s">
        <v>23</v>
      </c>
      <c r="K291" t="s">
        <v>1069</v>
      </c>
      <c r="L291" t="s">
        <v>444</v>
      </c>
      <c r="M291">
        <v>80906</v>
      </c>
      <c r="N291" t="s">
        <v>40</v>
      </c>
      <c r="O291" t="s">
        <v>1070</v>
      </c>
      <c r="P291" t="s">
        <v>28</v>
      </c>
      <c r="Q291" t="s">
        <v>61</v>
      </c>
      <c r="R291" t="s">
        <v>1071</v>
      </c>
      <c r="S291">
        <v>300.416</v>
      </c>
    </row>
    <row r="292" spans="1:19" x14ac:dyDescent="0.35">
      <c r="A292">
        <v>295</v>
      </c>
      <c r="B292" t="s">
        <v>1066</v>
      </c>
      <c r="C292" s="1">
        <v>42364</v>
      </c>
      <c r="D292" s="1">
        <v>42366</v>
      </c>
      <c r="E292" s="1" t="str">
        <f t="shared" si="4"/>
        <v>MODERATE</v>
      </c>
      <c r="F292" t="s">
        <v>184</v>
      </c>
      <c r="G292" t="s">
        <v>1067</v>
      </c>
      <c r="H292" t="s">
        <v>1068</v>
      </c>
      <c r="I292" t="s">
        <v>37</v>
      </c>
      <c r="J292" t="s">
        <v>23</v>
      </c>
      <c r="K292" t="s">
        <v>1069</v>
      </c>
      <c r="L292" t="s">
        <v>444</v>
      </c>
      <c r="M292">
        <v>80906</v>
      </c>
      <c r="N292" t="s">
        <v>40</v>
      </c>
      <c r="O292" t="s">
        <v>1072</v>
      </c>
      <c r="P292" t="s">
        <v>28</v>
      </c>
      <c r="Q292" t="s">
        <v>32</v>
      </c>
      <c r="R292" t="s">
        <v>1073</v>
      </c>
      <c r="S292">
        <v>230.352</v>
      </c>
    </row>
    <row r="293" spans="1:19" x14ac:dyDescent="0.35">
      <c r="A293">
        <v>296</v>
      </c>
      <c r="B293" t="s">
        <v>1066</v>
      </c>
      <c r="C293" s="1">
        <v>42364</v>
      </c>
      <c r="D293" s="1">
        <v>42366</v>
      </c>
      <c r="E293" s="1" t="str">
        <f t="shared" si="4"/>
        <v>MODERATE</v>
      </c>
      <c r="F293" t="s">
        <v>184</v>
      </c>
      <c r="G293" t="s">
        <v>1067</v>
      </c>
      <c r="H293" t="s">
        <v>1068</v>
      </c>
      <c r="I293" t="s">
        <v>37</v>
      </c>
      <c r="J293" t="s">
        <v>23</v>
      </c>
      <c r="K293" t="s">
        <v>1069</v>
      </c>
      <c r="L293" t="s">
        <v>444</v>
      </c>
      <c r="M293">
        <v>80906</v>
      </c>
      <c r="N293" t="s">
        <v>40</v>
      </c>
      <c r="O293" t="s">
        <v>1074</v>
      </c>
      <c r="P293" t="s">
        <v>28</v>
      </c>
      <c r="Q293" t="s">
        <v>61</v>
      </c>
      <c r="R293" t="s">
        <v>1075</v>
      </c>
      <c r="S293">
        <v>218.352</v>
      </c>
    </row>
    <row r="294" spans="1:19" x14ac:dyDescent="0.35">
      <c r="A294">
        <v>297</v>
      </c>
      <c r="B294" t="s">
        <v>1066</v>
      </c>
      <c r="C294" s="1">
        <v>42364</v>
      </c>
      <c r="D294" s="1">
        <v>42366</v>
      </c>
      <c r="E294" s="1" t="str">
        <f t="shared" si="4"/>
        <v>MODERATE</v>
      </c>
      <c r="F294" t="s">
        <v>184</v>
      </c>
      <c r="G294" t="s">
        <v>1067</v>
      </c>
      <c r="H294" t="s">
        <v>1068</v>
      </c>
      <c r="I294" t="s">
        <v>37</v>
      </c>
      <c r="J294" t="s">
        <v>23</v>
      </c>
      <c r="K294" t="s">
        <v>1069</v>
      </c>
      <c r="L294" t="s">
        <v>444</v>
      </c>
      <c r="M294">
        <v>80906</v>
      </c>
      <c r="N294" t="s">
        <v>40</v>
      </c>
      <c r="O294" t="s">
        <v>1076</v>
      </c>
      <c r="P294" t="s">
        <v>42</v>
      </c>
      <c r="Q294" t="s">
        <v>71</v>
      </c>
      <c r="R294" t="s">
        <v>1077</v>
      </c>
      <c r="S294">
        <v>78.599999999999994</v>
      </c>
    </row>
    <row r="295" spans="1:19" x14ac:dyDescent="0.35">
      <c r="A295">
        <v>298</v>
      </c>
      <c r="B295" t="s">
        <v>1066</v>
      </c>
      <c r="C295" s="1">
        <v>42364</v>
      </c>
      <c r="D295" s="1">
        <v>42366</v>
      </c>
      <c r="E295" s="1" t="str">
        <f t="shared" si="4"/>
        <v>MODERATE</v>
      </c>
      <c r="F295" t="s">
        <v>184</v>
      </c>
      <c r="G295" t="s">
        <v>1067</v>
      </c>
      <c r="H295" t="s">
        <v>1068</v>
      </c>
      <c r="I295" t="s">
        <v>37</v>
      </c>
      <c r="J295" t="s">
        <v>23</v>
      </c>
      <c r="K295" t="s">
        <v>1069</v>
      </c>
      <c r="L295" t="s">
        <v>444</v>
      </c>
      <c r="M295">
        <v>80906</v>
      </c>
      <c r="N295" t="s">
        <v>40</v>
      </c>
      <c r="O295" t="s">
        <v>1078</v>
      </c>
      <c r="P295" t="s">
        <v>42</v>
      </c>
      <c r="Q295" t="s">
        <v>263</v>
      </c>
      <c r="R295" t="s">
        <v>1079</v>
      </c>
      <c r="S295">
        <v>27.552</v>
      </c>
    </row>
    <row r="296" spans="1:19" x14ac:dyDescent="0.35">
      <c r="A296">
        <v>299</v>
      </c>
      <c r="B296" t="s">
        <v>1080</v>
      </c>
      <c r="C296" s="1">
        <v>43036</v>
      </c>
      <c r="D296" s="1">
        <v>43042</v>
      </c>
      <c r="E296" s="1" t="str">
        <f t="shared" si="4"/>
        <v>FAST</v>
      </c>
      <c r="F296" t="s">
        <v>46</v>
      </c>
      <c r="G296" t="s">
        <v>569</v>
      </c>
      <c r="H296" t="s">
        <v>570</v>
      </c>
      <c r="I296" t="s">
        <v>37</v>
      </c>
      <c r="J296" t="s">
        <v>23</v>
      </c>
      <c r="K296" t="s">
        <v>1081</v>
      </c>
      <c r="L296" t="s">
        <v>775</v>
      </c>
      <c r="M296">
        <v>7109</v>
      </c>
      <c r="N296" t="s">
        <v>144</v>
      </c>
      <c r="O296" t="s">
        <v>1082</v>
      </c>
      <c r="P296" t="s">
        <v>42</v>
      </c>
      <c r="Q296" t="s">
        <v>86</v>
      </c>
      <c r="R296" t="s">
        <v>1083</v>
      </c>
      <c r="S296">
        <v>32.4</v>
      </c>
    </row>
    <row r="297" spans="1:19" x14ac:dyDescent="0.35">
      <c r="A297">
        <v>300</v>
      </c>
      <c r="B297" t="s">
        <v>1080</v>
      </c>
      <c r="C297" s="1">
        <v>43036</v>
      </c>
      <c r="D297" s="1">
        <v>43042</v>
      </c>
      <c r="E297" s="1" t="str">
        <f t="shared" si="4"/>
        <v>FAST</v>
      </c>
      <c r="F297" t="s">
        <v>46</v>
      </c>
      <c r="G297" t="s">
        <v>569</v>
      </c>
      <c r="H297" t="s">
        <v>570</v>
      </c>
      <c r="I297" t="s">
        <v>37</v>
      </c>
      <c r="J297" t="s">
        <v>23</v>
      </c>
      <c r="K297" t="s">
        <v>1081</v>
      </c>
      <c r="L297" t="s">
        <v>775</v>
      </c>
      <c r="M297">
        <v>7109</v>
      </c>
      <c r="N297" t="s">
        <v>144</v>
      </c>
      <c r="O297" t="s">
        <v>1084</v>
      </c>
      <c r="P297" t="s">
        <v>42</v>
      </c>
      <c r="Q297" t="s">
        <v>55</v>
      </c>
      <c r="R297" t="s">
        <v>1085</v>
      </c>
      <c r="S297">
        <v>1082.48</v>
      </c>
    </row>
    <row r="298" spans="1:19" x14ac:dyDescent="0.35">
      <c r="A298">
        <v>301</v>
      </c>
      <c r="B298" t="s">
        <v>1080</v>
      </c>
      <c r="C298" s="1">
        <v>43036</v>
      </c>
      <c r="D298" s="1">
        <v>43042</v>
      </c>
      <c r="E298" s="1" t="str">
        <f t="shared" si="4"/>
        <v>FAST</v>
      </c>
      <c r="F298" t="s">
        <v>46</v>
      </c>
      <c r="G298" t="s">
        <v>569</v>
      </c>
      <c r="H298" t="s">
        <v>570</v>
      </c>
      <c r="I298" t="s">
        <v>37</v>
      </c>
      <c r="J298" t="s">
        <v>23</v>
      </c>
      <c r="K298" t="s">
        <v>1081</v>
      </c>
      <c r="L298" t="s">
        <v>775</v>
      </c>
      <c r="M298">
        <v>7109</v>
      </c>
      <c r="N298" t="s">
        <v>144</v>
      </c>
      <c r="O298" t="s">
        <v>1086</v>
      </c>
      <c r="P298" t="s">
        <v>42</v>
      </c>
      <c r="Q298" t="s">
        <v>86</v>
      </c>
      <c r="R298" t="s">
        <v>1087</v>
      </c>
      <c r="S298">
        <v>56.91</v>
      </c>
    </row>
    <row r="299" spans="1:19" x14ac:dyDescent="0.35">
      <c r="A299">
        <v>302</v>
      </c>
      <c r="B299" t="s">
        <v>1080</v>
      </c>
      <c r="C299" s="1">
        <v>43036</v>
      </c>
      <c r="D299" s="1">
        <v>43042</v>
      </c>
      <c r="E299" s="1" t="str">
        <f t="shared" si="4"/>
        <v>FAST</v>
      </c>
      <c r="F299" t="s">
        <v>46</v>
      </c>
      <c r="G299" t="s">
        <v>569</v>
      </c>
      <c r="H299" t="s">
        <v>570</v>
      </c>
      <c r="I299" t="s">
        <v>37</v>
      </c>
      <c r="J299" t="s">
        <v>23</v>
      </c>
      <c r="K299" t="s">
        <v>1081</v>
      </c>
      <c r="L299" t="s">
        <v>775</v>
      </c>
      <c r="M299">
        <v>7109</v>
      </c>
      <c r="N299" t="s">
        <v>144</v>
      </c>
      <c r="O299" t="s">
        <v>1088</v>
      </c>
      <c r="P299" t="s">
        <v>28</v>
      </c>
      <c r="Q299" t="s">
        <v>61</v>
      </c>
      <c r="R299" t="s">
        <v>1089</v>
      </c>
      <c r="S299">
        <v>77.599999999999994</v>
      </c>
    </row>
    <row r="300" spans="1:19" x14ac:dyDescent="0.35">
      <c r="A300">
        <v>303</v>
      </c>
      <c r="B300" t="s">
        <v>1080</v>
      </c>
      <c r="C300" s="1">
        <v>43036</v>
      </c>
      <c r="D300" s="1">
        <v>43042</v>
      </c>
      <c r="E300" s="1" t="str">
        <f t="shared" si="4"/>
        <v>FAST</v>
      </c>
      <c r="F300" t="s">
        <v>46</v>
      </c>
      <c r="G300" t="s">
        <v>569</v>
      </c>
      <c r="H300" t="s">
        <v>570</v>
      </c>
      <c r="I300" t="s">
        <v>37</v>
      </c>
      <c r="J300" t="s">
        <v>23</v>
      </c>
      <c r="K300" t="s">
        <v>1081</v>
      </c>
      <c r="L300" t="s">
        <v>775</v>
      </c>
      <c r="M300">
        <v>7109</v>
      </c>
      <c r="N300" t="s">
        <v>144</v>
      </c>
      <c r="O300" t="s">
        <v>1090</v>
      </c>
      <c r="P300" t="s">
        <v>42</v>
      </c>
      <c r="Q300" t="s">
        <v>71</v>
      </c>
      <c r="R300" t="s">
        <v>1091</v>
      </c>
      <c r="S300">
        <v>14.28</v>
      </c>
    </row>
    <row r="301" spans="1:19" x14ac:dyDescent="0.35">
      <c r="A301">
        <v>304</v>
      </c>
      <c r="B301" t="s">
        <v>1092</v>
      </c>
      <c r="C301" s="1">
        <v>43423</v>
      </c>
      <c r="D301" s="1">
        <v>43427</v>
      </c>
      <c r="E301" s="1" t="str">
        <f t="shared" si="4"/>
        <v>FAST</v>
      </c>
      <c r="F301" t="s">
        <v>46</v>
      </c>
      <c r="G301" t="s">
        <v>846</v>
      </c>
      <c r="H301" t="s">
        <v>847</v>
      </c>
      <c r="I301" t="s">
        <v>22</v>
      </c>
      <c r="J301" t="s">
        <v>23</v>
      </c>
      <c r="K301" t="s">
        <v>297</v>
      </c>
      <c r="L301" t="s">
        <v>205</v>
      </c>
      <c r="M301">
        <v>60623</v>
      </c>
      <c r="N301" t="s">
        <v>101</v>
      </c>
      <c r="O301" t="s">
        <v>1093</v>
      </c>
      <c r="P301" t="s">
        <v>28</v>
      </c>
      <c r="Q301" t="s">
        <v>52</v>
      </c>
      <c r="R301" t="s">
        <v>1094</v>
      </c>
      <c r="S301">
        <v>219.07499999999999</v>
      </c>
    </row>
    <row r="302" spans="1:19" x14ac:dyDescent="0.35">
      <c r="A302">
        <v>305</v>
      </c>
      <c r="B302" t="s">
        <v>1095</v>
      </c>
      <c r="C302" s="1">
        <v>42494</v>
      </c>
      <c r="D302" s="1">
        <v>42499</v>
      </c>
      <c r="E302" s="1" t="str">
        <f t="shared" si="4"/>
        <v>SLOW</v>
      </c>
      <c r="F302" t="s">
        <v>19</v>
      </c>
      <c r="G302" t="s">
        <v>1096</v>
      </c>
      <c r="H302" t="s">
        <v>1097</v>
      </c>
      <c r="I302" t="s">
        <v>37</v>
      </c>
      <c r="J302" t="s">
        <v>23</v>
      </c>
      <c r="K302" t="s">
        <v>260</v>
      </c>
      <c r="L302" t="s">
        <v>261</v>
      </c>
      <c r="M302">
        <v>10024</v>
      </c>
      <c r="N302" t="s">
        <v>144</v>
      </c>
      <c r="O302" t="s">
        <v>1098</v>
      </c>
      <c r="P302" t="s">
        <v>28</v>
      </c>
      <c r="Q302" t="s">
        <v>61</v>
      </c>
      <c r="R302" t="s">
        <v>1099</v>
      </c>
      <c r="S302">
        <v>26.8</v>
      </c>
    </row>
    <row r="303" spans="1:19" x14ac:dyDescent="0.35">
      <c r="A303">
        <v>306</v>
      </c>
      <c r="B303" t="s">
        <v>1100</v>
      </c>
      <c r="C303" s="1">
        <v>42368</v>
      </c>
      <c r="D303" s="1">
        <v>42373</v>
      </c>
      <c r="E303" s="1" t="str">
        <f t="shared" si="4"/>
        <v>FAST</v>
      </c>
      <c r="F303" t="s">
        <v>46</v>
      </c>
      <c r="G303" t="s">
        <v>337</v>
      </c>
      <c r="H303" t="s">
        <v>338</v>
      </c>
      <c r="I303" t="s">
        <v>37</v>
      </c>
      <c r="J303" t="s">
        <v>23</v>
      </c>
      <c r="K303" t="s">
        <v>1101</v>
      </c>
      <c r="L303" t="s">
        <v>232</v>
      </c>
      <c r="M303">
        <v>48180</v>
      </c>
      <c r="N303" t="s">
        <v>101</v>
      </c>
      <c r="O303" t="s">
        <v>1102</v>
      </c>
      <c r="P303" t="s">
        <v>42</v>
      </c>
      <c r="Q303" t="s">
        <v>64</v>
      </c>
      <c r="R303" t="s">
        <v>1103</v>
      </c>
      <c r="S303">
        <v>9.84</v>
      </c>
    </row>
    <row r="304" spans="1:19" x14ac:dyDescent="0.35">
      <c r="A304">
        <v>307</v>
      </c>
      <c r="B304" t="s">
        <v>1104</v>
      </c>
      <c r="C304" s="1">
        <v>42156</v>
      </c>
      <c r="D304" s="1">
        <v>42161</v>
      </c>
      <c r="E304" s="1" t="str">
        <f t="shared" si="4"/>
        <v>FAST</v>
      </c>
      <c r="F304" t="s">
        <v>46</v>
      </c>
      <c r="G304" t="s">
        <v>1105</v>
      </c>
      <c r="H304" t="s">
        <v>1106</v>
      </c>
      <c r="I304" t="s">
        <v>98</v>
      </c>
      <c r="J304" t="s">
        <v>23</v>
      </c>
      <c r="K304" t="s">
        <v>1107</v>
      </c>
      <c r="L304" t="s">
        <v>775</v>
      </c>
      <c r="M304">
        <v>8701</v>
      </c>
      <c r="N304" t="s">
        <v>144</v>
      </c>
      <c r="O304" t="s">
        <v>1108</v>
      </c>
      <c r="P304" t="s">
        <v>42</v>
      </c>
      <c r="Q304" t="s">
        <v>71</v>
      </c>
      <c r="R304" t="s">
        <v>1109</v>
      </c>
      <c r="S304">
        <v>45.48</v>
      </c>
    </row>
    <row r="305" spans="1:19" x14ac:dyDescent="0.35">
      <c r="A305">
        <v>308</v>
      </c>
      <c r="B305" t="s">
        <v>1104</v>
      </c>
      <c r="C305" s="1">
        <v>42156</v>
      </c>
      <c r="D305" s="1">
        <v>42161</v>
      </c>
      <c r="E305" s="1" t="str">
        <f t="shared" si="4"/>
        <v>FAST</v>
      </c>
      <c r="F305" t="s">
        <v>46</v>
      </c>
      <c r="G305" t="s">
        <v>1105</v>
      </c>
      <c r="H305" t="s">
        <v>1106</v>
      </c>
      <c r="I305" t="s">
        <v>98</v>
      </c>
      <c r="J305" t="s">
        <v>23</v>
      </c>
      <c r="K305" t="s">
        <v>1107</v>
      </c>
      <c r="L305" t="s">
        <v>775</v>
      </c>
      <c r="M305">
        <v>8701</v>
      </c>
      <c r="N305" t="s">
        <v>144</v>
      </c>
      <c r="O305" t="s">
        <v>1110</v>
      </c>
      <c r="P305" t="s">
        <v>42</v>
      </c>
      <c r="Q305" t="s">
        <v>64</v>
      </c>
      <c r="R305" t="s">
        <v>1111</v>
      </c>
      <c r="S305">
        <v>289.2</v>
      </c>
    </row>
    <row r="306" spans="1:19" x14ac:dyDescent="0.35">
      <c r="A306">
        <v>309</v>
      </c>
      <c r="B306" t="s">
        <v>1112</v>
      </c>
      <c r="C306" s="1">
        <v>43205</v>
      </c>
      <c r="D306" s="1">
        <v>43207</v>
      </c>
      <c r="E306" s="1" t="str">
        <f t="shared" si="4"/>
        <v>MODERATE</v>
      </c>
      <c r="F306" t="s">
        <v>184</v>
      </c>
      <c r="G306" t="s">
        <v>1113</v>
      </c>
      <c r="H306" t="s">
        <v>1114</v>
      </c>
      <c r="I306" t="s">
        <v>22</v>
      </c>
      <c r="J306" t="s">
        <v>23</v>
      </c>
      <c r="K306" t="s">
        <v>1115</v>
      </c>
      <c r="L306" t="s">
        <v>313</v>
      </c>
      <c r="M306">
        <v>22204</v>
      </c>
      <c r="N306" t="s">
        <v>26</v>
      </c>
      <c r="O306" t="s">
        <v>1116</v>
      </c>
      <c r="P306" t="s">
        <v>42</v>
      </c>
      <c r="Q306" t="s">
        <v>64</v>
      </c>
      <c r="R306" t="s">
        <v>1117</v>
      </c>
      <c r="S306">
        <v>4.8899999999999997</v>
      </c>
    </row>
    <row r="307" spans="1:19" x14ac:dyDescent="0.35">
      <c r="A307">
        <v>310</v>
      </c>
      <c r="B307" t="s">
        <v>1118</v>
      </c>
      <c r="C307" s="1">
        <v>42990</v>
      </c>
      <c r="D307" s="1">
        <v>42992</v>
      </c>
      <c r="E307" s="1" t="str">
        <f t="shared" si="4"/>
        <v>SLOW</v>
      </c>
      <c r="F307" t="s">
        <v>19</v>
      </c>
      <c r="G307" t="s">
        <v>1119</v>
      </c>
      <c r="H307" t="s">
        <v>1120</v>
      </c>
      <c r="I307" t="s">
        <v>37</v>
      </c>
      <c r="J307" t="s">
        <v>23</v>
      </c>
      <c r="K307" t="s">
        <v>1121</v>
      </c>
      <c r="L307" t="s">
        <v>444</v>
      </c>
      <c r="M307">
        <v>80004</v>
      </c>
      <c r="N307" t="s">
        <v>40</v>
      </c>
      <c r="O307" t="s">
        <v>1122</v>
      </c>
      <c r="P307" t="s">
        <v>28</v>
      </c>
      <c r="Q307" t="s">
        <v>61</v>
      </c>
      <c r="R307" t="s">
        <v>1123</v>
      </c>
      <c r="S307">
        <v>15.135999999999999</v>
      </c>
    </row>
    <row r="308" spans="1:19" x14ac:dyDescent="0.35">
      <c r="A308">
        <v>311</v>
      </c>
      <c r="B308" t="s">
        <v>1118</v>
      </c>
      <c r="C308" s="1">
        <v>42990</v>
      </c>
      <c r="D308" s="1">
        <v>42992</v>
      </c>
      <c r="E308" s="1" t="str">
        <f t="shared" si="4"/>
        <v>SLOW</v>
      </c>
      <c r="F308" t="s">
        <v>19</v>
      </c>
      <c r="G308" t="s">
        <v>1119</v>
      </c>
      <c r="H308" t="s">
        <v>1120</v>
      </c>
      <c r="I308" t="s">
        <v>37</v>
      </c>
      <c r="J308" t="s">
        <v>23</v>
      </c>
      <c r="K308" t="s">
        <v>1121</v>
      </c>
      <c r="L308" t="s">
        <v>444</v>
      </c>
      <c r="M308">
        <v>80004</v>
      </c>
      <c r="N308" t="s">
        <v>40</v>
      </c>
      <c r="O308" t="s">
        <v>1124</v>
      </c>
      <c r="P308" t="s">
        <v>28</v>
      </c>
      <c r="Q308" t="s">
        <v>32</v>
      </c>
      <c r="R308" t="s">
        <v>1125</v>
      </c>
      <c r="S308">
        <v>466.76799999999997</v>
      </c>
    </row>
    <row r="309" spans="1:19" x14ac:dyDescent="0.35">
      <c r="A309">
        <v>312</v>
      </c>
      <c r="B309" t="s">
        <v>1118</v>
      </c>
      <c r="C309" s="1">
        <v>42990</v>
      </c>
      <c r="D309" s="1">
        <v>42992</v>
      </c>
      <c r="E309" s="1" t="str">
        <f t="shared" si="4"/>
        <v>SLOW</v>
      </c>
      <c r="F309" t="s">
        <v>19</v>
      </c>
      <c r="G309" t="s">
        <v>1119</v>
      </c>
      <c r="H309" t="s">
        <v>1120</v>
      </c>
      <c r="I309" t="s">
        <v>37</v>
      </c>
      <c r="J309" t="s">
        <v>23</v>
      </c>
      <c r="K309" t="s">
        <v>1121</v>
      </c>
      <c r="L309" t="s">
        <v>444</v>
      </c>
      <c r="M309">
        <v>80004</v>
      </c>
      <c r="N309" t="s">
        <v>40</v>
      </c>
      <c r="O309" t="s">
        <v>1126</v>
      </c>
      <c r="P309" t="s">
        <v>28</v>
      </c>
      <c r="Q309" t="s">
        <v>61</v>
      </c>
      <c r="R309" t="s">
        <v>1127</v>
      </c>
      <c r="S309">
        <v>15.231999999999999</v>
      </c>
    </row>
    <row r="310" spans="1:19" x14ac:dyDescent="0.35">
      <c r="A310">
        <v>313</v>
      </c>
      <c r="B310" t="s">
        <v>1118</v>
      </c>
      <c r="C310" s="1">
        <v>42990</v>
      </c>
      <c r="D310" s="1">
        <v>42992</v>
      </c>
      <c r="E310" s="1" t="str">
        <f t="shared" si="4"/>
        <v>SLOW</v>
      </c>
      <c r="F310" t="s">
        <v>19</v>
      </c>
      <c r="G310" t="s">
        <v>1119</v>
      </c>
      <c r="H310" t="s">
        <v>1120</v>
      </c>
      <c r="I310" t="s">
        <v>37</v>
      </c>
      <c r="J310" t="s">
        <v>23</v>
      </c>
      <c r="K310" t="s">
        <v>1121</v>
      </c>
      <c r="L310" t="s">
        <v>444</v>
      </c>
      <c r="M310">
        <v>80004</v>
      </c>
      <c r="N310" t="s">
        <v>40</v>
      </c>
      <c r="O310" t="s">
        <v>1128</v>
      </c>
      <c r="P310" t="s">
        <v>42</v>
      </c>
      <c r="Q310" t="s">
        <v>43</v>
      </c>
      <c r="R310" t="s">
        <v>1129</v>
      </c>
      <c r="S310">
        <v>6.2640000000000002</v>
      </c>
    </row>
    <row r="311" spans="1:19" x14ac:dyDescent="0.35">
      <c r="A311">
        <v>314</v>
      </c>
      <c r="B311" t="s">
        <v>1130</v>
      </c>
      <c r="C311" s="1">
        <v>42274</v>
      </c>
      <c r="D311" s="1">
        <v>42280</v>
      </c>
      <c r="E311" s="1" t="str">
        <f t="shared" si="4"/>
        <v>FAST</v>
      </c>
      <c r="F311" t="s">
        <v>46</v>
      </c>
      <c r="G311" t="s">
        <v>1131</v>
      </c>
      <c r="H311" t="s">
        <v>1132</v>
      </c>
      <c r="I311" t="s">
        <v>37</v>
      </c>
      <c r="J311" t="s">
        <v>23</v>
      </c>
      <c r="K311" t="s">
        <v>1133</v>
      </c>
      <c r="L311" t="s">
        <v>775</v>
      </c>
      <c r="M311">
        <v>7601</v>
      </c>
      <c r="N311" t="s">
        <v>144</v>
      </c>
      <c r="O311" t="s">
        <v>1134</v>
      </c>
      <c r="P311" t="s">
        <v>28</v>
      </c>
      <c r="Q311" t="s">
        <v>61</v>
      </c>
      <c r="R311" t="s">
        <v>1135</v>
      </c>
      <c r="S311">
        <v>87.54</v>
      </c>
    </row>
    <row r="312" spans="1:19" x14ac:dyDescent="0.35">
      <c r="A312">
        <v>315</v>
      </c>
      <c r="B312" t="s">
        <v>1136</v>
      </c>
      <c r="C312" s="1">
        <v>42225</v>
      </c>
      <c r="D312" s="1">
        <v>42232</v>
      </c>
      <c r="E312" s="1" t="str">
        <f t="shared" si="4"/>
        <v>FAST</v>
      </c>
      <c r="F312" t="s">
        <v>46</v>
      </c>
      <c r="G312" t="s">
        <v>1137</v>
      </c>
      <c r="H312" t="s">
        <v>1138</v>
      </c>
      <c r="I312" t="s">
        <v>37</v>
      </c>
      <c r="J312" t="s">
        <v>23</v>
      </c>
      <c r="K312" t="s">
        <v>1139</v>
      </c>
      <c r="L312" t="s">
        <v>50</v>
      </c>
      <c r="M312">
        <v>33710</v>
      </c>
      <c r="N312" t="s">
        <v>26</v>
      </c>
      <c r="O312" t="s">
        <v>1140</v>
      </c>
      <c r="P312" t="s">
        <v>67</v>
      </c>
      <c r="Q312" t="s">
        <v>68</v>
      </c>
      <c r="R312" t="s">
        <v>1141</v>
      </c>
      <c r="S312">
        <v>178.38399999999999</v>
      </c>
    </row>
    <row r="313" spans="1:19" x14ac:dyDescent="0.35">
      <c r="A313">
        <v>316</v>
      </c>
      <c r="B313" t="s">
        <v>1136</v>
      </c>
      <c r="C313" s="1">
        <v>42225</v>
      </c>
      <c r="D313" s="1">
        <v>42232</v>
      </c>
      <c r="E313" s="1" t="str">
        <f t="shared" si="4"/>
        <v>FAST</v>
      </c>
      <c r="F313" t="s">
        <v>46</v>
      </c>
      <c r="G313" t="s">
        <v>1137</v>
      </c>
      <c r="H313" t="s">
        <v>1138</v>
      </c>
      <c r="I313" t="s">
        <v>37</v>
      </c>
      <c r="J313" t="s">
        <v>23</v>
      </c>
      <c r="K313" t="s">
        <v>1139</v>
      </c>
      <c r="L313" t="s">
        <v>50</v>
      </c>
      <c r="M313">
        <v>33710</v>
      </c>
      <c r="N313" t="s">
        <v>26</v>
      </c>
      <c r="O313" t="s">
        <v>1142</v>
      </c>
      <c r="P313" t="s">
        <v>42</v>
      </c>
      <c r="Q313" t="s">
        <v>86</v>
      </c>
      <c r="R313" t="s">
        <v>1143</v>
      </c>
      <c r="S313">
        <v>15.552</v>
      </c>
    </row>
    <row r="314" spans="1:19" x14ac:dyDescent="0.35">
      <c r="A314">
        <v>317</v>
      </c>
      <c r="B314" t="s">
        <v>1144</v>
      </c>
      <c r="C314" s="1">
        <v>42366</v>
      </c>
      <c r="D314" s="1">
        <v>42368</v>
      </c>
      <c r="E314" s="1" t="str">
        <f t="shared" si="4"/>
        <v>MODERATE</v>
      </c>
      <c r="F314" t="s">
        <v>184</v>
      </c>
      <c r="G314" t="s">
        <v>1145</v>
      </c>
      <c r="H314" t="s">
        <v>1146</v>
      </c>
      <c r="I314" t="s">
        <v>37</v>
      </c>
      <c r="J314" t="s">
        <v>23</v>
      </c>
      <c r="K314" t="s">
        <v>142</v>
      </c>
      <c r="L314" t="s">
        <v>143</v>
      </c>
      <c r="M314">
        <v>19143</v>
      </c>
      <c r="N314" t="s">
        <v>144</v>
      </c>
      <c r="O314" t="s">
        <v>1147</v>
      </c>
      <c r="P314" t="s">
        <v>42</v>
      </c>
      <c r="Q314" t="s">
        <v>64</v>
      </c>
      <c r="R314" t="s">
        <v>1148</v>
      </c>
      <c r="S314">
        <v>99.135999999999996</v>
      </c>
    </row>
    <row r="315" spans="1:19" x14ac:dyDescent="0.35">
      <c r="A315">
        <v>318</v>
      </c>
      <c r="B315" t="s">
        <v>1149</v>
      </c>
      <c r="C315" s="1">
        <v>42312</v>
      </c>
      <c r="D315" s="1">
        <v>42317</v>
      </c>
      <c r="E315" s="1" t="str">
        <f t="shared" si="4"/>
        <v>FAST</v>
      </c>
      <c r="F315" t="s">
        <v>46</v>
      </c>
      <c r="G315" t="s">
        <v>1150</v>
      </c>
      <c r="H315" t="s">
        <v>1151</v>
      </c>
      <c r="I315" t="s">
        <v>98</v>
      </c>
      <c r="J315" t="s">
        <v>23</v>
      </c>
      <c r="K315" t="s">
        <v>260</v>
      </c>
      <c r="L315" t="s">
        <v>261</v>
      </c>
      <c r="M315">
        <v>10024</v>
      </c>
      <c r="N315" t="s">
        <v>144</v>
      </c>
      <c r="O315" t="s">
        <v>1152</v>
      </c>
      <c r="P315" t="s">
        <v>28</v>
      </c>
      <c r="Q315" t="s">
        <v>32</v>
      </c>
      <c r="R315" t="s">
        <v>1153</v>
      </c>
      <c r="S315">
        <v>135.88200000000001</v>
      </c>
    </row>
    <row r="316" spans="1:19" x14ac:dyDescent="0.35">
      <c r="A316">
        <v>319</v>
      </c>
      <c r="B316" t="s">
        <v>1149</v>
      </c>
      <c r="C316" s="1">
        <v>42312</v>
      </c>
      <c r="D316" s="1">
        <v>42317</v>
      </c>
      <c r="E316" s="1" t="str">
        <f t="shared" si="4"/>
        <v>FAST</v>
      </c>
      <c r="F316" t="s">
        <v>46</v>
      </c>
      <c r="G316" t="s">
        <v>1150</v>
      </c>
      <c r="H316" t="s">
        <v>1151</v>
      </c>
      <c r="I316" t="s">
        <v>98</v>
      </c>
      <c r="J316" t="s">
        <v>23</v>
      </c>
      <c r="K316" t="s">
        <v>260</v>
      </c>
      <c r="L316" t="s">
        <v>261</v>
      </c>
      <c r="M316">
        <v>10024</v>
      </c>
      <c r="N316" t="s">
        <v>144</v>
      </c>
      <c r="O316" t="s">
        <v>1154</v>
      </c>
      <c r="P316" t="s">
        <v>67</v>
      </c>
      <c r="Q316" t="s">
        <v>671</v>
      </c>
      <c r="R316" t="s">
        <v>1155</v>
      </c>
      <c r="S316">
        <v>3991.98</v>
      </c>
    </row>
    <row r="317" spans="1:19" x14ac:dyDescent="0.35">
      <c r="A317">
        <v>320</v>
      </c>
      <c r="B317" t="s">
        <v>1149</v>
      </c>
      <c r="C317" s="1">
        <v>42312</v>
      </c>
      <c r="D317" s="1">
        <v>42317</v>
      </c>
      <c r="E317" s="1" t="str">
        <f t="shared" si="4"/>
        <v>FAST</v>
      </c>
      <c r="F317" t="s">
        <v>46</v>
      </c>
      <c r="G317" t="s">
        <v>1150</v>
      </c>
      <c r="H317" t="s">
        <v>1151</v>
      </c>
      <c r="I317" t="s">
        <v>98</v>
      </c>
      <c r="J317" t="s">
        <v>23</v>
      </c>
      <c r="K317" t="s">
        <v>260</v>
      </c>
      <c r="L317" t="s">
        <v>261</v>
      </c>
      <c r="M317">
        <v>10024</v>
      </c>
      <c r="N317" t="s">
        <v>144</v>
      </c>
      <c r="O317" t="s">
        <v>206</v>
      </c>
      <c r="P317" t="s">
        <v>67</v>
      </c>
      <c r="Q317" t="s">
        <v>68</v>
      </c>
      <c r="R317" t="s">
        <v>207</v>
      </c>
      <c r="S317">
        <v>275.94</v>
      </c>
    </row>
    <row r="318" spans="1:19" x14ac:dyDescent="0.35">
      <c r="A318">
        <v>321</v>
      </c>
      <c r="B318" t="s">
        <v>1149</v>
      </c>
      <c r="C318" s="1">
        <v>42312</v>
      </c>
      <c r="D318" s="1">
        <v>42317</v>
      </c>
      <c r="E318" s="1" t="str">
        <f t="shared" si="4"/>
        <v>FAST</v>
      </c>
      <c r="F318" t="s">
        <v>46</v>
      </c>
      <c r="G318" t="s">
        <v>1150</v>
      </c>
      <c r="H318" t="s">
        <v>1151</v>
      </c>
      <c r="I318" t="s">
        <v>98</v>
      </c>
      <c r="J318" t="s">
        <v>23</v>
      </c>
      <c r="K318" t="s">
        <v>260</v>
      </c>
      <c r="L318" t="s">
        <v>261</v>
      </c>
      <c r="M318">
        <v>10024</v>
      </c>
      <c r="N318" t="s">
        <v>144</v>
      </c>
      <c r="O318" t="s">
        <v>1156</v>
      </c>
      <c r="P318" t="s">
        <v>67</v>
      </c>
      <c r="Q318" t="s">
        <v>157</v>
      </c>
      <c r="R318" t="s">
        <v>1157</v>
      </c>
      <c r="S318">
        <v>360</v>
      </c>
    </row>
    <row r="319" spans="1:19" x14ac:dyDescent="0.35">
      <c r="A319">
        <v>322</v>
      </c>
      <c r="B319" t="s">
        <v>1149</v>
      </c>
      <c r="C319" s="1">
        <v>42312</v>
      </c>
      <c r="D319" s="1">
        <v>42317</v>
      </c>
      <c r="E319" s="1" t="str">
        <f t="shared" si="4"/>
        <v>FAST</v>
      </c>
      <c r="F319" t="s">
        <v>46</v>
      </c>
      <c r="G319" t="s">
        <v>1150</v>
      </c>
      <c r="H319" t="s">
        <v>1151</v>
      </c>
      <c r="I319" t="s">
        <v>98</v>
      </c>
      <c r="J319" t="s">
        <v>23</v>
      </c>
      <c r="K319" t="s">
        <v>260</v>
      </c>
      <c r="L319" t="s">
        <v>261</v>
      </c>
      <c r="M319">
        <v>10024</v>
      </c>
      <c r="N319" t="s">
        <v>144</v>
      </c>
      <c r="O319" t="s">
        <v>534</v>
      </c>
      <c r="P319" t="s">
        <v>42</v>
      </c>
      <c r="Q319" t="s">
        <v>55</v>
      </c>
      <c r="R319" t="s">
        <v>535</v>
      </c>
      <c r="S319">
        <v>43.57</v>
      </c>
    </row>
    <row r="320" spans="1:19" x14ac:dyDescent="0.35">
      <c r="A320">
        <v>323</v>
      </c>
      <c r="B320" t="s">
        <v>1158</v>
      </c>
      <c r="C320" s="1">
        <v>42266</v>
      </c>
      <c r="D320" s="1">
        <v>42271</v>
      </c>
      <c r="E320" s="1" t="str">
        <f t="shared" si="4"/>
        <v>FAST</v>
      </c>
      <c r="F320" t="s">
        <v>46</v>
      </c>
      <c r="G320" t="s">
        <v>1159</v>
      </c>
      <c r="H320" t="s">
        <v>1160</v>
      </c>
      <c r="I320" t="s">
        <v>37</v>
      </c>
      <c r="J320" t="s">
        <v>23</v>
      </c>
      <c r="K320" t="s">
        <v>1161</v>
      </c>
      <c r="L320" t="s">
        <v>39</v>
      </c>
      <c r="M320">
        <v>90805</v>
      </c>
      <c r="N320" t="s">
        <v>40</v>
      </c>
      <c r="O320" t="s">
        <v>1162</v>
      </c>
      <c r="P320" t="s">
        <v>42</v>
      </c>
      <c r="Q320" t="s">
        <v>263</v>
      </c>
      <c r="R320" t="s">
        <v>1163</v>
      </c>
      <c r="S320">
        <v>7.16</v>
      </c>
    </row>
    <row r="321" spans="1:19" x14ac:dyDescent="0.35">
      <c r="A321">
        <v>324</v>
      </c>
      <c r="B321" t="s">
        <v>1164</v>
      </c>
      <c r="C321" s="1">
        <v>42848</v>
      </c>
      <c r="D321" s="1">
        <v>42852</v>
      </c>
      <c r="E321" s="1" t="str">
        <f t="shared" si="4"/>
        <v>FAST</v>
      </c>
      <c r="F321" t="s">
        <v>46</v>
      </c>
      <c r="G321" t="s">
        <v>1165</v>
      </c>
      <c r="H321" t="s">
        <v>1166</v>
      </c>
      <c r="I321" t="s">
        <v>37</v>
      </c>
      <c r="J321" t="s">
        <v>23</v>
      </c>
      <c r="K321" t="s">
        <v>1167</v>
      </c>
      <c r="L321" t="s">
        <v>39</v>
      </c>
      <c r="M321">
        <v>92345</v>
      </c>
      <c r="N321" t="s">
        <v>40</v>
      </c>
      <c r="O321" t="s">
        <v>1076</v>
      </c>
      <c r="P321" t="s">
        <v>42</v>
      </c>
      <c r="Q321" t="s">
        <v>71</v>
      </c>
      <c r="R321" t="s">
        <v>1077</v>
      </c>
      <c r="S321">
        <v>251.52</v>
      </c>
    </row>
    <row r="322" spans="1:19" x14ac:dyDescent="0.35">
      <c r="A322">
        <v>325</v>
      </c>
      <c r="B322" t="s">
        <v>1164</v>
      </c>
      <c r="C322" s="1">
        <v>42848</v>
      </c>
      <c r="D322" s="1">
        <v>42852</v>
      </c>
      <c r="E322" s="1" t="str">
        <f t="shared" si="4"/>
        <v>FAST</v>
      </c>
      <c r="F322" t="s">
        <v>46</v>
      </c>
      <c r="G322" t="s">
        <v>1165</v>
      </c>
      <c r="H322" t="s">
        <v>1166</v>
      </c>
      <c r="I322" t="s">
        <v>37</v>
      </c>
      <c r="J322" t="s">
        <v>23</v>
      </c>
      <c r="K322" t="s">
        <v>1167</v>
      </c>
      <c r="L322" t="s">
        <v>39</v>
      </c>
      <c r="M322">
        <v>92345</v>
      </c>
      <c r="N322" t="s">
        <v>40</v>
      </c>
      <c r="O322" t="s">
        <v>1168</v>
      </c>
      <c r="P322" t="s">
        <v>67</v>
      </c>
      <c r="Q322" t="s">
        <v>157</v>
      </c>
      <c r="R322" t="s">
        <v>1169</v>
      </c>
      <c r="S322">
        <v>99.99</v>
      </c>
    </row>
    <row r="323" spans="1:19" x14ac:dyDescent="0.35">
      <c r="A323">
        <v>326</v>
      </c>
      <c r="B323" t="s">
        <v>1170</v>
      </c>
      <c r="C323" s="1">
        <v>43407</v>
      </c>
      <c r="D323" s="1">
        <v>43409</v>
      </c>
      <c r="E323" s="1" t="str">
        <f t="shared" ref="E323:E386" si="5">IF(F323="STANDARD CLASS","FAST",IF(F323="SECOND CLASS","SLOW","MODERATE"))</f>
        <v>SLOW</v>
      </c>
      <c r="F323" t="s">
        <v>19</v>
      </c>
      <c r="G323" t="s">
        <v>1171</v>
      </c>
      <c r="H323" t="s">
        <v>1172</v>
      </c>
      <c r="I323" t="s">
        <v>37</v>
      </c>
      <c r="J323" t="s">
        <v>23</v>
      </c>
      <c r="K323" t="s">
        <v>1173</v>
      </c>
      <c r="L323" t="s">
        <v>329</v>
      </c>
      <c r="M323">
        <v>37130</v>
      </c>
      <c r="N323" t="s">
        <v>26</v>
      </c>
      <c r="O323" t="s">
        <v>1174</v>
      </c>
      <c r="P323" t="s">
        <v>28</v>
      </c>
      <c r="Q323" t="s">
        <v>61</v>
      </c>
      <c r="R323" t="s">
        <v>1175</v>
      </c>
      <c r="S323">
        <v>15.992000000000001</v>
      </c>
    </row>
    <row r="324" spans="1:19" x14ac:dyDescent="0.35">
      <c r="A324">
        <v>327</v>
      </c>
      <c r="B324" t="s">
        <v>1176</v>
      </c>
      <c r="C324" s="1">
        <v>42977</v>
      </c>
      <c r="D324" s="1">
        <v>42979</v>
      </c>
      <c r="E324" s="1" t="str">
        <f t="shared" si="5"/>
        <v>MODERATE</v>
      </c>
      <c r="F324" t="s">
        <v>184</v>
      </c>
      <c r="G324" t="s">
        <v>1177</v>
      </c>
      <c r="H324" t="s">
        <v>1178</v>
      </c>
      <c r="I324" t="s">
        <v>22</v>
      </c>
      <c r="J324" t="s">
        <v>23</v>
      </c>
      <c r="K324" t="s">
        <v>142</v>
      </c>
      <c r="L324" t="s">
        <v>143</v>
      </c>
      <c r="M324">
        <v>19143</v>
      </c>
      <c r="N324" t="s">
        <v>144</v>
      </c>
      <c r="O324" t="s">
        <v>1179</v>
      </c>
      <c r="P324" t="s">
        <v>67</v>
      </c>
      <c r="Q324" t="s">
        <v>68</v>
      </c>
      <c r="R324" t="s">
        <v>1180</v>
      </c>
      <c r="S324">
        <v>290.89800000000002</v>
      </c>
    </row>
    <row r="325" spans="1:19" x14ac:dyDescent="0.35">
      <c r="A325">
        <v>328</v>
      </c>
      <c r="B325" t="s">
        <v>1176</v>
      </c>
      <c r="C325" s="1">
        <v>42977</v>
      </c>
      <c r="D325" s="1">
        <v>42979</v>
      </c>
      <c r="E325" s="1" t="str">
        <f t="shared" si="5"/>
        <v>MODERATE</v>
      </c>
      <c r="F325" t="s">
        <v>184</v>
      </c>
      <c r="G325" t="s">
        <v>1177</v>
      </c>
      <c r="H325" t="s">
        <v>1178</v>
      </c>
      <c r="I325" t="s">
        <v>22</v>
      </c>
      <c r="J325" t="s">
        <v>23</v>
      </c>
      <c r="K325" t="s">
        <v>142</v>
      </c>
      <c r="L325" t="s">
        <v>143</v>
      </c>
      <c r="M325">
        <v>19143</v>
      </c>
      <c r="N325" t="s">
        <v>144</v>
      </c>
      <c r="O325" t="s">
        <v>1181</v>
      </c>
      <c r="P325" t="s">
        <v>42</v>
      </c>
      <c r="Q325" t="s">
        <v>55</v>
      </c>
      <c r="R325" t="s">
        <v>1182</v>
      </c>
      <c r="S325">
        <v>54.223999999999997</v>
      </c>
    </row>
    <row r="326" spans="1:19" x14ac:dyDescent="0.35">
      <c r="A326">
        <v>329</v>
      </c>
      <c r="B326" t="s">
        <v>1176</v>
      </c>
      <c r="C326" s="1">
        <v>42977</v>
      </c>
      <c r="D326" s="1">
        <v>42979</v>
      </c>
      <c r="E326" s="1" t="str">
        <f t="shared" si="5"/>
        <v>MODERATE</v>
      </c>
      <c r="F326" t="s">
        <v>184</v>
      </c>
      <c r="G326" t="s">
        <v>1177</v>
      </c>
      <c r="H326" t="s">
        <v>1178</v>
      </c>
      <c r="I326" t="s">
        <v>22</v>
      </c>
      <c r="J326" t="s">
        <v>23</v>
      </c>
      <c r="K326" t="s">
        <v>142</v>
      </c>
      <c r="L326" t="s">
        <v>143</v>
      </c>
      <c r="M326">
        <v>19143</v>
      </c>
      <c r="N326" t="s">
        <v>144</v>
      </c>
      <c r="O326" t="s">
        <v>1183</v>
      </c>
      <c r="P326" t="s">
        <v>28</v>
      </c>
      <c r="Q326" t="s">
        <v>32</v>
      </c>
      <c r="R326" t="s">
        <v>1184</v>
      </c>
      <c r="S326">
        <v>786.74400000000003</v>
      </c>
    </row>
    <row r="327" spans="1:19" x14ac:dyDescent="0.35">
      <c r="A327">
        <v>330</v>
      </c>
      <c r="B327" t="s">
        <v>1176</v>
      </c>
      <c r="C327" s="1">
        <v>42977</v>
      </c>
      <c r="D327" s="1">
        <v>42979</v>
      </c>
      <c r="E327" s="1" t="str">
        <f t="shared" si="5"/>
        <v>MODERATE</v>
      </c>
      <c r="F327" t="s">
        <v>184</v>
      </c>
      <c r="G327" t="s">
        <v>1177</v>
      </c>
      <c r="H327" t="s">
        <v>1178</v>
      </c>
      <c r="I327" t="s">
        <v>22</v>
      </c>
      <c r="J327" t="s">
        <v>23</v>
      </c>
      <c r="K327" t="s">
        <v>142</v>
      </c>
      <c r="L327" t="s">
        <v>143</v>
      </c>
      <c r="M327">
        <v>19143</v>
      </c>
      <c r="N327" t="s">
        <v>144</v>
      </c>
      <c r="O327" t="s">
        <v>1185</v>
      </c>
      <c r="P327" t="s">
        <v>42</v>
      </c>
      <c r="Q327" t="s">
        <v>43</v>
      </c>
      <c r="R327" t="s">
        <v>1186</v>
      </c>
      <c r="S327">
        <v>100.24</v>
      </c>
    </row>
    <row r="328" spans="1:19" x14ac:dyDescent="0.35">
      <c r="A328">
        <v>331</v>
      </c>
      <c r="B328" t="s">
        <v>1176</v>
      </c>
      <c r="C328" s="1">
        <v>42977</v>
      </c>
      <c r="D328" s="1">
        <v>42979</v>
      </c>
      <c r="E328" s="1" t="str">
        <f t="shared" si="5"/>
        <v>MODERATE</v>
      </c>
      <c r="F328" t="s">
        <v>184</v>
      </c>
      <c r="G328" t="s">
        <v>1177</v>
      </c>
      <c r="H328" t="s">
        <v>1178</v>
      </c>
      <c r="I328" t="s">
        <v>22</v>
      </c>
      <c r="J328" t="s">
        <v>23</v>
      </c>
      <c r="K328" t="s">
        <v>142</v>
      </c>
      <c r="L328" t="s">
        <v>143</v>
      </c>
      <c r="M328">
        <v>19143</v>
      </c>
      <c r="N328" t="s">
        <v>144</v>
      </c>
      <c r="O328" t="s">
        <v>1187</v>
      </c>
      <c r="P328" t="s">
        <v>42</v>
      </c>
      <c r="Q328" t="s">
        <v>71</v>
      </c>
      <c r="R328" t="s">
        <v>1188</v>
      </c>
      <c r="S328">
        <v>37.764000000000003</v>
      </c>
    </row>
    <row r="329" spans="1:19" x14ac:dyDescent="0.35">
      <c r="A329">
        <v>332</v>
      </c>
      <c r="B329" t="s">
        <v>1189</v>
      </c>
      <c r="C329" s="1">
        <v>42850</v>
      </c>
      <c r="D329" s="1">
        <v>42854</v>
      </c>
      <c r="E329" s="1" t="str">
        <f t="shared" si="5"/>
        <v>SLOW</v>
      </c>
      <c r="F329" t="s">
        <v>19</v>
      </c>
      <c r="G329" t="s">
        <v>1190</v>
      </c>
      <c r="H329" t="s">
        <v>1191</v>
      </c>
      <c r="I329" t="s">
        <v>22</v>
      </c>
      <c r="J329" t="s">
        <v>23</v>
      </c>
      <c r="K329" t="s">
        <v>142</v>
      </c>
      <c r="L329" t="s">
        <v>143</v>
      </c>
      <c r="M329">
        <v>19134</v>
      </c>
      <c r="N329" t="s">
        <v>144</v>
      </c>
      <c r="O329" t="s">
        <v>1192</v>
      </c>
      <c r="P329" t="s">
        <v>67</v>
      </c>
      <c r="Q329" t="s">
        <v>68</v>
      </c>
      <c r="R329" t="s">
        <v>1193</v>
      </c>
      <c r="S329">
        <v>82.8</v>
      </c>
    </row>
    <row r="330" spans="1:19" x14ac:dyDescent="0.35">
      <c r="A330">
        <v>333</v>
      </c>
      <c r="B330" t="s">
        <v>1189</v>
      </c>
      <c r="C330" s="1">
        <v>42850</v>
      </c>
      <c r="D330" s="1">
        <v>42854</v>
      </c>
      <c r="E330" s="1" t="str">
        <f t="shared" si="5"/>
        <v>SLOW</v>
      </c>
      <c r="F330" t="s">
        <v>19</v>
      </c>
      <c r="G330" t="s">
        <v>1190</v>
      </c>
      <c r="H330" t="s">
        <v>1191</v>
      </c>
      <c r="I330" t="s">
        <v>22</v>
      </c>
      <c r="J330" t="s">
        <v>23</v>
      </c>
      <c r="K330" t="s">
        <v>142</v>
      </c>
      <c r="L330" t="s">
        <v>143</v>
      </c>
      <c r="M330">
        <v>19134</v>
      </c>
      <c r="N330" t="s">
        <v>144</v>
      </c>
      <c r="O330" t="s">
        <v>1194</v>
      </c>
      <c r="P330" t="s">
        <v>42</v>
      </c>
      <c r="Q330" t="s">
        <v>71</v>
      </c>
      <c r="R330" t="s">
        <v>1195</v>
      </c>
      <c r="S330">
        <v>20.724</v>
      </c>
    </row>
    <row r="331" spans="1:19" x14ac:dyDescent="0.35">
      <c r="A331">
        <v>334</v>
      </c>
      <c r="B331" t="s">
        <v>1189</v>
      </c>
      <c r="C331" s="1">
        <v>42850</v>
      </c>
      <c r="D331" s="1">
        <v>42854</v>
      </c>
      <c r="E331" s="1" t="str">
        <f t="shared" si="5"/>
        <v>SLOW</v>
      </c>
      <c r="F331" t="s">
        <v>19</v>
      </c>
      <c r="G331" t="s">
        <v>1190</v>
      </c>
      <c r="H331" t="s">
        <v>1191</v>
      </c>
      <c r="I331" t="s">
        <v>22</v>
      </c>
      <c r="J331" t="s">
        <v>23</v>
      </c>
      <c r="K331" t="s">
        <v>142</v>
      </c>
      <c r="L331" t="s">
        <v>143</v>
      </c>
      <c r="M331">
        <v>19134</v>
      </c>
      <c r="N331" t="s">
        <v>144</v>
      </c>
      <c r="O331" t="s">
        <v>1196</v>
      </c>
      <c r="P331" t="s">
        <v>42</v>
      </c>
      <c r="Q331" t="s">
        <v>71</v>
      </c>
      <c r="R331" t="s">
        <v>1197</v>
      </c>
      <c r="S331">
        <v>4.8959999999999999</v>
      </c>
    </row>
    <row r="332" spans="1:19" x14ac:dyDescent="0.35">
      <c r="A332">
        <v>335</v>
      </c>
      <c r="B332" t="s">
        <v>1198</v>
      </c>
      <c r="C332" s="1">
        <v>42614</v>
      </c>
      <c r="D332" s="1">
        <v>42617</v>
      </c>
      <c r="E332" s="1" t="str">
        <f t="shared" si="5"/>
        <v>SLOW</v>
      </c>
      <c r="F332" t="s">
        <v>19</v>
      </c>
      <c r="G332" t="s">
        <v>1199</v>
      </c>
      <c r="H332" t="s">
        <v>1200</v>
      </c>
      <c r="I332" t="s">
        <v>22</v>
      </c>
      <c r="J332" t="s">
        <v>23</v>
      </c>
      <c r="K332" t="s">
        <v>38</v>
      </c>
      <c r="L332" t="s">
        <v>39</v>
      </c>
      <c r="M332">
        <v>90045</v>
      </c>
      <c r="N332" t="s">
        <v>40</v>
      </c>
      <c r="O332" t="s">
        <v>1201</v>
      </c>
      <c r="P332" t="s">
        <v>42</v>
      </c>
      <c r="Q332" t="s">
        <v>71</v>
      </c>
      <c r="R332" t="s">
        <v>1202</v>
      </c>
      <c r="S332">
        <v>4.7519999999999998</v>
      </c>
    </row>
    <row r="333" spans="1:19" x14ac:dyDescent="0.35">
      <c r="A333">
        <v>336</v>
      </c>
      <c r="B333" t="s">
        <v>1198</v>
      </c>
      <c r="C333" s="1">
        <v>42614</v>
      </c>
      <c r="D333" s="1">
        <v>42617</v>
      </c>
      <c r="E333" s="1" t="str">
        <f t="shared" si="5"/>
        <v>SLOW</v>
      </c>
      <c r="F333" t="s">
        <v>19</v>
      </c>
      <c r="G333" t="s">
        <v>1199</v>
      </c>
      <c r="H333" t="s">
        <v>1200</v>
      </c>
      <c r="I333" t="s">
        <v>22</v>
      </c>
      <c r="J333" t="s">
        <v>23</v>
      </c>
      <c r="K333" t="s">
        <v>38</v>
      </c>
      <c r="L333" t="s">
        <v>39</v>
      </c>
      <c r="M333">
        <v>90045</v>
      </c>
      <c r="N333" t="s">
        <v>40</v>
      </c>
      <c r="O333" t="s">
        <v>1203</v>
      </c>
      <c r="P333" t="s">
        <v>67</v>
      </c>
      <c r="Q333" t="s">
        <v>1204</v>
      </c>
      <c r="R333" t="s">
        <v>1205</v>
      </c>
      <c r="S333">
        <v>959.98400000000004</v>
      </c>
    </row>
    <row r="334" spans="1:19" x14ac:dyDescent="0.35">
      <c r="A334">
        <v>337</v>
      </c>
      <c r="B334" t="s">
        <v>1198</v>
      </c>
      <c r="C334" s="1">
        <v>42614</v>
      </c>
      <c r="D334" s="1">
        <v>42617</v>
      </c>
      <c r="E334" s="1" t="str">
        <f t="shared" si="5"/>
        <v>SLOW</v>
      </c>
      <c r="F334" t="s">
        <v>19</v>
      </c>
      <c r="G334" t="s">
        <v>1199</v>
      </c>
      <c r="H334" t="s">
        <v>1200</v>
      </c>
      <c r="I334" t="s">
        <v>22</v>
      </c>
      <c r="J334" t="s">
        <v>23</v>
      </c>
      <c r="K334" t="s">
        <v>38</v>
      </c>
      <c r="L334" t="s">
        <v>39</v>
      </c>
      <c r="M334">
        <v>90045</v>
      </c>
      <c r="N334" t="s">
        <v>40</v>
      </c>
      <c r="O334" t="s">
        <v>1206</v>
      </c>
      <c r="P334" t="s">
        <v>42</v>
      </c>
      <c r="Q334" t="s">
        <v>71</v>
      </c>
      <c r="R334" t="s">
        <v>1207</v>
      </c>
      <c r="S334">
        <v>14.368</v>
      </c>
    </row>
    <row r="335" spans="1:19" x14ac:dyDescent="0.35">
      <c r="A335">
        <v>338</v>
      </c>
      <c r="B335" t="s">
        <v>1208</v>
      </c>
      <c r="C335" s="1">
        <v>42197</v>
      </c>
      <c r="D335" s="1">
        <v>42202</v>
      </c>
      <c r="E335" s="1" t="str">
        <f t="shared" si="5"/>
        <v>FAST</v>
      </c>
      <c r="F335" t="s">
        <v>46</v>
      </c>
      <c r="G335" t="s">
        <v>1209</v>
      </c>
      <c r="H335" t="s">
        <v>1210</v>
      </c>
      <c r="I335" t="s">
        <v>37</v>
      </c>
      <c r="J335" t="s">
        <v>23</v>
      </c>
      <c r="K335" t="s">
        <v>123</v>
      </c>
      <c r="L335" t="s">
        <v>39</v>
      </c>
      <c r="M335">
        <v>94122</v>
      </c>
      <c r="N335" t="s">
        <v>40</v>
      </c>
      <c r="O335" t="s">
        <v>1211</v>
      </c>
      <c r="P335" t="s">
        <v>42</v>
      </c>
      <c r="Q335" t="s">
        <v>71</v>
      </c>
      <c r="R335" t="s">
        <v>1212</v>
      </c>
      <c r="S335">
        <v>7.7119999999999997</v>
      </c>
    </row>
    <row r="336" spans="1:19" x14ac:dyDescent="0.35">
      <c r="A336">
        <v>339</v>
      </c>
      <c r="B336" t="s">
        <v>1208</v>
      </c>
      <c r="C336" s="1">
        <v>42197</v>
      </c>
      <c r="D336" s="1">
        <v>42202</v>
      </c>
      <c r="E336" s="1" t="str">
        <f t="shared" si="5"/>
        <v>FAST</v>
      </c>
      <c r="F336" t="s">
        <v>46</v>
      </c>
      <c r="G336" t="s">
        <v>1209</v>
      </c>
      <c r="H336" t="s">
        <v>1210</v>
      </c>
      <c r="I336" t="s">
        <v>37</v>
      </c>
      <c r="J336" t="s">
        <v>23</v>
      </c>
      <c r="K336" t="s">
        <v>123</v>
      </c>
      <c r="L336" t="s">
        <v>39</v>
      </c>
      <c r="M336">
        <v>94122</v>
      </c>
      <c r="N336" t="s">
        <v>40</v>
      </c>
      <c r="O336" t="s">
        <v>1213</v>
      </c>
      <c r="P336" t="s">
        <v>28</v>
      </c>
      <c r="Q336" t="s">
        <v>52</v>
      </c>
      <c r="R336" t="s">
        <v>1214</v>
      </c>
      <c r="S336">
        <v>698.35199999999998</v>
      </c>
    </row>
    <row r="337" spans="1:19" x14ac:dyDescent="0.35">
      <c r="A337">
        <v>340</v>
      </c>
      <c r="B337" t="s">
        <v>1215</v>
      </c>
      <c r="C337" s="1">
        <v>42543</v>
      </c>
      <c r="D337" s="1">
        <v>42547</v>
      </c>
      <c r="E337" s="1" t="str">
        <f t="shared" si="5"/>
        <v>SLOW</v>
      </c>
      <c r="F337" t="s">
        <v>19</v>
      </c>
      <c r="G337" t="s">
        <v>903</v>
      </c>
      <c r="H337" t="s">
        <v>904</v>
      </c>
      <c r="I337" t="s">
        <v>22</v>
      </c>
      <c r="J337" t="s">
        <v>23</v>
      </c>
      <c r="K337" t="s">
        <v>1216</v>
      </c>
      <c r="L337" t="s">
        <v>117</v>
      </c>
      <c r="M337">
        <v>84041</v>
      </c>
      <c r="N337" t="s">
        <v>40</v>
      </c>
      <c r="O337" t="s">
        <v>1217</v>
      </c>
      <c r="P337" t="s">
        <v>42</v>
      </c>
      <c r="Q337" t="s">
        <v>263</v>
      </c>
      <c r="R337" t="s">
        <v>1218</v>
      </c>
      <c r="S337">
        <v>4.96</v>
      </c>
    </row>
    <row r="338" spans="1:19" x14ac:dyDescent="0.35">
      <c r="A338">
        <v>341</v>
      </c>
      <c r="B338" t="s">
        <v>1219</v>
      </c>
      <c r="C338" s="1">
        <v>42107</v>
      </c>
      <c r="D338" s="1">
        <v>42111</v>
      </c>
      <c r="E338" s="1" t="str">
        <f t="shared" si="5"/>
        <v>SLOW</v>
      </c>
      <c r="F338" t="s">
        <v>19</v>
      </c>
      <c r="G338" t="s">
        <v>569</v>
      </c>
      <c r="H338" t="s">
        <v>570</v>
      </c>
      <c r="I338" t="s">
        <v>37</v>
      </c>
      <c r="J338" t="s">
        <v>23</v>
      </c>
      <c r="K338" t="s">
        <v>142</v>
      </c>
      <c r="L338" t="s">
        <v>143</v>
      </c>
      <c r="M338">
        <v>19140</v>
      </c>
      <c r="N338" t="s">
        <v>144</v>
      </c>
      <c r="O338" t="s">
        <v>1220</v>
      </c>
      <c r="P338" t="s">
        <v>42</v>
      </c>
      <c r="Q338" t="s">
        <v>64</v>
      </c>
      <c r="R338" t="s">
        <v>1221</v>
      </c>
      <c r="S338">
        <v>17.856000000000002</v>
      </c>
    </row>
    <row r="339" spans="1:19" x14ac:dyDescent="0.35">
      <c r="A339">
        <v>342</v>
      </c>
      <c r="B339" t="s">
        <v>1219</v>
      </c>
      <c r="C339" s="1">
        <v>42107</v>
      </c>
      <c r="D339" s="1">
        <v>42111</v>
      </c>
      <c r="E339" s="1" t="str">
        <f t="shared" si="5"/>
        <v>SLOW</v>
      </c>
      <c r="F339" t="s">
        <v>19</v>
      </c>
      <c r="G339" t="s">
        <v>569</v>
      </c>
      <c r="H339" t="s">
        <v>570</v>
      </c>
      <c r="I339" t="s">
        <v>37</v>
      </c>
      <c r="J339" t="s">
        <v>23</v>
      </c>
      <c r="K339" t="s">
        <v>142</v>
      </c>
      <c r="L339" t="s">
        <v>143</v>
      </c>
      <c r="M339">
        <v>19140</v>
      </c>
      <c r="N339" t="s">
        <v>144</v>
      </c>
      <c r="O339" t="s">
        <v>93</v>
      </c>
      <c r="P339" t="s">
        <v>42</v>
      </c>
      <c r="Q339" t="s">
        <v>71</v>
      </c>
      <c r="R339" t="s">
        <v>94</v>
      </c>
      <c r="S339">
        <v>509.97</v>
      </c>
    </row>
    <row r="340" spans="1:19" x14ac:dyDescent="0.35">
      <c r="A340">
        <v>343</v>
      </c>
      <c r="B340" t="s">
        <v>1219</v>
      </c>
      <c r="C340" s="1">
        <v>42107</v>
      </c>
      <c r="D340" s="1">
        <v>42111</v>
      </c>
      <c r="E340" s="1" t="str">
        <f t="shared" si="5"/>
        <v>SLOW</v>
      </c>
      <c r="F340" t="s">
        <v>19</v>
      </c>
      <c r="G340" t="s">
        <v>569</v>
      </c>
      <c r="H340" t="s">
        <v>570</v>
      </c>
      <c r="I340" t="s">
        <v>37</v>
      </c>
      <c r="J340" t="s">
        <v>23</v>
      </c>
      <c r="K340" t="s">
        <v>142</v>
      </c>
      <c r="L340" t="s">
        <v>143</v>
      </c>
      <c r="M340">
        <v>19140</v>
      </c>
      <c r="N340" t="s">
        <v>144</v>
      </c>
      <c r="O340" t="s">
        <v>549</v>
      </c>
      <c r="P340" t="s">
        <v>42</v>
      </c>
      <c r="Q340" t="s">
        <v>263</v>
      </c>
      <c r="R340" t="s">
        <v>550</v>
      </c>
      <c r="S340">
        <v>30.992000000000001</v>
      </c>
    </row>
    <row r="341" spans="1:19" x14ac:dyDescent="0.35">
      <c r="A341">
        <v>344</v>
      </c>
      <c r="B341" t="s">
        <v>1219</v>
      </c>
      <c r="C341" s="1">
        <v>42107</v>
      </c>
      <c r="D341" s="1">
        <v>42111</v>
      </c>
      <c r="E341" s="1" t="str">
        <f t="shared" si="5"/>
        <v>SLOW</v>
      </c>
      <c r="F341" t="s">
        <v>19</v>
      </c>
      <c r="G341" t="s">
        <v>569</v>
      </c>
      <c r="H341" t="s">
        <v>570</v>
      </c>
      <c r="I341" t="s">
        <v>37</v>
      </c>
      <c r="J341" t="s">
        <v>23</v>
      </c>
      <c r="K341" t="s">
        <v>142</v>
      </c>
      <c r="L341" t="s">
        <v>143</v>
      </c>
      <c r="M341">
        <v>19140</v>
      </c>
      <c r="N341" t="s">
        <v>144</v>
      </c>
      <c r="O341" t="s">
        <v>1222</v>
      </c>
      <c r="P341" t="s">
        <v>67</v>
      </c>
      <c r="Q341" t="s">
        <v>68</v>
      </c>
      <c r="R341" t="s">
        <v>1223</v>
      </c>
      <c r="S341">
        <v>71.927999999999997</v>
      </c>
    </row>
    <row r="342" spans="1:19" x14ac:dyDescent="0.35">
      <c r="A342">
        <v>345</v>
      </c>
      <c r="B342" t="s">
        <v>1224</v>
      </c>
      <c r="C342" s="1">
        <v>42724</v>
      </c>
      <c r="D342" s="1">
        <v>42728</v>
      </c>
      <c r="E342" s="1" t="str">
        <f t="shared" si="5"/>
        <v>FAST</v>
      </c>
      <c r="F342" t="s">
        <v>46</v>
      </c>
      <c r="G342" t="s">
        <v>684</v>
      </c>
      <c r="H342" t="s">
        <v>685</v>
      </c>
      <c r="I342" t="s">
        <v>22</v>
      </c>
      <c r="J342" t="s">
        <v>23</v>
      </c>
      <c r="K342" t="s">
        <v>1225</v>
      </c>
      <c r="L342" t="s">
        <v>100</v>
      </c>
      <c r="M342">
        <v>78745</v>
      </c>
      <c r="N342" t="s">
        <v>101</v>
      </c>
      <c r="O342" t="s">
        <v>118</v>
      </c>
      <c r="P342" t="s">
        <v>42</v>
      </c>
      <c r="Q342" t="s">
        <v>55</v>
      </c>
      <c r="R342" t="s">
        <v>119</v>
      </c>
      <c r="S342">
        <v>88.8</v>
      </c>
    </row>
    <row r="343" spans="1:19" x14ac:dyDescent="0.35">
      <c r="A343">
        <v>346</v>
      </c>
      <c r="B343" t="s">
        <v>1226</v>
      </c>
      <c r="C343" s="1">
        <v>43266</v>
      </c>
      <c r="D343" s="1">
        <v>43270</v>
      </c>
      <c r="E343" s="1" t="str">
        <f t="shared" si="5"/>
        <v>FAST</v>
      </c>
      <c r="F343" t="s">
        <v>46</v>
      </c>
      <c r="G343" t="s">
        <v>1227</v>
      </c>
      <c r="H343" t="s">
        <v>1228</v>
      </c>
      <c r="I343" t="s">
        <v>22</v>
      </c>
      <c r="J343" t="s">
        <v>23</v>
      </c>
      <c r="K343" t="s">
        <v>123</v>
      </c>
      <c r="L343" t="s">
        <v>39</v>
      </c>
      <c r="M343">
        <v>94122</v>
      </c>
      <c r="N343" t="s">
        <v>40</v>
      </c>
      <c r="O343" t="s">
        <v>545</v>
      </c>
      <c r="P343" t="s">
        <v>67</v>
      </c>
      <c r="Q343" t="s">
        <v>68</v>
      </c>
      <c r="R343" t="s">
        <v>546</v>
      </c>
      <c r="S343">
        <v>47.975999999999999</v>
      </c>
    </row>
    <row r="344" spans="1:19" x14ac:dyDescent="0.35">
      <c r="A344">
        <v>347</v>
      </c>
      <c r="B344" t="s">
        <v>1229</v>
      </c>
      <c r="C344" s="1">
        <v>43289</v>
      </c>
      <c r="D344" s="1">
        <v>43293</v>
      </c>
      <c r="E344" s="1" t="str">
        <f t="shared" si="5"/>
        <v>FAST</v>
      </c>
      <c r="F344" t="s">
        <v>46</v>
      </c>
      <c r="G344" t="s">
        <v>1230</v>
      </c>
      <c r="H344" t="s">
        <v>1231</v>
      </c>
      <c r="I344" t="s">
        <v>22</v>
      </c>
      <c r="J344" t="s">
        <v>23</v>
      </c>
      <c r="K344" t="s">
        <v>1232</v>
      </c>
      <c r="L344" t="s">
        <v>1233</v>
      </c>
      <c r="M344">
        <v>1852</v>
      </c>
      <c r="N344" t="s">
        <v>144</v>
      </c>
      <c r="O344" t="s">
        <v>769</v>
      </c>
      <c r="P344" t="s">
        <v>42</v>
      </c>
      <c r="Q344" t="s">
        <v>64</v>
      </c>
      <c r="R344" t="s">
        <v>770</v>
      </c>
      <c r="S344">
        <v>7.56</v>
      </c>
    </row>
    <row r="345" spans="1:19" x14ac:dyDescent="0.35">
      <c r="A345">
        <v>348</v>
      </c>
      <c r="B345" t="s">
        <v>1229</v>
      </c>
      <c r="C345" s="1">
        <v>43289</v>
      </c>
      <c r="D345" s="1">
        <v>43293</v>
      </c>
      <c r="E345" s="1" t="str">
        <f t="shared" si="5"/>
        <v>FAST</v>
      </c>
      <c r="F345" t="s">
        <v>46</v>
      </c>
      <c r="G345" t="s">
        <v>1230</v>
      </c>
      <c r="H345" t="s">
        <v>1231</v>
      </c>
      <c r="I345" t="s">
        <v>22</v>
      </c>
      <c r="J345" t="s">
        <v>23</v>
      </c>
      <c r="K345" t="s">
        <v>1232</v>
      </c>
      <c r="L345" t="s">
        <v>1233</v>
      </c>
      <c r="M345">
        <v>1852</v>
      </c>
      <c r="N345" t="s">
        <v>144</v>
      </c>
      <c r="O345" t="s">
        <v>181</v>
      </c>
      <c r="P345" t="s">
        <v>42</v>
      </c>
      <c r="Q345" t="s">
        <v>86</v>
      </c>
      <c r="R345" t="s">
        <v>182</v>
      </c>
      <c r="S345">
        <v>24.56</v>
      </c>
    </row>
    <row r="346" spans="1:19" x14ac:dyDescent="0.35">
      <c r="A346">
        <v>349</v>
      </c>
      <c r="B346" t="s">
        <v>1229</v>
      </c>
      <c r="C346" s="1">
        <v>43289</v>
      </c>
      <c r="D346" s="1">
        <v>43293</v>
      </c>
      <c r="E346" s="1" t="str">
        <f t="shared" si="5"/>
        <v>FAST</v>
      </c>
      <c r="F346" t="s">
        <v>46</v>
      </c>
      <c r="G346" t="s">
        <v>1230</v>
      </c>
      <c r="H346" t="s">
        <v>1231</v>
      </c>
      <c r="I346" t="s">
        <v>22</v>
      </c>
      <c r="J346" t="s">
        <v>23</v>
      </c>
      <c r="K346" t="s">
        <v>1232</v>
      </c>
      <c r="L346" t="s">
        <v>1233</v>
      </c>
      <c r="M346">
        <v>1852</v>
      </c>
      <c r="N346" t="s">
        <v>144</v>
      </c>
      <c r="O346" t="s">
        <v>1234</v>
      </c>
      <c r="P346" t="s">
        <v>42</v>
      </c>
      <c r="Q346" t="s">
        <v>64</v>
      </c>
      <c r="R346" t="s">
        <v>1235</v>
      </c>
      <c r="S346">
        <v>12.96</v>
      </c>
    </row>
    <row r="347" spans="1:19" x14ac:dyDescent="0.35">
      <c r="A347">
        <v>350</v>
      </c>
      <c r="B347" t="s">
        <v>1236</v>
      </c>
      <c r="C347" s="1">
        <v>42979</v>
      </c>
      <c r="D347" s="1">
        <v>42981</v>
      </c>
      <c r="E347" s="1" t="str">
        <f t="shared" si="5"/>
        <v>MODERATE</v>
      </c>
      <c r="F347" t="s">
        <v>184</v>
      </c>
      <c r="G347" t="s">
        <v>1237</v>
      </c>
      <c r="H347" t="s">
        <v>1238</v>
      </c>
      <c r="I347" t="s">
        <v>98</v>
      </c>
      <c r="J347" t="s">
        <v>23</v>
      </c>
      <c r="K347" t="s">
        <v>260</v>
      </c>
      <c r="L347" t="s">
        <v>261</v>
      </c>
      <c r="M347">
        <v>10009</v>
      </c>
      <c r="N347" t="s">
        <v>144</v>
      </c>
      <c r="O347" t="s">
        <v>955</v>
      </c>
      <c r="P347" t="s">
        <v>67</v>
      </c>
      <c r="Q347" t="s">
        <v>157</v>
      </c>
      <c r="R347" t="s">
        <v>956</v>
      </c>
      <c r="S347">
        <v>6.79</v>
      </c>
    </row>
    <row r="348" spans="1:19" x14ac:dyDescent="0.35">
      <c r="A348">
        <v>351</v>
      </c>
      <c r="B348" t="s">
        <v>1236</v>
      </c>
      <c r="C348" s="1">
        <v>42979</v>
      </c>
      <c r="D348" s="1">
        <v>42981</v>
      </c>
      <c r="E348" s="1" t="str">
        <f t="shared" si="5"/>
        <v>MODERATE</v>
      </c>
      <c r="F348" t="s">
        <v>184</v>
      </c>
      <c r="G348" t="s">
        <v>1237</v>
      </c>
      <c r="H348" t="s">
        <v>1238</v>
      </c>
      <c r="I348" t="s">
        <v>98</v>
      </c>
      <c r="J348" t="s">
        <v>23</v>
      </c>
      <c r="K348" t="s">
        <v>260</v>
      </c>
      <c r="L348" t="s">
        <v>261</v>
      </c>
      <c r="M348">
        <v>10009</v>
      </c>
      <c r="N348" t="s">
        <v>144</v>
      </c>
      <c r="O348" t="s">
        <v>1239</v>
      </c>
      <c r="P348" t="s">
        <v>42</v>
      </c>
      <c r="Q348" t="s">
        <v>86</v>
      </c>
      <c r="R348" t="s">
        <v>1240</v>
      </c>
      <c r="S348">
        <v>24.56</v>
      </c>
    </row>
    <row r="349" spans="1:19" x14ac:dyDescent="0.35">
      <c r="A349">
        <v>352</v>
      </c>
      <c r="B349" t="s">
        <v>1236</v>
      </c>
      <c r="C349" s="1">
        <v>42979</v>
      </c>
      <c r="D349" s="1">
        <v>42981</v>
      </c>
      <c r="E349" s="1" t="str">
        <f t="shared" si="5"/>
        <v>MODERATE</v>
      </c>
      <c r="F349" t="s">
        <v>184</v>
      </c>
      <c r="G349" t="s">
        <v>1237</v>
      </c>
      <c r="H349" t="s">
        <v>1238</v>
      </c>
      <c r="I349" t="s">
        <v>98</v>
      </c>
      <c r="J349" t="s">
        <v>23</v>
      </c>
      <c r="K349" t="s">
        <v>260</v>
      </c>
      <c r="L349" t="s">
        <v>261</v>
      </c>
      <c r="M349">
        <v>10009</v>
      </c>
      <c r="N349" t="s">
        <v>144</v>
      </c>
      <c r="O349" t="s">
        <v>1241</v>
      </c>
      <c r="P349" t="s">
        <v>42</v>
      </c>
      <c r="Q349" t="s">
        <v>71</v>
      </c>
      <c r="R349" t="s">
        <v>1242</v>
      </c>
      <c r="S349">
        <v>3.048</v>
      </c>
    </row>
    <row r="350" spans="1:19" x14ac:dyDescent="0.35">
      <c r="A350">
        <v>353</v>
      </c>
      <c r="B350" t="s">
        <v>1236</v>
      </c>
      <c r="C350" s="1">
        <v>42979</v>
      </c>
      <c r="D350" s="1">
        <v>42981</v>
      </c>
      <c r="E350" s="1" t="str">
        <f t="shared" si="5"/>
        <v>MODERATE</v>
      </c>
      <c r="F350" t="s">
        <v>184</v>
      </c>
      <c r="G350" t="s">
        <v>1237</v>
      </c>
      <c r="H350" t="s">
        <v>1238</v>
      </c>
      <c r="I350" t="s">
        <v>98</v>
      </c>
      <c r="J350" t="s">
        <v>23</v>
      </c>
      <c r="K350" t="s">
        <v>260</v>
      </c>
      <c r="L350" t="s">
        <v>261</v>
      </c>
      <c r="M350">
        <v>10009</v>
      </c>
      <c r="N350" t="s">
        <v>144</v>
      </c>
      <c r="O350" t="s">
        <v>1239</v>
      </c>
      <c r="P350" t="s">
        <v>42</v>
      </c>
      <c r="Q350" t="s">
        <v>86</v>
      </c>
      <c r="R350" t="s">
        <v>1240</v>
      </c>
      <c r="S350">
        <v>49.12</v>
      </c>
    </row>
    <row r="351" spans="1:19" x14ac:dyDescent="0.35">
      <c r="A351">
        <v>354</v>
      </c>
      <c r="B351" t="s">
        <v>1236</v>
      </c>
      <c r="C351" s="1">
        <v>42979</v>
      </c>
      <c r="D351" s="1">
        <v>42981</v>
      </c>
      <c r="E351" s="1" t="str">
        <f t="shared" si="5"/>
        <v>MODERATE</v>
      </c>
      <c r="F351" t="s">
        <v>184</v>
      </c>
      <c r="G351" t="s">
        <v>1237</v>
      </c>
      <c r="H351" t="s">
        <v>1238</v>
      </c>
      <c r="I351" t="s">
        <v>98</v>
      </c>
      <c r="J351" t="s">
        <v>23</v>
      </c>
      <c r="K351" t="s">
        <v>260</v>
      </c>
      <c r="L351" t="s">
        <v>261</v>
      </c>
      <c r="M351">
        <v>10009</v>
      </c>
      <c r="N351" t="s">
        <v>144</v>
      </c>
      <c r="O351" t="s">
        <v>1243</v>
      </c>
      <c r="P351" t="s">
        <v>42</v>
      </c>
      <c r="Q351" t="s">
        <v>71</v>
      </c>
      <c r="R351" t="s">
        <v>1244</v>
      </c>
      <c r="S351">
        <v>4355.1679999999997</v>
      </c>
    </row>
    <row r="352" spans="1:19" x14ac:dyDescent="0.35">
      <c r="A352">
        <v>355</v>
      </c>
      <c r="B352" t="s">
        <v>1245</v>
      </c>
      <c r="C352" s="1">
        <v>42833</v>
      </c>
      <c r="D352" s="1">
        <v>42838</v>
      </c>
      <c r="E352" s="1" t="str">
        <f t="shared" si="5"/>
        <v>FAST</v>
      </c>
      <c r="F352" t="s">
        <v>46</v>
      </c>
      <c r="G352" t="s">
        <v>1246</v>
      </c>
      <c r="H352" t="s">
        <v>1247</v>
      </c>
      <c r="I352" t="s">
        <v>22</v>
      </c>
      <c r="J352" t="s">
        <v>23</v>
      </c>
      <c r="K352" t="s">
        <v>260</v>
      </c>
      <c r="L352" t="s">
        <v>261</v>
      </c>
      <c r="M352">
        <v>10035</v>
      </c>
      <c r="N352" t="s">
        <v>144</v>
      </c>
      <c r="O352" t="s">
        <v>1248</v>
      </c>
      <c r="P352" t="s">
        <v>28</v>
      </c>
      <c r="Q352" t="s">
        <v>29</v>
      </c>
      <c r="R352" t="s">
        <v>1249</v>
      </c>
      <c r="S352">
        <v>388.70400000000001</v>
      </c>
    </row>
    <row r="353" spans="1:19" x14ac:dyDescent="0.35">
      <c r="A353">
        <v>357</v>
      </c>
      <c r="B353" t="s">
        <v>1245</v>
      </c>
      <c r="C353" s="1">
        <v>42833</v>
      </c>
      <c r="D353" s="1">
        <v>42838</v>
      </c>
      <c r="E353" s="1" t="str">
        <f t="shared" si="5"/>
        <v>FAST</v>
      </c>
      <c r="F353" t="s">
        <v>46</v>
      </c>
      <c r="G353" t="s">
        <v>1246</v>
      </c>
      <c r="H353" t="s">
        <v>1247</v>
      </c>
      <c r="I353" t="s">
        <v>22</v>
      </c>
      <c r="J353" t="s">
        <v>23</v>
      </c>
      <c r="K353" t="s">
        <v>260</v>
      </c>
      <c r="L353" t="s">
        <v>261</v>
      </c>
      <c r="M353">
        <v>10035</v>
      </c>
      <c r="N353" t="s">
        <v>144</v>
      </c>
      <c r="O353" t="s">
        <v>1250</v>
      </c>
      <c r="P353" t="s">
        <v>42</v>
      </c>
      <c r="Q353" t="s">
        <v>64</v>
      </c>
      <c r="R353" t="s">
        <v>1251</v>
      </c>
      <c r="S353">
        <v>17.04</v>
      </c>
    </row>
    <row r="354" spans="1:19" x14ac:dyDescent="0.35">
      <c r="A354">
        <v>358</v>
      </c>
      <c r="B354" t="s">
        <v>1245</v>
      </c>
      <c r="C354" s="1">
        <v>42833</v>
      </c>
      <c r="D354" s="1">
        <v>42838</v>
      </c>
      <c r="E354" s="1" t="str">
        <f t="shared" si="5"/>
        <v>FAST</v>
      </c>
      <c r="F354" t="s">
        <v>46</v>
      </c>
      <c r="G354" t="s">
        <v>1246</v>
      </c>
      <c r="H354" t="s">
        <v>1247</v>
      </c>
      <c r="I354" t="s">
        <v>22</v>
      </c>
      <c r="J354" t="s">
        <v>23</v>
      </c>
      <c r="K354" t="s">
        <v>260</v>
      </c>
      <c r="L354" t="s">
        <v>261</v>
      </c>
      <c r="M354">
        <v>10035</v>
      </c>
      <c r="N354" t="s">
        <v>144</v>
      </c>
      <c r="O354" t="s">
        <v>1252</v>
      </c>
      <c r="P354" t="s">
        <v>42</v>
      </c>
      <c r="Q354" t="s">
        <v>86</v>
      </c>
      <c r="R354" t="s">
        <v>1253</v>
      </c>
      <c r="S354">
        <v>34.4</v>
      </c>
    </row>
    <row r="355" spans="1:19" x14ac:dyDescent="0.35">
      <c r="A355">
        <v>359</v>
      </c>
      <c r="B355" t="s">
        <v>1254</v>
      </c>
      <c r="C355" s="1">
        <v>42848</v>
      </c>
      <c r="D355" s="1">
        <v>42853</v>
      </c>
      <c r="E355" s="1" t="str">
        <f t="shared" si="5"/>
        <v>FAST</v>
      </c>
      <c r="F355" t="s">
        <v>46</v>
      </c>
      <c r="G355" t="s">
        <v>806</v>
      </c>
      <c r="H355" t="s">
        <v>807</v>
      </c>
      <c r="I355" t="s">
        <v>37</v>
      </c>
      <c r="J355" t="s">
        <v>23</v>
      </c>
      <c r="K355" t="s">
        <v>454</v>
      </c>
      <c r="L355" t="s">
        <v>84</v>
      </c>
      <c r="M355">
        <v>28205</v>
      </c>
      <c r="N355" t="s">
        <v>26</v>
      </c>
      <c r="O355" t="s">
        <v>789</v>
      </c>
      <c r="P355" t="s">
        <v>42</v>
      </c>
      <c r="Q355" t="s">
        <v>86</v>
      </c>
      <c r="R355" t="s">
        <v>790</v>
      </c>
      <c r="S355">
        <v>36.24</v>
      </c>
    </row>
    <row r="356" spans="1:19" x14ac:dyDescent="0.35">
      <c r="A356">
        <v>360</v>
      </c>
      <c r="B356" t="s">
        <v>1255</v>
      </c>
      <c r="C356" s="1">
        <v>43167</v>
      </c>
      <c r="D356" s="1">
        <v>43170</v>
      </c>
      <c r="E356" s="1" t="str">
        <f t="shared" si="5"/>
        <v>MODERATE</v>
      </c>
      <c r="F356" t="s">
        <v>184</v>
      </c>
      <c r="G356" t="s">
        <v>1256</v>
      </c>
      <c r="H356" t="s">
        <v>1257</v>
      </c>
      <c r="I356" t="s">
        <v>37</v>
      </c>
      <c r="J356" t="s">
        <v>23</v>
      </c>
      <c r="K356" t="s">
        <v>484</v>
      </c>
      <c r="L356" t="s">
        <v>1258</v>
      </c>
      <c r="M356">
        <v>31907</v>
      </c>
      <c r="N356" t="s">
        <v>26</v>
      </c>
      <c r="O356" t="s">
        <v>1259</v>
      </c>
      <c r="P356" t="s">
        <v>42</v>
      </c>
      <c r="Q356" t="s">
        <v>74</v>
      </c>
      <c r="R356" t="s">
        <v>1260</v>
      </c>
      <c r="S356">
        <v>647.84</v>
      </c>
    </row>
    <row r="357" spans="1:19" x14ac:dyDescent="0.35">
      <c r="A357">
        <v>361</v>
      </c>
      <c r="B357" t="s">
        <v>1255</v>
      </c>
      <c r="C357" s="1">
        <v>43167</v>
      </c>
      <c r="D357" s="1">
        <v>43170</v>
      </c>
      <c r="E357" s="1" t="str">
        <f t="shared" si="5"/>
        <v>MODERATE</v>
      </c>
      <c r="F357" t="s">
        <v>184</v>
      </c>
      <c r="G357" t="s">
        <v>1256</v>
      </c>
      <c r="H357" t="s">
        <v>1257</v>
      </c>
      <c r="I357" t="s">
        <v>37</v>
      </c>
      <c r="J357" t="s">
        <v>23</v>
      </c>
      <c r="K357" t="s">
        <v>484</v>
      </c>
      <c r="L357" t="s">
        <v>1258</v>
      </c>
      <c r="M357">
        <v>31907</v>
      </c>
      <c r="N357" t="s">
        <v>26</v>
      </c>
      <c r="O357" t="s">
        <v>1261</v>
      </c>
      <c r="P357" t="s">
        <v>42</v>
      </c>
      <c r="Q357" t="s">
        <v>43</v>
      </c>
      <c r="R357" t="s">
        <v>1262</v>
      </c>
      <c r="S357">
        <v>20.7</v>
      </c>
    </row>
    <row r="358" spans="1:19" x14ac:dyDescent="0.35">
      <c r="A358">
        <v>362</v>
      </c>
      <c r="B358" t="s">
        <v>1263</v>
      </c>
      <c r="C358" s="1">
        <v>43368</v>
      </c>
      <c r="D358" s="1">
        <v>43374</v>
      </c>
      <c r="E358" s="1" t="str">
        <f t="shared" si="5"/>
        <v>FAST</v>
      </c>
      <c r="F358" t="s">
        <v>46</v>
      </c>
      <c r="G358" t="s">
        <v>1264</v>
      </c>
      <c r="H358" t="s">
        <v>1265</v>
      </c>
      <c r="I358" t="s">
        <v>22</v>
      </c>
      <c r="J358" t="s">
        <v>23</v>
      </c>
      <c r="K358" t="s">
        <v>260</v>
      </c>
      <c r="L358" t="s">
        <v>261</v>
      </c>
      <c r="M358">
        <v>10009</v>
      </c>
      <c r="N358" t="s">
        <v>144</v>
      </c>
      <c r="O358" t="s">
        <v>1261</v>
      </c>
      <c r="P358" t="s">
        <v>42</v>
      </c>
      <c r="Q358" t="s">
        <v>43</v>
      </c>
      <c r="R358" t="s">
        <v>1262</v>
      </c>
      <c r="S358">
        <v>20.7</v>
      </c>
    </row>
    <row r="359" spans="1:19" x14ac:dyDescent="0.35">
      <c r="A359">
        <v>363</v>
      </c>
      <c r="B359" t="s">
        <v>1263</v>
      </c>
      <c r="C359" s="1">
        <v>43368</v>
      </c>
      <c r="D359" s="1">
        <v>43374</v>
      </c>
      <c r="E359" s="1" t="str">
        <f t="shared" si="5"/>
        <v>FAST</v>
      </c>
      <c r="F359" t="s">
        <v>46</v>
      </c>
      <c r="G359" t="s">
        <v>1264</v>
      </c>
      <c r="H359" t="s">
        <v>1265</v>
      </c>
      <c r="I359" t="s">
        <v>22</v>
      </c>
      <c r="J359" t="s">
        <v>23</v>
      </c>
      <c r="K359" t="s">
        <v>260</v>
      </c>
      <c r="L359" t="s">
        <v>261</v>
      </c>
      <c r="M359">
        <v>10009</v>
      </c>
      <c r="N359" t="s">
        <v>144</v>
      </c>
      <c r="O359" t="s">
        <v>1266</v>
      </c>
      <c r="P359" t="s">
        <v>28</v>
      </c>
      <c r="Q359" t="s">
        <v>32</v>
      </c>
      <c r="R359" t="s">
        <v>1267</v>
      </c>
      <c r="S359">
        <v>488.64600000000002</v>
      </c>
    </row>
    <row r="360" spans="1:19" x14ac:dyDescent="0.35">
      <c r="A360">
        <v>364</v>
      </c>
      <c r="B360" t="s">
        <v>1263</v>
      </c>
      <c r="C360" s="1">
        <v>43368</v>
      </c>
      <c r="D360" s="1">
        <v>43374</v>
      </c>
      <c r="E360" s="1" t="str">
        <f t="shared" si="5"/>
        <v>FAST</v>
      </c>
      <c r="F360" t="s">
        <v>46</v>
      </c>
      <c r="G360" t="s">
        <v>1264</v>
      </c>
      <c r="H360" t="s">
        <v>1265</v>
      </c>
      <c r="I360" t="s">
        <v>22</v>
      </c>
      <c r="J360" t="s">
        <v>23</v>
      </c>
      <c r="K360" t="s">
        <v>260</v>
      </c>
      <c r="L360" t="s">
        <v>261</v>
      </c>
      <c r="M360">
        <v>10009</v>
      </c>
      <c r="N360" t="s">
        <v>144</v>
      </c>
      <c r="O360" t="s">
        <v>1268</v>
      </c>
      <c r="P360" t="s">
        <v>42</v>
      </c>
      <c r="Q360" t="s">
        <v>64</v>
      </c>
      <c r="R360" t="s">
        <v>1269</v>
      </c>
      <c r="S360">
        <v>5.56</v>
      </c>
    </row>
    <row r="361" spans="1:19" x14ac:dyDescent="0.35">
      <c r="A361">
        <v>365</v>
      </c>
      <c r="B361" t="s">
        <v>1263</v>
      </c>
      <c r="C361" s="1">
        <v>43368</v>
      </c>
      <c r="D361" s="1">
        <v>43374</v>
      </c>
      <c r="E361" s="1" t="str">
        <f t="shared" si="5"/>
        <v>FAST</v>
      </c>
      <c r="F361" t="s">
        <v>46</v>
      </c>
      <c r="G361" t="s">
        <v>1264</v>
      </c>
      <c r="H361" t="s">
        <v>1265</v>
      </c>
      <c r="I361" t="s">
        <v>22</v>
      </c>
      <c r="J361" t="s">
        <v>23</v>
      </c>
      <c r="K361" t="s">
        <v>260</v>
      </c>
      <c r="L361" t="s">
        <v>261</v>
      </c>
      <c r="M361">
        <v>10009</v>
      </c>
      <c r="N361" t="s">
        <v>144</v>
      </c>
      <c r="O361" t="s">
        <v>1270</v>
      </c>
      <c r="P361" t="s">
        <v>28</v>
      </c>
      <c r="Q361" t="s">
        <v>61</v>
      </c>
      <c r="R361" t="s">
        <v>1271</v>
      </c>
      <c r="S361">
        <v>47.12</v>
      </c>
    </row>
    <row r="362" spans="1:19" x14ac:dyDescent="0.35">
      <c r="A362">
        <v>366</v>
      </c>
      <c r="B362" t="s">
        <v>1272</v>
      </c>
      <c r="C362" s="1">
        <v>42271</v>
      </c>
      <c r="D362" s="1">
        <v>42276</v>
      </c>
      <c r="E362" s="1" t="str">
        <f t="shared" si="5"/>
        <v>FAST</v>
      </c>
      <c r="F362" t="s">
        <v>46</v>
      </c>
      <c r="G362" t="s">
        <v>1273</v>
      </c>
      <c r="H362" t="s">
        <v>1274</v>
      </c>
      <c r="I362" t="s">
        <v>22</v>
      </c>
      <c r="J362" t="s">
        <v>23</v>
      </c>
      <c r="K362" t="s">
        <v>123</v>
      </c>
      <c r="L362" t="s">
        <v>39</v>
      </c>
      <c r="M362">
        <v>94109</v>
      </c>
      <c r="N362" t="s">
        <v>40</v>
      </c>
      <c r="O362" t="s">
        <v>233</v>
      </c>
      <c r="P362" t="s">
        <v>42</v>
      </c>
      <c r="Q362" t="s">
        <v>55</v>
      </c>
      <c r="R362" t="s">
        <v>234</v>
      </c>
      <c r="S362">
        <v>211.96</v>
      </c>
    </row>
    <row r="363" spans="1:19" x14ac:dyDescent="0.35">
      <c r="A363">
        <v>367</v>
      </c>
      <c r="B363" t="s">
        <v>1275</v>
      </c>
      <c r="C363" s="1">
        <v>43029</v>
      </c>
      <c r="D363" s="1">
        <v>43029</v>
      </c>
      <c r="E363" s="1" t="str">
        <f t="shared" si="5"/>
        <v>MODERATE</v>
      </c>
      <c r="F363" t="s">
        <v>1276</v>
      </c>
      <c r="G363" t="s">
        <v>1277</v>
      </c>
      <c r="H363" t="s">
        <v>1278</v>
      </c>
      <c r="I363" t="s">
        <v>37</v>
      </c>
      <c r="J363" t="s">
        <v>23</v>
      </c>
      <c r="K363" t="s">
        <v>1279</v>
      </c>
      <c r="L363" t="s">
        <v>736</v>
      </c>
      <c r="M363">
        <v>6040</v>
      </c>
      <c r="N363" t="s">
        <v>144</v>
      </c>
      <c r="O363" t="s">
        <v>1280</v>
      </c>
      <c r="P363" t="s">
        <v>42</v>
      </c>
      <c r="Q363" t="s">
        <v>71</v>
      </c>
      <c r="R363" t="s">
        <v>1281</v>
      </c>
      <c r="S363">
        <v>23.2</v>
      </c>
    </row>
    <row r="364" spans="1:19" x14ac:dyDescent="0.35">
      <c r="A364">
        <v>368</v>
      </c>
      <c r="B364" t="s">
        <v>1275</v>
      </c>
      <c r="C364" s="1">
        <v>43029</v>
      </c>
      <c r="D364" s="1">
        <v>43029</v>
      </c>
      <c r="E364" s="1" t="str">
        <f t="shared" si="5"/>
        <v>MODERATE</v>
      </c>
      <c r="F364" t="s">
        <v>1276</v>
      </c>
      <c r="G364" t="s">
        <v>1277</v>
      </c>
      <c r="H364" t="s">
        <v>1278</v>
      </c>
      <c r="I364" t="s">
        <v>37</v>
      </c>
      <c r="J364" t="s">
        <v>23</v>
      </c>
      <c r="K364" t="s">
        <v>1279</v>
      </c>
      <c r="L364" t="s">
        <v>736</v>
      </c>
      <c r="M364">
        <v>6040</v>
      </c>
      <c r="N364" t="s">
        <v>144</v>
      </c>
      <c r="O364" t="s">
        <v>1282</v>
      </c>
      <c r="P364" t="s">
        <v>42</v>
      </c>
      <c r="Q364" t="s">
        <v>566</v>
      </c>
      <c r="R364" t="s">
        <v>1283</v>
      </c>
      <c r="S364">
        <v>7.36</v>
      </c>
    </row>
    <row r="365" spans="1:19" x14ac:dyDescent="0.35">
      <c r="A365">
        <v>369</v>
      </c>
      <c r="B365" t="s">
        <v>1275</v>
      </c>
      <c r="C365" s="1">
        <v>43029</v>
      </c>
      <c r="D365" s="1">
        <v>43029</v>
      </c>
      <c r="E365" s="1" t="str">
        <f t="shared" si="5"/>
        <v>MODERATE</v>
      </c>
      <c r="F365" t="s">
        <v>1276</v>
      </c>
      <c r="G365" t="s">
        <v>1277</v>
      </c>
      <c r="H365" t="s">
        <v>1278</v>
      </c>
      <c r="I365" t="s">
        <v>37</v>
      </c>
      <c r="J365" t="s">
        <v>23</v>
      </c>
      <c r="K365" t="s">
        <v>1279</v>
      </c>
      <c r="L365" t="s">
        <v>736</v>
      </c>
      <c r="M365">
        <v>6040</v>
      </c>
      <c r="N365" t="s">
        <v>144</v>
      </c>
      <c r="O365" t="s">
        <v>1284</v>
      </c>
      <c r="P365" t="s">
        <v>42</v>
      </c>
      <c r="Q365" t="s">
        <v>55</v>
      </c>
      <c r="R365" t="s">
        <v>1285</v>
      </c>
      <c r="S365">
        <v>104.79</v>
      </c>
    </row>
    <row r="366" spans="1:19" x14ac:dyDescent="0.35">
      <c r="A366">
        <v>370</v>
      </c>
      <c r="B366" t="s">
        <v>1275</v>
      </c>
      <c r="C366" s="1">
        <v>43029</v>
      </c>
      <c r="D366" s="1">
        <v>43029</v>
      </c>
      <c r="E366" s="1" t="str">
        <f t="shared" si="5"/>
        <v>MODERATE</v>
      </c>
      <c r="F366" t="s">
        <v>1276</v>
      </c>
      <c r="G366" t="s">
        <v>1277</v>
      </c>
      <c r="H366" t="s">
        <v>1278</v>
      </c>
      <c r="I366" t="s">
        <v>37</v>
      </c>
      <c r="J366" t="s">
        <v>23</v>
      </c>
      <c r="K366" t="s">
        <v>1279</v>
      </c>
      <c r="L366" t="s">
        <v>736</v>
      </c>
      <c r="M366">
        <v>6040</v>
      </c>
      <c r="N366" t="s">
        <v>144</v>
      </c>
      <c r="O366" t="s">
        <v>195</v>
      </c>
      <c r="P366" t="s">
        <v>28</v>
      </c>
      <c r="Q366" t="s">
        <v>29</v>
      </c>
      <c r="R366" t="s">
        <v>196</v>
      </c>
      <c r="S366">
        <v>1043.92</v>
      </c>
    </row>
    <row r="367" spans="1:19" x14ac:dyDescent="0.35">
      <c r="A367">
        <v>371</v>
      </c>
      <c r="B367" t="s">
        <v>1286</v>
      </c>
      <c r="C367" s="1">
        <v>43249</v>
      </c>
      <c r="D367" s="1">
        <v>43255</v>
      </c>
      <c r="E367" s="1" t="str">
        <f t="shared" si="5"/>
        <v>FAST</v>
      </c>
      <c r="F367" t="s">
        <v>46</v>
      </c>
      <c r="G367" t="s">
        <v>1287</v>
      </c>
      <c r="H367" t="s">
        <v>1288</v>
      </c>
      <c r="I367" t="s">
        <v>22</v>
      </c>
      <c r="J367" t="s">
        <v>23</v>
      </c>
      <c r="K367" t="s">
        <v>1289</v>
      </c>
      <c r="L367" t="s">
        <v>100</v>
      </c>
      <c r="M367">
        <v>78550</v>
      </c>
      <c r="N367" t="s">
        <v>101</v>
      </c>
      <c r="O367" t="s">
        <v>1290</v>
      </c>
      <c r="P367" t="s">
        <v>42</v>
      </c>
      <c r="Q367" t="s">
        <v>86</v>
      </c>
      <c r="R367" t="s">
        <v>1291</v>
      </c>
      <c r="S367">
        <v>25.92</v>
      </c>
    </row>
    <row r="368" spans="1:19" x14ac:dyDescent="0.35">
      <c r="A368">
        <v>372</v>
      </c>
      <c r="B368" t="s">
        <v>1286</v>
      </c>
      <c r="C368" s="1">
        <v>43249</v>
      </c>
      <c r="D368" s="1">
        <v>43255</v>
      </c>
      <c r="E368" s="1" t="str">
        <f t="shared" si="5"/>
        <v>FAST</v>
      </c>
      <c r="F368" t="s">
        <v>46</v>
      </c>
      <c r="G368" t="s">
        <v>1287</v>
      </c>
      <c r="H368" t="s">
        <v>1288</v>
      </c>
      <c r="I368" t="s">
        <v>22</v>
      </c>
      <c r="J368" t="s">
        <v>23</v>
      </c>
      <c r="K368" t="s">
        <v>1289</v>
      </c>
      <c r="L368" t="s">
        <v>100</v>
      </c>
      <c r="M368">
        <v>78550</v>
      </c>
      <c r="N368" t="s">
        <v>101</v>
      </c>
      <c r="O368" t="s">
        <v>1292</v>
      </c>
      <c r="P368" t="s">
        <v>42</v>
      </c>
      <c r="Q368" t="s">
        <v>55</v>
      </c>
      <c r="R368" t="s">
        <v>1293</v>
      </c>
      <c r="S368">
        <v>53.423999999999999</v>
      </c>
    </row>
    <row r="369" spans="1:19" x14ac:dyDescent="0.35">
      <c r="A369">
        <v>373</v>
      </c>
      <c r="B369" t="s">
        <v>1294</v>
      </c>
      <c r="C369" s="1">
        <v>42208</v>
      </c>
      <c r="D369" s="1">
        <v>42212</v>
      </c>
      <c r="E369" s="1" t="str">
        <f t="shared" si="5"/>
        <v>FAST</v>
      </c>
      <c r="F369" t="s">
        <v>46</v>
      </c>
      <c r="G369" t="s">
        <v>1295</v>
      </c>
      <c r="H369" t="s">
        <v>1296</v>
      </c>
      <c r="I369" t="s">
        <v>22</v>
      </c>
      <c r="J369" t="s">
        <v>23</v>
      </c>
      <c r="K369" t="s">
        <v>1297</v>
      </c>
      <c r="L369" t="s">
        <v>304</v>
      </c>
      <c r="M369">
        <v>85705</v>
      </c>
      <c r="N369" t="s">
        <v>40</v>
      </c>
      <c r="O369" t="s">
        <v>1196</v>
      </c>
      <c r="P369" t="s">
        <v>42</v>
      </c>
      <c r="Q369" t="s">
        <v>71</v>
      </c>
      <c r="R369" t="s">
        <v>1197</v>
      </c>
      <c r="S369">
        <v>8.16</v>
      </c>
    </row>
    <row r="370" spans="1:19" x14ac:dyDescent="0.35">
      <c r="A370">
        <v>374</v>
      </c>
      <c r="B370" t="s">
        <v>1294</v>
      </c>
      <c r="C370" s="1">
        <v>42208</v>
      </c>
      <c r="D370" s="1">
        <v>42212</v>
      </c>
      <c r="E370" s="1" t="str">
        <f t="shared" si="5"/>
        <v>FAST</v>
      </c>
      <c r="F370" t="s">
        <v>46</v>
      </c>
      <c r="G370" t="s">
        <v>1295</v>
      </c>
      <c r="H370" t="s">
        <v>1296</v>
      </c>
      <c r="I370" t="s">
        <v>22</v>
      </c>
      <c r="J370" t="s">
        <v>23</v>
      </c>
      <c r="K370" t="s">
        <v>1297</v>
      </c>
      <c r="L370" t="s">
        <v>304</v>
      </c>
      <c r="M370">
        <v>85705</v>
      </c>
      <c r="N370" t="s">
        <v>40</v>
      </c>
      <c r="O370" t="s">
        <v>1298</v>
      </c>
      <c r="P370" t="s">
        <v>67</v>
      </c>
      <c r="Q370" t="s">
        <v>157</v>
      </c>
      <c r="R370" t="s">
        <v>1299</v>
      </c>
      <c r="S370">
        <v>1023.936</v>
      </c>
    </row>
    <row r="371" spans="1:19" x14ac:dyDescent="0.35">
      <c r="A371">
        <v>375</v>
      </c>
      <c r="B371" t="s">
        <v>1294</v>
      </c>
      <c r="C371" s="1">
        <v>42208</v>
      </c>
      <c r="D371" s="1">
        <v>42212</v>
      </c>
      <c r="E371" s="1" t="str">
        <f t="shared" si="5"/>
        <v>FAST</v>
      </c>
      <c r="F371" t="s">
        <v>46</v>
      </c>
      <c r="G371" t="s">
        <v>1295</v>
      </c>
      <c r="H371" t="s">
        <v>1296</v>
      </c>
      <c r="I371" t="s">
        <v>22</v>
      </c>
      <c r="J371" t="s">
        <v>23</v>
      </c>
      <c r="K371" t="s">
        <v>1297</v>
      </c>
      <c r="L371" t="s">
        <v>304</v>
      </c>
      <c r="M371">
        <v>85705</v>
      </c>
      <c r="N371" t="s">
        <v>40</v>
      </c>
      <c r="O371" t="s">
        <v>1300</v>
      </c>
      <c r="P371" t="s">
        <v>42</v>
      </c>
      <c r="Q371" t="s">
        <v>64</v>
      </c>
      <c r="R371" t="s">
        <v>1301</v>
      </c>
      <c r="S371">
        <v>9.24</v>
      </c>
    </row>
    <row r="372" spans="1:19" x14ac:dyDescent="0.35">
      <c r="A372">
        <v>376</v>
      </c>
      <c r="B372" t="s">
        <v>1294</v>
      </c>
      <c r="C372" s="1">
        <v>42208</v>
      </c>
      <c r="D372" s="1">
        <v>42212</v>
      </c>
      <c r="E372" s="1" t="str">
        <f t="shared" si="5"/>
        <v>FAST</v>
      </c>
      <c r="F372" t="s">
        <v>46</v>
      </c>
      <c r="G372" t="s">
        <v>1295</v>
      </c>
      <c r="H372" t="s">
        <v>1296</v>
      </c>
      <c r="I372" t="s">
        <v>22</v>
      </c>
      <c r="J372" t="s">
        <v>23</v>
      </c>
      <c r="K372" t="s">
        <v>1297</v>
      </c>
      <c r="L372" t="s">
        <v>304</v>
      </c>
      <c r="M372">
        <v>85705</v>
      </c>
      <c r="N372" t="s">
        <v>40</v>
      </c>
      <c r="O372" t="s">
        <v>1302</v>
      </c>
      <c r="P372" t="s">
        <v>67</v>
      </c>
      <c r="Q372" t="s">
        <v>157</v>
      </c>
      <c r="R372" t="s">
        <v>1303</v>
      </c>
      <c r="S372">
        <v>479.04</v>
      </c>
    </row>
    <row r="373" spans="1:19" x14ac:dyDescent="0.35">
      <c r="A373">
        <v>377</v>
      </c>
      <c r="B373" t="s">
        <v>1304</v>
      </c>
      <c r="C373" s="1">
        <v>43006</v>
      </c>
      <c r="D373" s="1">
        <v>43009</v>
      </c>
      <c r="E373" s="1" t="str">
        <f t="shared" si="5"/>
        <v>MODERATE</v>
      </c>
      <c r="F373" t="s">
        <v>184</v>
      </c>
      <c r="G373" t="s">
        <v>1305</v>
      </c>
      <c r="H373" t="s">
        <v>1306</v>
      </c>
      <c r="I373" t="s">
        <v>37</v>
      </c>
      <c r="J373" t="s">
        <v>23</v>
      </c>
      <c r="K373" t="s">
        <v>1307</v>
      </c>
      <c r="L373" t="s">
        <v>205</v>
      </c>
      <c r="M373">
        <v>62301</v>
      </c>
      <c r="N373" t="s">
        <v>101</v>
      </c>
      <c r="O373" t="s">
        <v>1308</v>
      </c>
      <c r="P373" t="s">
        <v>42</v>
      </c>
      <c r="Q373" t="s">
        <v>86</v>
      </c>
      <c r="R373" t="s">
        <v>1309</v>
      </c>
      <c r="S373">
        <v>99.135999999999996</v>
      </c>
    </row>
    <row r="374" spans="1:19" x14ac:dyDescent="0.35">
      <c r="A374">
        <v>378</v>
      </c>
      <c r="B374" t="s">
        <v>1310</v>
      </c>
      <c r="C374" s="1">
        <v>43339</v>
      </c>
      <c r="D374" s="1">
        <v>43344</v>
      </c>
      <c r="E374" s="1" t="str">
        <f t="shared" si="5"/>
        <v>FAST</v>
      </c>
      <c r="F374" t="s">
        <v>46</v>
      </c>
      <c r="G374" t="s">
        <v>1311</v>
      </c>
      <c r="H374" t="s">
        <v>1312</v>
      </c>
      <c r="I374" t="s">
        <v>37</v>
      </c>
      <c r="J374" t="s">
        <v>23</v>
      </c>
      <c r="K374" t="s">
        <v>600</v>
      </c>
      <c r="L374" t="s">
        <v>1233</v>
      </c>
      <c r="M374">
        <v>2038</v>
      </c>
      <c r="N374" t="s">
        <v>144</v>
      </c>
      <c r="O374" t="s">
        <v>1313</v>
      </c>
      <c r="P374" t="s">
        <v>28</v>
      </c>
      <c r="Q374" t="s">
        <v>52</v>
      </c>
      <c r="R374" t="s">
        <v>1314</v>
      </c>
      <c r="S374">
        <v>1488.424</v>
      </c>
    </row>
    <row r="375" spans="1:19" x14ac:dyDescent="0.35">
      <c r="A375">
        <v>379</v>
      </c>
      <c r="B375" t="s">
        <v>1315</v>
      </c>
      <c r="C375" s="1">
        <v>42488</v>
      </c>
      <c r="D375" s="1">
        <v>42495</v>
      </c>
      <c r="E375" s="1" t="str">
        <f t="shared" si="5"/>
        <v>FAST</v>
      </c>
      <c r="F375" t="s">
        <v>46</v>
      </c>
      <c r="G375" t="s">
        <v>1316</v>
      </c>
      <c r="H375" t="s">
        <v>1317</v>
      </c>
      <c r="I375" t="s">
        <v>22</v>
      </c>
      <c r="J375" t="s">
        <v>23</v>
      </c>
      <c r="K375" t="s">
        <v>180</v>
      </c>
      <c r="L375" t="s">
        <v>100</v>
      </c>
      <c r="M375">
        <v>77095</v>
      </c>
      <c r="N375" t="s">
        <v>101</v>
      </c>
      <c r="O375" t="s">
        <v>1318</v>
      </c>
      <c r="P375" t="s">
        <v>42</v>
      </c>
      <c r="Q375" t="s">
        <v>74</v>
      </c>
      <c r="R375" t="s">
        <v>1319</v>
      </c>
      <c r="S375">
        <v>8.6519999999999992</v>
      </c>
    </row>
    <row r="376" spans="1:19" x14ac:dyDescent="0.35">
      <c r="A376">
        <v>380</v>
      </c>
      <c r="B376" t="s">
        <v>1315</v>
      </c>
      <c r="C376" s="1">
        <v>42488</v>
      </c>
      <c r="D376" s="1">
        <v>42495</v>
      </c>
      <c r="E376" s="1" t="str">
        <f t="shared" si="5"/>
        <v>FAST</v>
      </c>
      <c r="F376" t="s">
        <v>46</v>
      </c>
      <c r="G376" t="s">
        <v>1316</v>
      </c>
      <c r="H376" t="s">
        <v>1317</v>
      </c>
      <c r="I376" t="s">
        <v>22</v>
      </c>
      <c r="J376" t="s">
        <v>23</v>
      </c>
      <c r="K376" t="s">
        <v>180</v>
      </c>
      <c r="L376" t="s">
        <v>100</v>
      </c>
      <c r="M376">
        <v>77095</v>
      </c>
      <c r="N376" t="s">
        <v>101</v>
      </c>
      <c r="O376" t="s">
        <v>1320</v>
      </c>
      <c r="P376" t="s">
        <v>42</v>
      </c>
      <c r="Q376" t="s">
        <v>55</v>
      </c>
      <c r="R376" t="s">
        <v>1321</v>
      </c>
      <c r="S376">
        <v>23.832000000000001</v>
      </c>
    </row>
    <row r="377" spans="1:19" x14ac:dyDescent="0.35">
      <c r="A377">
        <v>381</v>
      </c>
      <c r="B377" t="s">
        <v>1315</v>
      </c>
      <c r="C377" s="1">
        <v>42488</v>
      </c>
      <c r="D377" s="1">
        <v>42495</v>
      </c>
      <c r="E377" s="1" t="str">
        <f t="shared" si="5"/>
        <v>FAST</v>
      </c>
      <c r="F377" t="s">
        <v>46</v>
      </c>
      <c r="G377" t="s">
        <v>1316</v>
      </c>
      <c r="H377" t="s">
        <v>1317</v>
      </c>
      <c r="I377" t="s">
        <v>22</v>
      </c>
      <c r="J377" t="s">
        <v>23</v>
      </c>
      <c r="K377" t="s">
        <v>180</v>
      </c>
      <c r="L377" t="s">
        <v>100</v>
      </c>
      <c r="M377">
        <v>77095</v>
      </c>
      <c r="N377" t="s">
        <v>101</v>
      </c>
      <c r="O377" t="s">
        <v>1322</v>
      </c>
      <c r="P377" t="s">
        <v>42</v>
      </c>
      <c r="Q377" t="s">
        <v>71</v>
      </c>
      <c r="R377" t="s">
        <v>1323</v>
      </c>
      <c r="S377">
        <v>12.176</v>
      </c>
    </row>
    <row r="378" spans="1:19" x14ac:dyDescent="0.35">
      <c r="A378">
        <v>382</v>
      </c>
      <c r="B378" t="s">
        <v>1324</v>
      </c>
      <c r="C378" s="1">
        <v>43036</v>
      </c>
      <c r="D378" s="1">
        <v>43037</v>
      </c>
      <c r="E378" s="1" t="str">
        <f t="shared" si="5"/>
        <v>MODERATE</v>
      </c>
      <c r="F378" t="s">
        <v>184</v>
      </c>
      <c r="G378" t="s">
        <v>1325</v>
      </c>
      <c r="H378" t="s">
        <v>1326</v>
      </c>
      <c r="I378" t="s">
        <v>37</v>
      </c>
      <c r="J378" t="s">
        <v>23</v>
      </c>
      <c r="K378" t="s">
        <v>123</v>
      </c>
      <c r="L378" t="s">
        <v>39</v>
      </c>
      <c r="M378">
        <v>94109</v>
      </c>
      <c r="N378" t="s">
        <v>40</v>
      </c>
      <c r="O378" t="s">
        <v>1327</v>
      </c>
      <c r="P378" t="s">
        <v>42</v>
      </c>
      <c r="Q378" t="s">
        <v>86</v>
      </c>
      <c r="R378" t="s">
        <v>1328</v>
      </c>
      <c r="S378">
        <v>50.96</v>
      </c>
    </row>
    <row r="379" spans="1:19" x14ac:dyDescent="0.35">
      <c r="A379">
        <v>383</v>
      </c>
      <c r="B379" t="s">
        <v>1324</v>
      </c>
      <c r="C379" s="1">
        <v>43036</v>
      </c>
      <c r="D379" s="1">
        <v>43037</v>
      </c>
      <c r="E379" s="1" t="str">
        <f t="shared" si="5"/>
        <v>MODERATE</v>
      </c>
      <c r="F379" t="s">
        <v>184</v>
      </c>
      <c r="G379" t="s">
        <v>1325</v>
      </c>
      <c r="H379" t="s">
        <v>1326</v>
      </c>
      <c r="I379" t="s">
        <v>37</v>
      </c>
      <c r="J379" t="s">
        <v>23</v>
      </c>
      <c r="K379" t="s">
        <v>123</v>
      </c>
      <c r="L379" t="s">
        <v>39</v>
      </c>
      <c r="M379">
        <v>94109</v>
      </c>
      <c r="N379" t="s">
        <v>40</v>
      </c>
      <c r="O379" t="s">
        <v>1329</v>
      </c>
      <c r="P379" t="s">
        <v>42</v>
      </c>
      <c r="Q379" t="s">
        <v>71</v>
      </c>
      <c r="R379" t="s">
        <v>1330</v>
      </c>
      <c r="S379">
        <v>49.536000000000001</v>
      </c>
    </row>
    <row r="380" spans="1:19" x14ac:dyDescent="0.35">
      <c r="A380">
        <v>384</v>
      </c>
      <c r="B380" t="s">
        <v>1331</v>
      </c>
      <c r="C380" s="1">
        <v>42547</v>
      </c>
      <c r="D380" s="1">
        <v>42550</v>
      </c>
      <c r="E380" s="1" t="str">
        <f t="shared" si="5"/>
        <v>SLOW</v>
      </c>
      <c r="F380" t="s">
        <v>19</v>
      </c>
      <c r="G380" t="s">
        <v>1332</v>
      </c>
      <c r="H380" t="s">
        <v>1333</v>
      </c>
      <c r="I380" t="s">
        <v>37</v>
      </c>
      <c r="J380" t="s">
        <v>23</v>
      </c>
      <c r="K380" t="s">
        <v>1101</v>
      </c>
      <c r="L380" t="s">
        <v>232</v>
      </c>
      <c r="M380">
        <v>48180</v>
      </c>
      <c r="N380" t="s">
        <v>101</v>
      </c>
      <c r="O380" t="s">
        <v>1334</v>
      </c>
      <c r="P380" t="s">
        <v>67</v>
      </c>
      <c r="Q380" t="s">
        <v>157</v>
      </c>
      <c r="R380" t="s">
        <v>1335</v>
      </c>
      <c r="S380">
        <v>41.9</v>
      </c>
    </row>
    <row r="381" spans="1:19" x14ac:dyDescent="0.35">
      <c r="A381">
        <v>385</v>
      </c>
      <c r="B381" t="s">
        <v>1336</v>
      </c>
      <c r="C381" s="1">
        <v>42701</v>
      </c>
      <c r="D381" s="1">
        <v>42706</v>
      </c>
      <c r="E381" s="1" t="str">
        <f t="shared" si="5"/>
        <v>FAST</v>
      </c>
      <c r="F381" t="s">
        <v>46</v>
      </c>
      <c r="G381" t="s">
        <v>1337</v>
      </c>
      <c r="H381" t="s">
        <v>1338</v>
      </c>
      <c r="I381" t="s">
        <v>22</v>
      </c>
      <c r="J381" t="s">
        <v>23</v>
      </c>
      <c r="K381" t="s">
        <v>1339</v>
      </c>
      <c r="L381" t="s">
        <v>50</v>
      </c>
      <c r="M381">
        <v>33024</v>
      </c>
      <c r="N381" t="s">
        <v>26</v>
      </c>
      <c r="O381" t="s">
        <v>1340</v>
      </c>
      <c r="P381" t="s">
        <v>28</v>
      </c>
      <c r="Q381" t="s">
        <v>52</v>
      </c>
      <c r="R381" t="s">
        <v>1341</v>
      </c>
      <c r="S381">
        <v>375.45749999999998</v>
      </c>
    </row>
    <row r="382" spans="1:19" x14ac:dyDescent="0.35">
      <c r="A382">
        <v>386</v>
      </c>
      <c r="B382" t="s">
        <v>1336</v>
      </c>
      <c r="C382" s="1">
        <v>42701</v>
      </c>
      <c r="D382" s="1">
        <v>42706</v>
      </c>
      <c r="E382" s="1" t="str">
        <f t="shared" si="5"/>
        <v>FAST</v>
      </c>
      <c r="F382" t="s">
        <v>46</v>
      </c>
      <c r="G382" t="s">
        <v>1337</v>
      </c>
      <c r="H382" t="s">
        <v>1338</v>
      </c>
      <c r="I382" t="s">
        <v>22</v>
      </c>
      <c r="J382" t="s">
        <v>23</v>
      </c>
      <c r="K382" t="s">
        <v>1339</v>
      </c>
      <c r="L382" t="s">
        <v>50</v>
      </c>
      <c r="M382">
        <v>33024</v>
      </c>
      <c r="N382" t="s">
        <v>26</v>
      </c>
      <c r="O382" t="s">
        <v>1342</v>
      </c>
      <c r="P382" t="s">
        <v>67</v>
      </c>
      <c r="Q382" t="s">
        <v>157</v>
      </c>
      <c r="R382" t="s">
        <v>1343</v>
      </c>
      <c r="S382">
        <v>83.975999999999999</v>
      </c>
    </row>
    <row r="383" spans="1:19" x14ac:dyDescent="0.35">
      <c r="A383">
        <v>387</v>
      </c>
      <c r="B383" t="s">
        <v>1344</v>
      </c>
      <c r="C383" s="1">
        <v>42707</v>
      </c>
      <c r="D383" s="1">
        <v>42711</v>
      </c>
      <c r="E383" s="1" t="str">
        <f t="shared" si="5"/>
        <v>FAST</v>
      </c>
      <c r="F383" t="s">
        <v>46</v>
      </c>
      <c r="G383" t="s">
        <v>1345</v>
      </c>
      <c r="H383" t="s">
        <v>1346</v>
      </c>
      <c r="I383" t="s">
        <v>37</v>
      </c>
      <c r="J383" t="s">
        <v>23</v>
      </c>
      <c r="K383" t="s">
        <v>142</v>
      </c>
      <c r="L383" t="s">
        <v>143</v>
      </c>
      <c r="M383">
        <v>19140</v>
      </c>
      <c r="N383" t="s">
        <v>144</v>
      </c>
      <c r="O383" t="s">
        <v>1347</v>
      </c>
      <c r="P383" t="s">
        <v>67</v>
      </c>
      <c r="Q383" t="s">
        <v>671</v>
      </c>
      <c r="R383" t="s">
        <v>1348</v>
      </c>
      <c r="S383">
        <v>482.34</v>
      </c>
    </row>
    <row r="384" spans="1:19" x14ac:dyDescent="0.35">
      <c r="A384">
        <v>389</v>
      </c>
      <c r="B384" t="s">
        <v>1349</v>
      </c>
      <c r="C384" s="1">
        <v>42332</v>
      </c>
      <c r="D384" s="1">
        <v>42334</v>
      </c>
      <c r="E384" s="1" t="str">
        <f t="shared" si="5"/>
        <v>MODERATE</v>
      </c>
      <c r="F384" t="s">
        <v>184</v>
      </c>
      <c r="G384" t="s">
        <v>1350</v>
      </c>
      <c r="H384" t="s">
        <v>1351</v>
      </c>
      <c r="I384" t="s">
        <v>22</v>
      </c>
      <c r="J384" t="s">
        <v>23</v>
      </c>
      <c r="K384" t="s">
        <v>995</v>
      </c>
      <c r="L384" t="s">
        <v>485</v>
      </c>
      <c r="M384">
        <v>45231</v>
      </c>
      <c r="N384" t="s">
        <v>144</v>
      </c>
      <c r="O384" t="s">
        <v>1352</v>
      </c>
      <c r="P384" t="s">
        <v>42</v>
      </c>
      <c r="Q384" t="s">
        <v>64</v>
      </c>
      <c r="R384" t="s">
        <v>1353</v>
      </c>
      <c r="S384">
        <v>2.6240000000000001</v>
      </c>
    </row>
    <row r="385" spans="1:19" x14ac:dyDescent="0.35">
      <c r="A385">
        <v>390</v>
      </c>
      <c r="B385" t="s">
        <v>1354</v>
      </c>
      <c r="C385" s="1">
        <v>43445</v>
      </c>
      <c r="D385" s="1">
        <v>43449</v>
      </c>
      <c r="E385" s="1" t="str">
        <f t="shared" si="5"/>
        <v>FAST</v>
      </c>
      <c r="F385" t="s">
        <v>46</v>
      </c>
      <c r="G385" t="s">
        <v>1355</v>
      </c>
      <c r="H385" t="s">
        <v>1356</v>
      </c>
      <c r="I385" t="s">
        <v>22</v>
      </c>
      <c r="J385" t="s">
        <v>23</v>
      </c>
      <c r="K385" t="s">
        <v>260</v>
      </c>
      <c r="L385" t="s">
        <v>261</v>
      </c>
      <c r="M385">
        <v>10009</v>
      </c>
      <c r="N385" t="s">
        <v>144</v>
      </c>
      <c r="O385" t="s">
        <v>1357</v>
      </c>
      <c r="P385" t="s">
        <v>42</v>
      </c>
      <c r="Q385" t="s">
        <v>71</v>
      </c>
      <c r="R385" t="s">
        <v>1358</v>
      </c>
      <c r="S385">
        <v>23.36</v>
      </c>
    </row>
    <row r="386" spans="1:19" x14ac:dyDescent="0.35">
      <c r="A386">
        <v>391</v>
      </c>
      <c r="B386" t="s">
        <v>1354</v>
      </c>
      <c r="C386" s="1">
        <v>43445</v>
      </c>
      <c r="D386" s="1">
        <v>43449</v>
      </c>
      <c r="E386" s="1" t="str">
        <f t="shared" si="5"/>
        <v>FAST</v>
      </c>
      <c r="F386" t="s">
        <v>46</v>
      </c>
      <c r="G386" t="s">
        <v>1355</v>
      </c>
      <c r="H386" t="s">
        <v>1356</v>
      </c>
      <c r="I386" t="s">
        <v>22</v>
      </c>
      <c r="J386" t="s">
        <v>23</v>
      </c>
      <c r="K386" t="s">
        <v>260</v>
      </c>
      <c r="L386" t="s">
        <v>261</v>
      </c>
      <c r="M386">
        <v>10009</v>
      </c>
      <c r="N386" t="s">
        <v>144</v>
      </c>
      <c r="O386" t="s">
        <v>380</v>
      </c>
      <c r="P386" t="s">
        <v>67</v>
      </c>
      <c r="Q386" t="s">
        <v>157</v>
      </c>
      <c r="R386" t="s">
        <v>381</v>
      </c>
      <c r="S386">
        <v>39.979999999999997</v>
      </c>
    </row>
    <row r="387" spans="1:19" x14ac:dyDescent="0.35">
      <c r="A387">
        <v>392</v>
      </c>
      <c r="B387" t="s">
        <v>1359</v>
      </c>
      <c r="C387" s="1">
        <v>42268</v>
      </c>
      <c r="D387" s="1">
        <v>42270</v>
      </c>
      <c r="E387" s="1" t="str">
        <f t="shared" ref="E387:E450" si="6">IF(F387="STANDARD CLASS","FAST",IF(F387="SECOND CLASS","SLOW","MODERATE"))</f>
        <v>SLOW</v>
      </c>
      <c r="F387" t="s">
        <v>19</v>
      </c>
      <c r="G387" t="s">
        <v>1360</v>
      </c>
      <c r="H387" t="s">
        <v>1361</v>
      </c>
      <c r="I387" t="s">
        <v>22</v>
      </c>
      <c r="J387" t="s">
        <v>23</v>
      </c>
      <c r="K387" t="s">
        <v>1362</v>
      </c>
      <c r="L387" t="s">
        <v>92</v>
      </c>
      <c r="M387">
        <v>98198</v>
      </c>
      <c r="N387" t="s">
        <v>40</v>
      </c>
      <c r="O387" t="s">
        <v>1363</v>
      </c>
      <c r="P387" t="s">
        <v>67</v>
      </c>
      <c r="Q387" t="s">
        <v>68</v>
      </c>
      <c r="R387" t="s">
        <v>1364</v>
      </c>
      <c r="S387">
        <v>246.38399999999999</v>
      </c>
    </row>
    <row r="388" spans="1:19" x14ac:dyDescent="0.35">
      <c r="A388">
        <v>393</v>
      </c>
      <c r="B388" t="s">
        <v>1359</v>
      </c>
      <c r="C388" s="1">
        <v>42268</v>
      </c>
      <c r="D388" s="1">
        <v>42270</v>
      </c>
      <c r="E388" s="1" t="str">
        <f t="shared" si="6"/>
        <v>SLOW</v>
      </c>
      <c r="F388" t="s">
        <v>19</v>
      </c>
      <c r="G388" t="s">
        <v>1360</v>
      </c>
      <c r="H388" t="s">
        <v>1361</v>
      </c>
      <c r="I388" t="s">
        <v>22</v>
      </c>
      <c r="J388" t="s">
        <v>23</v>
      </c>
      <c r="K388" t="s">
        <v>1362</v>
      </c>
      <c r="L388" t="s">
        <v>92</v>
      </c>
      <c r="M388">
        <v>98198</v>
      </c>
      <c r="N388" t="s">
        <v>40</v>
      </c>
      <c r="O388" t="s">
        <v>1365</v>
      </c>
      <c r="P388" t="s">
        <v>67</v>
      </c>
      <c r="Q388" t="s">
        <v>1204</v>
      </c>
      <c r="R388" t="s">
        <v>1366</v>
      </c>
      <c r="S388">
        <v>1799.97</v>
      </c>
    </row>
    <row r="389" spans="1:19" x14ac:dyDescent="0.35">
      <c r="A389">
        <v>394</v>
      </c>
      <c r="B389" t="s">
        <v>1367</v>
      </c>
      <c r="C389" s="1">
        <v>42162</v>
      </c>
      <c r="D389" s="1">
        <v>42165</v>
      </c>
      <c r="E389" s="1" t="str">
        <f t="shared" si="6"/>
        <v>SLOW</v>
      </c>
      <c r="F389" t="s">
        <v>19</v>
      </c>
      <c r="G389" t="s">
        <v>1368</v>
      </c>
      <c r="H389" t="s">
        <v>1369</v>
      </c>
      <c r="I389" t="s">
        <v>37</v>
      </c>
      <c r="J389" t="s">
        <v>23</v>
      </c>
      <c r="K389" t="s">
        <v>1370</v>
      </c>
      <c r="L389" t="s">
        <v>205</v>
      </c>
      <c r="M389">
        <v>61604</v>
      </c>
      <c r="N389" t="s">
        <v>101</v>
      </c>
      <c r="O389" t="s">
        <v>1371</v>
      </c>
      <c r="P389" t="s">
        <v>42</v>
      </c>
      <c r="Q389" t="s">
        <v>71</v>
      </c>
      <c r="R389" t="s">
        <v>1372</v>
      </c>
      <c r="S389">
        <v>12.462</v>
      </c>
    </row>
    <row r="390" spans="1:19" x14ac:dyDescent="0.35">
      <c r="A390">
        <v>395</v>
      </c>
      <c r="B390" t="s">
        <v>1373</v>
      </c>
      <c r="C390" s="1">
        <v>43281</v>
      </c>
      <c r="D390" s="1">
        <v>43286</v>
      </c>
      <c r="E390" s="1" t="str">
        <f t="shared" si="6"/>
        <v>FAST</v>
      </c>
      <c r="F390" t="s">
        <v>46</v>
      </c>
      <c r="G390" t="s">
        <v>1374</v>
      </c>
      <c r="H390" t="s">
        <v>1375</v>
      </c>
      <c r="I390" t="s">
        <v>98</v>
      </c>
      <c r="J390" t="s">
        <v>23</v>
      </c>
      <c r="K390" t="s">
        <v>1376</v>
      </c>
      <c r="L390" t="s">
        <v>1377</v>
      </c>
      <c r="M390">
        <v>89115</v>
      </c>
      <c r="N390" t="s">
        <v>40</v>
      </c>
      <c r="O390" t="s">
        <v>1378</v>
      </c>
      <c r="P390" t="s">
        <v>42</v>
      </c>
      <c r="Q390" t="s">
        <v>71</v>
      </c>
      <c r="R390" t="s">
        <v>1379</v>
      </c>
      <c r="S390">
        <v>75.792000000000002</v>
      </c>
    </row>
    <row r="391" spans="1:19" x14ac:dyDescent="0.35">
      <c r="A391">
        <v>397</v>
      </c>
      <c r="B391" t="s">
        <v>1380</v>
      </c>
      <c r="C391" s="1">
        <v>43390</v>
      </c>
      <c r="D391" s="1">
        <v>43392</v>
      </c>
      <c r="E391" s="1" t="str">
        <f t="shared" si="6"/>
        <v>SLOW</v>
      </c>
      <c r="F391" t="s">
        <v>19</v>
      </c>
      <c r="G391" t="s">
        <v>1381</v>
      </c>
      <c r="H391" t="s">
        <v>1382</v>
      </c>
      <c r="I391" t="s">
        <v>37</v>
      </c>
      <c r="J391" t="s">
        <v>23</v>
      </c>
      <c r="K391" t="s">
        <v>1383</v>
      </c>
      <c r="L391" t="s">
        <v>1384</v>
      </c>
      <c r="M391">
        <v>2886</v>
      </c>
      <c r="N391" t="s">
        <v>144</v>
      </c>
      <c r="O391" t="s">
        <v>1385</v>
      </c>
      <c r="P391" t="s">
        <v>42</v>
      </c>
      <c r="Q391" t="s">
        <v>86</v>
      </c>
      <c r="R391" t="s">
        <v>1386</v>
      </c>
      <c r="S391">
        <v>12.96</v>
      </c>
    </row>
    <row r="392" spans="1:19" x14ac:dyDescent="0.35">
      <c r="A392">
        <v>398</v>
      </c>
      <c r="B392" t="s">
        <v>1387</v>
      </c>
      <c r="C392" s="1">
        <v>42674</v>
      </c>
      <c r="D392" s="1">
        <v>42678</v>
      </c>
      <c r="E392" s="1" t="str">
        <f t="shared" si="6"/>
        <v>FAST</v>
      </c>
      <c r="F392" t="s">
        <v>46</v>
      </c>
      <c r="G392" t="s">
        <v>96</v>
      </c>
      <c r="H392" t="s">
        <v>97</v>
      </c>
      <c r="I392" t="s">
        <v>98</v>
      </c>
      <c r="J392" t="s">
        <v>23</v>
      </c>
      <c r="K392" t="s">
        <v>322</v>
      </c>
      <c r="L392" t="s">
        <v>232</v>
      </c>
      <c r="M392">
        <v>49201</v>
      </c>
      <c r="N392" t="s">
        <v>101</v>
      </c>
      <c r="O392" t="s">
        <v>1388</v>
      </c>
      <c r="P392" t="s">
        <v>42</v>
      </c>
      <c r="Q392" t="s">
        <v>566</v>
      </c>
      <c r="R392" t="s">
        <v>1389</v>
      </c>
      <c r="S392">
        <v>70.12</v>
      </c>
    </row>
    <row r="393" spans="1:19" x14ac:dyDescent="0.35">
      <c r="A393">
        <v>399</v>
      </c>
      <c r="B393" t="s">
        <v>1390</v>
      </c>
      <c r="C393" s="1">
        <v>42986</v>
      </c>
      <c r="D393" s="1">
        <v>42988</v>
      </c>
      <c r="E393" s="1" t="str">
        <f t="shared" si="6"/>
        <v>SLOW</v>
      </c>
      <c r="F393" t="s">
        <v>19</v>
      </c>
      <c r="G393" t="s">
        <v>1391</v>
      </c>
      <c r="H393" t="s">
        <v>1392</v>
      </c>
      <c r="I393" t="s">
        <v>22</v>
      </c>
      <c r="J393" t="s">
        <v>23</v>
      </c>
      <c r="K393" t="s">
        <v>180</v>
      </c>
      <c r="L393" t="s">
        <v>100</v>
      </c>
      <c r="M393">
        <v>77036</v>
      </c>
      <c r="N393" t="s">
        <v>101</v>
      </c>
      <c r="O393" t="s">
        <v>1393</v>
      </c>
      <c r="P393" t="s">
        <v>42</v>
      </c>
      <c r="Q393" t="s">
        <v>55</v>
      </c>
      <c r="R393" t="s">
        <v>1394</v>
      </c>
      <c r="S393">
        <v>35.951999999999998</v>
      </c>
    </row>
    <row r="394" spans="1:19" x14ac:dyDescent="0.35">
      <c r="A394">
        <v>400</v>
      </c>
      <c r="B394" t="s">
        <v>1390</v>
      </c>
      <c r="C394" s="1">
        <v>42986</v>
      </c>
      <c r="D394" s="1">
        <v>42988</v>
      </c>
      <c r="E394" s="1" t="str">
        <f t="shared" si="6"/>
        <v>SLOW</v>
      </c>
      <c r="F394" t="s">
        <v>19</v>
      </c>
      <c r="G394" t="s">
        <v>1391</v>
      </c>
      <c r="H394" t="s">
        <v>1392</v>
      </c>
      <c r="I394" t="s">
        <v>22</v>
      </c>
      <c r="J394" t="s">
        <v>23</v>
      </c>
      <c r="K394" t="s">
        <v>180</v>
      </c>
      <c r="L394" t="s">
        <v>100</v>
      </c>
      <c r="M394">
        <v>77036</v>
      </c>
      <c r="N394" t="s">
        <v>101</v>
      </c>
      <c r="O394" t="s">
        <v>162</v>
      </c>
      <c r="P394" t="s">
        <v>28</v>
      </c>
      <c r="Q394" t="s">
        <v>29</v>
      </c>
      <c r="R394" t="s">
        <v>163</v>
      </c>
      <c r="S394">
        <v>2396.2656000000002</v>
      </c>
    </row>
    <row r="395" spans="1:19" x14ac:dyDescent="0.35">
      <c r="A395">
        <v>401</v>
      </c>
      <c r="B395" t="s">
        <v>1390</v>
      </c>
      <c r="C395" s="1">
        <v>42986</v>
      </c>
      <c r="D395" s="1">
        <v>42988</v>
      </c>
      <c r="E395" s="1" t="str">
        <f t="shared" si="6"/>
        <v>SLOW</v>
      </c>
      <c r="F395" t="s">
        <v>19</v>
      </c>
      <c r="G395" t="s">
        <v>1391</v>
      </c>
      <c r="H395" t="s">
        <v>1392</v>
      </c>
      <c r="I395" t="s">
        <v>22</v>
      </c>
      <c r="J395" t="s">
        <v>23</v>
      </c>
      <c r="K395" t="s">
        <v>180</v>
      </c>
      <c r="L395" t="s">
        <v>100</v>
      </c>
      <c r="M395">
        <v>77036</v>
      </c>
      <c r="N395" t="s">
        <v>101</v>
      </c>
      <c r="O395" t="s">
        <v>1395</v>
      </c>
      <c r="P395" t="s">
        <v>42</v>
      </c>
      <c r="Q395" t="s">
        <v>55</v>
      </c>
      <c r="R395" t="s">
        <v>1396</v>
      </c>
      <c r="S395">
        <v>131.136</v>
      </c>
    </row>
    <row r="396" spans="1:19" x14ac:dyDescent="0.35">
      <c r="A396">
        <v>402</v>
      </c>
      <c r="B396" t="s">
        <v>1390</v>
      </c>
      <c r="C396" s="1">
        <v>42986</v>
      </c>
      <c r="D396" s="1">
        <v>42988</v>
      </c>
      <c r="E396" s="1" t="str">
        <f t="shared" si="6"/>
        <v>SLOW</v>
      </c>
      <c r="F396" t="s">
        <v>19</v>
      </c>
      <c r="G396" t="s">
        <v>1391</v>
      </c>
      <c r="H396" t="s">
        <v>1392</v>
      </c>
      <c r="I396" t="s">
        <v>22</v>
      </c>
      <c r="J396" t="s">
        <v>23</v>
      </c>
      <c r="K396" t="s">
        <v>180</v>
      </c>
      <c r="L396" t="s">
        <v>100</v>
      </c>
      <c r="M396">
        <v>77036</v>
      </c>
      <c r="N396" t="s">
        <v>101</v>
      </c>
      <c r="O396" t="s">
        <v>1397</v>
      </c>
      <c r="P396" t="s">
        <v>67</v>
      </c>
      <c r="Q396" t="s">
        <v>157</v>
      </c>
      <c r="R396" t="s">
        <v>1398</v>
      </c>
      <c r="S396">
        <v>57.584000000000003</v>
      </c>
    </row>
    <row r="397" spans="1:19" x14ac:dyDescent="0.35">
      <c r="A397">
        <v>403</v>
      </c>
      <c r="B397" t="s">
        <v>1399</v>
      </c>
      <c r="C397" s="1">
        <v>42362</v>
      </c>
      <c r="D397" s="1">
        <v>42364</v>
      </c>
      <c r="E397" s="1" t="str">
        <f t="shared" si="6"/>
        <v>MODERATE</v>
      </c>
      <c r="F397" t="s">
        <v>184</v>
      </c>
      <c r="G397" t="s">
        <v>1400</v>
      </c>
      <c r="H397" t="s">
        <v>1401</v>
      </c>
      <c r="I397" t="s">
        <v>22</v>
      </c>
      <c r="J397" t="s">
        <v>23</v>
      </c>
      <c r="K397" t="s">
        <v>1402</v>
      </c>
      <c r="L397" t="s">
        <v>50</v>
      </c>
      <c r="M397">
        <v>33180</v>
      </c>
      <c r="N397" t="s">
        <v>26</v>
      </c>
      <c r="O397" t="s">
        <v>1403</v>
      </c>
      <c r="P397" t="s">
        <v>42</v>
      </c>
      <c r="Q397" t="s">
        <v>86</v>
      </c>
      <c r="R397" t="s">
        <v>1404</v>
      </c>
      <c r="S397">
        <v>9.5679999999999996</v>
      </c>
    </row>
    <row r="398" spans="1:19" x14ac:dyDescent="0.35">
      <c r="A398">
        <v>404</v>
      </c>
      <c r="B398" t="s">
        <v>1405</v>
      </c>
      <c r="C398" s="1">
        <v>42110</v>
      </c>
      <c r="D398" s="1">
        <v>42114</v>
      </c>
      <c r="E398" s="1" t="str">
        <f t="shared" si="6"/>
        <v>FAST</v>
      </c>
      <c r="F398" t="s">
        <v>46</v>
      </c>
      <c r="G398" t="s">
        <v>616</v>
      </c>
      <c r="H398" t="s">
        <v>617</v>
      </c>
      <c r="I398" t="s">
        <v>37</v>
      </c>
      <c r="J398" t="s">
        <v>23</v>
      </c>
      <c r="K398" t="s">
        <v>508</v>
      </c>
      <c r="L398" t="s">
        <v>84</v>
      </c>
      <c r="M398">
        <v>28403</v>
      </c>
      <c r="N398" t="s">
        <v>26</v>
      </c>
      <c r="O398" t="s">
        <v>1406</v>
      </c>
      <c r="P398" t="s">
        <v>42</v>
      </c>
      <c r="Q398" t="s">
        <v>64</v>
      </c>
      <c r="R398" t="s">
        <v>1407</v>
      </c>
      <c r="S398">
        <v>39.072000000000003</v>
      </c>
    </row>
    <row r="399" spans="1:19" x14ac:dyDescent="0.35">
      <c r="A399">
        <v>405</v>
      </c>
      <c r="B399" t="s">
        <v>1408</v>
      </c>
      <c r="C399" s="1">
        <v>43458</v>
      </c>
      <c r="D399" s="1">
        <v>43463</v>
      </c>
      <c r="E399" s="1" t="str">
        <f t="shared" si="6"/>
        <v>FAST</v>
      </c>
      <c r="F399" t="s">
        <v>46</v>
      </c>
      <c r="G399" t="s">
        <v>1409</v>
      </c>
      <c r="H399" t="s">
        <v>1410</v>
      </c>
      <c r="I399" t="s">
        <v>22</v>
      </c>
      <c r="J399" t="s">
        <v>23</v>
      </c>
      <c r="K399" t="s">
        <v>260</v>
      </c>
      <c r="L399" t="s">
        <v>261</v>
      </c>
      <c r="M399">
        <v>10024</v>
      </c>
      <c r="N399" t="s">
        <v>144</v>
      </c>
      <c r="O399" t="s">
        <v>1411</v>
      </c>
      <c r="P399" t="s">
        <v>42</v>
      </c>
      <c r="Q399" t="s">
        <v>74</v>
      </c>
      <c r="R399" t="s">
        <v>1412</v>
      </c>
      <c r="S399">
        <v>35.909999999999997</v>
      </c>
    </row>
    <row r="400" spans="1:19" x14ac:dyDescent="0.35">
      <c r="A400">
        <v>406</v>
      </c>
      <c r="B400" t="s">
        <v>1413</v>
      </c>
      <c r="C400" s="1">
        <v>43442</v>
      </c>
      <c r="D400" s="1">
        <v>43446</v>
      </c>
      <c r="E400" s="1" t="str">
        <f t="shared" si="6"/>
        <v>FAST</v>
      </c>
      <c r="F400" t="s">
        <v>46</v>
      </c>
      <c r="G400" t="s">
        <v>1414</v>
      </c>
      <c r="H400" t="s">
        <v>1415</v>
      </c>
      <c r="I400" t="s">
        <v>22</v>
      </c>
      <c r="J400" t="s">
        <v>23</v>
      </c>
      <c r="K400" t="s">
        <v>123</v>
      </c>
      <c r="L400" t="s">
        <v>39</v>
      </c>
      <c r="M400">
        <v>94110</v>
      </c>
      <c r="N400" t="s">
        <v>40</v>
      </c>
      <c r="O400" t="s">
        <v>1397</v>
      </c>
      <c r="P400" t="s">
        <v>67</v>
      </c>
      <c r="Q400" t="s">
        <v>157</v>
      </c>
      <c r="R400" t="s">
        <v>1398</v>
      </c>
      <c r="S400">
        <v>179.95</v>
      </c>
    </row>
    <row r="401" spans="1:19" x14ac:dyDescent="0.35">
      <c r="A401">
        <v>407</v>
      </c>
      <c r="B401" t="s">
        <v>1413</v>
      </c>
      <c r="C401" s="1">
        <v>43442</v>
      </c>
      <c r="D401" s="1">
        <v>43446</v>
      </c>
      <c r="E401" s="1" t="str">
        <f t="shared" si="6"/>
        <v>FAST</v>
      </c>
      <c r="F401" t="s">
        <v>46</v>
      </c>
      <c r="G401" t="s">
        <v>1414</v>
      </c>
      <c r="H401" t="s">
        <v>1415</v>
      </c>
      <c r="I401" t="s">
        <v>22</v>
      </c>
      <c r="J401" t="s">
        <v>23</v>
      </c>
      <c r="K401" t="s">
        <v>123</v>
      </c>
      <c r="L401" t="s">
        <v>39</v>
      </c>
      <c r="M401">
        <v>94110</v>
      </c>
      <c r="N401" t="s">
        <v>40</v>
      </c>
      <c r="O401" t="s">
        <v>1416</v>
      </c>
      <c r="P401" t="s">
        <v>67</v>
      </c>
      <c r="Q401" t="s">
        <v>1204</v>
      </c>
      <c r="R401" t="s">
        <v>1417</v>
      </c>
      <c r="S401">
        <v>1199.9760000000001</v>
      </c>
    </row>
    <row r="402" spans="1:19" x14ac:dyDescent="0.35">
      <c r="A402">
        <v>408</v>
      </c>
      <c r="B402" t="s">
        <v>1413</v>
      </c>
      <c r="C402" s="1">
        <v>43442</v>
      </c>
      <c r="D402" s="1">
        <v>43446</v>
      </c>
      <c r="E402" s="1" t="str">
        <f t="shared" si="6"/>
        <v>FAST</v>
      </c>
      <c r="F402" t="s">
        <v>46</v>
      </c>
      <c r="G402" t="s">
        <v>1414</v>
      </c>
      <c r="H402" t="s">
        <v>1415</v>
      </c>
      <c r="I402" t="s">
        <v>22</v>
      </c>
      <c r="J402" t="s">
        <v>23</v>
      </c>
      <c r="K402" t="s">
        <v>123</v>
      </c>
      <c r="L402" t="s">
        <v>39</v>
      </c>
      <c r="M402">
        <v>94110</v>
      </c>
      <c r="N402" t="s">
        <v>40</v>
      </c>
      <c r="O402" t="s">
        <v>1418</v>
      </c>
      <c r="P402" t="s">
        <v>42</v>
      </c>
      <c r="Q402" t="s">
        <v>86</v>
      </c>
      <c r="R402" t="s">
        <v>1419</v>
      </c>
      <c r="S402">
        <v>27.15</v>
      </c>
    </row>
    <row r="403" spans="1:19" x14ac:dyDescent="0.35">
      <c r="A403">
        <v>409</v>
      </c>
      <c r="B403" t="s">
        <v>1413</v>
      </c>
      <c r="C403" s="1">
        <v>43442</v>
      </c>
      <c r="D403" s="1">
        <v>43446</v>
      </c>
      <c r="E403" s="1" t="str">
        <f t="shared" si="6"/>
        <v>FAST</v>
      </c>
      <c r="F403" t="s">
        <v>46</v>
      </c>
      <c r="G403" t="s">
        <v>1414</v>
      </c>
      <c r="H403" t="s">
        <v>1415</v>
      </c>
      <c r="I403" t="s">
        <v>22</v>
      </c>
      <c r="J403" t="s">
        <v>23</v>
      </c>
      <c r="K403" t="s">
        <v>123</v>
      </c>
      <c r="L403" t="s">
        <v>39</v>
      </c>
      <c r="M403">
        <v>94110</v>
      </c>
      <c r="N403" t="s">
        <v>40</v>
      </c>
      <c r="O403" t="s">
        <v>1420</v>
      </c>
      <c r="P403" t="s">
        <v>28</v>
      </c>
      <c r="Q403" t="s">
        <v>52</v>
      </c>
      <c r="R403" t="s">
        <v>1421</v>
      </c>
      <c r="S403">
        <v>1004.024</v>
      </c>
    </row>
    <row r="404" spans="1:19" x14ac:dyDescent="0.35">
      <c r="A404">
        <v>410</v>
      </c>
      <c r="B404" t="s">
        <v>1413</v>
      </c>
      <c r="C404" s="1">
        <v>43442</v>
      </c>
      <c r="D404" s="1">
        <v>43446</v>
      </c>
      <c r="E404" s="1" t="str">
        <f t="shared" si="6"/>
        <v>FAST</v>
      </c>
      <c r="F404" t="s">
        <v>46</v>
      </c>
      <c r="G404" t="s">
        <v>1414</v>
      </c>
      <c r="H404" t="s">
        <v>1415</v>
      </c>
      <c r="I404" t="s">
        <v>22</v>
      </c>
      <c r="J404" t="s">
        <v>23</v>
      </c>
      <c r="K404" t="s">
        <v>123</v>
      </c>
      <c r="L404" t="s">
        <v>39</v>
      </c>
      <c r="M404">
        <v>94110</v>
      </c>
      <c r="N404" t="s">
        <v>40</v>
      </c>
      <c r="O404" t="s">
        <v>1422</v>
      </c>
      <c r="P404" t="s">
        <v>42</v>
      </c>
      <c r="Q404" t="s">
        <v>86</v>
      </c>
      <c r="R404" t="s">
        <v>1423</v>
      </c>
      <c r="S404">
        <v>9.68</v>
      </c>
    </row>
    <row r="405" spans="1:19" x14ac:dyDescent="0.35">
      <c r="A405">
        <v>411</v>
      </c>
      <c r="B405" t="s">
        <v>1413</v>
      </c>
      <c r="C405" s="1">
        <v>43442</v>
      </c>
      <c r="D405" s="1">
        <v>43446</v>
      </c>
      <c r="E405" s="1" t="str">
        <f t="shared" si="6"/>
        <v>FAST</v>
      </c>
      <c r="F405" t="s">
        <v>46</v>
      </c>
      <c r="G405" t="s">
        <v>1414</v>
      </c>
      <c r="H405" t="s">
        <v>1415</v>
      </c>
      <c r="I405" t="s">
        <v>22</v>
      </c>
      <c r="J405" t="s">
        <v>23</v>
      </c>
      <c r="K405" t="s">
        <v>123</v>
      </c>
      <c r="L405" t="s">
        <v>39</v>
      </c>
      <c r="M405">
        <v>94110</v>
      </c>
      <c r="N405" t="s">
        <v>40</v>
      </c>
      <c r="O405" t="s">
        <v>1424</v>
      </c>
      <c r="P405" t="s">
        <v>42</v>
      </c>
      <c r="Q405" t="s">
        <v>43</v>
      </c>
      <c r="R405" t="s">
        <v>1425</v>
      </c>
      <c r="S405">
        <v>28.35</v>
      </c>
    </row>
    <row r="406" spans="1:19" x14ac:dyDescent="0.35">
      <c r="A406">
        <v>412</v>
      </c>
      <c r="B406" t="s">
        <v>1413</v>
      </c>
      <c r="C406" s="1">
        <v>43442</v>
      </c>
      <c r="D406" s="1">
        <v>43446</v>
      </c>
      <c r="E406" s="1" t="str">
        <f t="shared" si="6"/>
        <v>FAST</v>
      </c>
      <c r="F406" t="s">
        <v>46</v>
      </c>
      <c r="G406" t="s">
        <v>1414</v>
      </c>
      <c r="H406" t="s">
        <v>1415</v>
      </c>
      <c r="I406" t="s">
        <v>22</v>
      </c>
      <c r="J406" t="s">
        <v>23</v>
      </c>
      <c r="K406" t="s">
        <v>123</v>
      </c>
      <c r="L406" t="s">
        <v>39</v>
      </c>
      <c r="M406">
        <v>94110</v>
      </c>
      <c r="N406" t="s">
        <v>40</v>
      </c>
      <c r="O406" t="s">
        <v>1239</v>
      </c>
      <c r="P406" t="s">
        <v>42</v>
      </c>
      <c r="Q406" t="s">
        <v>86</v>
      </c>
      <c r="R406" t="s">
        <v>1426</v>
      </c>
      <c r="S406">
        <v>55.98</v>
      </c>
    </row>
    <row r="407" spans="1:19" x14ac:dyDescent="0.35">
      <c r="A407">
        <v>413</v>
      </c>
      <c r="B407" t="s">
        <v>1413</v>
      </c>
      <c r="C407" s="1">
        <v>43442</v>
      </c>
      <c r="D407" s="1">
        <v>43446</v>
      </c>
      <c r="E407" s="1" t="str">
        <f t="shared" si="6"/>
        <v>FAST</v>
      </c>
      <c r="F407" t="s">
        <v>46</v>
      </c>
      <c r="G407" t="s">
        <v>1414</v>
      </c>
      <c r="H407" t="s">
        <v>1415</v>
      </c>
      <c r="I407" t="s">
        <v>22</v>
      </c>
      <c r="J407" t="s">
        <v>23</v>
      </c>
      <c r="K407" t="s">
        <v>123</v>
      </c>
      <c r="L407" t="s">
        <v>39</v>
      </c>
      <c r="M407">
        <v>94110</v>
      </c>
      <c r="N407" t="s">
        <v>40</v>
      </c>
      <c r="O407" t="s">
        <v>1427</v>
      </c>
      <c r="P407" t="s">
        <v>28</v>
      </c>
      <c r="Q407" t="s">
        <v>29</v>
      </c>
      <c r="R407" t="s">
        <v>1428</v>
      </c>
      <c r="S407">
        <v>1336.829</v>
      </c>
    </row>
    <row r="408" spans="1:19" x14ac:dyDescent="0.35">
      <c r="A408">
        <v>414</v>
      </c>
      <c r="B408" t="s">
        <v>1413</v>
      </c>
      <c r="C408" s="1">
        <v>43442</v>
      </c>
      <c r="D408" s="1">
        <v>43446</v>
      </c>
      <c r="E408" s="1" t="str">
        <f t="shared" si="6"/>
        <v>FAST</v>
      </c>
      <c r="F408" t="s">
        <v>46</v>
      </c>
      <c r="G408" t="s">
        <v>1414</v>
      </c>
      <c r="H408" t="s">
        <v>1415</v>
      </c>
      <c r="I408" t="s">
        <v>22</v>
      </c>
      <c r="J408" t="s">
        <v>23</v>
      </c>
      <c r="K408" t="s">
        <v>123</v>
      </c>
      <c r="L408" t="s">
        <v>39</v>
      </c>
      <c r="M408">
        <v>94110</v>
      </c>
      <c r="N408" t="s">
        <v>40</v>
      </c>
      <c r="O408" t="s">
        <v>1429</v>
      </c>
      <c r="P408" t="s">
        <v>28</v>
      </c>
      <c r="Q408" t="s">
        <v>32</v>
      </c>
      <c r="R408" t="s">
        <v>1430</v>
      </c>
      <c r="S408">
        <v>113.568</v>
      </c>
    </row>
    <row r="409" spans="1:19" x14ac:dyDescent="0.35">
      <c r="A409">
        <v>415</v>
      </c>
      <c r="B409" t="s">
        <v>1431</v>
      </c>
      <c r="C409" s="1">
        <v>43407</v>
      </c>
      <c r="D409" s="1">
        <v>43411</v>
      </c>
      <c r="E409" s="1" t="str">
        <f t="shared" si="6"/>
        <v>FAST</v>
      </c>
      <c r="F409" t="s">
        <v>46</v>
      </c>
      <c r="G409" t="s">
        <v>1432</v>
      </c>
      <c r="H409" t="s">
        <v>1433</v>
      </c>
      <c r="I409" t="s">
        <v>37</v>
      </c>
      <c r="J409" t="s">
        <v>23</v>
      </c>
      <c r="K409" t="s">
        <v>91</v>
      </c>
      <c r="L409" t="s">
        <v>92</v>
      </c>
      <c r="M409">
        <v>98105</v>
      </c>
      <c r="N409" t="s">
        <v>40</v>
      </c>
      <c r="O409" t="s">
        <v>1434</v>
      </c>
      <c r="P409" t="s">
        <v>42</v>
      </c>
      <c r="Q409" t="s">
        <v>86</v>
      </c>
      <c r="R409" t="s">
        <v>1435</v>
      </c>
      <c r="S409">
        <v>139.86000000000001</v>
      </c>
    </row>
    <row r="410" spans="1:19" x14ac:dyDescent="0.35">
      <c r="A410">
        <v>416</v>
      </c>
      <c r="B410" t="s">
        <v>1431</v>
      </c>
      <c r="C410" s="1">
        <v>43407</v>
      </c>
      <c r="D410" s="1">
        <v>43411</v>
      </c>
      <c r="E410" s="1" t="str">
        <f t="shared" si="6"/>
        <v>FAST</v>
      </c>
      <c r="F410" t="s">
        <v>46</v>
      </c>
      <c r="G410" t="s">
        <v>1432</v>
      </c>
      <c r="H410" t="s">
        <v>1433</v>
      </c>
      <c r="I410" t="s">
        <v>37</v>
      </c>
      <c r="J410" t="s">
        <v>23</v>
      </c>
      <c r="K410" t="s">
        <v>91</v>
      </c>
      <c r="L410" t="s">
        <v>92</v>
      </c>
      <c r="M410">
        <v>98105</v>
      </c>
      <c r="N410" t="s">
        <v>40</v>
      </c>
      <c r="O410" t="s">
        <v>1072</v>
      </c>
      <c r="P410" t="s">
        <v>28</v>
      </c>
      <c r="Q410" t="s">
        <v>32</v>
      </c>
      <c r="R410" t="s">
        <v>1073</v>
      </c>
      <c r="S410">
        <v>307.13600000000002</v>
      </c>
    </row>
    <row r="411" spans="1:19" x14ac:dyDescent="0.35">
      <c r="A411">
        <v>417</v>
      </c>
      <c r="B411" t="s">
        <v>1436</v>
      </c>
      <c r="C411" s="1">
        <v>43275</v>
      </c>
      <c r="D411" s="1">
        <v>43279</v>
      </c>
      <c r="E411" s="1" t="str">
        <f t="shared" si="6"/>
        <v>FAST</v>
      </c>
      <c r="F411" t="s">
        <v>46</v>
      </c>
      <c r="G411" t="s">
        <v>1437</v>
      </c>
      <c r="H411" t="s">
        <v>1438</v>
      </c>
      <c r="I411" t="s">
        <v>22</v>
      </c>
      <c r="J411" t="s">
        <v>23</v>
      </c>
      <c r="K411" t="s">
        <v>1439</v>
      </c>
      <c r="L411" t="s">
        <v>39</v>
      </c>
      <c r="M411">
        <v>92646</v>
      </c>
      <c r="N411" t="s">
        <v>40</v>
      </c>
      <c r="O411" t="s">
        <v>1440</v>
      </c>
      <c r="P411" t="s">
        <v>42</v>
      </c>
      <c r="Q411" t="s">
        <v>64</v>
      </c>
      <c r="R411" t="s">
        <v>1441</v>
      </c>
      <c r="S411">
        <v>95.92</v>
      </c>
    </row>
    <row r="412" spans="1:19" x14ac:dyDescent="0.35">
      <c r="A412">
        <v>418</v>
      </c>
      <c r="B412" t="s">
        <v>1442</v>
      </c>
      <c r="C412" s="1">
        <v>42839</v>
      </c>
      <c r="D412" s="1">
        <v>42843</v>
      </c>
      <c r="E412" s="1" t="str">
        <f t="shared" si="6"/>
        <v>FAST</v>
      </c>
      <c r="F412" t="s">
        <v>46</v>
      </c>
      <c r="G412" t="s">
        <v>1443</v>
      </c>
      <c r="H412" t="s">
        <v>1444</v>
      </c>
      <c r="I412" t="s">
        <v>22</v>
      </c>
      <c r="J412" t="s">
        <v>23</v>
      </c>
      <c r="K412" t="s">
        <v>38</v>
      </c>
      <c r="L412" t="s">
        <v>39</v>
      </c>
      <c r="M412">
        <v>90004</v>
      </c>
      <c r="N412" t="s">
        <v>40</v>
      </c>
      <c r="O412" t="s">
        <v>1445</v>
      </c>
      <c r="P412" t="s">
        <v>28</v>
      </c>
      <c r="Q412" t="s">
        <v>32</v>
      </c>
      <c r="R412" t="s">
        <v>1446</v>
      </c>
      <c r="S412">
        <v>383.8</v>
      </c>
    </row>
    <row r="413" spans="1:19" x14ac:dyDescent="0.35">
      <c r="A413">
        <v>419</v>
      </c>
      <c r="B413" t="s">
        <v>1447</v>
      </c>
      <c r="C413" s="1">
        <v>43410</v>
      </c>
      <c r="D413" s="1">
        <v>43414</v>
      </c>
      <c r="E413" s="1" t="str">
        <f t="shared" si="6"/>
        <v>FAST</v>
      </c>
      <c r="F413" t="s">
        <v>46</v>
      </c>
      <c r="G413" t="s">
        <v>1256</v>
      </c>
      <c r="H413" t="s">
        <v>1257</v>
      </c>
      <c r="I413" t="s">
        <v>37</v>
      </c>
      <c r="J413" t="s">
        <v>23</v>
      </c>
      <c r="K413" t="s">
        <v>1448</v>
      </c>
      <c r="L413" t="s">
        <v>25</v>
      </c>
      <c r="M413">
        <v>40475</v>
      </c>
      <c r="N413" t="s">
        <v>26</v>
      </c>
      <c r="O413" t="s">
        <v>1449</v>
      </c>
      <c r="P413" t="s">
        <v>42</v>
      </c>
      <c r="Q413" t="s">
        <v>86</v>
      </c>
      <c r="R413" t="s">
        <v>1450</v>
      </c>
      <c r="S413">
        <v>5.78</v>
      </c>
    </row>
    <row r="414" spans="1:19" x14ac:dyDescent="0.35">
      <c r="A414">
        <v>420</v>
      </c>
      <c r="B414" t="s">
        <v>1451</v>
      </c>
      <c r="C414" s="1">
        <v>43163</v>
      </c>
      <c r="D414" s="1">
        <v>43168</v>
      </c>
      <c r="E414" s="1" t="str">
        <f t="shared" si="6"/>
        <v>FAST</v>
      </c>
      <c r="F414" t="s">
        <v>46</v>
      </c>
      <c r="G414" t="s">
        <v>1145</v>
      </c>
      <c r="H414" t="s">
        <v>1146</v>
      </c>
      <c r="I414" t="s">
        <v>37</v>
      </c>
      <c r="J414" t="s">
        <v>23</v>
      </c>
      <c r="K414" t="s">
        <v>38</v>
      </c>
      <c r="L414" t="s">
        <v>39</v>
      </c>
      <c r="M414">
        <v>90045</v>
      </c>
      <c r="N414" t="s">
        <v>40</v>
      </c>
      <c r="O414" t="s">
        <v>1452</v>
      </c>
      <c r="P414" t="s">
        <v>42</v>
      </c>
      <c r="Q414" t="s">
        <v>64</v>
      </c>
      <c r="R414" t="s">
        <v>1453</v>
      </c>
      <c r="S414">
        <v>9.32</v>
      </c>
    </row>
    <row r="415" spans="1:19" x14ac:dyDescent="0.35">
      <c r="A415">
        <v>421</v>
      </c>
      <c r="B415" t="s">
        <v>1451</v>
      </c>
      <c r="C415" s="1">
        <v>43163</v>
      </c>
      <c r="D415" s="1">
        <v>43168</v>
      </c>
      <c r="E415" s="1" t="str">
        <f t="shared" si="6"/>
        <v>FAST</v>
      </c>
      <c r="F415" t="s">
        <v>46</v>
      </c>
      <c r="G415" t="s">
        <v>1145</v>
      </c>
      <c r="H415" t="s">
        <v>1146</v>
      </c>
      <c r="I415" t="s">
        <v>37</v>
      </c>
      <c r="J415" t="s">
        <v>23</v>
      </c>
      <c r="K415" t="s">
        <v>38</v>
      </c>
      <c r="L415" t="s">
        <v>39</v>
      </c>
      <c r="M415">
        <v>90045</v>
      </c>
      <c r="N415" t="s">
        <v>40</v>
      </c>
      <c r="O415" t="s">
        <v>1454</v>
      </c>
      <c r="P415" t="s">
        <v>42</v>
      </c>
      <c r="Q415" t="s">
        <v>169</v>
      </c>
      <c r="R415" t="s">
        <v>1455</v>
      </c>
      <c r="S415">
        <v>15.25</v>
      </c>
    </row>
    <row r="416" spans="1:19" x14ac:dyDescent="0.35">
      <c r="A416">
        <v>422</v>
      </c>
      <c r="B416" t="s">
        <v>1456</v>
      </c>
      <c r="C416" s="1">
        <v>42177</v>
      </c>
      <c r="D416" s="1">
        <v>42180</v>
      </c>
      <c r="E416" s="1" t="str">
        <f t="shared" si="6"/>
        <v>MODERATE</v>
      </c>
      <c r="F416" t="s">
        <v>184</v>
      </c>
      <c r="G416" t="s">
        <v>326</v>
      </c>
      <c r="H416" t="s">
        <v>327</v>
      </c>
      <c r="I416" t="s">
        <v>22</v>
      </c>
      <c r="J416" t="s">
        <v>23</v>
      </c>
      <c r="K416" t="s">
        <v>1457</v>
      </c>
      <c r="L416" t="s">
        <v>444</v>
      </c>
      <c r="M416">
        <v>80027</v>
      </c>
      <c r="N416" t="s">
        <v>40</v>
      </c>
      <c r="O416" t="s">
        <v>1458</v>
      </c>
      <c r="P416" t="s">
        <v>67</v>
      </c>
      <c r="Q416" t="s">
        <v>157</v>
      </c>
      <c r="R416" t="s">
        <v>1459</v>
      </c>
      <c r="S416">
        <v>196.75200000000001</v>
      </c>
    </row>
    <row r="417" spans="1:19" x14ac:dyDescent="0.35">
      <c r="A417">
        <v>423</v>
      </c>
      <c r="B417" t="s">
        <v>1460</v>
      </c>
      <c r="C417" s="1">
        <v>43392</v>
      </c>
      <c r="D417" s="1">
        <v>43396</v>
      </c>
      <c r="E417" s="1" t="str">
        <f t="shared" si="6"/>
        <v>FAST</v>
      </c>
      <c r="F417" t="s">
        <v>46</v>
      </c>
      <c r="G417" t="s">
        <v>1461</v>
      </c>
      <c r="H417" t="s">
        <v>1462</v>
      </c>
      <c r="I417" t="s">
        <v>37</v>
      </c>
      <c r="J417" t="s">
        <v>23</v>
      </c>
      <c r="K417" t="s">
        <v>1463</v>
      </c>
      <c r="L417" t="s">
        <v>1233</v>
      </c>
      <c r="M417">
        <v>1841</v>
      </c>
      <c r="N417" t="s">
        <v>144</v>
      </c>
      <c r="O417" t="s">
        <v>1464</v>
      </c>
      <c r="P417" t="s">
        <v>28</v>
      </c>
      <c r="Q417" t="s">
        <v>61</v>
      </c>
      <c r="R417" t="s">
        <v>1465</v>
      </c>
      <c r="S417">
        <v>56.56</v>
      </c>
    </row>
    <row r="418" spans="1:19" x14ac:dyDescent="0.35">
      <c r="A418">
        <v>424</v>
      </c>
      <c r="B418" t="s">
        <v>1460</v>
      </c>
      <c r="C418" s="1">
        <v>43392</v>
      </c>
      <c r="D418" s="1">
        <v>43396</v>
      </c>
      <c r="E418" s="1" t="str">
        <f t="shared" si="6"/>
        <v>FAST</v>
      </c>
      <c r="F418" t="s">
        <v>46</v>
      </c>
      <c r="G418" t="s">
        <v>1461</v>
      </c>
      <c r="H418" t="s">
        <v>1462</v>
      </c>
      <c r="I418" t="s">
        <v>37</v>
      </c>
      <c r="J418" t="s">
        <v>23</v>
      </c>
      <c r="K418" t="s">
        <v>1463</v>
      </c>
      <c r="L418" t="s">
        <v>1233</v>
      </c>
      <c r="M418">
        <v>1841</v>
      </c>
      <c r="N418" t="s">
        <v>144</v>
      </c>
      <c r="O418" t="s">
        <v>1466</v>
      </c>
      <c r="P418" t="s">
        <v>42</v>
      </c>
      <c r="Q418" t="s">
        <v>55</v>
      </c>
      <c r="R418" t="s">
        <v>1467</v>
      </c>
      <c r="S418">
        <v>32.700000000000003</v>
      </c>
    </row>
    <row r="419" spans="1:19" x14ac:dyDescent="0.35">
      <c r="A419">
        <v>425</v>
      </c>
      <c r="B419" t="s">
        <v>1468</v>
      </c>
      <c r="C419" s="1">
        <v>43333</v>
      </c>
      <c r="D419" s="1">
        <v>43335</v>
      </c>
      <c r="E419" s="1" t="str">
        <f t="shared" si="6"/>
        <v>SLOW</v>
      </c>
      <c r="F419" t="s">
        <v>19</v>
      </c>
      <c r="G419" t="s">
        <v>1469</v>
      </c>
      <c r="H419" t="s">
        <v>1470</v>
      </c>
      <c r="I419" t="s">
        <v>22</v>
      </c>
      <c r="J419" t="s">
        <v>23</v>
      </c>
      <c r="K419" t="s">
        <v>322</v>
      </c>
      <c r="L419" t="s">
        <v>1471</v>
      </c>
      <c r="M419">
        <v>39212</v>
      </c>
      <c r="N419" t="s">
        <v>26</v>
      </c>
      <c r="O419" t="s">
        <v>1472</v>
      </c>
      <c r="P419" t="s">
        <v>28</v>
      </c>
      <c r="Q419" t="s">
        <v>32</v>
      </c>
      <c r="R419" t="s">
        <v>1473</v>
      </c>
      <c r="S419">
        <v>866.4</v>
      </c>
    </row>
    <row r="420" spans="1:19" x14ac:dyDescent="0.35">
      <c r="A420">
        <v>426</v>
      </c>
      <c r="B420" t="s">
        <v>1474</v>
      </c>
      <c r="C420" s="1">
        <v>43427</v>
      </c>
      <c r="D420" s="1">
        <v>43430</v>
      </c>
      <c r="E420" s="1" t="str">
        <f t="shared" si="6"/>
        <v>SLOW</v>
      </c>
      <c r="F420" t="s">
        <v>19</v>
      </c>
      <c r="G420" t="s">
        <v>258</v>
      </c>
      <c r="H420" t="s">
        <v>259</v>
      </c>
      <c r="I420" t="s">
        <v>37</v>
      </c>
      <c r="J420" t="s">
        <v>23</v>
      </c>
      <c r="K420" t="s">
        <v>1475</v>
      </c>
      <c r="L420" t="s">
        <v>232</v>
      </c>
      <c r="M420">
        <v>48187</v>
      </c>
      <c r="N420" t="s">
        <v>101</v>
      </c>
      <c r="O420" t="s">
        <v>1476</v>
      </c>
      <c r="P420" t="s">
        <v>28</v>
      </c>
      <c r="Q420" t="s">
        <v>61</v>
      </c>
      <c r="R420" t="s">
        <v>1477</v>
      </c>
      <c r="S420">
        <v>28.4</v>
      </c>
    </row>
    <row r="421" spans="1:19" x14ac:dyDescent="0.35">
      <c r="A421">
        <v>427</v>
      </c>
      <c r="B421" t="s">
        <v>1474</v>
      </c>
      <c r="C421" s="1">
        <v>43427</v>
      </c>
      <c r="D421" s="1">
        <v>43430</v>
      </c>
      <c r="E421" s="1" t="str">
        <f t="shared" si="6"/>
        <v>SLOW</v>
      </c>
      <c r="F421" t="s">
        <v>19</v>
      </c>
      <c r="G421" t="s">
        <v>258</v>
      </c>
      <c r="H421" t="s">
        <v>259</v>
      </c>
      <c r="I421" t="s">
        <v>37</v>
      </c>
      <c r="J421" t="s">
        <v>23</v>
      </c>
      <c r="K421" t="s">
        <v>1475</v>
      </c>
      <c r="L421" t="s">
        <v>232</v>
      </c>
      <c r="M421">
        <v>48187</v>
      </c>
      <c r="N421" t="s">
        <v>101</v>
      </c>
      <c r="O421" t="s">
        <v>1478</v>
      </c>
      <c r="P421" t="s">
        <v>42</v>
      </c>
      <c r="Q421" t="s">
        <v>71</v>
      </c>
      <c r="R421" t="s">
        <v>1479</v>
      </c>
      <c r="S421">
        <v>287.92</v>
      </c>
    </row>
    <row r="422" spans="1:19" x14ac:dyDescent="0.35">
      <c r="A422">
        <v>428</v>
      </c>
      <c r="B422" t="s">
        <v>1480</v>
      </c>
      <c r="C422" s="1">
        <v>42259</v>
      </c>
      <c r="D422" s="1">
        <v>42260</v>
      </c>
      <c r="E422" s="1" t="str">
        <f t="shared" si="6"/>
        <v>MODERATE</v>
      </c>
      <c r="F422" t="s">
        <v>184</v>
      </c>
      <c r="G422" t="s">
        <v>1481</v>
      </c>
      <c r="H422" t="s">
        <v>1482</v>
      </c>
      <c r="I422" t="s">
        <v>98</v>
      </c>
      <c r="J422" t="s">
        <v>23</v>
      </c>
      <c r="K422" t="s">
        <v>1483</v>
      </c>
      <c r="L422" t="s">
        <v>261</v>
      </c>
      <c r="M422">
        <v>10801</v>
      </c>
      <c r="N422" t="s">
        <v>144</v>
      </c>
      <c r="O422" t="s">
        <v>1484</v>
      </c>
      <c r="P422" t="s">
        <v>67</v>
      </c>
      <c r="Q422" t="s">
        <v>671</v>
      </c>
      <c r="R422" t="s">
        <v>1485</v>
      </c>
      <c r="S422">
        <v>69.989999999999995</v>
      </c>
    </row>
    <row r="423" spans="1:19" x14ac:dyDescent="0.35">
      <c r="A423">
        <v>429</v>
      </c>
      <c r="B423" t="s">
        <v>1486</v>
      </c>
      <c r="C423" s="1">
        <v>43374</v>
      </c>
      <c r="D423" s="1">
        <v>43381</v>
      </c>
      <c r="E423" s="1" t="str">
        <f t="shared" si="6"/>
        <v>FAST</v>
      </c>
      <c r="F423" t="s">
        <v>46</v>
      </c>
      <c r="G423" t="s">
        <v>1487</v>
      </c>
      <c r="H423" t="s">
        <v>1488</v>
      </c>
      <c r="I423" t="s">
        <v>37</v>
      </c>
      <c r="J423" t="s">
        <v>23</v>
      </c>
      <c r="K423" t="s">
        <v>667</v>
      </c>
      <c r="L423" t="s">
        <v>100</v>
      </c>
      <c r="M423">
        <v>78207</v>
      </c>
      <c r="N423" t="s">
        <v>101</v>
      </c>
      <c r="O423" t="s">
        <v>1489</v>
      </c>
      <c r="P423" t="s">
        <v>42</v>
      </c>
      <c r="Q423" t="s">
        <v>64</v>
      </c>
      <c r="R423" t="s">
        <v>1490</v>
      </c>
      <c r="S423">
        <v>6.6719999999999997</v>
      </c>
    </row>
    <row r="424" spans="1:19" x14ac:dyDescent="0.35">
      <c r="A424">
        <v>430</v>
      </c>
      <c r="B424" t="s">
        <v>1491</v>
      </c>
      <c r="C424" s="1">
        <v>42840</v>
      </c>
      <c r="D424" s="1">
        <v>42846</v>
      </c>
      <c r="E424" s="1" t="str">
        <f t="shared" si="6"/>
        <v>FAST</v>
      </c>
      <c r="F424" t="s">
        <v>46</v>
      </c>
      <c r="G424" t="s">
        <v>1492</v>
      </c>
      <c r="H424" t="s">
        <v>1493</v>
      </c>
      <c r="I424" t="s">
        <v>98</v>
      </c>
      <c r="J424" t="s">
        <v>23</v>
      </c>
      <c r="K424" t="s">
        <v>1494</v>
      </c>
      <c r="L424" t="s">
        <v>84</v>
      </c>
      <c r="M424">
        <v>28052</v>
      </c>
      <c r="N424" t="s">
        <v>26</v>
      </c>
      <c r="O424" t="s">
        <v>1495</v>
      </c>
      <c r="P424" t="s">
        <v>42</v>
      </c>
      <c r="Q424" t="s">
        <v>71</v>
      </c>
      <c r="R424" t="s">
        <v>1496</v>
      </c>
      <c r="S424">
        <v>189.58799999999999</v>
      </c>
    </row>
    <row r="425" spans="1:19" x14ac:dyDescent="0.35">
      <c r="A425">
        <v>431</v>
      </c>
      <c r="B425" t="s">
        <v>1491</v>
      </c>
      <c r="C425" s="1">
        <v>42840</v>
      </c>
      <c r="D425" s="1">
        <v>42846</v>
      </c>
      <c r="E425" s="1" t="str">
        <f t="shared" si="6"/>
        <v>FAST</v>
      </c>
      <c r="F425" t="s">
        <v>46</v>
      </c>
      <c r="G425" t="s">
        <v>1492</v>
      </c>
      <c r="H425" t="s">
        <v>1493</v>
      </c>
      <c r="I425" t="s">
        <v>98</v>
      </c>
      <c r="J425" t="s">
        <v>23</v>
      </c>
      <c r="K425" t="s">
        <v>1494</v>
      </c>
      <c r="L425" t="s">
        <v>84</v>
      </c>
      <c r="M425">
        <v>28052</v>
      </c>
      <c r="N425" t="s">
        <v>26</v>
      </c>
      <c r="O425" t="s">
        <v>719</v>
      </c>
      <c r="P425" t="s">
        <v>67</v>
      </c>
      <c r="Q425" t="s">
        <v>157</v>
      </c>
      <c r="R425" t="s">
        <v>720</v>
      </c>
      <c r="S425">
        <v>408.74400000000003</v>
      </c>
    </row>
    <row r="426" spans="1:19" x14ac:dyDescent="0.35">
      <c r="A426">
        <v>432</v>
      </c>
      <c r="B426" t="s">
        <v>1491</v>
      </c>
      <c r="C426" s="1">
        <v>42840</v>
      </c>
      <c r="D426" s="1">
        <v>42846</v>
      </c>
      <c r="E426" s="1" t="str">
        <f t="shared" si="6"/>
        <v>FAST</v>
      </c>
      <c r="F426" t="s">
        <v>46</v>
      </c>
      <c r="G426" t="s">
        <v>1492</v>
      </c>
      <c r="H426" t="s">
        <v>1493</v>
      </c>
      <c r="I426" t="s">
        <v>98</v>
      </c>
      <c r="J426" t="s">
        <v>23</v>
      </c>
      <c r="K426" t="s">
        <v>1494</v>
      </c>
      <c r="L426" t="s">
        <v>84</v>
      </c>
      <c r="M426">
        <v>28052</v>
      </c>
      <c r="N426" t="s">
        <v>26</v>
      </c>
      <c r="O426" t="s">
        <v>719</v>
      </c>
      <c r="P426" t="s">
        <v>67</v>
      </c>
      <c r="Q426" t="s">
        <v>157</v>
      </c>
      <c r="R426" t="s">
        <v>720</v>
      </c>
      <c r="S426">
        <v>291.95999999999998</v>
      </c>
    </row>
    <row r="427" spans="1:19" x14ac:dyDescent="0.35">
      <c r="A427">
        <v>433</v>
      </c>
      <c r="B427" t="s">
        <v>1491</v>
      </c>
      <c r="C427" s="1">
        <v>42840</v>
      </c>
      <c r="D427" s="1">
        <v>42846</v>
      </c>
      <c r="E427" s="1" t="str">
        <f t="shared" si="6"/>
        <v>FAST</v>
      </c>
      <c r="F427" t="s">
        <v>46</v>
      </c>
      <c r="G427" t="s">
        <v>1492</v>
      </c>
      <c r="H427" t="s">
        <v>1493</v>
      </c>
      <c r="I427" t="s">
        <v>98</v>
      </c>
      <c r="J427" t="s">
        <v>23</v>
      </c>
      <c r="K427" t="s">
        <v>1494</v>
      </c>
      <c r="L427" t="s">
        <v>84</v>
      </c>
      <c r="M427">
        <v>28052</v>
      </c>
      <c r="N427" t="s">
        <v>26</v>
      </c>
      <c r="O427" t="s">
        <v>1497</v>
      </c>
      <c r="P427" t="s">
        <v>42</v>
      </c>
      <c r="Q427" t="s">
        <v>55</v>
      </c>
      <c r="R427" t="s">
        <v>1498</v>
      </c>
      <c r="S427">
        <v>4.7679999999999998</v>
      </c>
    </row>
    <row r="428" spans="1:19" x14ac:dyDescent="0.35">
      <c r="A428">
        <v>434</v>
      </c>
      <c r="B428" t="s">
        <v>1499</v>
      </c>
      <c r="C428" s="1">
        <v>42892</v>
      </c>
      <c r="D428" s="1">
        <v>42893</v>
      </c>
      <c r="E428" s="1" t="str">
        <f t="shared" si="6"/>
        <v>MODERATE</v>
      </c>
      <c r="F428" t="s">
        <v>184</v>
      </c>
      <c r="G428" t="s">
        <v>631</v>
      </c>
      <c r="H428" t="s">
        <v>632</v>
      </c>
      <c r="I428" t="s">
        <v>22</v>
      </c>
      <c r="J428" t="s">
        <v>23</v>
      </c>
      <c r="K428" t="s">
        <v>1232</v>
      </c>
      <c r="L428" t="s">
        <v>1233</v>
      </c>
      <c r="M428">
        <v>1852</v>
      </c>
      <c r="N428" t="s">
        <v>144</v>
      </c>
      <c r="O428" t="s">
        <v>1500</v>
      </c>
      <c r="P428" t="s">
        <v>42</v>
      </c>
      <c r="Q428" t="s">
        <v>55</v>
      </c>
      <c r="R428" t="s">
        <v>1501</v>
      </c>
      <c r="S428">
        <v>714.3</v>
      </c>
    </row>
    <row r="429" spans="1:19" x14ac:dyDescent="0.35">
      <c r="A429">
        <v>435</v>
      </c>
      <c r="B429" t="s">
        <v>1502</v>
      </c>
      <c r="C429" s="1">
        <v>42357</v>
      </c>
      <c r="D429" s="1">
        <v>42363</v>
      </c>
      <c r="E429" s="1" t="str">
        <f t="shared" si="6"/>
        <v>FAST</v>
      </c>
      <c r="F429" t="s">
        <v>46</v>
      </c>
      <c r="G429" t="s">
        <v>1503</v>
      </c>
      <c r="H429" t="s">
        <v>1504</v>
      </c>
      <c r="I429" t="s">
        <v>22</v>
      </c>
      <c r="J429" t="s">
        <v>23</v>
      </c>
      <c r="K429" t="s">
        <v>1505</v>
      </c>
      <c r="L429" t="s">
        <v>50</v>
      </c>
      <c r="M429">
        <v>32216</v>
      </c>
      <c r="N429" t="s">
        <v>26</v>
      </c>
      <c r="O429" t="s">
        <v>1506</v>
      </c>
      <c r="P429" t="s">
        <v>42</v>
      </c>
      <c r="Q429" t="s">
        <v>71</v>
      </c>
      <c r="R429" t="s">
        <v>1507</v>
      </c>
      <c r="S429">
        <v>4.8120000000000003</v>
      </c>
    </row>
    <row r="430" spans="1:19" x14ac:dyDescent="0.35">
      <c r="A430">
        <v>436</v>
      </c>
      <c r="B430" t="s">
        <v>1502</v>
      </c>
      <c r="C430" s="1">
        <v>42357</v>
      </c>
      <c r="D430" s="1">
        <v>42363</v>
      </c>
      <c r="E430" s="1" t="str">
        <f t="shared" si="6"/>
        <v>FAST</v>
      </c>
      <c r="F430" t="s">
        <v>46</v>
      </c>
      <c r="G430" t="s">
        <v>1503</v>
      </c>
      <c r="H430" t="s">
        <v>1504</v>
      </c>
      <c r="I430" t="s">
        <v>22</v>
      </c>
      <c r="J430" t="s">
        <v>23</v>
      </c>
      <c r="K430" t="s">
        <v>1505</v>
      </c>
      <c r="L430" t="s">
        <v>50</v>
      </c>
      <c r="M430">
        <v>32216</v>
      </c>
      <c r="N430" t="s">
        <v>26</v>
      </c>
      <c r="O430" t="s">
        <v>1508</v>
      </c>
      <c r="P430" t="s">
        <v>67</v>
      </c>
      <c r="Q430" t="s">
        <v>157</v>
      </c>
      <c r="R430" t="s">
        <v>1509</v>
      </c>
      <c r="S430">
        <v>247.8</v>
      </c>
    </row>
    <row r="431" spans="1:19" x14ac:dyDescent="0.35">
      <c r="A431">
        <v>437</v>
      </c>
      <c r="B431" t="s">
        <v>1510</v>
      </c>
      <c r="C431" s="1">
        <v>42898</v>
      </c>
      <c r="D431" s="1">
        <v>42900</v>
      </c>
      <c r="E431" s="1" t="str">
        <f t="shared" si="6"/>
        <v>SLOW</v>
      </c>
      <c r="F431" t="s">
        <v>19</v>
      </c>
      <c r="G431" t="s">
        <v>1511</v>
      </c>
      <c r="H431" t="s">
        <v>1512</v>
      </c>
      <c r="I431" t="s">
        <v>98</v>
      </c>
      <c r="J431" t="s">
        <v>23</v>
      </c>
      <c r="K431" t="s">
        <v>297</v>
      </c>
      <c r="L431" t="s">
        <v>205</v>
      </c>
      <c r="M431">
        <v>60623</v>
      </c>
      <c r="N431" t="s">
        <v>101</v>
      </c>
      <c r="O431" t="s">
        <v>1513</v>
      </c>
      <c r="P431" t="s">
        <v>67</v>
      </c>
      <c r="Q431" t="s">
        <v>671</v>
      </c>
      <c r="R431" t="s">
        <v>1514</v>
      </c>
      <c r="S431">
        <v>1007.979</v>
      </c>
    </row>
    <row r="432" spans="1:19" x14ac:dyDescent="0.35">
      <c r="A432">
        <v>438</v>
      </c>
      <c r="B432" t="s">
        <v>1510</v>
      </c>
      <c r="C432" s="1">
        <v>42898</v>
      </c>
      <c r="D432" s="1">
        <v>42900</v>
      </c>
      <c r="E432" s="1" t="str">
        <f t="shared" si="6"/>
        <v>SLOW</v>
      </c>
      <c r="F432" t="s">
        <v>19</v>
      </c>
      <c r="G432" t="s">
        <v>1511</v>
      </c>
      <c r="H432" t="s">
        <v>1512</v>
      </c>
      <c r="I432" t="s">
        <v>98</v>
      </c>
      <c r="J432" t="s">
        <v>23</v>
      </c>
      <c r="K432" t="s">
        <v>297</v>
      </c>
      <c r="L432" t="s">
        <v>205</v>
      </c>
      <c r="M432">
        <v>60623</v>
      </c>
      <c r="N432" t="s">
        <v>101</v>
      </c>
      <c r="O432" t="s">
        <v>1239</v>
      </c>
      <c r="P432" t="s">
        <v>42</v>
      </c>
      <c r="Q432" t="s">
        <v>86</v>
      </c>
      <c r="R432" t="s">
        <v>1426</v>
      </c>
      <c r="S432">
        <v>313.488</v>
      </c>
    </row>
    <row r="433" spans="1:19" x14ac:dyDescent="0.35">
      <c r="A433">
        <v>439</v>
      </c>
      <c r="B433" t="s">
        <v>1515</v>
      </c>
      <c r="C433" s="1">
        <v>43358</v>
      </c>
      <c r="D433" s="1">
        <v>43362</v>
      </c>
      <c r="E433" s="1" t="str">
        <f t="shared" si="6"/>
        <v>FAST</v>
      </c>
      <c r="F433" t="s">
        <v>46</v>
      </c>
      <c r="G433" t="s">
        <v>1516</v>
      </c>
      <c r="H433" t="s">
        <v>1517</v>
      </c>
      <c r="I433" t="s">
        <v>37</v>
      </c>
      <c r="J433" t="s">
        <v>23</v>
      </c>
      <c r="K433" t="s">
        <v>180</v>
      </c>
      <c r="L433" t="s">
        <v>100</v>
      </c>
      <c r="M433">
        <v>77070</v>
      </c>
      <c r="N433" t="s">
        <v>101</v>
      </c>
      <c r="O433" t="s">
        <v>1518</v>
      </c>
      <c r="P433" t="s">
        <v>42</v>
      </c>
      <c r="Q433" t="s">
        <v>86</v>
      </c>
      <c r="R433" t="s">
        <v>1519</v>
      </c>
      <c r="S433">
        <v>31.872</v>
      </c>
    </row>
    <row r="434" spans="1:19" x14ac:dyDescent="0.35">
      <c r="A434">
        <v>440</v>
      </c>
      <c r="B434" t="s">
        <v>1520</v>
      </c>
      <c r="C434" s="1">
        <v>43120</v>
      </c>
      <c r="D434" s="1">
        <v>43123</v>
      </c>
      <c r="E434" s="1" t="str">
        <f t="shared" si="6"/>
        <v>SLOW</v>
      </c>
      <c r="F434" t="s">
        <v>19</v>
      </c>
      <c r="G434" t="s">
        <v>468</v>
      </c>
      <c r="H434" t="s">
        <v>469</v>
      </c>
      <c r="I434" t="s">
        <v>37</v>
      </c>
      <c r="J434" t="s">
        <v>23</v>
      </c>
      <c r="K434" t="s">
        <v>260</v>
      </c>
      <c r="L434" t="s">
        <v>261</v>
      </c>
      <c r="M434">
        <v>10024</v>
      </c>
      <c r="N434" t="s">
        <v>144</v>
      </c>
      <c r="O434" t="s">
        <v>1521</v>
      </c>
      <c r="P434" t="s">
        <v>28</v>
      </c>
      <c r="Q434" t="s">
        <v>32</v>
      </c>
      <c r="R434" t="s">
        <v>1522</v>
      </c>
      <c r="S434">
        <v>207.846</v>
      </c>
    </row>
    <row r="435" spans="1:19" x14ac:dyDescent="0.35">
      <c r="A435">
        <v>441</v>
      </c>
      <c r="B435" t="s">
        <v>1523</v>
      </c>
      <c r="C435" s="1">
        <v>42983</v>
      </c>
      <c r="D435" s="1">
        <v>42985</v>
      </c>
      <c r="E435" s="1" t="str">
        <f t="shared" si="6"/>
        <v>SLOW</v>
      </c>
      <c r="F435" t="s">
        <v>19</v>
      </c>
      <c r="G435" t="s">
        <v>107</v>
      </c>
      <c r="H435" t="s">
        <v>108</v>
      </c>
      <c r="I435" t="s">
        <v>22</v>
      </c>
      <c r="J435" t="s">
        <v>23</v>
      </c>
      <c r="K435" t="s">
        <v>867</v>
      </c>
      <c r="L435" t="s">
        <v>232</v>
      </c>
      <c r="M435">
        <v>48227</v>
      </c>
      <c r="N435" t="s">
        <v>101</v>
      </c>
      <c r="O435" t="s">
        <v>1524</v>
      </c>
      <c r="P435" t="s">
        <v>28</v>
      </c>
      <c r="Q435" t="s">
        <v>61</v>
      </c>
      <c r="R435" t="s">
        <v>1525</v>
      </c>
      <c r="S435">
        <v>12.22</v>
      </c>
    </row>
    <row r="436" spans="1:19" x14ac:dyDescent="0.35">
      <c r="A436">
        <v>442</v>
      </c>
      <c r="B436" t="s">
        <v>1523</v>
      </c>
      <c r="C436" s="1">
        <v>42983</v>
      </c>
      <c r="D436" s="1">
        <v>42985</v>
      </c>
      <c r="E436" s="1" t="str">
        <f t="shared" si="6"/>
        <v>SLOW</v>
      </c>
      <c r="F436" t="s">
        <v>19</v>
      </c>
      <c r="G436" t="s">
        <v>107</v>
      </c>
      <c r="H436" t="s">
        <v>108</v>
      </c>
      <c r="I436" t="s">
        <v>22</v>
      </c>
      <c r="J436" t="s">
        <v>23</v>
      </c>
      <c r="K436" t="s">
        <v>867</v>
      </c>
      <c r="L436" t="s">
        <v>232</v>
      </c>
      <c r="M436">
        <v>48227</v>
      </c>
      <c r="N436" t="s">
        <v>101</v>
      </c>
      <c r="O436" t="s">
        <v>1526</v>
      </c>
      <c r="P436" t="s">
        <v>42</v>
      </c>
      <c r="Q436" t="s">
        <v>55</v>
      </c>
      <c r="R436" t="s">
        <v>1527</v>
      </c>
      <c r="S436">
        <v>194.94</v>
      </c>
    </row>
    <row r="437" spans="1:19" x14ac:dyDescent="0.35">
      <c r="A437">
        <v>443</v>
      </c>
      <c r="B437" t="s">
        <v>1523</v>
      </c>
      <c r="C437" s="1">
        <v>42983</v>
      </c>
      <c r="D437" s="1">
        <v>42985</v>
      </c>
      <c r="E437" s="1" t="str">
        <f t="shared" si="6"/>
        <v>SLOW</v>
      </c>
      <c r="F437" t="s">
        <v>19</v>
      </c>
      <c r="G437" t="s">
        <v>107</v>
      </c>
      <c r="H437" t="s">
        <v>108</v>
      </c>
      <c r="I437" t="s">
        <v>22</v>
      </c>
      <c r="J437" t="s">
        <v>23</v>
      </c>
      <c r="K437" t="s">
        <v>867</v>
      </c>
      <c r="L437" t="s">
        <v>232</v>
      </c>
      <c r="M437">
        <v>48227</v>
      </c>
      <c r="N437" t="s">
        <v>101</v>
      </c>
      <c r="O437" t="s">
        <v>1528</v>
      </c>
      <c r="P437" t="s">
        <v>42</v>
      </c>
      <c r="Q437" t="s">
        <v>55</v>
      </c>
      <c r="R437" t="s">
        <v>1529</v>
      </c>
      <c r="S437">
        <v>70.95</v>
      </c>
    </row>
    <row r="438" spans="1:19" x14ac:dyDescent="0.35">
      <c r="A438">
        <v>444</v>
      </c>
      <c r="B438" t="s">
        <v>1523</v>
      </c>
      <c r="C438" s="1">
        <v>42983</v>
      </c>
      <c r="D438" s="1">
        <v>42985</v>
      </c>
      <c r="E438" s="1" t="str">
        <f t="shared" si="6"/>
        <v>SLOW</v>
      </c>
      <c r="F438" t="s">
        <v>19</v>
      </c>
      <c r="G438" t="s">
        <v>107</v>
      </c>
      <c r="H438" t="s">
        <v>108</v>
      </c>
      <c r="I438" t="s">
        <v>22</v>
      </c>
      <c r="J438" t="s">
        <v>23</v>
      </c>
      <c r="K438" t="s">
        <v>867</v>
      </c>
      <c r="L438" t="s">
        <v>232</v>
      </c>
      <c r="M438">
        <v>48227</v>
      </c>
      <c r="N438" t="s">
        <v>101</v>
      </c>
      <c r="O438" t="s">
        <v>1530</v>
      </c>
      <c r="P438" t="s">
        <v>42</v>
      </c>
      <c r="Q438" t="s">
        <v>86</v>
      </c>
      <c r="R438" t="s">
        <v>1531</v>
      </c>
      <c r="S438">
        <v>91.36</v>
      </c>
    </row>
    <row r="439" spans="1:19" x14ac:dyDescent="0.35">
      <c r="A439">
        <v>445</v>
      </c>
      <c r="B439" t="s">
        <v>1523</v>
      </c>
      <c r="C439" s="1">
        <v>42983</v>
      </c>
      <c r="D439" s="1">
        <v>42985</v>
      </c>
      <c r="E439" s="1" t="str">
        <f t="shared" si="6"/>
        <v>SLOW</v>
      </c>
      <c r="F439" t="s">
        <v>19</v>
      </c>
      <c r="G439" t="s">
        <v>107</v>
      </c>
      <c r="H439" t="s">
        <v>108</v>
      </c>
      <c r="I439" t="s">
        <v>22</v>
      </c>
      <c r="J439" t="s">
        <v>23</v>
      </c>
      <c r="K439" t="s">
        <v>867</v>
      </c>
      <c r="L439" t="s">
        <v>232</v>
      </c>
      <c r="M439">
        <v>48227</v>
      </c>
      <c r="N439" t="s">
        <v>101</v>
      </c>
      <c r="O439" t="s">
        <v>1532</v>
      </c>
      <c r="P439" t="s">
        <v>28</v>
      </c>
      <c r="Q439" t="s">
        <v>32</v>
      </c>
      <c r="R439" t="s">
        <v>1533</v>
      </c>
      <c r="S439">
        <v>242.94</v>
      </c>
    </row>
    <row r="440" spans="1:19" x14ac:dyDescent="0.35">
      <c r="A440">
        <v>446</v>
      </c>
      <c r="B440" t="s">
        <v>1523</v>
      </c>
      <c r="C440" s="1">
        <v>42983</v>
      </c>
      <c r="D440" s="1">
        <v>42985</v>
      </c>
      <c r="E440" s="1" t="str">
        <f t="shared" si="6"/>
        <v>SLOW</v>
      </c>
      <c r="F440" t="s">
        <v>19</v>
      </c>
      <c r="G440" t="s">
        <v>107</v>
      </c>
      <c r="H440" t="s">
        <v>108</v>
      </c>
      <c r="I440" t="s">
        <v>22</v>
      </c>
      <c r="J440" t="s">
        <v>23</v>
      </c>
      <c r="K440" t="s">
        <v>867</v>
      </c>
      <c r="L440" t="s">
        <v>232</v>
      </c>
      <c r="M440">
        <v>48227</v>
      </c>
      <c r="N440" t="s">
        <v>101</v>
      </c>
      <c r="O440" t="s">
        <v>1534</v>
      </c>
      <c r="P440" t="s">
        <v>42</v>
      </c>
      <c r="Q440" t="s">
        <v>43</v>
      </c>
      <c r="R440" t="s">
        <v>1535</v>
      </c>
      <c r="S440">
        <v>22.05</v>
      </c>
    </row>
    <row r="441" spans="1:19" x14ac:dyDescent="0.35">
      <c r="A441">
        <v>447</v>
      </c>
      <c r="B441" t="s">
        <v>1536</v>
      </c>
      <c r="C441" s="1">
        <v>43179</v>
      </c>
      <c r="D441" s="1">
        <v>43184</v>
      </c>
      <c r="E441" s="1" t="str">
        <f t="shared" si="6"/>
        <v>SLOW</v>
      </c>
      <c r="F441" t="s">
        <v>19</v>
      </c>
      <c r="G441" t="s">
        <v>1537</v>
      </c>
      <c r="H441" t="s">
        <v>1538</v>
      </c>
      <c r="I441" t="s">
        <v>22</v>
      </c>
      <c r="J441" t="s">
        <v>23</v>
      </c>
      <c r="K441" t="s">
        <v>484</v>
      </c>
      <c r="L441" t="s">
        <v>248</v>
      </c>
      <c r="M441">
        <v>47201</v>
      </c>
      <c r="N441" t="s">
        <v>101</v>
      </c>
      <c r="O441" t="s">
        <v>1539</v>
      </c>
      <c r="P441" t="s">
        <v>28</v>
      </c>
      <c r="Q441" t="s">
        <v>61</v>
      </c>
      <c r="R441" t="s">
        <v>1540</v>
      </c>
      <c r="S441">
        <v>2.91</v>
      </c>
    </row>
    <row r="442" spans="1:19" x14ac:dyDescent="0.35">
      <c r="A442">
        <v>448</v>
      </c>
      <c r="B442" t="s">
        <v>1541</v>
      </c>
      <c r="C442" s="1">
        <v>42826</v>
      </c>
      <c r="D442" s="1">
        <v>42828</v>
      </c>
      <c r="E442" s="1" t="str">
        <f t="shared" si="6"/>
        <v>SLOW</v>
      </c>
      <c r="F442" t="s">
        <v>19</v>
      </c>
      <c r="G442" t="s">
        <v>1542</v>
      </c>
      <c r="H442" t="s">
        <v>1543</v>
      </c>
      <c r="I442" t="s">
        <v>22</v>
      </c>
      <c r="J442" t="s">
        <v>23</v>
      </c>
      <c r="K442" t="s">
        <v>1544</v>
      </c>
      <c r="L442" t="s">
        <v>261</v>
      </c>
      <c r="M442">
        <v>13021</v>
      </c>
      <c r="N442" t="s">
        <v>144</v>
      </c>
      <c r="O442" t="s">
        <v>1545</v>
      </c>
      <c r="P442" t="s">
        <v>42</v>
      </c>
      <c r="Q442" t="s">
        <v>64</v>
      </c>
      <c r="R442" t="s">
        <v>1546</v>
      </c>
      <c r="S442">
        <v>59.52</v>
      </c>
    </row>
    <row r="443" spans="1:19" x14ac:dyDescent="0.35">
      <c r="A443">
        <v>449</v>
      </c>
      <c r="B443" t="s">
        <v>1541</v>
      </c>
      <c r="C443" s="1">
        <v>42826</v>
      </c>
      <c r="D443" s="1">
        <v>42828</v>
      </c>
      <c r="E443" s="1" t="str">
        <f t="shared" si="6"/>
        <v>SLOW</v>
      </c>
      <c r="F443" t="s">
        <v>19</v>
      </c>
      <c r="G443" t="s">
        <v>1542</v>
      </c>
      <c r="H443" t="s">
        <v>1543</v>
      </c>
      <c r="I443" t="s">
        <v>22</v>
      </c>
      <c r="J443" t="s">
        <v>23</v>
      </c>
      <c r="K443" t="s">
        <v>1544</v>
      </c>
      <c r="L443" t="s">
        <v>261</v>
      </c>
      <c r="M443">
        <v>13021</v>
      </c>
      <c r="N443" t="s">
        <v>144</v>
      </c>
      <c r="O443" t="s">
        <v>1547</v>
      </c>
      <c r="P443" t="s">
        <v>42</v>
      </c>
      <c r="Q443" t="s">
        <v>55</v>
      </c>
      <c r="R443" t="s">
        <v>1548</v>
      </c>
      <c r="S443">
        <v>161.94</v>
      </c>
    </row>
    <row r="444" spans="1:19" x14ac:dyDescent="0.35">
      <c r="A444">
        <v>450</v>
      </c>
      <c r="B444" t="s">
        <v>1541</v>
      </c>
      <c r="C444" s="1">
        <v>42826</v>
      </c>
      <c r="D444" s="1">
        <v>42828</v>
      </c>
      <c r="E444" s="1" t="str">
        <f t="shared" si="6"/>
        <v>SLOW</v>
      </c>
      <c r="F444" t="s">
        <v>19</v>
      </c>
      <c r="G444" t="s">
        <v>1542</v>
      </c>
      <c r="H444" t="s">
        <v>1543</v>
      </c>
      <c r="I444" t="s">
        <v>22</v>
      </c>
      <c r="J444" t="s">
        <v>23</v>
      </c>
      <c r="K444" t="s">
        <v>1544</v>
      </c>
      <c r="L444" t="s">
        <v>261</v>
      </c>
      <c r="M444">
        <v>13021</v>
      </c>
      <c r="N444" t="s">
        <v>144</v>
      </c>
      <c r="O444" t="s">
        <v>1549</v>
      </c>
      <c r="P444" t="s">
        <v>42</v>
      </c>
      <c r="Q444" t="s">
        <v>64</v>
      </c>
      <c r="R444" t="s">
        <v>1550</v>
      </c>
      <c r="S444">
        <v>263.88</v>
      </c>
    </row>
    <row r="445" spans="1:19" x14ac:dyDescent="0.35">
      <c r="A445">
        <v>452</v>
      </c>
      <c r="B445" t="s">
        <v>1541</v>
      </c>
      <c r="C445" s="1">
        <v>42826</v>
      </c>
      <c r="D445" s="1">
        <v>42828</v>
      </c>
      <c r="E445" s="1" t="str">
        <f t="shared" si="6"/>
        <v>SLOW</v>
      </c>
      <c r="F445" t="s">
        <v>19</v>
      </c>
      <c r="G445" t="s">
        <v>1542</v>
      </c>
      <c r="H445" t="s">
        <v>1543</v>
      </c>
      <c r="I445" t="s">
        <v>22</v>
      </c>
      <c r="J445" t="s">
        <v>23</v>
      </c>
      <c r="K445" t="s">
        <v>1544</v>
      </c>
      <c r="L445" t="s">
        <v>261</v>
      </c>
      <c r="M445">
        <v>13021</v>
      </c>
      <c r="N445" t="s">
        <v>144</v>
      </c>
      <c r="O445" t="s">
        <v>1551</v>
      </c>
      <c r="P445" t="s">
        <v>42</v>
      </c>
      <c r="Q445" t="s">
        <v>64</v>
      </c>
      <c r="R445" t="s">
        <v>1552</v>
      </c>
      <c r="S445">
        <v>9.84</v>
      </c>
    </row>
    <row r="446" spans="1:19" x14ac:dyDescent="0.35">
      <c r="A446">
        <v>453</v>
      </c>
      <c r="B446" t="s">
        <v>1541</v>
      </c>
      <c r="C446" s="1">
        <v>42826</v>
      </c>
      <c r="D446" s="1">
        <v>42828</v>
      </c>
      <c r="E446" s="1" t="str">
        <f t="shared" si="6"/>
        <v>SLOW</v>
      </c>
      <c r="F446" t="s">
        <v>19</v>
      </c>
      <c r="G446" t="s">
        <v>1542</v>
      </c>
      <c r="H446" t="s">
        <v>1543</v>
      </c>
      <c r="I446" t="s">
        <v>22</v>
      </c>
      <c r="J446" t="s">
        <v>23</v>
      </c>
      <c r="K446" t="s">
        <v>1544</v>
      </c>
      <c r="L446" t="s">
        <v>261</v>
      </c>
      <c r="M446">
        <v>13021</v>
      </c>
      <c r="N446" t="s">
        <v>144</v>
      </c>
      <c r="O446" t="s">
        <v>1553</v>
      </c>
      <c r="P446" t="s">
        <v>67</v>
      </c>
      <c r="Q446" t="s">
        <v>68</v>
      </c>
      <c r="R446" t="s">
        <v>1554</v>
      </c>
      <c r="S446">
        <v>35.119999999999997</v>
      </c>
    </row>
    <row r="447" spans="1:19" x14ac:dyDescent="0.35">
      <c r="A447">
        <v>454</v>
      </c>
      <c r="B447" t="s">
        <v>1555</v>
      </c>
      <c r="C447" s="1">
        <v>43393</v>
      </c>
      <c r="D447" s="1">
        <v>43397</v>
      </c>
      <c r="E447" s="1" t="str">
        <f t="shared" si="6"/>
        <v>FAST</v>
      </c>
      <c r="F447" t="s">
        <v>46</v>
      </c>
      <c r="G447" t="s">
        <v>1556</v>
      </c>
      <c r="H447" t="s">
        <v>1557</v>
      </c>
      <c r="I447" t="s">
        <v>37</v>
      </c>
      <c r="J447" t="s">
        <v>23</v>
      </c>
      <c r="K447" t="s">
        <v>788</v>
      </c>
      <c r="L447" t="s">
        <v>485</v>
      </c>
      <c r="M447">
        <v>44312</v>
      </c>
      <c r="N447" t="s">
        <v>144</v>
      </c>
      <c r="O447" t="s">
        <v>76</v>
      </c>
      <c r="P447" t="s">
        <v>28</v>
      </c>
      <c r="Q447" t="s">
        <v>52</v>
      </c>
      <c r="R447" t="s">
        <v>77</v>
      </c>
      <c r="S447">
        <v>284.36399999999998</v>
      </c>
    </row>
    <row r="448" spans="1:19" x14ac:dyDescent="0.35">
      <c r="A448">
        <v>455</v>
      </c>
      <c r="B448" t="s">
        <v>1555</v>
      </c>
      <c r="C448" s="1">
        <v>43393</v>
      </c>
      <c r="D448" s="1">
        <v>43397</v>
      </c>
      <c r="E448" s="1" t="str">
        <f t="shared" si="6"/>
        <v>FAST</v>
      </c>
      <c r="F448" t="s">
        <v>46</v>
      </c>
      <c r="G448" t="s">
        <v>1556</v>
      </c>
      <c r="H448" t="s">
        <v>1557</v>
      </c>
      <c r="I448" t="s">
        <v>37</v>
      </c>
      <c r="J448" t="s">
        <v>23</v>
      </c>
      <c r="K448" t="s">
        <v>788</v>
      </c>
      <c r="L448" t="s">
        <v>485</v>
      </c>
      <c r="M448">
        <v>44312</v>
      </c>
      <c r="N448" t="s">
        <v>144</v>
      </c>
      <c r="O448" t="s">
        <v>1558</v>
      </c>
      <c r="P448" t="s">
        <v>42</v>
      </c>
      <c r="Q448" t="s">
        <v>55</v>
      </c>
      <c r="R448" t="s">
        <v>1559</v>
      </c>
      <c r="S448">
        <v>665.40800000000002</v>
      </c>
    </row>
    <row r="449" spans="1:19" x14ac:dyDescent="0.35">
      <c r="A449">
        <v>456</v>
      </c>
      <c r="B449" t="s">
        <v>1560</v>
      </c>
      <c r="C449" s="1">
        <v>43082</v>
      </c>
      <c r="D449" s="1">
        <v>43086</v>
      </c>
      <c r="E449" s="1" t="str">
        <f t="shared" si="6"/>
        <v>FAST</v>
      </c>
      <c r="F449" t="s">
        <v>46</v>
      </c>
      <c r="G449" t="s">
        <v>1487</v>
      </c>
      <c r="H449" t="s">
        <v>1488</v>
      </c>
      <c r="I449" t="s">
        <v>37</v>
      </c>
      <c r="J449" t="s">
        <v>23</v>
      </c>
      <c r="K449" t="s">
        <v>1561</v>
      </c>
      <c r="L449" t="s">
        <v>637</v>
      </c>
      <c r="M449">
        <v>73071</v>
      </c>
      <c r="N449" t="s">
        <v>101</v>
      </c>
      <c r="O449" t="s">
        <v>1562</v>
      </c>
      <c r="P449" t="s">
        <v>67</v>
      </c>
      <c r="Q449" t="s">
        <v>157</v>
      </c>
      <c r="R449" t="s">
        <v>1563</v>
      </c>
      <c r="S449">
        <v>63.88</v>
      </c>
    </row>
    <row r="450" spans="1:19" x14ac:dyDescent="0.35">
      <c r="A450">
        <v>457</v>
      </c>
      <c r="B450" t="s">
        <v>1564</v>
      </c>
      <c r="C450" s="1">
        <v>42047</v>
      </c>
      <c r="D450" s="1">
        <v>42053</v>
      </c>
      <c r="E450" s="1" t="str">
        <f t="shared" si="6"/>
        <v>FAST</v>
      </c>
      <c r="F450" t="s">
        <v>46</v>
      </c>
      <c r="G450" t="s">
        <v>1565</v>
      </c>
      <c r="H450" t="s">
        <v>1566</v>
      </c>
      <c r="I450" t="s">
        <v>22</v>
      </c>
      <c r="J450" t="s">
        <v>23</v>
      </c>
      <c r="K450" t="s">
        <v>83</v>
      </c>
      <c r="L450" t="s">
        <v>39</v>
      </c>
      <c r="M450">
        <v>94521</v>
      </c>
      <c r="N450" t="s">
        <v>40</v>
      </c>
      <c r="O450" t="s">
        <v>1567</v>
      </c>
      <c r="P450" t="s">
        <v>28</v>
      </c>
      <c r="Q450" t="s">
        <v>32</v>
      </c>
      <c r="R450" t="s">
        <v>1568</v>
      </c>
      <c r="S450">
        <v>129.56800000000001</v>
      </c>
    </row>
    <row r="451" spans="1:19" x14ac:dyDescent="0.35">
      <c r="A451">
        <v>458</v>
      </c>
      <c r="B451" t="s">
        <v>1569</v>
      </c>
      <c r="C451" s="1">
        <v>43004</v>
      </c>
      <c r="D451" s="1">
        <v>43009</v>
      </c>
      <c r="E451" s="1" t="str">
        <f t="shared" ref="E451:E514" si="7">IF(F451="STANDARD CLASS","FAST",IF(F451="SECOND CLASS","SLOW","MODERATE"))</f>
        <v>FAST</v>
      </c>
      <c r="F451" t="s">
        <v>46</v>
      </c>
      <c r="G451" t="s">
        <v>1469</v>
      </c>
      <c r="H451" t="s">
        <v>1470</v>
      </c>
      <c r="I451" t="s">
        <v>22</v>
      </c>
      <c r="J451" t="s">
        <v>23</v>
      </c>
      <c r="K451" t="s">
        <v>349</v>
      </c>
      <c r="L451" t="s">
        <v>205</v>
      </c>
      <c r="M451">
        <v>62521</v>
      </c>
      <c r="N451" t="s">
        <v>101</v>
      </c>
      <c r="O451" t="s">
        <v>1570</v>
      </c>
      <c r="P451" t="s">
        <v>28</v>
      </c>
      <c r="Q451" t="s">
        <v>32</v>
      </c>
      <c r="R451" t="s">
        <v>1571</v>
      </c>
      <c r="S451">
        <v>747.55799999999999</v>
      </c>
    </row>
    <row r="452" spans="1:19" x14ac:dyDescent="0.35">
      <c r="A452">
        <v>459</v>
      </c>
      <c r="B452" t="s">
        <v>1569</v>
      </c>
      <c r="C452" s="1">
        <v>43004</v>
      </c>
      <c r="D452" s="1">
        <v>43009</v>
      </c>
      <c r="E452" s="1" t="str">
        <f t="shared" si="7"/>
        <v>FAST</v>
      </c>
      <c r="F452" t="s">
        <v>46</v>
      </c>
      <c r="G452" t="s">
        <v>1469</v>
      </c>
      <c r="H452" t="s">
        <v>1470</v>
      </c>
      <c r="I452" t="s">
        <v>22</v>
      </c>
      <c r="J452" t="s">
        <v>23</v>
      </c>
      <c r="K452" t="s">
        <v>349</v>
      </c>
      <c r="L452" t="s">
        <v>205</v>
      </c>
      <c r="M452">
        <v>62521</v>
      </c>
      <c r="N452" t="s">
        <v>101</v>
      </c>
      <c r="O452" t="s">
        <v>1572</v>
      </c>
      <c r="P452" t="s">
        <v>42</v>
      </c>
      <c r="Q452" t="s">
        <v>169</v>
      </c>
      <c r="R452" t="s">
        <v>658</v>
      </c>
      <c r="S452">
        <v>8.9280000000000008</v>
      </c>
    </row>
    <row r="453" spans="1:19" x14ac:dyDescent="0.35">
      <c r="A453">
        <v>461</v>
      </c>
      <c r="B453" t="s">
        <v>1573</v>
      </c>
      <c r="C453" s="1">
        <v>42719</v>
      </c>
      <c r="D453" s="1">
        <v>42726</v>
      </c>
      <c r="E453" s="1" t="str">
        <f t="shared" si="7"/>
        <v>FAST</v>
      </c>
      <c r="F453" t="s">
        <v>46</v>
      </c>
      <c r="G453" t="s">
        <v>817</v>
      </c>
      <c r="H453" t="s">
        <v>818</v>
      </c>
      <c r="I453" t="s">
        <v>22</v>
      </c>
      <c r="J453" t="s">
        <v>23</v>
      </c>
      <c r="K453" t="s">
        <v>91</v>
      </c>
      <c r="L453" t="s">
        <v>92</v>
      </c>
      <c r="M453">
        <v>98115</v>
      </c>
      <c r="N453" t="s">
        <v>40</v>
      </c>
      <c r="O453" t="s">
        <v>1574</v>
      </c>
      <c r="P453" t="s">
        <v>67</v>
      </c>
      <c r="Q453" t="s">
        <v>157</v>
      </c>
      <c r="R453" t="s">
        <v>1575</v>
      </c>
      <c r="S453">
        <v>899.91</v>
      </c>
    </row>
    <row r="454" spans="1:19" x14ac:dyDescent="0.35">
      <c r="A454">
        <v>462</v>
      </c>
      <c r="B454" t="s">
        <v>1573</v>
      </c>
      <c r="C454" s="1">
        <v>42719</v>
      </c>
      <c r="D454" s="1">
        <v>42726</v>
      </c>
      <c r="E454" s="1" t="str">
        <f t="shared" si="7"/>
        <v>FAST</v>
      </c>
      <c r="F454" t="s">
        <v>46</v>
      </c>
      <c r="G454" t="s">
        <v>817</v>
      </c>
      <c r="H454" t="s">
        <v>818</v>
      </c>
      <c r="I454" t="s">
        <v>22</v>
      </c>
      <c r="J454" t="s">
        <v>23</v>
      </c>
      <c r="K454" t="s">
        <v>91</v>
      </c>
      <c r="L454" t="s">
        <v>92</v>
      </c>
      <c r="M454">
        <v>98115</v>
      </c>
      <c r="N454" t="s">
        <v>40</v>
      </c>
      <c r="O454" t="s">
        <v>1576</v>
      </c>
      <c r="P454" t="s">
        <v>42</v>
      </c>
      <c r="Q454" t="s">
        <v>71</v>
      </c>
      <c r="R454" t="s">
        <v>1577</v>
      </c>
      <c r="S454">
        <v>51.311999999999998</v>
      </c>
    </row>
    <row r="455" spans="1:19" x14ac:dyDescent="0.35">
      <c r="A455">
        <v>463</v>
      </c>
      <c r="B455" t="s">
        <v>1578</v>
      </c>
      <c r="C455" s="1">
        <v>42847</v>
      </c>
      <c r="D455" s="1">
        <v>42854</v>
      </c>
      <c r="E455" s="1" t="str">
        <f t="shared" si="7"/>
        <v>FAST</v>
      </c>
      <c r="F455" t="s">
        <v>46</v>
      </c>
      <c r="G455" t="s">
        <v>1579</v>
      </c>
      <c r="H455" t="s">
        <v>1580</v>
      </c>
      <c r="I455" t="s">
        <v>98</v>
      </c>
      <c r="J455" t="s">
        <v>23</v>
      </c>
      <c r="K455" t="s">
        <v>531</v>
      </c>
      <c r="L455" t="s">
        <v>304</v>
      </c>
      <c r="M455">
        <v>85023</v>
      </c>
      <c r="N455" t="s">
        <v>40</v>
      </c>
      <c r="O455" t="s">
        <v>1270</v>
      </c>
      <c r="P455" t="s">
        <v>28</v>
      </c>
      <c r="Q455" t="s">
        <v>61</v>
      </c>
      <c r="R455" t="s">
        <v>1271</v>
      </c>
      <c r="S455">
        <v>23.56</v>
      </c>
    </row>
    <row r="456" spans="1:19" x14ac:dyDescent="0.35">
      <c r="A456">
        <v>464</v>
      </c>
      <c r="B456" t="s">
        <v>1578</v>
      </c>
      <c r="C456" s="1">
        <v>42847</v>
      </c>
      <c r="D456" s="1">
        <v>42854</v>
      </c>
      <c r="E456" s="1" t="str">
        <f t="shared" si="7"/>
        <v>FAST</v>
      </c>
      <c r="F456" t="s">
        <v>46</v>
      </c>
      <c r="G456" t="s">
        <v>1579</v>
      </c>
      <c r="H456" t="s">
        <v>1580</v>
      </c>
      <c r="I456" t="s">
        <v>98</v>
      </c>
      <c r="J456" t="s">
        <v>23</v>
      </c>
      <c r="K456" t="s">
        <v>531</v>
      </c>
      <c r="L456" t="s">
        <v>304</v>
      </c>
      <c r="M456">
        <v>85023</v>
      </c>
      <c r="N456" t="s">
        <v>40</v>
      </c>
      <c r="O456" t="s">
        <v>1581</v>
      </c>
      <c r="P456" t="s">
        <v>28</v>
      </c>
      <c r="Q456" t="s">
        <v>52</v>
      </c>
      <c r="R456" t="s">
        <v>1582</v>
      </c>
      <c r="S456">
        <v>1272.6300000000001</v>
      </c>
    </row>
    <row r="457" spans="1:19" x14ac:dyDescent="0.35">
      <c r="A457">
        <v>465</v>
      </c>
      <c r="B457" t="s">
        <v>1578</v>
      </c>
      <c r="C457" s="1">
        <v>42847</v>
      </c>
      <c r="D457" s="1">
        <v>42854</v>
      </c>
      <c r="E457" s="1" t="str">
        <f t="shared" si="7"/>
        <v>FAST</v>
      </c>
      <c r="F457" t="s">
        <v>46</v>
      </c>
      <c r="G457" t="s">
        <v>1579</v>
      </c>
      <c r="H457" t="s">
        <v>1580</v>
      </c>
      <c r="I457" t="s">
        <v>98</v>
      </c>
      <c r="J457" t="s">
        <v>23</v>
      </c>
      <c r="K457" t="s">
        <v>531</v>
      </c>
      <c r="L457" t="s">
        <v>304</v>
      </c>
      <c r="M457">
        <v>85023</v>
      </c>
      <c r="N457" t="s">
        <v>40</v>
      </c>
      <c r="O457" t="s">
        <v>1583</v>
      </c>
      <c r="P457" t="s">
        <v>42</v>
      </c>
      <c r="Q457" t="s">
        <v>71</v>
      </c>
      <c r="R457" t="s">
        <v>1584</v>
      </c>
      <c r="S457">
        <v>28.484999999999999</v>
      </c>
    </row>
    <row r="458" spans="1:19" x14ac:dyDescent="0.35">
      <c r="A458">
        <v>466</v>
      </c>
      <c r="B458" t="s">
        <v>1578</v>
      </c>
      <c r="C458" s="1">
        <v>42847</v>
      </c>
      <c r="D458" s="1">
        <v>42854</v>
      </c>
      <c r="E458" s="1" t="str">
        <f t="shared" si="7"/>
        <v>FAST</v>
      </c>
      <c r="F458" t="s">
        <v>46</v>
      </c>
      <c r="G458" t="s">
        <v>1579</v>
      </c>
      <c r="H458" t="s">
        <v>1580</v>
      </c>
      <c r="I458" t="s">
        <v>98</v>
      </c>
      <c r="J458" t="s">
        <v>23</v>
      </c>
      <c r="K458" t="s">
        <v>531</v>
      </c>
      <c r="L458" t="s">
        <v>304</v>
      </c>
      <c r="M458">
        <v>85023</v>
      </c>
      <c r="N458" t="s">
        <v>40</v>
      </c>
      <c r="O458" t="s">
        <v>1585</v>
      </c>
      <c r="P458" t="s">
        <v>42</v>
      </c>
      <c r="Q458" t="s">
        <v>566</v>
      </c>
      <c r="R458" t="s">
        <v>1586</v>
      </c>
      <c r="S458">
        <v>185.376</v>
      </c>
    </row>
    <row r="459" spans="1:19" x14ac:dyDescent="0.35">
      <c r="A459">
        <v>467</v>
      </c>
      <c r="B459" t="s">
        <v>1578</v>
      </c>
      <c r="C459" s="1">
        <v>42847</v>
      </c>
      <c r="D459" s="1">
        <v>42854</v>
      </c>
      <c r="E459" s="1" t="str">
        <f t="shared" si="7"/>
        <v>FAST</v>
      </c>
      <c r="F459" t="s">
        <v>46</v>
      </c>
      <c r="G459" t="s">
        <v>1579</v>
      </c>
      <c r="H459" t="s">
        <v>1580</v>
      </c>
      <c r="I459" t="s">
        <v>98</v>
      </c>
      <c r="J459" t="s">
        <v>23</v>
      </c>
      <c r="K459" t="s">
        <v>531</v>
      </c>
      <c r="L459" t="s">
        <v>304</v>
      </c>
      <c r="M459">
        <v>85023</v>
      </c>
      <c r="N459" t="s">
        <v>40</v>
      </c>
      <c r="O459" t="s">
        <v>1587</v>
      </c>
      <c r="P459" t="s">
        <v>42</v>
      </c>
      <c r="Q459" t="s">
        <v>74</v>
      </c>
      <c r="R459" t="s">
        <v>1588</v>
      </c>
      <c r="S459">
        <v>78.272000000000006</v>
      </c>
    </row>
    <row r="460" spans="1:19" x14ac:dyDescent="0.35">
      <c r="A460">
        <v>468</v>
      </c>
      <c r="B460" t="s">
        <v>1589</v>
      </c>
      <c r="C460" s="1">
        <v>42386</v>
      </c>
      <c r="D460" s="1">
        <v>42393</v>
      </c>
      <c r="E460" s="1" t="str">
        <f t="shared" si="7"/>
        <v>FAST</v>
      </c>
      <c r="F460" t="s">
        <v>46</v>
      </c>
      <c r="G460" t="s">
        <v>1590</v>
      </c>
      <c r="H460" t="s">
        <v>1591</v>
      </c>
      <c r="I460" t="s">
        <v>98</v>
      </c>
      <c r="J460" t="s">
        <v>23</v>
      </c>
      <c r="K460" t="s">
        <v>1592</v>
      </c>
      <c r="L460" t="s">
        <v>205</v>
      </c>
      <c r="M460">
        <v>60068</v>
      </c>
      <c r="N460" t="s">
        <v>101</v>
      </c>
      <c r="O460" t="s">
        <v>1074</v>
      </c>
      <c r="P460" t="s">
        <v>28</v>
      </c>
      <c r="Q460" t="s">
        <v>61</v>
      </c>
      <c r="R460" t="s">
        <v>1075</v>
      </c>
      <c r="S460">
        <v>254.744</v>
      </c>
    </row>
    <row r="461" spans="1:19" x14ac:dyDescent="0.35">
      <c r="A461">
        <v>469</v>
      </c>
      <c r="B461" t="s">
        <v>1593</v>
      </c>
      <c r="C461" s="1">
        <v>43190</v>
      </c>
      <c r="D461" s="1">
        <v>43194</v>
      </c>
      <c r="E461" s="1" t="str">
        <f t="shared" si="7"/>
        <v>FAST</v>
      </c>
      <c r="F461" t="s">
        <v>46</v>
      </c>
      <c r="G461" t="s">
        <v>865</v>
      </c>
      <c r="H461" t="s">
        <v>866</v>
      </c>
      <c r="I461" t="s">
        <v>37</v>
      </c>
      <c r="J461" t="s">
        <v>23</v>
      </c>
      <c r="K461" t="s">
        <v>1594</v>
      </c>
      <c r="L461" t="s">
        <v>100</v>
      </c>
      <c r="M461">
        <v>79109</v>
      </c>
      <c r="N461" t="s">
        <v>101</v>
      </c>
      <c r="O461" t="s">
        <v>1595</v>
      </c>
      <c r="P461" t="s">
        <v>28</v>
      </c>
      <c r="Q461" t="s">
        <v>29</v>
      </c>
      <c r="R461" t="s">
        <v>1596</v>
      </c>
      <c r="S461">
        <v>205.33279999999999</v>
      </c>
    </row>
    <row r="462" spans="1:19" x14ac:dyDescent="0.35">
      <c r="A462">
        <v>470</v>
      </c>
      <c r="B462" t="s">
        <v>1597</v>
      </c>
      <c r="C462" s="1">
        <v>43085</v>
      </c>
      <c r="D462" s="1">
        <v>43089</v>
      </c>
      <c r="E462" s="1" t="str">
        <f t="shared" si="7"/>
        <v>SLOW</v>
      </c>
      <c r="F462" t="s">
        <v>19</v>
      </c>
      <c r="G462" t="s">
        <v>953</v>
      </c>
      <c r="H462" t="s">
        <v>954</v>
      </c>
      <c r="I462" t="s">
        <v>22</v>
      </c>
      <c r="J462" t="s">
        <v>23</v>
      </c>
      <c r="K462" t="s">
        <v>297</v>
      </c>
      <c r="L462" t="s">
        <v>205</v>
      </c>
      <c r="M462">
        <v>60610</v>
      </c>
      <c r="N462" t="s">
        <v>101</v>
      </c>
      <c r="O462" t="s">
        <v>1598</v>
      </c>
      <c r="P462" t="s">
        <v>42</v>
      </c>
      <c r="Q462" t="s">
        <v>71</v>
      </c>
      <c r="R462" t="s">
        <v>1599</v>
      </c>
      <c r="S462">
        <v>4.7880000000000003</v>
      </c>
    </row>
    <row r="463" spans="1:19" x14ac:dyDescent="0.35">
      <c r="A463">
        <v>471</v>
      </c>
      <c r="B463" t="s">
        <v>1600</v>
      </c>
      <c r="C463" s="1">
        <v>42724</v>
      </c>
      <c r="D463" s="1">
        <v>42728</v>
      </c>
      <c r="E463" s="1" t="str">
        <f t="shared" si="7"/>
        <v>FAST</v>
      </c>
      <c r="F463" t="s">
        <v>46</v>
      </c>
      <c r="G463" t="s">
        <v>1601</v>
      </c>
      <c r="H463" t="s">
        <v>1602</v>
      </c>
      <c r="I463" t="s">
        <v>37</v>
      </c>
      <c r="J463" t="s">
        <v>23</v>
      </c>
      <c r="K463" t="s">
        <v>1603</v>
      </c>
      <c r="L463" t="s">
        <v>261</v>
      </c>
      <c r="M463">
        <v>11757</v>
      </c>
      <c r="N463" t="s">
        <v>144</v>
      </c>
      <c r="O463" t="s">
        <v>1604</v>
      </c>
      <c r="P463" t="s">
        <v>42</v>
      </c>
      <c r="Q463" t="s">
        <v>86</v>
      </c>
      <c r="R463" t="s">
        <v>1605</v>
      </c>
      <c r="S463">
        <v>55.48</v>
      </c>
    </row>
    <row r="464" spans="1:19" x14ac:dyDescent="0.35">
      <c r="A464">
        <v>472</v>
      </c>
      <c r="B464" t="s">
        <v>1606</v>
      </c>
      <c r="C464" s="1">
        <v>42317</v>
      </c>
      <c r="D464" s="1">
        <v>42319</v>
      </c>
      <c r="E464" s="1" t="str">
        <f t="shared" si="7"/>
        <v>SLOW</v>
      </c>
      <c r="F464" t="s">
        <v>19</v>
      </c>
      <c r="G464" t="s">
        <v>1607</v>
      </c>
      <c r="H464" t="s">
        <v>1608</v>
      </c>
      <c r="I464" t="s">
        <v>22</v>
      </c>
      <c r="J464" t="s">
        <v>23</v>
      </c>
      <c r="K464" t="s">
        <v>123</v>
      </c>
      <c r="L464" t="s">
        <v>39</v>
      </c>
      <c r="M464">
        <v>94110</v>
      </c>
      <c r="N464" t="s">
        <v>40</v>
      </c>
      <c r="O464" t="s">
        <v>1609</v>
      </c>
      <c r="P464" t="s">
        <v>42</v>
      </c>
      <c r="Q464" t="s">
        <v>55</v>
      </c>
      <c r="R464" t="s">
        <v>1610</v>
      </c>
      <c r="S464">
        <v>340.92</v>
      </c>
    </row>
    <row r="465" spans="1:19" x14ac:dyDescent="0.35">
      <c r="A465">
        <v>473</v>
      </c>
      <c r="B465" t="s">
        <v>1606</v>
      </c>
      <c r="C465" s="1">
        <v>42317</v>
      </c>
      <c r="D465" s="1">
        <v>42319</v>
      </c>
      <c r="E465" s="1" t="str">
        <f t="shared" si="7"/>
        <v>SLOW</v>
      </c>
      <c r="F465" t="s">
        <v>19</v>
      </c>
      <c r="G465" t="s">
        <v>1607</v>
      </c>
      <c r="H465" t="s">
        <v>1608</v>
      </c>
      <c r="I465" t="s">
        <v>22</v>
      </c>
      <c r="J465" t="s">
        <v>23</v>
      </c>
      <c r="K465" t="s">
        <v>123</v>
      </c>
      <c r="L465" t="s">
        <v>39</v>
      </c>
      <c r="M465">
        <v>94110</v>
      </c>
      <c r="N465" t="s">
        <v>40</v>
      </c>
      <c r="O465" t="s">
        <v>1611</v>
      </c>
      <c r="P465" t="s">
        <v>28</v>
      </c>
      <c r="Q465" t="s">
        <v>29</v>
      </c>
      <c r="R465" t="s">
        <v>1612</v>
      </c>
      <c r="S465">
        <v>222.666</v>
      </c>
    </row>
    <row r="466" spans="1:19" x14ac:dyDescent="0.35">
      <c r="A466">
        <v>474</v>
      </c>
      <c r="B466" t="s">
        <v>1606</v>
      </c>
      <c r="C466" s="1">
        <v>42317</v>
      </c>
      <c r="D466" s="1">
        <v>42319</v>
      </c>
      <c r="E466" s="1" t="str">
        <f t="shared" si="7"/>
        <v>SLOW</v>
      </c>
      <c r="F466" t="s">
        <v>19</v>
      </c>
      <c r="G466" t="s">
        <v>1607</v>
      </c>
      <c r="H466" t="s">
        <v>1608</v>
      </c>
      <c r="I466" t="s">
        <v>22</v>
      </c>
      <c r="J466" t="s">
        <v>23</v>
      </c>
      <c r="K466" t="s">
        <v>123</v>
      </c>
      <c r="L466" t="s">
        <v>39</v>
      </c>
      <c r="M466">
        <v>94110</v>
      </c>
      <c r="N466" t="s">
        <v>40</v>
      </c>
      <c r="O466" t="s">
        <v>1613</v>
      </c>
      <c r="P466" t="s">
        <v>67</v>
      </c>
      <c r="Q466" t="s">
        <v>68</v>
      </c>
      <c r="R466" t="s">
        <v>1614</v>
      </c>
      <c r="S466">
        <v>703.96799999999996</v>
      </c>
    </row>
    <row r="467" spans="1:19" x14ac:dyDescent="0.35">
      <c r="A467">
        <v>475</v>
      </c>
      <c r="B467" t="s">
        <v>1606</v>
      </c>
      <c r="C467" s="1">
        <v>42317</v>
      </c>
      <c r="D467" s="1">
        <v>42319</v>
      </c>
      <c r="E467" s="1" t="str">
        <f t="shared" si="7"/>
        <v>SLOW</v>
      </c>
      <c r="F467" t="s">
        <v>19</v>
      </c>
      <c r="G467" t="s">
        <v>1607</v>
      </c>
      <c r="H467" t="s">
        <v>1608</v>
      </c>
      <c r="I467" t="s">
        <v>22</v>
      </c>
      <c r="J467" t="s">
        <v>23</v>
      </c>
      <c r="K467" t="s">
        <v>123</v>
      </c>
      <c r="L467" t="s">
        <v>39</v>
      </c>
      <c r="M467">
        <v>94110</v>
      </c>
      <c r="N467" t="s">
        <v>40</v>
      </c>
      <c r="O467" t="s">
        <v>1615</v>
      </c>
      <c r="P467" t="s">
        <v>42</v>
      </c>
      <c r="Q467" t="s">
        <v>55</v>
      </c>
      <c r="R467" t="s">
        <v>1616</v>
      </c>
      <c r="S467">
        <v>92.52</v>
      </c>
    </row>
    <row r="468" spans="1:19" x14ac:dyDescent="0.35">
      <c r="A468">
        <v>476</v>
      </c>
      <c r="B468" t="s">
        <v>1606</v>
      </c>
      <c r="C468" s="1">
        <v>42317</v>
      </c>
      <c r="D468" s="1">
        <v>42319</v>
      </c>
      <c r="E468" s="1" t="str">
        <f t="shared" si="7"/>
        <v>SLOW</v>
      </c>
      <c r="F468" t="s">
        <v>19</v>
      </c>
      <c r="G468" t="s">
        <v>1607</v>
      </c>
      <c r="H468" t="s">
        <v>1608</v>
      </c>
      <c r="I468" t="s">
        <v>22</v>
      </c>
      <c r="J468" t="s">
        <v>23</v>
      </c>
      <c r="K468" t="s">
        <v>123</v>
      </c>
      <c r="L468" t="s">
        <v>39</v>
      </c>
      <c r="M468">
        <v>94110</v>
      </c>
      <c r="N468" t="s">
        <v>40</v>
      </c>
      <c r="O468" t="s">
        <v>1617</v>
      </c>
      <c r="P468" t="s">
        <v>42</v>
      </c>
      <c r="Q468" t="s">
        <v>86</v>
      </c>
      <c r="R468" t="s">
        <v>1618</v>
      </c>
      <c r="S468">
        <v>62.65</v>
      </c>
    </row>
    <row r="469" spans="1:19" x14ac:dyDescent="0.35">
      <c r="A469">
        <v>477</v>
      </c>
      <c r="B469" t="s">
        <v>1606</v>
      </c>
      <c r="C469" s="1">
        <v>42317</v>
      </c>
      <c r="D469" s="1">
        <v>42319</v>
      </c>
      <c r="E469" s="1" t="str">
        <f t="shared" si="7"/>
        <v>SLOW</v>
      </c>
      <c r="F469" t="s">
        <v>19</v>
      </c>
      <c r="G469" t="s">
        <v>1607</v>
      </c>
      <c r="H469" t="s">
        <v>1608</v>
      </c>
      <c r="I469" t="s">
        <v>22</v>
      </c>
      <c r="J469" t="s">
        <v>23</v>
      </c>
      <c r="K469" t="s">
        <v>123</v>
      </c>
      <c r="L469" t="s">
        <v>39</v>
      </c>
      <c r="M469">
        <v>94110</v>
      </c>
      <c r="N469" t="s">
        <v>40</v>
      </c>
      <c r="O469" t="s">
        <v>1619</v>
      </c>
      <c r="P469" t="s">
        <v>42</v>
      </c>
      <c r="Q469" t="s">
        <v>86</v>
      </c>
      <c r="R469" t="s">
        <v>1620</v>
      </c>
      <c r="S469">
        <v>94.85</v>
      </c>
    </row>
    <row r="470" spans="1:19" x14ac:dyDescent="0.35">
      <c r="A470">
        <v>478</v>
      </c>
      <c r="B470" t="s">
        <v>1621</v>
      </c>
      <c r="C470" s="1">
        <v>42928</v>
      </c>
      <c r="D470" s="1">
        <v>42935</v>
      </c>
      <c r="E470" s="1" t="str">
        <f t="shared" si="7"/>
        <v>FAST</v>
      </c>
      <c r="F470" t="s">
        <v>46</v>
      </c>
      <c r="G470" t="s">
        <v>1001</v>
      </c>
      <c r="H470" t="s">
        <v>1002</v>
      </c>
      <c r="I470" t="s">
        <v>37</v>
      </c>
      <c r="J470" t="s">
        <v>23</v>
      </c>
      <c r="K470" t="s">
        <v>38</v>
      </c>
      <c r="L470" t="s">
        <v>39</v>
      </c>
      <c r="M470">
        <v>90008</v>
      </c>
      <c r="N470" t="s">
        <v>40</v>
      </c>
      <c r="O470" t="s">
        <v>1622</v>
      </c>
      <c r="P470" t="s">
        <v>67</v>
      </c>
      <c r="Q470" t="s">
        <v>68</v>
      </c>
      <c r="R470" t="s">
        <v>1623</v>
      </c>
      <c r="S470">
        <v>95.76</v>
      </c>
    </row>
    <row r="471" spans="1:19" x14ac:dyDescent="0.35">
      <c r="A471">
        <v>479</v>
      </c>
      <c r="B471" t="s">
        <v>1624</v>
      </c>
      <c r="C471" s="1">
        <v>43035</v>
      </c>
      <c r="D471" s="1">
        <v>43041</v>
      </c>
      <c r="E471" s="1" t="str">
        <f t="shared" si="7"/>
        <v>FAST</v>
      </c>
      <c r="F471" t="s">
        <v>46</v>
      </c>
      <c r="G471" t="s">
        <v>1625</v>
      </c>
      <c r="H471" t="s">
        <v>1626</v>
      </c>
      <c r="I471" t="s">
        <v>22</v>
      </c>
      <c r="J471" t="s">
        <v>23</v>
      </c>
      <c r="K471" t="s">
        <v>270</v>
      </c>
      <c r="L471" t="s">
        <v>261</v>
      </c>
      <c r="M471">
        <v>12180</v>
      </c>
      <c r="N471" t="s">
        <v>144</v>
      </c>
      <c r="O471" t="s">
        <v>1098</v>
      </c>
      <c r="P471" t="s">
        <v>28</v>
      </c>
      <c r="Q471" t="s">
        <v>61</v>
      </c>
      <c r="R471" t="s">
        <v>1099</v>
      </c>
      <c r="S471">
        <v>40.200000000000003</v>
      </c>
    </row>
    <row r="472" spans="1:19" x14ac:dyDescent="0.35">
      <c r="A472">
        <v>480</v>
      </c>
      <c r="B472" t="s">
        <v>1627</v>
      </c>
      <c r="C472" s="1">
        <v>42912</v>
      </c>
      <c r="D472" s="1">
        <v>42918</v>
      </c>
      <c r="E472" s="1" t="str">
        <f t="shared" si="7"/>
        <v>FAST</v>
      </c>
      <c r="F472" t="s">
        <v>46</v>
      </c>
      <c r="G472" t="s">
        <v>1628</v>
      </c>
      <c r="H472" t="s">
        <v>1629</v>
      </c>
      <c r="I472" t="s">
        <v>37</v>
      </c>
      <c r="J472" t="s">
        <v>23</v>
      </c>
      <c r="K472" t="s">
        <v>260</v>
      </c>
      <c r="L472" t="s">
        <v>261</v>
      </c>
      <c r="M472">
        <v>10024</v>
      </c>
      <c r="N472" t="s">
        <v>144</v>
      </c>
      <c r="O472" t="s">
        <v>1630</v>
      </c>
      <c r="P472" t="s">
        <v>42</v>
      </c>
      <c r="Q472" t="s">
        <v>64</v>
      </c>
      <c r="R472" t="s">
        <v>1631</v>
      </c>
      <c r="S472">
        <v>14.7</v>
      </c>
    </row>
    <row r="473" spans="1:19" x14ac:dyDescent="0.35">
      <c r="A473">
        <v>481</v>
      </c>
      <c r="B473" t="s">
        <v>1627</v>
      </c>
      <c r="C473" s="1">
        <v>42912</v>
      </c>
      <c r="D473" s="1">
        <v>42918</v>
      </c>
      <c r="E473" s="1" t="str">
        <f t="shared" si="7"/>
        <v>FAST</v>
      </c>
      <c r="F473" t="s">
        <v>46</v>
      </c>
      <c r="G473" t="s">
        <v>1628</v>
      </c>
      <c r="H473" t="s">
        <v>1629</v>
      </c>
      <c r="I473" t="s">
        <v>37</v>
      </c>
      <c r="J473" t="s">
        <v>23</v>
      </c>
      <c r="K473" t="s">
        <v>260</v>
      </c>
      <c r="L473" t="s">
        <v>261</v>
      </c>
      <c r="M473">
        <v>10024</v>
      </c>
      <c r="N473" t="s">
        <v>144</v>
      </c>
      <c r="O473" t="s">
        <v>1632</v>
      </c>
      <c r="P473" t="s">
        <v>42</v>
      </c>
      <c r="Q473" t="s">
        <v>55</v>
      </c>
      <c r="R473" t="s">
        <v>1633</v>
      </c>
      <c r="S473">
        <v>704.25</v>
      </c>
    </row>
    <row r="474" spans="1:19" x14ac:dyDescent="0.35">
      <c r="A474">
        <v>482</v>
      </c>
      <c r="B474" t="s">
        <v>1634</v>
      </c>
      <c r="C474" s="1">
        <v>42283</v>
      </c>
      <c r="D474" s="1">
        <v>42287</v>
      </c>
      <c r="E474" s="1" t="str">
        <f t="shared" si="7"/>
        <v>FAST</v>
      </c>
      <c r="F474" t="s">
        <v>46</v>
      </c>
      <c r="G474" t="s">
        <v>1635</v>
      </c>
      <c r="H474" t="s">
        <v>1636</v>
      </c>
      <c r="I474" t="s">
        <v>22</v>
      </c>
      <c r="J474" t="s">
        <v>23</v>
      </c>
      <c r="K474" t="s">
        <v>935</v>
      </c>
      <c r="L474" t="s">
        <v>39</v>
      </c>
      <c r="M474">
        <v>92024</v>
      </c>
      <c r="N474" t="s">
        <v>40</v>
      </c>
      <c r="O474" t="s">
        <v>1637</v>
      </c>
      <c r="P474" t="s">
        <v>67</v>
      </c>
      <c r="Q474" t="s">
        <v>157</v>
      </c>
      <c r="R474" t="s">
        <v>1638</v>
      </c>
      <c r="S474">
        <v>9.09</v>
      </c>
    </row>
    <row r="475" spans="1:19" x14ac:dyDescent="0.35">
      <c r="A475">
        <v>483</v>
      </c>
      <c r="B475" t="s">
        <v>1639</v>
      </c>
      <c r="C475" s="1">
        <v>42207</v>
      </c>
      <c r="D475" s="1">
        <v>42212</v>
      </c>
      <c r="E475" s="1" t="str">
        <f t="shared" si="7"/>
        <v>FAST</v>
      </c>
      <c r="F475" t="s">
        <v>46</v>
      </c>
      <c r="G475" t="s">
        <v>1640</v>
      </c>
      <c r="H475" t="s">
        <v>1641</v>
      </c>
      <c r="I475" t="s">
        <v>22</v>
      </c>
      <c r="J475" t="s">
        <v>23</v>
      </c>
      <c r="K475" t="s">
        <v>260</v>
      </c>
      <c r="L475" t="s">
        <v>261</v>
      </c>
      <c r="M475">
        <v>10024</v>
      </c>
      <c r="N475" t="s">
        <v>144</v>
      </c>
      <c r="O475" t="s">
        <v>356</v>
      </c>
      <c r="P475" t="s">
        <v>42</v>
      </c>
      <c r="Q475" t="s">
        <v>64</v>
      </c>
      <c r="R475" t="s">
        <v>357</v>
      </c>
      <c r="S475">
        <v>5.96</v>
      </c>
    </row>
    <row r="476" spans="1:19" x14ac:dyDescent="0.35">
      <c r="A476">
        <v>484</v>
      </c>
      <c r="B476" t="s">
        <v>1639</v>
      </c>
      <c r="C476" s="1">
        <v>42207</v>
      </c>
      <c r="D476" s="1">
        <v>42212</v>
      </c>
      <c r="E476" s="1" t="str">
        <f t="shared" si="7"/>
        <v>FAST</v>
      </c>
      <c r="F476" t="s">
        <v>46</v>
      </c>
      <c r="G476" t="s">
        <v>1640</v>
      </c>
      <c r="H476" t="s">
        <v>1641</v>
      </c>
      <c r="I476" t="s">
        <v>22</v>
      </c>
      <c r="J476" t="s">
        <v>23</v>
      </c>
      <c r="K476" t="s">
        <v>260</v>
      </c>
      <c r="L476" t="s">
        <v>261</v>
      </c>
      <c r="M476">
        <v>10024</v>
      </c>
      <c r="N476" t="s">
        <v>144</v>
      </c>
      <c r="O476" t="s">
        <v>1642</v>
      </c>
      <c r="P476" t="s">
        <v>67</v>
      </c>
      <c r="Q476" t="s">
        <v>157</v>
      </c>
      <c r="R476" t="s">
        <v>1643</v>
      </c>
      <c r="S476">
        <v>159.97999999999999</v>
      </c>
    </row>
    <row r="477" spans="1:19" x14ac:dyDescent="0.35">
      <c r="A477">
        <v>485</v>
      </c>
      <c r="B477" t="s">
        <v>1644</v>
      </c>
      <c r="C477" s="1">
        <v>43261</v>
      </c>
      <c r="D477" s="1">
        <v>43264</v>
      </c>
      <c r="E477" s="1" t="str">
        <f t="shared" si="7"/>
        <v>MODERATE</v>
      </c>
      <c r="F477" t="s">
        <v>184</v>
      </c>
      <c r="G477" t="s">
        <v>1645</v>
      </c>
      <c r="H477" t="s">
        <v>1646</v>
      </c>
      <c r="I477" t="s">
        <v>98</v>
      </c>
      <c r="J477" t="s">
        <v>23</v>
      </c>
      <c r="K477" t="s">
        <v>38</v>
      </c>
      <c r="L477" t="s">
        <v>39</v>
      </c>
      <c r="M477">
        <v>90045</v>
      </c>
      <c r="N477" t="s">
        <v>40</v>
      </c>
      <c r="O477" t="s">
        <v>1647</v>
      </c>
      <c r="P477" t="s">
        <v>42</v>
      </c>
      <c r="Q477" t="s">
        <v>43</v>
      </c>
      <c r="R477" t="s">
        <v>1648</v>
      </c>
      <c r="S477">
        <v>29.6</v>
      </c>
    </row>
    <row r="478" spans="1:19" x14ac:dyDescent="0.35">
      <c r="A478">
        <v>486</v>
      </c>
      <c r="B478" t="s">
        <v>1644</v>
      </c>
      <c r="C478" s="1">
        <v>43261</v>
      </c>
      <c r="D478" s="1">
        <v>43264</v>
      </c>
      <c r="E478" s="1" t="str">
        <f t="shared" si="7"/>
        <v>MODERATE</v>
      </c>
      <c r="F478" t="s">
        <v>184</v>
      </c>
      <c r="G478" t="s">
        <v>1645</v>
      </c>
      <c r="H478" t="s">
        <v>1646</v>
      </c>
      <c r="I478" t="s">
        <v>98</v>
      </c>
      <c r="J478" t="s">
        <v>23</v>
      </c>
      <c r="K478" t="s">
        <v>38</v>
      </c>
      <c r="L478" t="s">
        <v>39</v>
      </c>
      <c r="M478">
        <v>90045</v>
      </c>
      <c r="N478" t="s">
        <v>40</v>
      </c>
      <c r="O478" t="s">
        <v>1649</v>
      </c>
      <c r="P478" t="s">
        <v>28</v>
      </c>
      <c r="Q478" t="s">
        <v>29</v>
      </c>
      <c r="R478" t="s">
        <v>1650</v>
      </c>
      <c r="S478">
        <v>514.16499999999996</v>
      </c>
    </row>
    <row r="479" spans="1:19" x14ac:dyDescent="0.35">
      <c r="A479">
        <v>487</v>
      </c>
      <c r="B479" t="s">
        <v>1644</v>
      </c>
      <c r="C479" s="1">
        <v>43261</v>
      </c>
      <c r="D479" s="1">
        <v>43264</v>
      </c>
      <c r="E479" s="1" t="str">
        <f t="shared" si="7"/>
        <v>MODERATE</v>
      </c>
      <c r="F479" t="s">
        <v>184</v>
      </c>
      <c r="G479" t="s">
        <v>1645</v>
      </c>
      <c r="H479" t="s">
        <v>1646</v>
      </c>
      <c r="I479" t="s">
        <v>98</v>
      </c>
      <c r="J479" t="s">
        <v>23</v>
      </c>
      <c r="K479" t="s">
        <v>38</v>
      </c>
      <c r="L479" t="s">
        <v>39</v>
      </c>
      <c r="M479">
        <v>90045</v>
      </c>
      <c r="N479" t="s">
        <v>40</v>
      </c>
      <c r="O479" t="s">
        <v>1651</v>
      </c>
      <c r="P479" t="s">
        <v>67</v>
      </c>
      <c r="Q479" t="s">
        <v>68</v>
      </c>
      <c r="R479" t="s">
        <v>1652</v>
      </c>
      <c r="S479">
        <v>279.95999999999998</v>
      </c>
    </row>
    <row r="480" spans="1:19" x14ac:dyDescent="0.35">
      <c r="A480">
        <v>488</v>
      </c>
      <c r="B480" t="s">
        <v>1653</v>
      </c>
      <c r="C480" s="1">
        <v>42306</v>
      </c>
      <c r="D480" s="1">
        <v>42308</v>
      </c>
      <c r="E480" s="1" t="str">
        <f t="shared" si="7"/>
        <v>MODERATE</v>
      </c>
      <c r="F480" t="s">
        <v>184</v>
      </c>
      <c r="G480" t="s">
        <v>1654</v>
      </c>
      <c r="H480" t="s">
        <v>1655</v>
      </c>
      <c r="I480" t="s">
        <v>22</v>
      </c>
      <c r="J480" t="s">
        <v>23</v>
      </c>
      <c r="K480" t="s">
        <v>297</v>
      </c>
      <c r="L480" t="s">
        <v>205</v>
      </c>
      <c r="M480">
        <v>60610</v>
      </c>
      <c r="N480" t="s">
        <v>101</v>
      </c>
      <c r="O480" t="s">
        <v>1656</v>
      </c>
      <c r="P480" t="s">
        <v>67</v>
      </c>
      <c r="Q480" t="s">
        <v>68</v>
      </c>
      <c r="R480" t="s">
        <v>1657</v>
      </c>
      <c r="S480">
        <v>2735.9520000000002</v>
      </c>
    </row>
    <row r="481" spans="1:19" x14ac:dyDescent="0.35">
      <c r="A481">
        <v>489</v>
      </c>
      <c r="B481" t="s">
        <v>1658</v>
      </c>
      <c r="C481" s="1">
        <v>42164</v>
      </c>
      <c r="D481" s="1">
        <v>42168</v>
      </c>
      <c r="E481" s="1" t="str">
        <f t="shared" si="7"/>
        <v>SLOW</v>
      </c>
      <c r="F481" t="s">
        <v>19</v>
      </c>
      <c r="G481" t="s">
        <v>1659</v>
      </c>
      <c r="H481" t="s">
        <v>1660</v>
      </c>
      <c r="I481" t="s">
        <v>98</v>
      </c>
      <c r="J481" t="s">
        <v>23</v>
      </c>
      <c r="K481" t="s">
        <v>1661</v>
      </c>
      <c r="L481" t="s">
        <v>100</v>
      </c>
      <c r="M481">
        <v>77340</v>
      </c>
      <c r="N481" t="s">
        <v>101</v>
      </c>
      <c r="O481" t="s">
        <v>1662</v>
      </c>
      <c r="P481" t="s">
        <v>67</v>
      </c>
      <c r="Q481" t="s">
        <v>68</v>
      </c>
      <c r="R481" t="s">
        <v>1663</v>
      </c>
      <c r="S481">
        <v>7.992</v>
      </c>
    </row>
    <row r="482" spans="1:19" x14ac:dyDescent="0.35">
      <c r="A482">
        <v>490</v>
      </c>
      <c r="B482" t="s">
        <v>1658</v>
      </c>
      <c r="C482" s="1">
        <v>42164</v>
      </c>
      <c r="D482" s="1">
        <v>42168</v>
      </c>
      <c r="E482" s="1" t="str">
        <f t="shared" si="7"/>
        <v>SLOW</v>
      </c>
      <c r="F482" t="s">
        <v>19</v>
      </c>
      <c r="G482" t="s">
        <v>1659</v>
      </c>
      <c r="H482" t="s">
        <v>1660</v>
      </c>
      <c r="I482" t="s">
        <v>98</v>
      </c>
      <c r="J482" t="s">
        <v>23</v>
      </c>
      <c r="K482" t="s">
        <v>1661</v>
      </c>
      <c r="L482" t="s">
        <v>100</v>
      </c>
      <c r="M482">
        <v>77340</v>
      </c>
      <c r="N482" t="s">
        <v>101</v>
      </c>
      <c r="O482" t="s">
        <v>1664</v>
      </c>
      <c r="P482" t="s">
        <v>67</v>
      </c>
      <c r="Q482" t="s">
        <v>157</v>
      </c>
      <c r="R482" t="s">
        <v>1665</v>
      </c>
      <c r="S482">
        <v>63.984000000000002</v>
      </c>
    </row>
    <row r="483" spans="1:19" x14ac:dyDescent="0.35">
      <c r="A483">
        <v>491</v>
      </c>
      <c r="B483" t="s">
        <v>1658</v>
      </c>
      <c r="C483" s="1">
        <v>42164</v>
      </c>
      <c r="D483" s="1">
        <v>42168</v>
      </c>
      <c r="E483" s="1" t="str">
        <f t="shared" si="7"/>
        <v>SLOW</v>
      </c>
      <c r="F483" t="s">
        <v>19</v>
      </c>
      <c r="G483" t="s">
        <v>1659</v>
      </c>
      <c r="H483" t="s">
        <v>1660</v>
      </c>
      <c r="I483" t="s">
        <v>98</v>
      </c>
      <c r="J483" t="s">
        <v>23</v>
      </c>
      <c r="K483" t="s">
        <v>1661</v>
      </c>
      <c r="L483" t="s">
        <v>100</v>
      </c>
      <c r="M483">
        <v>77340</v>
      </c>
      <c r="N483" t="s">
        <v>101</v>
      </c>
      <c r="O483" t="s">
        <v>1549</v>
      </c>
      <c r="P483" t="s">
        <v>42</v>
      </c>
      <c r="Q483" t="s">
        <v>64</v>
      </c>
      <c r="R483" t="s">
        <v>1550</v>
      </c>
      <c r="S483">
        <v>70.367999999999995</v>
      </c>
    </row>
    <row r="484" spans="1:19" x14ac:dyDescent="0.35">
      <c r="A484">
        <v>492</v>
      </c>
      <c r="B484" t="s">
        <v>1666</v>
      </c>
      <c r="C484" s="1">
        <v>42261</v>
      </c>
      <c r="D484" s="1">
        <v>42266</v>
      </c>
      <c r="E484" s="1" t="str">
        <f t="shared" si="7"/>
        <v>FAST</v>
      </c>
      <c r="F484" t="s">
        <v>46</v>
      </c>
      <c r="G484" t="s">
        <v>1667</v>
      </c>
      <c r="H484" t="s">
        <v>1668</v>
      </c>
      <c r="I484" t="s">
        <v>22</v>
      </c>
      <c r="J484" t="s">
        <v>23</v>
      </c>
      <c r="K484" t="s">
        <v>379</v>
      </c>
      <c r="L484" t="s">
        <v>261</v>
      </c>
      <c r="M484">
        <v>14609</v>
      </c>
      <c r="N484" t="s">
        <v>144</v>
      </c>
      <c r="O484" t="s">
        <v>1669</v>
      </c>
      <c r="P484" t="s">
        <v>42</v>
      </c>
      <c r="Q484" t="s">
        <v>55</v>
      </c>
      <c r="R484" t="s">
        <v>1670</v>
      </c>
      <c r="S484">
        <v>449.15</v>
      </c>
    </row>
    <row r="485" spans="1:19" x14ac:dyDescent="0.35">
      <c r="A485">
        <v>493</v>
      </c>
      <c r="B485" t="s">
        <v>1666</v>
      </c>
      <c r="C485" s="1">
        <v>42261</v>
      </c>
      <c r="D485" s="1">
        <v>42266</v>
      </c>
      <c r="E485" s="1" t="str">
        <f t="shared" si="7"/>
        <v>FAST</v>
      </c>
      <c r="F485" t="s">
        <v>46</v>
      </c>
      <c r="G485" t="s">
        <v>1667</v>
      </c>
      <c r="H485" t="s">
        <v>1668</v>
      </c>
      <c r="I485" t="s">
        <v>22</v>
      </c>
      <c r="J485" t="s">
        <v>23</v>
      </c>
      <c r="K485" t="s">
        <v>379</v>
      </c>
      <c r="L485" t="s">
        <v>261</v>
      </c>
      <c r="M485">
        <v>14609</v>
      </c>
      <c r="N485" t="s">
        <v>144</v>
      </c>
      <c r="O485" t="s">
        <v>1671</v>
      </c>
      <c r="P485" t="s">
        <v>42</v>
      </c>
      <c r="Q485" t="s">
        <v>169</v>
      </c>
      <c r="R485" t="s">
        <v>1672</v>
      </c>
      <c r="S485">
        <v>11.07</v>
      </c>
    </row>
    <row r="486" spans="1:19" x14ac:dyDescent="0.35">
      <c r="A486">
        <v>494</v>
      </c>
      <c r="B486" t="s">
        <v>1673</v>
      </c>
      <c r="C486" s="1">
        <v>42864</v>
      </c>
      <c r="D486" s="1">
        <v>42869</v>
      </c>
      <c r="E486" s="1" t="str">
        <f t="shared" si="7"/>
        <v>FAST</v>
      </c>
      <c r="F486" t="s">
        <v>46</v>
      </c>
      <c r="G486" t="s">
        <v>1674</v>
      </c>
      <c r="H486" t="s">
        <v>1675</v>
      </c>
      <c r="I486" t="s">
        <v>22</v>
      </c>
      <c r="J486" t="s">
        <v>23</v>
      </c>
      <c r="K486" t="s">
        <v>91</v>
      </c>
      <c r="L486" t="s">
        <v>92</v>
      </c>
      <c r="M486">
        <v>98115</v>
      </c>
      <c r="N486" t="s">
        <v>40</v>
      </c>
      <c r="O486" t="s">
        <v>1676</v>
      </c>
      <c r="P486" t="s">
        <v>67</v>
      </c>
      <c r="Q486" t="s">
        <v>157</v>
      </c>
      <c r="R486" t="s">
        <v>1677</v>
      </c>
      <c r="S486">
        <v>93.98</v>
      </c>
    </row>
    <row r="487" spans="1:19" x14ac:dyDescent="0.35">
      <c r="A487">
        <v>495</v>
      </c>
      <c r="B487" t="s">
        <v>1678</v>
      </c>
      <c r="C487" s="1">
        <v>42812</v>
      </c>
      <c r="D487" s="1">
        <v>42815</v>
      </c>
      <c r="E487" s="1" t="str">
        <f t="shared" si="7"/>
        <v>SLOW</v>
      </c>
      <c r="F487" t="s">
        <v>19</v>
      </c>
      <c r="G487" t="s">
        <v>1679</v>
      </c>
      <c r="H487" t="s">
        <v>1680</v>
      </c>
      <c r="I487" t="s">
        <v>22</v>
      </c>
      <c r="J487" t="s">
        <v>23</v>
      </c>
      <c r="K487" t="s">
        <v>328</v>
      </c>
      <c r="L487" t="s">
        <v>329</v>
      </c>
      <c r="M487">
        <v>38109</v>
      </c>
      <c r="N487" t="s">
        <v>26</v>
      </c>
      <c r="O487" t="s">
        <v>1681</v>
      </c>
      <c r="P487" t="s">
        <v>28</v>
      </c>
      <c r="Q487" t="s">
        <v>52</v>
      </c>
      <c r="R487" t="s">
        <v>1682</v>
      </c>
      <c r="S487">
        <v>189.88200000000001</v>
      </c>
    </row>
    <row r="488" spans="1:19" x14ac:dyDescent="0.35">
      <c r="A488">
        <v>496</v>
      </c>
      <c r="B488" t="s">
        <v>1683</v>
      </c>
      <c r="C488" s="1">
        <v>42731</v>
      </c>
      <c r="D488" s="1">
        <v>42735</v>
      </c>
      <c r="E488" s="1" t="str">
        <f t="shared" si="7"/>
        <v>FAST</v>
      </c>
      <c r="F488" t="s">
        <v>46</v>
      </c>
      <c r="G488" t="s">
        <v>1684</v>
      </c>
      <c r="H488" t="s">
        <v>1685</v>
      </c>
      <c r="I488" t="s">
        <v>22</v>
      </c>
      <c r="J488" t="s">
        <v>23</v>
      </c>
      <c r="K488" t="s">
        <v>1686</v>
      </c>
      <c r="L488" t="s">
        <v>1687</v>
      </c>
      <c r="M488">
        <v>72701</v>
      </c>
      <c r="N488" t="s">
        <v>26</v>
      </c>
      <c r="O488" t="s">
        <v>1688</v>
      </c>
      <c r="P488" t="s">
        <v>42</v>
      </c>
      <c r="Q488" t="s">
        <v>169</v>
      </c>
      <c r="R488" t="s">
        <v>1689</v>
      </c>
      <c r="S488">
        <v>105.42</v>
      </c>
    </row>
    <row r="489" spans="1:19" x14ac:dyDescent="0.35">
      <c r="A489">
        <v>497</v>
      </c>
      <c r="B489" t="s">
        <v>1690</v>
      </c>
      <c r="C489" s="1">
        <v>42941</v>
      </c>
      <c r="D489" s="1">
        <v>42947</v>
      </c>
      <c r="E489" s="1" t="str">
        <f t="shared" si="7"/>
        <v>FAST</v>
      </c>
      <c r="F489" t="s">
        <v>46</v>
      </c>
      <c r="G489" t="s">
        <v>1565</v>
      </c>
      <c r="H489" t="s">
        <v>1566</v>
      </c>
      <c r="I489" t="s">
        <v>22</v>
      </c>
      <c r="J489" t="s">
        <v>23</v>
      </c>
      <c r="K489" t="s">
        <v>1691</v>
      </c>
      <c r="L489" t="s">
        <v>39</v>
      </c>
      <c r="M489">
        <v>92627</v>
      </c>
      <c r="N489" t="s">
        <v>40</v>
      </c>
      <c r="O489" t="s">
        <v>1692</v>
      </c>
      <c r="P489" t="s">
        <v>42</v>
      </c>
      <c r="Q489" t="s">
        <v>71</v>
      </c>
      <c r="R489" t="s">
        <v>1693</v>
      </c>
      <c r="S489">
        <v>119.616</v>
      </c>
    </row>
    <row r="490" spans="1:19" x14ac:dyDescent="0.35">
      <c r="A490">
        <v>498</v>
      </c>
      <c r="B490" t="s">
        <v>1690</v>
      </c>
      <c r="C490" s="1">
        <v>42941</v>
      </c>
      <c r="D490" s="1">
        <v>42947</v>
      </c>
      <c r="E490" s="1" t="str">
        <f t="shared" si="7"/>
        <v>FAST</v>
      </c>
      <c r="F490" t="s">
        <v>46</v>
      </c>
      <c r="G490" t="s">
        <v>1565</v>
      </c>
      <c r="H490" t="s">
        <v>1566</v>
      </c>
      <c r="I490" t="s">
        <v>22</v>
      </c>
      <c r="J490" t="s">
        <v>23</v>
      </c>
      <c r="K490" t="s">
        <v>1691</v>
      </c>
      <c r="L490" t="s">
        <v>39</v>
      </c>
      <c r="M490">
        <v>92627</v>
      </c>
      <c r="N490" t="s">
        <v>40</v>
      </c>
      <c r="O490" t="s">
        <v>1694</v>
      </c>
      <c r="P490" t="s">
        <v>28</v>
      </c>
      <c r="Q490" t="s">
        <v>61</v>
      </c>
      <c r="R490" t="s">
        <v>1695</v>
      </c>
      <c r="S490">
        <v>255.76</v>
      </c>
    </row>
    <row r="491" spans="1:19" x14ac:dyDescent="0.35">
      <c r="A491">
        <v>499</v>
      </c>
      <c r="B491" t="s">
        <v>1690</v>
      </c>
      <c r="C491" s="1">
        <v>42941</v>
      </c>
      <c r="D491" s="1">
        <v>42947</v>
      </c>
      <c r="E491" s="1" t="str">
        <f t="shared" si="7"/>
        <v>FAST</v>
      </c>
      <c r="F491" t="s">
        <v>46</v>
      </c>
      <c r="G491" t="s">
        <v>1565</v>
      </c>
      <c r="H491" t="s">
        <v>1566</v>
      </c>
      <c r="I491" t="s">
        <v>22</v>
      </c>
      <c r="J491" t="s">
        <v>23</v>
      </c>
      <c r="K491" t="s">
        <v>1691</v>
      </c>
      <c r="L491" t="s">
        <v>39</v>
      </c>
      <c r="M491">
        <v>92627</v>
      </c>
      <c r="N491" t="s">
        <v>40</v>
      </c>
      <c r="O491" t="s">
        <v>1152</v>
      </c>
      <c r="P491" t="s">
        <v>28</v>
      </c>
      <c r="Q491" t="s">
        <v>32</v>
      </c>
      <c r="R491" t="s">
        <v>1153</v>
      </c>
      <c r="S491">
        <v>241.56800000000001</v>
      </c>
    </row>
    <row r="492" spans="1:19" x14ac:dyDescent="0.35">
      <c r="A492">
        <v>500</v>
      </c>
      <c r="B492" t="s">
        <v>1690</v>
      </c>
      <c r="C492" s="1">
        <v>42941</v>
      </c>
      <c r="D492" s="1">
        <v>42947</v>
      </c>
      <c r="E492" s="1" t="str">
        <f t="shared" si="7"/>
        <v>FAST</v>
      </c>
      <c r="F492" t="s">
        <v>46</v>
      </c>
      <c r="G492" t="s">
        <v>1565</v>
      </c>
      <c r="H492" t="s">
        <v>1566</v>
      </c>
      <c r="I492" t="s">
        <v>22</v>
      </c>
      <c r="J492" t="s">
        <v>23</v>
      </c>
      <c r="K492" t="s">
        <v>1691</v>
      </c>
      <c r="L492" t="s">
        <v>39</v>
      </c>
      <c r="M492">
        <v>92627</v>
      </c>
      <c r="N492" t="s">
        <v>40</v>
      </c>
      <c r="O492" t="s">
        <v>1696</v>
      </c>
      <c r="P492" t="s">
        <v>28</v>
      </c>
      <c r="Q492" t="s">
        <v>61</v>
      </c>
      <c r="R492" t="s">
        <v>1697</v>
      </c>
      <c r="S492">
        <v>69.3</v>
      </c>
    </row>
    <row r="493" spans="1:19" x14ac:dyDescent="0.35">
      <c r="A493">
        <v>501</v>
      </c>
      <c r="B493" t="s">
        <v>1698</v>
      </c>
      <c r="C493" s="1">
        <v>42885</v>
      </c>
      <c r="D493" s="1">
        <v>42890</v>
      </c>
      <c r="E493" s="1" t="str">
        <f t="shared" si="7"/>
        <v>FAST</v>
      </c>
      <c r="F493" t="s">
        <v>46</v>
      </c>
      <c r="G493" t="s">
        <v>1699</v>
      </c>
      <c r="H493" t="s">
        <v>1700</v>
      </c>
      <c r="I493" t="s">
        <v>37</v>
      </c>
      <c r="J493" t="s">
        <v>23</v>
      </c>
      <c r="K493" t="s">
        <v>1701</v>
      </c>
      <c r="L493" t="s">
        <v>444</v>
      </c>
      <c r="M493">
        <v>80134</v>
      </c>
      <c r="N493" t="s">
        <v>40</v>
      </c>
      <c r="O493" t="s">
        <v>1702</v>
      </c>
      <c r="P493" t="s">
        <v>42</v>
      </c>
      <c r="Q493" t="s">
        <v>71</v>
      </c>
      <c r="R493" t="s">
        <v>1703</v>
      </c>
      <c r="S493">
        <v>22.62</v>
      </c>
    </row>
    <row r="494" spans="1:19" x14ac:dyDescent="0.35">
      <c r="A494">
        <v>502</v>
      </c>
      <c r="B494" t="s">
        <v>1698</v>
      </c>
      <c r="C494" s="1">
        <v>42885</v>
      </c>
      <c r="D494" s="1">
        <v>42890</v>
      </c>
      <c r="E494" s="1" t="str">
        <f t="shared" si="7"/>
        <v>FAST</v>
      </c>
      <c r="F494" t="s">
        <v>46</v>
      </c>
      <c r="G494" t="s">
        <v>1699</v>
      </c>
      <c r="H494" t="s">
        <v>1700</v>
      </c>
      <c r="I494" t="s">
        <v>37</v>
      </c>
      <c r="J494" t="s">
        <v>23</v>
      </c>
      <c r="K494" t="s">
        <v>1701</v>
      </c>
      <c r="L494" t="s">
        <v>444</v>
      </c>
      <c r="M494">
        <v>80134</v>
      </c>
      <c r="N494" t="s">
        <v>40</v>
      </c>
      <c r="O494" t="s">
        <v>1704</v>
      </c>
      <c r="P494" t="s">
        <v>42</v>
      </c>
      <c r="Q494" t="s">
        <v>71</v>
      </c>
      <c r="R494" t="s">
        <v>1705</v>
      </c>
      <c r="S494">
        <v>14.952</v>
      </c>
    </row>
    <row r="495" spans="1:19" x14ac:dyDescent="0.35">
      <c r="A495">
        <v>503</v>
      </c>
      <c r="B495" t="s">
        <v>1698</v>
      </c>
      <c r="C495" s="1">
        <v>42885</v>
      </c>
      <c r="D495" s="1">
        <v>42890</v>
      </c>
      <c r="E495" s="1" t="str">
        <f t="shared" si="7"/>
        <v>FAST</v>
      </c>
      <c r="F495" t="s">
        <v>46</v>
      </c>
      <c r="G495" t="s">
        <v>1699</v>
      </c>
      <c r="H495" t="s">
        <v>1700</v>
      </c>
      <c r="I495" t="s">
        <v>37</v>
      </c>
      <c r="J495" t="s">
        <v>23</v>
      </c>
      <c r="K495" t="s">
        <v>1701</v>
      </c>
      <c r="L495" t="s">
        <v>444</v>
      </c>
      <c r="M495">
        <v>80134</v>
      </c>
      <c r="N495" t="s">
        <v>40</v>
      </c>
      <c r="O495" t="s">
        <v>1706</v>
      </c>
      <c r="P495" t="s">
        <v>28</v>
      </c>
      <c r="Q495" t="s">
        <v>32</v>
      </c>
      <c r="R495" t="s">
        <v>1707</v>
      </c>
      <c r="S495">
        <v>801.56799999999998</v>
      </c>
    </row>
    <row r="496" spans="1:19" x14ac:dyDescent="0.35">
      <c r="A496">
        <v>504</v>
      </c>
      <c r="B496" t="s">
        <v>1698</v>
      </c>
      <c r="C496" s="1">
        <v>42885</v>
      </c>
      <c r="D496" s="1">
        <v>42890</v>
      </c>
      <c r="E496" s="1" t="str">
        <f t="shared" si="7"/>
        <v>FAST</v>
      </c>
      <c r="F496" t="s">
        <v>46</v>
      </c>
      <c r="G496" t="s">
        <v>1699</v>
      </c>
      <c r="H496" t="s">
        <v>1700</v>
      </c>
      <c r="I496" t="s">
        <v>37</v>
      </c>
      <c r="J496" t="s">
        <v>23</v>
      </c>
      <c r="K496" t="s">
        <v>1701</v>
      </c>
      <c r="L496" t="s">
        <v>444</v>
      </c>
      <c r="M496">
        <v>80134</v>
      </c>
      <c r="N496" t="s">
        <v>40</v>
      </c>
      <c r="O496" t="s">
        <v>1708</v>
      </c>
      <c r="P496" t="s">
        <v>42</v>
      </c>
      <c r="Q496" t="s">
        <v>71</v>
      </c>
      <c r="R496" t="s">
        <v>1709</v>
      </c>
      <c r="S496">
        <v>2.3759999999999999</v>
      </c>
    </row>
    <row r="497" spans="1:19" x14ac:dyDescent="0.35">
      <c r="A497">
        <v>505</v>
      </c>
      <c r="B497" t="s">
        <v>1698</v>
      </c>
      <c r="C497" s="1">
        <v>42885</v>
      </c>
      <c r="D497" s="1">
        <v>42890</v>
      </c>
      <c r="E497" s="1" t="str">
        <f t="shared" si="7"/>
        <v>FAST</v>
      </c>
      <c r="F497" t="s">
        <v>46</v>
      </c>
      <c r="G497" t="s">
        <v>1699</v>
      </c>
      <c r="H497" t="s">
        <v>1700</v>
      </c>
      <c r="I497" t="s">
        <v>37</v>
      </c>
      <c r="J497" t="s">
        <v>23</v>
      </c>
      <c r="K497" t="s">
        <v>1701</v>
      </c>
      <c r="L497" t="s">
        <v>444</v>
      </c>
      <c r="M497">
        <v>80134</v>
      </c>
      <c r="N497" t="s">
        <v>40</v>
      </c>
      <c r="O497" t="s">
        <v>1710</v>
      </c>
      <c r="P497" t="s">
        <v>42</v>
      </c>
      <c r="Q497" t="s">
        <v>86</v>
      </c>
      <c r="R497" t="s">
        <v>1711</v>
      </c>
      <c r="S497">
        <v>32.792000000000002</v>
      </c>
    </row>
    <row r="498" spans="1:19" x14ac:dyDescent="0.35">
      <c r="A498">
        <v>506</v>
      </c>
      <c r="B498" t="s">
        <v>1712</v>
      </c>
      <c r="C498" s="1">
        <v>43416</v>
      </c>
      <c r="D498" s="1">
        <v>43419</v>
      </c>
      <c r="E498" s="1" t="str">
        <f t="shared" si="7"/>
        <v>SLOW</v>
      </c>
      <c r="F498" t="s">
        <v>19</v>
      </c>
      <c r="G498" t="s">
        <v>1556</v>
      </c>
      <c r="H498" t="s">
        <v>1557</v>
      </c>
      <c r="I498" t="s">
        <v>37</v>
      </c>
      <c r="J498" t="s">
        <v>23</v>
      </c>
      <c r="K498" t="s">
        <v>260</v>
      </c>
      <c r="L498" t="s">
        <v>261</v>
      </c>
      <c r="M498">
        <v>10024</v>
      </c>
      <c r="N498" t="s">
        <v>144</v>
      </c>
      <c r="O498" t="s">
        <v>532</v>
      </c>
      <c r="P498" t="s">
        <v>42</v>
      </c>
      <c r="Q498" t="s">
        <v>71</v>
      </c>
      <c r="R498" t="s">
        <v>533</v>
      </c>
      <c r="S498">
        <v>15.92</v>
      </c>
    </row>
    <row r="499" spans="1:19" x14ac:dyDescent="0.35">
      <c r="A499">
        <v>507</v>
      </c>
      <c r="B499" t="s">
        <v>1713</v>
      </c>
      <c r="C499" s="1">
        <v>42445</v>
      </c>
      <c r="D499" s="1">
        <v>42451</v>
      </c>
      <c r="E499" s="1" t="str">
        <f t="shared" si="7"/>
        <v>FAST</v>
      </c>
      <c r="F499" t="s">
        <v>46</v>
      </c>
      <c r="G499" t="s">
        <v>1714</v>
      </c>
      <c r="H499" t="s">
        <v>1715</v>
      </c>
      <c r="I499" t="s">
        <v>22</v>
      </c>
      <c r="J499" t="s">
        <v>23</v>
      </c>
      <c r="K499" t="s">
        <v>1716</v>
      </c>
      <c r="L499" t="s">
        <v>1258</v>
      </c>
      <c r="M499">
        <v>30318</v>
      </c>
      <c r="N499" t="s">
        <v>26</v>
      </c>
      <c r="O499" t="s">
        <v>1717</v>
      </c>
      <c r="P499" t="s">
        <v>42</v>
      </c>
      <c r="Q499" t="s">
        <v>64</v>
      </c>
      <c r="R499" t="s">
        <v>1718</v>
      </c>
      <c r="S499">
        <v>2.74</v>
      </c>
    </row>
    <row r="500" spans="1:19" x14ac:dyDescent="0.35">
      <c r="A500">
        <v>508</v>
      </c>
      <c r="B500" t="s">
        <v>1713</v>
      </c>
      <c r="C500" s="1">
        <v>42445</v>
      </c>
      <c r="D500" s="1">
        <v>42451</v>
      </c>
      <c r="E500" s="1" t="str">
        <f t="shared" si="7"/>
        <v>FAST</v>
      </c>
      <c r="F500" t="s">
        <v>46</v>
      </c>
      <c r="G500" t="s">
        <v>1714</v>
      </c>
      <c r="H500" t="s">
        <v>1715</v>
      </c>
      <c r="I500" t="s">
        <v>22</v>
      </c>
      <c r="J500" t="s">
        <v>23</v>
      </c>
      <c r="K500" t="s">
        <v>1716</v>
      </c>
      <c r="L500" t="s">
        <v>1258</v>
      </c>
      <c r="M500">
        <v>30318</v>
      </c>
      <c r="N500" t="s">
        <v>26</v>
      </c>
      <c r="O500" t="s">
        <v>1719</v>
      </c>
      <c r="P500" t="s">
        <v>42</v>
      </c>
      <c r="Q500" t="s">
        <v>64</v>
      </c>
      <c r="R500" t="s">
        <v>1720</v>
      </c>
      <c r="S500">
        <v>8.34</v>
      </c>
    </row>
    <row r="501" spans="1:19" x14ac:dyDescent="0.35">
      <c r="A501">
        <v>509</v>
      </c>
      <c r="B501" t="s">
        <v>1713</v>
      </c>
      <c r="C501" s="1">
        <v>42445</v>
      </c>
      <c r="D501" s="1">
        <v>42451</v>
      </c>
      <c r="E501" s="1" t="str">
        <f t="shared" si="7"/>
        <v>FAST</v>
      </c>
      <c r="F501" t="s">
        <v>46</v>
      </c>
      <c r="G501" t="s">
        <v>1714</v>
      </c>
      <c r="H501" t="s">
        <v>1715</v>
      </c>
      <c r="I501" t="s">
        <v>22</v>
      </c>
      <c r="J501" t="s">
        <v>23</v>
      </c>
      <c r="K501" t="s">
        <v>1716</v>
      </c>
      <c r="L501" t="s">
        <v>1258</v>
      </c>
      <c r="M501">
        <v>30318</v>
      </c>
      <c r="N501" t="s">
        <v>26</v>
      </c>
      <c r="O501" t="s">
        <v>941</v>
      </c>
      <c r="P501" t="s">
        <v>42</v>
      </c>
      <c r="Q501" t="s">
        <v>55</v>
      </c>
      <c r="R501" t="s">
        <v>1721</v>
      </c>
      <c r="S501">
        <v>46.74</v>
      </c>
    </row>
    <row r="502" spans="1:19" x14ac:dyDescent="0.35">
      <c r="A502">
        <v>510</v>
      </c>
      <c r="B502" t="s">
        <v>1713</v>
      </c>
      <c r="C502" s="1">
        <v>42445</v>
      </c>
      <c r="D502" s="1">
        <v>42451</v>
      </c>
      <c r="E502" s="1" t="str">
        <f t="shared" si="7"/>
        <v>FAST</v>
      </c>
      <c r="F502" t="s">
        <v>46</v>
      </c>
      <c r="G502" t="s">
        <v>1714</v>
      </c>
      <c r="H502" t="s">
        <v>1715</v>
      </c>
      <c r="I502" t="s">
        <v>22</v>
      </c>
      <c r="J502" t="s">
        <v>23</v>
      </c>
      <c r="K502" t="s">
        <v>1716</v>
      </c>
      <c r="L502" t="s">
        <v>1258</v>
      </c>
      <c r="M502">
        <v>30318</v>
      </c>
      <c r="N502" t="s">
        <v>26</v>
      </c>
      <c r="O502" t="s">
        <v>1722</v>
      </c>
      <c r="P502" t="s">
        <v>42</v>
      </c>
      <c r="Q502" t="s">
        <v>71</v>
      </c>
      <c r="R502" t="s">
        <v>1723</v>
      </c>
      <c r="S502">
        <v>6354.95</v>
      </c>
    </row>
    <row r="503" spans="1:19" x14ac:dyDescent="0.35">
      <c r="A503">
        <v>511</v>
      </c>
      <c r="B503" t="s">
        <v>1724</v>
      </c>
      <c r="C503" s="1">
        <v>43430</v>
      </c>
      <c r="D503" s="1">
        <v>43431</v>
      </c>
      <c r="E503" s="1" t="str">
        <f t="shared" si="7"/>
        <v>MODERATE</v>
      </c>
      <c r="F503" t="s">
        <v>184</v>
      </c>
      <c r="G503" t="s">
        <v>1725</v>
      </c>
      <c r="H503" t="s">
        <v>1726</v>
      </c>
      <c r="I503" t="s">
        <v>22</v>
      </c>
      <c r="J503" t="s">
        <v>23</v>
      </c>
      <c r="K503" t="s">
        <v>1727</v>
      </c>
      <c r="L503" t="s">
        <v>584</v>
      </c>
      <c r="M503">
        <v>64118</v>
      </c>
      <c r="N503" t="s">
        <v>101</v>
      </c>
      <c r="O503" t="s">
        <v>1728</v>
      </c>
      <c r="P503" t="s">
        <v>28</v>
      </c>
      <c r="Q503" t="s">
        <v>61</v>
      </c>
      <c r="R503" t="s">
        <v>1729</v>
      </c>
      <c r="S503">
        <v>126.3</v>
      </c>
    </row>
    <row r="504" spans="1:19" x14ac:dyDescent="0.35">
      <c r="A504">
        <v>512</v>
      </c>
      <c r="B504" t="s">
        <v>1724</v>
      </c>
      <c r="C504" s="1">
        <v>43430</v>
      </c>
      <c r="D504" s="1">
        <v>43431</v>
      </c>
      <c r="E504" s="1" t="str">
        <f t="shared" si="7"/>
        <v>MODERATE</v>
      </c>
      <c r="F504" t="s">
        <v>184</v>
      </c>
      <c r="G504" t="s">
        <v>1725</v>
      </c>
      <c r="H504" t="s">
        <v>1726</v>
      </c>
      <c r="I504" t="s">
        <v>22</v>
      </c>
      <c r="J504" t="s">
        <v>23</v>
      </c>
      <c r="K504" t="s">
        <v>1727</v>
      </c>
      <c r="L504" t="s">
        <v>584</v>
      </c>
      <c r="M504">
        <v>64118</v>
      </c>
      <c r="N504" t="s">
        <v>101</v>
      </c>
      <c r="O504" t="s">
        <v>1730</v>
      </c>
      <c r="P504" t="s">
        <v>67</v>
      </c>
      <c r="Q504" t="s">
        <v>157</v>
      </c>
      <c r="R504" t="s">
        <v>1731</v>
      </c>
      <c r="S504">
        <v>38.04</v>
      </c>
    </row>
    <row r="505" spans="1:19" x14ac:dyDescent="0.35">
      <c r="A505">
        <v>513</v>
      </c>
      <c r="B505" t="s">
        <v>1732</v>
      </c>
      <c r="C505" s="1">
        <v>43028</v>
      </c>
      <c r="D505" s="1">
        <v>43031</v>
      </c>
      <c r="E505" s="1" t="str">
        <f t="shared" si="7"/>
        <v>MODERATE</v>
      </c>
      <c r="F505" t="s">
        <v>184</v>
      </c>
      <c r="G505" t="s">
        <v>1400</v>
      </c>
      <c r="H505" t="s">
        <v>1401</v>
      </c>
      <c r="I505" t="s">
        <v>22</v>
      </c>
      <c r="J505" t="s">
        <v>23</v>
      </c>
      <c r="K505" t="s">
        <v>594</v>
      </c>
      <c r="L505" t="s">
        <v>485</v>
      </c>
      <c r="M505">
        <v>43055</v>
      </c>
      <c r="N505" t="s">
        <v>144</v>
      </c>
      <c r="O505" t="s">
        <v>356</v>
      </c>
      <c r="P505" t="s">
        <v>42</v>
      </c>
      <c r="Q505" t="s">
        <v>64</v>
      </c>
      <c r="R505" t="s">
        <v>357</v>
      </c>
      <c r="S505">
        <v>7.1520000000000001</v>
      </c>
    </row>
    <row r="506" spans="1:19" x14ac:dyDescent="0.35">
      <c r="A506">
        <v>514</v>
      </c>
      <c r="B506" t="s">
        <v>1733</v>
      </c>
      <c r="C506" s="1">
        <v>43455</v>
      </c>
      <c r="D506" s="1">
        <v>43459</v>
      </c>
      <c r="E506" s="1" t="str">
        <f t="shared" si="7"/>
        <v>FAST</v>
      </c>
      <c r="F506" t="s">
        <v>46</v>
      </c>
      <c r="G506" t="s">
        <v>1734</v>
      </c>
      <c r="H506" t="s">
        <v>1735</v>
      </c>
      <c r="I506" t="s">
        <v>22</v>
      </c>
      <c r="J506" t="s">
        <v>23</v>
      </c>
      <c r="K506" t="s">
        <v>38</v>
      </c>
      <c r="L506" t="s">
        <v>39</v>
      </c>
      <c r="M506">
        <v>90049</v>
      </c>
      <c r="N506" t="s">
        <v>40</v>
      </c>
      <c r="O506" t="s">
        <v>1736</v>
      </c>
      <c r="P506" t="s">
        <v>42</v>
      </c>
      <c r="Q506" t="s">
        <v>64</v>
      </c>
      <c r="R506" t="s">
        <v>1737</v>
      </c>
      <c r="S506">
        <v>6.63</v>
      </c>
    </row>
    <row r="507" spans="1:19" x14ac:dyDescent="0.35">
      <c r="A507">
        <v>515</v>
      </c>
      <c r="B507" t="s">
        <v>1733</v>
      </c>
      <c r="C507" s="1">
        <v>43455</v>
      </c>
      <c r="D507" s="1">
        <v>43459</v>
      </c>
      <c r="E507" s="1" t="str">
        <f t="shared" si="7"/>
        <v>FAST</v>
      </c>
      <c r="F507" t="s">
        <v>46</v>
      </c>
      <c r="G507" t="s">
        <v>1734</v>
      </c>
      <c r="H507" t="s">
        <v>1735</v>
      </c>
      <c r="I507" t="s">
        <v>22</v>
      </c>
      <c r="J507" t="s">
        <v>23</v>
      </c>
      <c r="K507" t="s">
        <v>38</v>
      </c>
      <c r="L507" t="s">
        <v>39</v>
      </c>
      <c r="M507">
        <v>90049</v>
      </c>
      <c r="N507" t="s">
        <v>40</v>
      </c>
      <c r="O507" t="s">
        <v>1738</v>
      </c>
      <c r="P507" t="s">
        <v>42</v>
      </c>
      <c r="Q507" t="s">
        <v>64</v>
      </c>
      <c r="R507" t="s">
        <v>1739</v>
      </c>
      <c r="S507">
        <v>5.88</v>
      </c>
    </row>
    <row r="508" spans="1:19" x14ac:dyDescent="0.35">
      <c r="A508">
        <v>516</v>
      </c>
      <c r="B508" t="s">
        <v>1740</v>
      </c>
      <c r="C508" s="1">
        <v>43122</v>
      </c>
      <c r="D508" s="1">
        <v>43127</v>
      </c>
      <c r="E508" s="1" t="str">
        <f t="shared" si="7"/>
        <v>FAST</v>
      </c>
      <c r="F508" t="s">
        <v>46</v>
      </c>
      <c r="G508" t="s">
        <v>518</v>
      </c>
      <c r="H508" t="s">
        <v>519</v>
      </c>
      <c r="I508" t="s">
        <v>98</v>
      </c>
      <c r="J508" t="s">
        <v>23</v>
      </c>
      <c r="K508" t="s">
        <v>1741</v>
      </c>
      <c r="L508" t="s">
        <v>1742</v>
      </c>
      <c r="M508">
        <v>59405</v>
      </c>
      <c r="N508" t="s">
        <v>40</v>
      </c>
      <c r="O508" t="s">
        <v>1743</v>
      </c>
      <c r="P508" t="s">
        <v>67</v>
      </c>
      <c r="Q508" t="s">
        <v>1204</v>
      </c>
      <c r="R508" t="s">
        <v>1744</v>
      </c>
      <c r="S508">
        <v>2999.95</v>
      </c>
    </row>
    <row r="509" spans="1:19" x14ac:dyDescent="0.35">
      <c r="A509">
        <v>517</v>
      </c>
      <c r="B509" t="s">
        <v>1740</v>
      </c>
      <c r="C509" s="1">
        <v>43122</v>
      </c>
      <c r="D509" s="1">
        <v>43127</v>
      </c>
      <c r="E509" s="1" t="str">
        <f t="shared" si="7"/>
        <v>FAST</v>
      </c>
      <c r="F509" t="s">
        <v>46</v>
      </c>
      <c r="G509" t="s">
        <v>518</v>
      </c>
      <c r="H509" t="s">
        <v>519</v>
      </c>
      <c r="I509" t="s">
        <v>98</v>
      </c>
      <c r="J509" t="s">
        <v>23</v>
      </c>
      <c r="K509" t="s">
        <v>1741</v>
      </c>
      <c r="L509" t="s">
        <v>1742</v>
      </c>
      <c r="M509">
        <v>59405</v>
      </c>
      <c r="N509" t="s">
        <v>40</v>
      </c>
      <c r="O509" t="s">
        <v>1745</v>
      </c>
      <c r="P509" t="s">
        <v>42</v>
      </c>
      <c r="Q509" t="s">
        <v>55</v>
      </c>
      <c r="R509" t="s">
        <v>1746</v>
      </c>
      <c r="S509">
        <v>51.45</v>
      </c>
    </row>
    <row r="510" spans="1:19" x14ac:dyDescent="0.35">
      <c r="A510">
        <v>518</v>
      </c>
      <c r="B510" t="s">
        <v>1740</v>
      </c>
      <c r="C510" s="1">
        <v>43122</v>
      </c>
      <c r="D510" s="1">
        <v>43127</v>
      </c>
      <c r="E510" s="1" t="str">
        <f t="shared" si="7"/>
        <v>FAST</v>
      </c>
      <c r="F510" t="s">
        <v>46</v>
      </c>
      <c r="G510" t="s">
        <v>518</v>
      </c>
      <c r="H510" t="s">
        <v>519</v>
      </c>
      <c r="I510" t="s">
        <v>98</v>
      </c>
      <c r="J510" t="s">
        <v>23</v>
      </c>
      <c r="K510" t="s">
        <v>1741</v>
      </c>
      <c r="L510" t="s">
        <v>1742</v>
      </c>
      <c r="M510">
        <v>59405</v>
      </c>
      <c r="N510" t="s">
        <v>40</v>
      </c>
      <c r="O510" t="s">
        <v>1747</v>
      </c>
      <c r="P510" t="s">
        <v>42</v>
      </c>
      <c r="Q510" t="s">
        <v>86</v>
      </c>
      <c r="R510" t="s">
        <v>1748</v>
      </c>
      <c r="S510">
        <v>11.96</v>
      </c>
    </row>
    <row r="511" spans="1:19" x14ac:dyDescent="0.35">
      <c r="A511">
        <v>519</v>
      </c>
      <c r="B511" t="s">
        <v>1740</v>
      </c>
      <c r="C511" s="1">
        <v>43122</v>
      </c>
      <c r="D511" s="1">
        <v>43127</v>
      </c>
      <c r="E511" s="1" t="str">
        <f t="shared" si="7"/>
        <v>FAST</v>
      </c>
      <c r="F511" t="s">
        <v>46</v>
      </c>
      <c r="G511" t="s">
        <v>518</v>
      </c>
      <c r="H511" t="s">
        <v>519</v>
      </c>
      <c r="I511" t="s">
        <v>98</v>
      </c>
      <c r="J511" t="s">
        <v>23</v>
      </c>
      <c r="K511" t="s">
        <v>1741</v>
      </c>
      <c r="L511" t="s">
        <v>1742</v>
      </c>
      <c r="M511">
        <v>59405</v>
      </c>
      <c r="N511" t="s">
        <v>40</v>
      </c>
      <c r="O511" t="s">
        <v>1749</v>
      </c>
      <c r="P511" t="s">
        <v>42</v>
      </c>
      <c r="Q511" t="s">
        <v>55</v>
      </c>
      <c r="R511" t="s">
        <v>1750</v>
      </c>
      <c r="S511">
        <v>1126.02</v>
      </c>
    </row>
    <row r="512" spans="1:19" x14ac:dyDescent="0.35">
      <c r="A512">
        <v>520</v>
      </c>
      <c r="B512" t="s">
        <v>1751</v>
      </c>
      <c r="C512" s="1">
        <v>42451</v>
      </c>
      <c r="D512" s="1">
        <v>42455</v>
      </c>
      <c r="E512" s="1" t="str">
        <f t="shared" si="7"/>
        <v>FAST</v>
      </c>
      <c r="F512" t="s">
        <v>46</v>
      </c>
      <c r="G512" t="s">
        <v>1752</v>
      </c>
      <c r="H512" t="s">
        <v>1753</v>
      </c>
      <c r="I512" t="s">
        <v>22</v>
      </c>
      <c r="J512" t="s">
        <v>23</v>
      </c>
      <c r="K512" t="s">
        <v>180</v>
      </c>
      <c r="L512" t="s">
        <v>100</v>
      </c>
      <c r="M512">
        <v>77041</v>
      </c>
      <c r="N512" t="s">
        <v>101</v>
      </c>
      <c r="O512" t="s">
        <v>224</v>
      </c>
      <c r="P512" t="s">
        <v>67</v>
      </c>
      <c r="Q512" t="s">
        <v>157</v>
      </c>
      <c r="R512" t="s">
        <v>225</v>
      </c>
      <c r="S512">
        <v>18.391999999999999</v>
      </c>
    </row>
    <row r="513" spans="1:19" x14ac:dyDescent="0.35">
      <c r="A513">
        <v>521</v>
      </c>
      <c r="B513" t="s">
        <v>1751</v>
      </c>
      <c r="C513" s="1">
        <v>42451</v>
      </c>
      <c r="D513" s="1">
        <v>42455</v>
      </c>
      <c r="E513" s="1" t="str">
        <f t="shared" si="7"/>
        <v>FAST</v>
      </c>
      <c r="F513" t="s">
        <v>46</v>
      </c>
      <c r="G513" t="s">
        <v>1752</v>
      </c>
      <c r="H513" t="s">
        <v>1753</v>
      </c>
      <c r="I513" t="s">
        <v>22</v>
      </c>
      <c r="J513" t="s">
        <v>23</v>
      </c>
      <c r="K513" t="s">
        <v>180</v>
      </c>
      <c r="L513" t="s">
        <v>100</v>
      </c>
      <c r="M513">
        <v>77041</v>
      </c>
      <c r="N513" t="s">
        <v>101</v>
      </c>
      <c r="O513" t="s">
        <v>1754</v>
      </c>
      <c r="P513" t="s">
        <v>42</v>
      </c>
      <c r="Q513" t="s">
        <v>55</v>
      </c>
      <c r="R513" t="s">
        <v>1755</v>
      </c>
      <c r="S513">
        <v>129.56800000000001</v>
      </c>
    </row>
    <row r="514" spans="1:19" x14ac:dyDescent="0.35">
      <c r="A514">
        <v>522</v>
      </c>
      <c r="B514" t="s">
        <v>1751</v>
      </c>
      <c r="C514" s="1">
        <v>42451</v>
      </c>
      <c r="D514" s="1">
        <v>42455</v>
      </c>
      <c r="E514" s="1" t="str">
        <f t="shared" si="7"/>
        <v>FAST</v>
      </c>
      <c r="F514" t="s">
        <v>46</v>
      </c>
      <c r="G514" t="s">
        <v>1752</v>
      </c>
      <c r="H514" t="s">
        <v>1753</v>
      </c>
      <c r="I514" t="s">
        <v>22</v>
      </c>
      <c r="J514" t="s">
        <v>23</v>
      </c>
      <c r="K514" t="s">
        <v>180</v>
      </c>
      <c r="L514" t="s">
        <v>100</v>
      </c>
      <c r="M514">
        <v>77041</v>
      </c>
      <c r="N514" t="s">
        <v>101</v>
      </c>
      <c r="O514" t="s">
        <v>1756</v>
      </c>
      <c r="P514" t="s">
        <v>42</v>
      </c>
      <c r="Q514" t="s">
        <v>71</v>
      </c>
      <c r="R514" t="s">
        <v>1757</v>
      </c>
      <c r="S514">
        <v>14.112</v>
      </c>
    </row>
    <row r="515" spans="1:19" x14ac:dyDescent="0.35">
      <c r="A515">
        <v>523</v>
      </c>
      <c r="B515" t="s">
        <v>1758</v>
      </c>
      <c r="C515" s="1">
        <v>43123</v>
      </c>
      <c r="D515" s="1">
        <v>43125</v>
      </c>
      <c r="E515" s="1" t="str">
        <f t="shared" ref="E515:E578" si="8">IF(F515="STANDARD CLASS","FAST",IF(F515="SECOND CLASS","SLOW","MODERATE"))</f>
        <v>MODERATE</v>
      </c>
      <c r="F515" t="s">
        <v>184</v>
      </c>
      <c r="G515" t="s">
        <v>1759</v>
      </c>
      <c r="H515" t="s">
        <v>1760</v>
      </c>
      <c r="I515" t="s">
        <v>37</v>
      </c>
      <c r="J515" t="s">
        <v>23</v>
      </c>
      <c r="K515" t="s">
        <v>867</v>
      </c>
      <c r="L515" t="s">
        <v>232</v>
      </c>
      <c r="M515">
        <v>48234</v>
      </c>
      <c r="N515" t="s">
        <v>101</v>
      </c>
      <c r="O515" t="s">
        <v>1681</v>
      </c>
      <c r="P515" t="s">
        <v>28</v>
      </c>
      <c r="Q515" t="s">
        <v>52</v>
      </c>
      <c r="R515" t="s">
        <v>1682</v>
      </c>
      <c r="S515">
        <v>210.98</v>
      </c>
    </row>
    <row r="516" spans="1:19" x14ac:dyDescent="0.35">
      <c r="A516">
        <v>524</v>
      </c>
      <c r="B516" t="s">
        <v>1761</v>
      </c>
      <c r="C516" s="1">
        <v>42876</v>
      </c>
      <c r="D516" s="1">
        <v>42878</v>
      </c>
      <c r="E516" s="1" t="str">
        <f t="shared" si="8"/>
        <v>MODERATE</v>
      </c>
      <c r="F516" t="s">
        <v>184</v>
      </c>
      <c r="G516" t="s">
        <v>928</v>
      </c>
      <c r="H516" t="s">
        <v>929</v>
      </c>
      <c r="I516" t="s">
        <v>22</v>
      </c>
      <c r="J516" t="s">
        <v>23</v>
      </c>
      <c r="K516" t="s">
        <v>38</v>
      </c>
      <c r="L516" t="s">
        <v>39</v>
      </c>
      <c r="M516">
        <v>90032</v>
      </c>
      <c r="N516" t="s">
        <v>40</v>
      </c>
      <c r="O516" t="s">
        <v>1762</v>
      </c>
      <c r="P516" t="s">
        <v>67</v>
      </c>
      <c r="Q516" t="s">
        <v>68</v>
      </c>
      <c r="R516" t="s">
        <v>1763</v>
      </c>
      <c r="S516">
        <v>55.176000000000002</v>
      </c>
    </row>
    <row r="517" spans="1:19" x14ac:dyDescent="0.35">
      <c r="A517">
        <v>525</v>
      </c>
      <c r="B517" t="s">
        <v>1761</v>
      </c>
      <c r="C517" s="1">
        <v>42876</v>
      </c>
      <c r="D517" s="1">
        <v>42878</v>
      </c>
      <c r="E517" s="1" t="str">
        <f t="shared" si="8"/>
        <v>MODERATE</v>
      </c>
      <c r="F517" t="s">
        <v>184</v>
      </c>
      <c r="G517" t="s">
        <v>928</v>
      </c>
      <c r="H517" t="s">
        <v>929</v>
      </c>
      <c r="I517" t="s">
        <v>22</v>
      </c>
      <c r="J517" t="s">
        <v>23</v>
      </c>
      <c r="K517" t="s">
        <v>38</v>
      </c>
      <c r="L517" t="s">
        <v>39</v>
      </c>
      <c r="M517">
        <v>90032</v>
      </c>
      <c r="N517" t="s">
        <v>40</v>
      </c>
      <c r="O517" t="s">
        <v>894</v>
      </c>
      <c r="P517" t="s">
        <v>67</v>
      </c>
      <c r="Q517" t="s">
        <v>157</v>
      </c>
      <c r="R517" t="s">
        <v>1764</v>
      </c>
      <c r="S517">
        <v>66.260000000000005</v>
      </c>
    </row>
    <row r="518" spans="1:19" x14ac:dyDescent="0.35">
      <c r="A518">
        <v>526</v>
      </c>
      <c r="B518" t="s">
        <v>1765</v>
      </c>
      <c r="C518" s="1">
        <v>42730</v>
      </c>
      <c r="D518" s="1">
        <v>42737</v>
      </c>
      <c r="E518" s="1" t="str">
        <f t="shared" si="8"/>
        <v>FAST</v>
      </c>
      <c r="F518" t="s">
        <v>46</v>
      </c>
      <c r="G518" t="s">
        <v>1766</v>
      </c>
      <c r="H518" t="s">
        <v>1767</v>
      </c>
      <c r="I518" t="s">
        <v>22</v>
      </c>
      <c r="J518" t="s">
        <v>23</v>
      </c>
      <c r="K518" t="s">
        <v>1463</v>
      </c>
      <c r="L518" t="s">
        <v>1233</v>
      </c>
      <c r="M518">
        <v>1841</v>
      </c>
      <c r="N518" t="s">
        <v>144</v>
      </c>
      <c r="O518" t="s">
        <v>1768</v>
      </c>
      <c r="P518" t="s">
        <v>42</v>
      </c>
      <c r="Q518" t="s">
        <v>263</v>
      </c>
      <c r="R518" t="s">
        <v>550</v>
      </c>
      <c r="S518">
        <v>22.2</v>
      </c>
    </row>
    <row r="519" spans="1:19" x14ac:dyDescent="0.35">
      <c r="A519">
        <v>527</v>
      </c>
      <c r="B519" t="s">
        <v>1769</v>
      </c>
      <c r="C519" s="1">
        <v>43394</v>
      </c>
      <c r="D519" s="1">
        <v>43399</v>
      </c>
      <c r="E519" s="1" t="str">
        <f t="shared" si="8"/>
        <v>FAST</v>
      </c>
      <c r="F519" t="s">
        <v>46</v>
      </c>
      <c r="G519" t="s">
        <v>1770</v>
      </c>
      <c r="H519" t="s">
        <v>1771</v>
      </c>
      <c r="I519" t="s">
        <v>98</v>
      </c>
      <c r="J519" t="s">
        <v>23</v>
      </c>
      <c r="K519" t="s">
        <v>1772</v>
      </c>
      <c r="L519" t="s">
        <v>50</v>
      </c>
      <c r="M519">
        <v>33801</v>
      </c>
      <c r="N519" t="s">
        <v>26</v>
      </c>
      <c r="O519" t="s">
        <v>1773</v>
      </c>
      <c r="P519" t="s">
        <v>28</v>
      </c>
      <c r="Q519" t="s">
        <v>32</v>
      </c>
      <c r="R519" t="s">
        <v>1774</v>
      </c>
      <c r="S519">
        <v>683.952</v>
      </c>
    </row>
    <row r="520" spans="1:19" x14ac:dyDescent="0.35">
      <c r="A520">
        <v>528</v>
      </c>
      <c r="B520" t="s">
        <v>1769</v>
      </c>
      <c r="C520" s="1">
        <v>43394</v>
      </c>
      <c r="D520" s="1">
        <v>43399</v>
      </c>
      <c r="E520" s="1" t="str">
        <f t="shared" si="8"/>
        <v>FAST</v>
      </c>
      <c r="F520" t="s">
        <v>46</v>
      </c>
      <c r="G520" t="s">
        <v>1770</v>
      </c>
      <c r="H520" t="s">
        <v>1771</v>
      </c>
      <c r="I520" t="s">
        <v>98</v>
      </c>
      <c r="J520" t="s">
        <v>23</v>
      </c>
      <c r="K520" t="s">
        <v>1772</v>
      </c>
      <c r="L520" t="s">
        <v>50</v>
      </c>
      <c r="M520">
        <v>33801</v>
      </c>
      <c r="N520" t="s">
        <v>26</v>
      </c>
      <c r="O520" t="s">
        <v>1126</v>
      </c>
      <c r="P520" t="s">
        <v>28</v>
      </c>
      <c r="Q520" t="s">
        <v>61</v>
      </c>
      <c r="R520" t="s">
        <v>1127</v>
      </c>
      <c r="S520">
        <v>45.695999999999998</v>
      </c>
    </row>
    <row r="521" spans="1:19" x14ac:dyDescent="0.35">
      <c r="A521">
        <v>529</v>
      </c>
      <c r="B521" t="s">
        <v>1775</v>
      </c>
      <c r="C521" s="1">
        <v>42616</v>
      </c>
      <c r="D521" s="1">
        <v>42620</v>
      </c>
      <c r="E521" s="1" t="str">
        <f t="shared" si="8"/>
        <v>FAST</v>
      </c>
      <c r="F521" t="s">
        <v>46</v>
      </c>
      <c r="G521" t="s">
        <v>1776</v>
      </c>
      <c r="H521" t="s">
        <v>1777</v>
      </c>
      <c r="I521" t="s">
        <v>22</v>
      </c>
      <c r="J521" t="s">
        <v>23</v>
      </c>
      <c r="K521" t="s">
        <v>142</v>
      </c>
      <c r="L521" t="s">
        <v>143</v>
      </c>
      <c r="M521">
        <v>19134</v>
      </c>
      <c r="N521" t="s">
        <v>144</v>
      </c>
      <c r="O521" t="s">
        <v>1778</v>
      </c>
      <c r="P521" t="s">
        <v>42</v>
      </c>
      <c r="Q521" t="s">
        <v>55</v>
      </c>
      <c r="R521" t="s">
        <v>1779</v>
      </c>
      <c r="S521">
        <v>36.335999999999999</v>
      </c>
    </row>
    <row r="522" spans="1:19" x14ac:dyDescent="0.35">
      <c r="A522">
        <v>530</v>
      </c>
      <c r="B522" t="s">
        <v>1775</v>
      </c>
      <c r="C522" s="1">
        <v>42616</v>
      </c>
      <c r="D522" s="1">
        <v>42620</v>
      </c>
      <c r="E522" s="1" t="str">
        <f t="shared" si="8"/>
        <v>FAST</v>
      </c>
      <c r="F522" t="s">
        <v>46</v>
      </c>
      <c r="G522" t="s">
        <v>1776</v>
      </c>
      <c r="H522" t="s">
        <v>1777</v>
      </c>
      <c r="I522" t="s">
        <v>22</v>
      </c>
      <c r="J522" t="s">
        <v>23</v>
      </c>
      <c r="K522" t="s">
        <v>142</v>
      </c>
      <c r="L522" t="s">
        <v>143</v>
      </c>
      <c r="M522">
        <v>19134</v>
      </c>
      <c r="N522" t="s">
        <v>144</v>
      </c>
      <c r="O522" t="s">
        <v>1780</v>
      </c>
      <c r="P522" t="s">
        <v>42</v>
      </c>
      <c r="Q522" t="s">
        <v>566</v>
      </c>
      <c r="R522" t="s">
        <v>1781</v>
      </c>
      <c r="S522">
        <v>666.24800000000005</v>
      </c>
    </row>
    <row r="523" spans="1:19" x14ac:dyDescent="0.35">
      <c r="A523">
        <v>531</v>
      </c>
      <c r="B523" t="s">
        <v>1775</v>
      </c>
      <c r="C523" s="1">
        <v>42616</v>
      </c>
      <c r="D523" s="1">
        <v>42620</v>
      </c>
      <c r="E523" s="1" t="str">
        <f t="shared" si="8"/>
        <v>FAST</v>
      </c>
      <c r="F523" t="s">
        <v>46</v>
      </c>
      <c r="G523" t="s">
        <v>1776</v>
      </c>
      <c r="H523" t="s">
        <v>1777</v>
      </c>
      <c r="I523" t="s">
        <v>22</v>
      </c>
      <c r="J523" t="s">
        <v>23</v>
      </c>
      <c r="K523" t="s">
        <v>142</v>
      </c>
      <c r="L523" t="s">
        <v>143</v>
      </c>
      <c r="M523">
        <v>19134</v>
      </c>
      <c r="N523" t="s">
        <v>144</v>
      </c>
      <c r="O523" t="s">
        <v>1782</v>
      </c>
      <c r="P523" t="s">
        <v>42</v>
      </c>
      <c r="Q523" t="s">
        <v>169</v>
      </c>
      <c r="R523" t="s">
        <v>1783</v>
      </c>
      <c r="S523">
        <v>52.512</v>
      </c>
    </row>
    <row r="524" spans="1:19" x14ac:dyDescent="0.35">
      <c r="A524">
        <v>532</v>
      </c>
      <c r="B524" t="s">
        <v>1784</v>
      </c>
      <c r="C524" s="1">
        <v>42681</v>
      </c>
      <c r="D524" s="1">
        <v>42683</v>
      </c>
      <c r="E524" s="1" t="str">
        <f t="shared" si="8"/>
        <v>SLOW</v>
      </c>
      <c r="F524" t="s">
        <v>19</v>
      </c>
      <c r="G524" t="s">
        <v>1785</v>
      </c>
      <c r="H524" t="s">
        <v>1786</v>
      </c>
      <c r="I524" t="s">
        <v>37</v>
      </c>
      <c r="J524" t="s">
        <v>23</v>
      </c>
      <c r="K524" t="s">
        <v>38</v>
      </c>
      <c r="L524" t="s">
        <v>39</v>
      </c>
      <c r="M524">
        <v>90036</v>
      </c>
      <c r="N524" t="s">
        <v>40</v>
      </c>
      <c r="O524" t="s">
        <v>1787</v>
      </c>
      <c r="P524" t="s">
        <v>28</v>
      </c>
      <c r="Q524" t="s">
        <v>32</v>
      </c>
      <c r="R524" t="s">
        <v>1788</v>
      </c>
      <c r="S524">
        <v>190.72</v>
      </c>
    </row>
    <row r="525" spans="1:19" x14ac:dyDescent="0.35">
      <c r="A525">
        <v>533</v>
      </c>
      <c r="B525" t="s">
        <v>1789</v>
      </c>
      <c r="C525" s="1">
        <v>43350</v>
      </c>
      <c r="D525" s="1">
        <v>43354</v>
      </c>
      <c r="E525" s="1" t="str">
        <f t="shared" si="8"/>
        <v>FAST</v>
      </c>
      <c r="F525" t="s">
        <v>46</v>
      </c>
      <c r="G525" t="s">
        <v>1790</v>
      </c>
      <c r="H525" t="s">
        <v>1791</v>
      </c>
      <c r="I525" t="s">
        <v>22</v>
      </c>
      <c r="J525" t="s">
        <v>23</v>
      </c>
      <c r="K525" t="s">
        <v>38</v>
      </c>
      <c r="L525" t="s">
        <v>39</v>
      </c>
      <c r="M525">
        <v>90032</v>
      </c>
      <c r="N525" t="s">
        <v>40</v>
      </c>
      <c r="O525" t="s">
        <v>1792</v>
      </c>
      <c r="P525" t="s">
        <v>28</v>
      </c>
      <c r="Q525" t="s">
        <v>61</v>
      </c>
      <c r="R525" t="s">
        <v>1793</v>
      </c>
      <c r="S525">
        <v>47.94</v>
      </c>
    </row>
    <row r="526" spans="1:19" x14ac:dyDescent="0.35">
      <c r="A526">
        <v>534</v>
      </c>
      <c r="B526" t="s">
        <v>1794</v>
      </c>
      <c r="C526" s="1">
        <v>42884</v>
      </c>
      <c r="D526" s="1">
        <v>42887</v>
      </c>
      <c r="E526" s="1" t="str">
        <f t="shared" si="8"/>
        <v>SLOW</v>
      </c>
      <c r="F526" t="s">
        <v>19</v>
      </c>
      <c r="G526" t="s">
        <v>1795</v>
      </c>
      <c r="H526" t="s">
        <v>1796</v>
      </c>
      <c r="I526" t="s">
        <v>22</v>
      </c>
      <c r="J526" t="s">
        <v>23</v>
      </c>
      <c r="K526" t="s">
        <v>1797</v>
      </c>
      <c r="L526" t="s">
        <v>350</v>
      </c>
      <c r="M526">
        <v>36116</v>
      </c>
      <c r="N526" t="s">
        <v>26</v>
      </c>
      <c r="O526" t="s">
        <v>1798</v>
      </c>
      <c r="P526" t="s">
        <v>67</v>
      </c>
      <c r="Q526" t="s">
        <v>68</v>
      </c>
      <c r="R526" t="s">
        <v>1799</v>
      </c>
      <c r="S526">
        <v>979.95</v>
      </c>
    </row>
    <row r="527" spans="1:19" x14ac:dyDescent="0.35">
      <c r="A527">
        <v>535</v>
      </c>
      <c r="B527" t="s">
        <v>1794</v>
      </c>
      <c r="C527" s="1">
        <v>42884</v>
      </c>
      <c r="D527" s="1">
        <v>42887</v>
      </c>
      <c r="E527" s="1" t="str">
        <f t="shared" si="8"/>
        <v>SLOW</v>
      </c>
      <c r="F527" t="s">
        <v>19</v>
      </c>
      <c r="G527" t="s">
        <v>1795</v>
      </c>
      <c r="H527" t="s">
        <v>1796</v>
      </c>
      <c r="I527" t="s">
        <v>22</v>
      </c>
      <c r="J527" t="s">
        <v>23</v>
      </c>
      <c r="K527" t="s">
        <v>1797</v>
      </c>
      <c r="L527" t="s">
        <v>350</v>
      </c>
      <c r="M527">
        <v>36116</v>
      </c>
      <c r="N527" t="s">
        <v>26</v>
      </c>
      <c r="O527" t="s">
        <v>1010</v>
      </c>
      <c r="P527" t="s">
        <v>42</v>
      </c>
      <c r="Q527" t="s">
        <v>71</v>
      </c>
      <c r="R527" t="s">
        <v>1011</v>
      </c>
      <c r="S527">
        <v>22.75</v>
      </c>
    </row>
    <row r="528" spans="1:19" x14ac:dyDescent="0.35">
      <c r="A528">
        <v>536</v>
      </c>
      <c r="B528" t="s">
        <v>1800</v>
      </c>
      <c r="C528" s="1">
        <v>42926</v>
      </c>
      <c r="D528" s="1">
        <v>42932</v>
      </c>
      <c r="E528" s="1" t="str">
        <f t="shared" si="8"/>
        <v>FAST</v>
      </c>
      <c r="F528" t="s">
        <v>46</v>
      </c>
      <c r="G528" t="s">
        <v>1801</v>
      </c>
      <c r="H528" t="s">
        <v>1802</v>
      </c>
      <c r="I528" t="s">
        <v>22</v>
      </c>
      <c r="J528" t="s">
        <v>23</v>
      </c>
      <c r="K528" t="s">
        <v>1803</v>
      </c>
      <c r="L528" t="s">
        <v>304</v>
      </c>
      <c r="M528">
        <v>85204</v>
      </c>
      <c r="N528" t="s">
        <v>40</v>
      </c>
      <c r="O528" t="s">
        <v>1804</v>
      </c>
      <c r="P528" t="s">
        <v>42</v>
      </c>
      <c r="Q528" t="s">
        <v>55</v>
      </c>
      <c r="R528" t="s">
        <v>1805</v>
      </c>
      <c r="S528">
        <v>16.768000000000001</v>
      </c>
    </row>
    <row r="529" spans="1:19" x14ac:dyDescent="0.35">
      <c r="A529">
        <v>537</v>
      </c>
      <c r="B529" t="s">
        <v>1806</v>
      </c>
      <c r="C529" s="1">
        <v>43346</v>
      </c>
      <c r="D529" s="1">
        <v>43351</v>
      </c>
      <c r="E529" s="1" t="str">
        <f t="shared" si="8"/>
        <v>SLOW</v>
      </c>
      <c r="F529" t="s">
        <v>19</v>
      </c>
      <c r="G529" t="s">
        <v>1807</v>
      </c>
      <c r="H529" t="s">
        <v>1808</v>
      </c>
      <c r="I529" t="s">
        <v>22</v>
      </c>
      <c r="J529" t="s">
        <v>23</v>
      </c>
      <c r="K529" t="s">
        <v>297</v>
      </c>
      <c r="L529" t="s">
        <v>205</v>
      </c>
      <c r="M529">
        <v>60653</v>
      </c>
      <c r="N529" t="s">
        <v>101</v>
      </c>
      <c r="O529" t="s">
        <v>1809</v>
      </c>
      <c r="P529" t="s">
        <v>42</v>
      </c>
      <c r="Q529" t="s">
        <v>71</v>
      </c>
      <c r="R529" t="s">
        <v>1810</v>
      </c>
      <c r="S529">
        <v>42.616</v>
      </c>
    </row>
    <row r="530" spans="1:19" x14ac:dyDescent="0.35">
      <c r="A530">
        <v>538</v>
      </c>
      <c r="B530" t="s">
        <v>1811</v>
      </c>
      <c r="C530" s="1">
        <v>42707</v>
      </c>
      <c r="D530" s="1">
        <v>42712</v>
      </c>
      <c r="E530" s="1" t="str">
        <f t="shared" si="8"/>
        <v>FAST</v>
      </c>
      <c r="F530" t="s">
        <v>46</v>
      </c>
      <c r="G530" t="s">
        <v>751</v>
      </c>
      <c r="H530" t="s">
        <v>752</v>
      </c>
      <c r="I530" t="s">
        <v>98</v>
      </c>
      <c r="J530" t="s">
        <v>23</v>
      </c>
      <c r="K530" t="s">
        <v>260</v>
      </c>
      <c r="L530" t="s">
        <v>261</v>
      </c>
      <c r="M530">
        <v>10009</v>
      </c>
      <c r="N530" t="s">
        <v>144</v>
      </c>
      <c r="O530" t="s">
        <v>1812</v>
      </c>
      <c r="P530" t="s">
        <v>42</v>
      </c>
      <c r="Q530" t="s">
        <v>71</v>
      </c>
      <c r="R530" t="s">
        <v>1813</v>
      </c>
      <c r="S530">
        <v>10.752000000000001</v>
      </c>
    </row>
    <row r="531" spans="1:19" x14ac:dyDescent="0.35">
      <c r="A531">
        <v>539</v>
      </c>
      <c r="B531" t="s">
        <v>1814</v>
      </c>
      <c r="C531" s="1">
        <v>42711</v>
      </c>
      <c r="D531" s="1">
        <v>42715</v>
      </c>
      <c r="E531" s="1" t="str">
        <f t="shared" si="8"/>
        <v>FAST</v>
      </c>
      <c r="F531" t="s">
        <v>46</v>
      </c>
      <c r="G531" t="s">
        <v>1815</v>
      </c>
      <c r="H531" t="s">
        <v>1816</v>
      </c>
      <c r="I531" t="s">
        <v>22</v>
      </c>
      <c r="J531" t="s">
        <v>23</v>
      </c>
      <c r="K531" t="s">
        <v>24</v>
      </c>
      <c r="L531" t="s">
        <v>25</v>
      </c>
      <c r="M531">
        <v>42420</v>
      </c>
      <c r="N531" t="s">
        <v>26</v>
      </c>
      <c r="O531" t="s">
        <v>1817</v>
      </c>
      <c r="P531" t="s">
        <v>42</v>
      </c>
      <c r="Q531" t="s">
        <v>74</v>
      </c>
      <c r="R531" t="s">
        <v>1818</v>
      </c>
      <c r="S531">
        <v>152.94</v>
      </c>
    </row>
    <row r="532" spans="1:19" x14ac:dyDescent="0.35">
      <c r="A532">
        <v>540</v>
      </c>
      <c r="B532" t="s">
        <v>1814</v>
      </c>
      <c r="C532" s="1">
        <v>42711</v>
      </c>
      <c r="D532" s="1">
        <v>42715</v>
      </c>
      <c r="E532" s="1" t="str">
        <f t="shared" si="8"/>
        <v>FAST</v>
      </c>
      <c r="F532" t="s">
        <v>46</v>
      </c>
      <c r="G532" t="s">
        <v>1815</v>
      </c>
      <c r="H532" t="s">
        <v>1816</v>
      </c>
      <c r="I532" t="s">
        <v>22</v>
      </c>
      <c r="J532" t="s">
        <v>23</v>
      </c>
      <c r="K532" t="s">
        <v>24</v>
      </c>
      <c r="L532" t="s">
        <v>25</v>
      </c>
      <c r="M532">
        <v>42420</v>
      </c>
      <c r="N532" t="s">
        <v>26</v>
      </c>
      <c r="O532" t="s">
        <v>1819</v>
      </c>
      <c r="P532" t="s">
        <v>28</v>
      </c>
      <c r="Q532" t="s">
        <v>32</v>
      </c>
      <c r="R532" t="s">
        <v>1820</v>
      </c>
      <c r="S532">
        <v>283.92</v>
      </c>
    </row>
    <row r="533" spans="1:19" x14ac:dyDescent="0.35">
      <c r="A533">
        <v>541</v>
      </c>
      <c r="B533" t="s">
        <v>1821</v>
      </c>
      <c r="C533" s="1">
        <v>42036</v>
      </c>
      <c r="D533" s="1">
        <v>42038</v>
      </c>
      <c r="E533" s="1" t="str">
        <f t="shared" si="8"/>
        <v>MODERATE</v>
      </c>
      <c r="F533" t="s">
        <v>184</v>
      </c>
      <c r="G533" t="s">
        <v>1822</v>
      </c>
      <c r="H533" t="s">
        <v>1823</v>
      </c>
      <c r="I533" t="s">
        <v>22</v>
      </c>
      <c r="J533" t="s">
        <v>23</v>
      </c>
      <c r="K533" t="s">
        <v>1824</v>
      </c>
      <c r="L533" t="s">
        <v>110</v>
      </c>
      <c r="M533">
        <v>54302</v>
      </c>
      <c r="N533" t="s">
        <v>101</v>
      </c>
      <c r="O533" t="s">
        <v>1825</v>
      </c>
      <c r="P533" t="s">
        <v>67</v>
      </c>
      <c r="Q533" t="s">
        <v>157</v>
      </c>
      <c r="R533" t="s">
        <v>1826</v>
      </c>
      <c r="S533">
        <v>468.9</v>
      </c>
    </row>
    <row r="534" spans="1:19" x14ac:dyDescent="0.35">
      <c r="A534">
        <v>542</v>
      </c>
      <c r="B534" t="s">
        <v>1827</v>
      </c>
      <c r="C534" s="1">
        <v>42930</v>
      </c>
      <c r="D534" s="1">
        <v>42933</v>
      </c>
      <c r="E534" s="1" t="str">
        <f t="shared" si="8"/>
        <v>MODERATE</v>
      </c>
      <c r="F534" t="s">
        <v>184</v>
      </c>
      <c r="G534" t="s">
        <v>214</v>
      </c>
      <c r="H534" t="s">
        <v>215</v>
      </c>
      <c r="I534" t="s">
        <v>37</v>
      </c>
      <c r="J534" t="s">
        <v>23</v>
      </c>
      <c r="K534" t="s">
        <v>1297</v>
      </c>
      <c r="L534" t="s">
        <v>304</v>
      </c>
      <c r="M534">
        <v>85705</v>
      </c>
      <c r="N534" t="s">
        <v>40</v>
      </c>
      <c r="O534" t="s">
        <v>1828</v>
      </c>
      <c r="P534" t="s">
        <v>67</v>
      </c>
      <c r="Q534" t="s">
        <v>68</v>
      </c>
      <c r="R534" t="s">
        <v>1829</v>
      </c>
      <c r="S534">
        <v>380.86399999999998</v>
      </c>
    </row>
    <row r="535" spans="1:19" x14ac:dyDescent="0.35">
      <c r="A535">
        <v>543</v>
      </c>
      <c r="B535" t="s">
        <v>1830</v>
      </c>
      <c r="C535" s="1">
        <v>42722</v>
      </c>
      <c r="D535" s="1">
        <v>42727</v>
      </c>
      <c r="E535" s="1" t="str">
        <f t="shared" si="8"/>
        <v>FAST</v>
      </c>
      <c r="F535" t="s">
        <v>46</v>
      </c>
      <c r="G535" t="s">
        <v>1831</v>
      </c>
      <c r="H535" t="s">
        <v>1832</v>
      </c>
      <c r="I535" t="s">
        <v>22</v>
      </c>
      <c r="J535" t="s">
        <v>23</v>
      </c>
      <c r="K535" t="s">
        <v>312</v>
      </c>
      <c r="L535" t="s">
        <v>485</v>
      </c>
      <c r="M535">
        <v>45503</v>
      </c>
      <c r="N535" t="s">
        <v>144</v>
      </c>
      <c r="O535" t="s">
        <v>1669</v>
      </c>
      <c r="P535" t="s">
        <v>42</v>
      </c>
      <c r="Q535" t="s">
        <v>55</v>
      </c>
      <c r="R535" t="s">
        <v>1670</v>
      </c>
      <c r="S535">
        <v>646.77599999999995</v>
      </c>
    </row>
    <row r="536" spans="1:19" x14ac:dyDescent="0.35">
      <c r="A536">
        <v>544</v>
      </c>
      <c r="B536" t="s">
        <v>1833</v>
      </c>
      <c r="C536" s="1">
        <v>42135</v>
      </c>
      <c r="D536" s="1">
        <v>42140</v>
      </c>
      <c r="E536" s="1" t="str">
        <f t="shared" si="8"/>
        <v>FAST</v>
      </c>
      <c r="F536" t="s">
        <v>46</v>
      </c>
      <c r="G536" t="s">
        <v>377</v>
      </c>
      <c r="H536" t="s">
        <v>378</v>
      </c>
      <c r="I536" t="s">
        <v>22</v>
      </c>
      <c r="J536" t="s">
        <v>23</v>
      </c>
      <c r="K536" t="s">
        <v>99</v>
      </c>
      <c r="L536" t="s">
        <v>100</v>
      </c>
      <c r="M536">
        <v>76106</v>
      </c>
      <c r="N536" t="s">
        <v>101</v>
      </c>
      <c r="O536" t="s">
        <v>1834</v>
      </c>
      <c r="P536" t="s">
        <v>67</v>
      </c>
      <c r="Q536" t="s">
        <v>157</v>
      </c>
      <c r="R536" t="s">
        <v>1835</v>
      </c>
      <c r="S536">
        <v>58.112000000000002</v>
      </c>
    </row>
    <row r="537" spans="1:19" x14ac:dyDescent="0.35">
      <c r="A537">
        <v>545</v>
      </c>
      <c r="B537" t="s">
        <v>1833</v>
      </c>
      <c r="C537" s="1">
        <v>42135</v>
      </c>
      <c r="D537" s="1">
        <v>42140</v>
      </c>
      <c r="E537" s="1" t="str">
        <f t="shared" si="8"/>
        <v>FAST</v>
      </c>
      <c r="F537" t="s">
        <v>46</v>
      </c>
      <c r="G537" t="s">
        <v>377</v>
      </c>
      <c r="H537" t="s">
        <v>378</v>
      </c>
      <c r="I537" t="s">
        <v>22</v>
      </c>
      <c r="J537" t="s">
        <v>23</v>
      </c>
      <c r="K537" t="s">
        <v>99</v>
      </c>
      <c r="L537" t="s">
        <v>100</v>
      </c>
      <c r="M537">
        <v>76106</v>
      </c>
      <c r="N537" t="s">
        <v>101</v>
      </c>
      <c r="O537" t="s">
        <v>1836</v>
      </c>
      <c r="P537" t="s">
        <v>67</v>
      </c>
      <c r="Q537" t="s">
        <v>68</v>
      </c>
      <c r="R537" t="s">
        <v>1837</v>
      </c>
      <c r="S537">
        <v>100.792</v>
      </c>
    </row>
    <row r="538" spans="1:19" x14ac:dyDescent="0.35">
      <c r="A538">
        <v>546</v>
      </c>
      <c r="B538" t="s">
        <v>1833</v>
      </c>
      <c r="C538" s="1">
        <v>42135</v>
      </c>
      <c r="D538" s="1">
        <v>42140</v>
      </c>
      <c r="E538" s="1" t="str">
        <f t="shared" si="8"/>
        <v>FAST</v>
      </c>
      <c r="F538" t="s">
        <v>46</v>
      </c>
      <c r="G538" t="s">
        <v>377</v>
      </c>
      <c r="H538" t="s">
        <v>378</v>
      </c>
      <c r="I538" t="s">
        <v>22</v>
      </c>
      <c r="J538" t="s">
        <v>23</v>
      </c>
      <c r="K538" t="s">
        <v>99</v>
      </c>
      <c r="L538" t="s">
        <v>100</v>
      </c>
      <c r="M538">
        <v>76106</v>
      </c>
      <c r="N538" t="s">
        <v>101</v>
      </c>
      <c r="O538" t="s">
        <v>1838</v>
      </c>
      <c r="P538" t="s">
        <v>28</v>
      </c>
      <c r="Q538" t="s">
        <v>61</v>
      </c>
      <c r="R538" t="s">
        <v>1839</v>
      </c>
      <c r="S538">
        <v>66.111999999999995</v>
      </c>
    </row>
    <row r="539" spans="1:19" x14ac:dyDescent="0.35">
      <c r="A539">
        <v>547</v>
      </c>
      <c r="B539" t="s">
        <v>1840</v>
      </c>
      <c r="C539" s="1">
        <v>43423</v>
      </c>
      <c r="D539" s="1">
        <v>43426</v>
      </c>
      <c r="E539" s="1" t="str">
        <f t="shared" si="8"/>
        <v>MODERATE</v>
      </c>
      <c r="F539" t="s">
        <v>184</v>
      </c>
      <c r="G539" t="s">
        <v>1841</v>
      </c>
      <c r="H539" t="s">
        <v>1842</v>
      </c>
      <c r="I539" t="s">
        <v>98</v>
      </c>
      <c r="J539" t="s">
        <v>23</v>
      </c>
      <c r="K539" t="s">
        <v>260</v>
      </c>
      <c r="L539" t="s">
        <v>261</v>
      </c>
      <c r="M539">
        <v>10035</v>
      </c>
      <c r="N539" t="s">
        <v>144</v>
      </c>
      <c r="O539" t="s">
        <v>1843</v>
      </c>
      <c r="P539" t="s">
        <v>42</v>
      </c>
      <c r="Q539" t="s">
        <v>71</v>
      </c>
      <c r="R539" t="s">
        <v>1844</v>
      </c>
      <c r="S539">
        <v>41.28</v>
      </c>
    </row>
    <row r="540" spans="1:19" x14ac:dyDescent="0.35">
      <c r="A540">
        <v>548</v>
      </c>
      <c r="B540" t="s">
        <v>1840</v>
      </c>
      <c r="C540" s="1">
        <v>43423</v>
      </c>
      <c r="D540" s="1">
        <v>43426</v>
      </c>
      <c r="E540" s="1" t="str">
        <f t="shared" si="8"/>
        <v>MODERATE</v>
      </c>
      <c r="F540" t="s">
        <v>184</v>
      </c>
      <c r="G540" t="s">
        <v>1841</v>
      </c>
      <c r="H540" t="s">
        <v>1842</v>
      </c>
      <c r="I540" t="s">
        <v>98</v>
      </c>
      <c r="J540" t="s">
        <v>23</v>
      </c>
      <c r="K540" t="s">
        <v>260</v>
      </c>
      <c r="L540" t="s">
        <v>261</v>
      </c>
      <c r="M540">
        <v>10035</v>
      </c>
      <c r="N540" t="s">
        <v>144</v>
      </c>
      <c r="O540" t="s">
        <v>1845</v>
      </c>
      <c r="P540" t="s">
        <v>42</v>
      </c>
      <c r="Q540" t="s">
        <v>86</v>
      </c>
      <c r="R540" t="s">
        <v>1846</v>
      </c>
      <c r="S540">
        <v>13.36</v>
      </c>
    </row>
    <row r="541" spans="1:19" x14ac:dyDescent="0.35">
      <c r="A541">
        <v>549</v>
      </c>
      <c r="B541" t="s">
        <v>1847</v>
      </c>
      <c r="C541" s="1">
        <v>42689</v>
      </c>
      <c r="D541" s="1">
        <v>42691</v>
      </c>
      <c r="E541" s="1" t="str">
        <f t="shared" si="8"/>
        <v>SLOW</v>
      </c>
      <c r="F541" t="s">
        <v>19</v>
      </c>
      <c r="G541" t="s">
        <v>1345</v>
      </c>
      <c r="H541" t="s">
        <v>1346</v>
      </c>
      <c r="I541" t="s">
        <v>37</v>
      </c>
      <c r="J541" t="s">
        <v>23</v>
      </c>
      <c r="K541" t="s">
        <v>297</v>
      </c>
      <c r="L541" t="s">
        <v>205</v>
      </c>
      <c r="M541">
        <v>60653</v>
      </c>
      <c r="N541" t="s">
        <v>101</v>
      </c>
      <c r="O541" t="s">
        <v>271</v>
      </c>
      <c r="P541" t="s">
        <v>42</v>
      </c>
      <c r="Q541" t="s">
        <v>55</v>
      </c>
      <c r="R541" t="s">
        <v>272</v>
      </c>
      <c r="S541">
        <v>250.27199999999999</v>
      </c>
    </row>
    <row r="542" spans="1:19" x14ac:dyDescent="0.35">
      <c r="A542">
        <v>550</v>
      </c>
      <c r="B542" t="s">
        <v>1847</v>
      </c>
      <c r="C542" s="1">
        <v>42689</v>
      </c>
      <c r="D542" s="1">
        <v>42691</v>
      </c>
      <c r="E542" s="1" t="str">
        <f t="shared" si="8"/>
        <v>SLOW</v>
      </c>
      <c r="F542" t="s">
        <v>19</v>
      </c>
      <c r="G542" t="s">
        <v>1345</v>
      </c>
      <c r="H542" t="s">
        <v>1346</v>
      </c>
      <c r="I542" t="s">
        <v>37</v>
      </c>
      <c r="J542" t="s">
        <v>23</v>
      </c>
      <c r="K542" t="s">
        <v>297</v>
      </c>
      <c r="L542" t="s">
        <v>205</v>
      </c>
      <c r="M542">
        <v>60653</v>
      </c>
      <c r="N542" t="s">
        <v>101</v>
      </c>
      <c r="O542" t="s">
        <v>411</v>
      </c>
      <c r="P542" t="s">
        <v>42</v>
      </c>
      <c r="Q542" t="s">
        <v>71</v>
      </c>
      <c r="R542" t="s">
        <v>412</v>
      </c>
      <c r="S542">
        <v>11.364000000000001</v>
      </c>
    </row>
    <row r="543" spans="1:19" x14ac:dyDescent="0.35">
      <c r="A543">
        <v>551</v>
      </c>
      <c r="B543" t="s">
        <v>1847</v>
      </c>
      <c r="C543" s="1">
        <v>42689</v>
      </c>
      <c r="D543" s="1">
        <v>42691</v>
      </c>
      <c r="E543" s="1" t="str">
        <f t="shared" si="8"/>
        <v>SLOW</v>
      </c>
      <c r="F543" t="s">
        <v>19</v>
      </c>
      <c r="G543" t="s">
        <v>1345</v>
      </c>
      <c r="H543" t="s">
        <v>1346</v>
      </c>
      <c r="I543" t="s">
        <v>37</v>
      </c>
      <c r="J543" t="s">
        <v>23</v>
      </c>
      <c r="K543" t="s">
        <v>297</v>
      </c>
      <c r="L543" t="s">
        <v>205</v>
      </c>
      <c r="M543">
        <v>60653</v>
      </c>
      <c r="N543" t="s">
        <v>101</v>
      </c>
      <c r="O543" t="s">
        <v>1848</v>
      </c>
      <c r="P543" t="s">
        <v>42</v>
      </c>
      <c r="Q543" t="s">
        <v>566</v>
      </c>
      <c r="R543" t="s">
        <v>1283</v>
      </c>
      <c r="S543">
        <v>8.7200000000000006</v>
      </c>
    </row>
    <row r="544" spans="1:19" x14ac:dyDescent="0.35">
      <c r="A544">
        <v>552</v>
      </c>
      <c r="B544" t="s">
        <v>1849</v>
      </c>
      <c r="C544" s="1">
        <v>42840</v>
      </c>
      <c r="D544" s="1">
        <v>42842</v>
      </c>
      <c r="E544" s="1" t="str">
        <f t="shared" si="8"/>
        <v>SLOW</v>
      </c>
      <c r="F544" t="s">
        <v>19</v>
      </c>
      <c r="G544" t="s">
        <v>1850</v>
      </c>
      <c r="H544" t="s">
        <v>1851</v>
      </c>
      <c r="I544" t="s">
        <v>22</v>
      </c>
      <c r="J544" t="s">
        <v>23</v>
      </c>
      <c r="K544" t="s">
        <v>123</v>
      </c>
      <c r="L544" t="s">
        <v>39</v>
      </c>
      <c r="M544">
        <v>94110</v>
      </c>
      <c r="N544" t="s">
        <v>40</v>
      </c>
      <c r="O544" t="s">
        <v>1852</v>
      </c>
      <c r="P544" t="s">
        <v>28</v>
      </c>
      <c r="Q544" t="s">
        <v>32</v>
      </c>
      <c r="R544" t="s">
        <v>1853</v>
      </c>
      <c r="S544">
        <v>1121.568</v>
      </c>
    </row>
    <row r="545" spans="1:19" x14ac:dyDescent="0.35">
      <c r="A545">
        <v>553</v>
      </c>
      <c r="B545" t="s">
        <v>1854</v>
      </c>
      <c r="C545" s="1">
        <v>43354</v>
      </c>
      <c r="D545" s="1">
        <v>43355</v>
      </c>
      <c r="E545" s="1" t="str">
        <f t="shared" si="8"/>
        <v>MODERATE</v>
      </c>
      <c r="F545" t="s">
        <v>184</v>
      </c>
      <c r="G545" t="s">
        <v>482</v>
      </c>
      <c r="H545" t="s">
        <v>483</v>
      </c>
      <c r="I545" t="s">
        <v>22</v>
      </c>
      <c r="J545" t="s">
        <v>23</v>
      </c>
      <c r="K545" t="s">
        <v>1505</v>
      </c>
      <c r="L545" t="s">
        <v>50</v>
      </c>
      <c r="M545">
        <v>32216</v>
      </c>
      <c r="N545" t="s">
        <v>26</v>
      </c>
      <c r="O545" t="s">
        <v>1855</v>
      </c>
      <c r="P545" t="s">
        <v>28</v>
      </c>
      <c r="Q545" t="s">
        <v>61</v>
      </c>
      <c r="R545" t="s">
        <v>1856</v>
      </c>
      <c r="S545">
        <v>34.503999999999998</v>
      </c>
    </row>
    <row r="546" spans="1:19" x14ac:dyDescent="0.35">
      <c r="A546">
        <v>554</v>
      </c>
      <c r="B546" t="s">
        <v>1857</v>
      </c>
      <c r="C546" s="1">
        <v>43428</v>
      </c>
      <c r="D546" s="1">
        <v>43432</v>
      </c>
      <c r="E546" s="1" t="str">
        <f t="shared" si="8"/>
        <v>FAST</v>
      </c>
      <c r="F546" t="s">
        <v>46</v>
      </c>
      <c r="G546" t="s">
        <v>1858</v>
      </c>
      <c r="H546" t="s">
        <v>1859</v>
      </c>
      <c r="I546" t="s">
        <v>22</v>
      </c>
      <c r="J546" t="s">
        <v>23</v>
      </c>
      <c r="K546" t="s">
        <v>180</v>
      </c>
      <c r="L546" t="s">
        <v>100</v>
      </c>
      <c r="M546">
        <v>77070</v>
      </c>
      <c r="N546" t="s">
        <v>101</v>
      </c>
      <c r="O546" t="s">
        <v>1860</v>
      </c>
      <c r="P546" t="s">
        <v>42</v>
      </c>
      <c r="Q546" t="s">
        <v>263</v>
      </c>
      <c r="R546" t="s">
        <v>1861</v>
      </c>
      <c r="S546">
        <v>10.824</v>
      </c>
    </row>
    <row r="547" spans="1:19" x14ac:dyDescent="0.35">
      <c r="A547">
        <v>555</v>
      </c>
      <c r="B547" t="s">
        <v>1862</v>
      </c>
      <c r="C547" s="1">
        <v>43280</v>
      </c>
      <c r="D547" s="1">
        <v>43284</v>
      </c>
      <c r="E547" s="1" t="str">
        <f t="shared" si="8"/>
        <v>SLOW</v>
      </c>
      <c r="F547" t="s">
        <v>19</v>
      </c>
      <c r="G547" t="s">
        <v>1345</v>
      </c>
      <c r="H547" t="s">
        <v>1346</v>
      </c>
      <c r="I547" t="s">
        <v>37</v>
      </c>
      <c r="J547" t="s">
        <v>23</v>
      </c>
      <c r="K547" t="s">
        <v>1863</v>
      </c>
      <c r="L547" t="s">
        <v>39</v>
      </c>
      <c r="M547">
        <v>92804</v>
      </c>
      <c r="N547" t="s">
        <v>40</v>
      </c>
      <c r="O547" t="s">
        <v>1864</v>
      </c>
      <c r="P547" t="s">
        <v>42</v>
      </c>
      <c r="Q547" t="s">
        <v>55</v>
      </c>
      <c r="R547" t="s">
        <v>1865</v>
      </c>
      <c r="S547">
        <v>1295.78</v>
      </c>
    </row>
    <row r="548" spans="1:19" x14ac:dyDescent="0.35">
      <c r="A548">
        <v>556</v>
      </c>
      <c r="B548" t="s">
        <v>1866</v>
      </c>
      <c r="C548" s="1">
        <v>42066</v>
      </c>
      <c r="D548" s="1">
        <v>42070</v>
      </c>
      <c r="E548" s="1" t="str">
        <f t="shared" si="8"/>
        <v>SLOW</v>
      </c>
      <c r="F548" t="s">
        <v>19</v>
      </c>
      <c r="G548" t="s">
        <v>1867</v>
      </c>
      <c r="H548" t="s">
        <v>1868</v>
      </c>
      <c r="I548" t="s">
        <v>22</v>
      </c>
      <c r="J548" t="s">
        <v>23</v>
      </c>
      <c r="K548" t="s">
        <v>508</v>
      </c>
      <c r="L548" t="s">
        <v>84</v>
      </c>
      <c r="M548">
        <v>28403</v>
      </c>
      <c r="N548" t="s">
        <v>26</v>
      </c>
      <c r="O548" t="s">
        <v>1869</v>
      </c>
      <c r="P548" t="s">
        <v>42</v>
      </c>
      <c r="Q548" t="s">
        <v>64</v>
      </c>
      <c r="R548" t="s">
        <v>1870</v>
      </c>
      <c r="S548">
        <v>19.456</v>
      </c>
    </row>
    <row r="549" spans="1:19" x14ac:dyDescent="0.35">
      <c r="A549">
        <v>557</v>
      </c>
      <c r="B549" t="s">
        <v>1871</v>
      </c>
      <c r="C549" s="1">
        <v>42896</v>
      </c>
      <c r="D549" s="1">
        <v>42901</v>
      </c>
      <c r="E549" s="1" t="str">
        <f t="shared" si="8"/>
        <v>FAST</v>
      </c>
      <c r="F549" t="s">
        <v>46</v>
      </c>
      <c r="G549" t="s">
        <v>1872</v>
      </c>
      <c r="H549" t="s">
        <v>1873</v>
      </c>
      <c r="I549" t="s">
        <v>22</v>
      </c>
      <c r="J549" t="s">
        <v>23</v>
      </c>
      <c r="K549" t="s">
        <v>38</v>
      </c>
      <c r="L549" t="s">
        <v>39</v>
      </c>
      <c r="M549">
        <v>90045</v>
      </c>
      <c r="N549" t="s">
        <v>40</v>
      </c>
      <c r="O549" t="s">
        <v>1874</v>
      </c>
      <c r="P549" t="s">
        <v>42</v>
      </c>
      <c r="Q549" t="s">
        <v>43</v>
      </c>
      <c r="R549" t="s">
        <v>1875</v>
      </c>
      <c r="S549">
        <v>20.7</v>
      </c>
    </row>
    <row r="550" spans="1:19" x14ac:dyDescent="0.35">
      <c r="A550">
        <v>558</v>
      </c>
      <c r="B550" t="s">
        <v>1871</v>
      </c>
      <c r="C550" s="1">
        <v>42896</v>
      </c>
      <c r="D550" s="1">
        <v>42901</v>
      </c>
      <c r="E550" s="1" t="str">
        <f t="shared" si="8"/>
        <v>FAST</v>
      </c>
      <c r="F550" t="s">
        <v>46</v>
      </c>
      <c r="G550" t="s">
        <v>1872</v>
      </c>
      <c r="H550" t="s">
        <v>1873</v>
      </c>
      <c r="I550" t="s">
        <v>22</v>
      </c>
      <c r="J550" t="s">
        <v>23</v>
      </c>
      <c r="K550" t="s">
        <v>38</v>
      </c>
      <c r="L550" t="s">
        <v>39</v>
      </c>
      <c r="M550">
        <v>90045</v>
      </c>
      <c r="N550" t="s">
        <v>40</v>
      </c>
      <c r="O550" t="s">
        <v>1876</v>
      </c>
      <c r="P550" t="s">
        <v>28</v>
      </c>
      <c r="Q550" t="s">
        <v>52</v>
      </c>
      <c r="R550" t="s">
        <v>1877</v>
      </c>
      <c r="S550">
        <v>1335.68</v>
      </c>
    </row>
    <row r="551" spans="1:19" x14ac:dyDescent="0.35">
      <c r="A551">
        <v>559</v>
      </c>
      <c r="B551" t="s">
        <v>1871</v>
      </c>
      <c r="C551" s="1">
        <v>42896</v>
      </c>
      <c r="D551" s="1">
        <v>42901</v>
      </c>
      <c r="E551" s="1" t="str">
        <f t="shared" si="8"/>
        <v>FAST</v>
      </c>
      <c r="F551" t="s">
        <v>46</v>
      </c>
      <c r="G551" t="s">
        <v>1872</v>
      </c>
      <c r="H551" t="s">
        <v>1873</v>
      </c>
      <c r="I551" t="s">
        <v>22</v>
      </c>
      <c r="J551" t="s">
        <v>23</v>
      </c>
      <c r="K551" t="s">
        <v>38</v>
      </c>
      <c r="L551" t="s">
        <v>39</v>
      </c>
      <c r="M551">
        <v>90045</v>
      </c>
      <c r="N551" t="s">
        <v>40</v>
      </c>
      <c r="O551" t="s">
        <v>1878</v>
      </c>
      <c r="P551" t="s">
        <v>42</v>
      </c>
      <c r="Q551" t="s">
        <v>86</v>
      </c>
      <c r="R551" t="s">
        <v>1879</v>
      </c>
      <c r="S551">
        <v>32.4</v>
      </c>
    </row>
    <row r="552" spans="1:19" x14ac:dyDescent="0.35">
      <c r="A552">
        <v>560</v>
      </c>
      <c r="B552" t="s">
        <v>1880</v>
      </c>
      <c r="C552" s="1">
        <v>43424</v>
      </c>
      <c r="D552" s="1">
        <v>43426</v>
      </c>
      <c r="E552" s="1" t="str">
        <f t="shared" si="8"/>
        <v>SLOW</v>
      </c>
      <c r="F552" t="s">
        <v>19</v>
      </c>
      <c r="G552" t="s">
        <v>1881</v>
      </c>
      <c r="H552" t="s">
        <v>1882</v>
      </c>
      <c r="I552" t="s">
        <v>22</v>
      </c>
      <c r="J552" t="s">
        <v>23</v>
      </c>
      <c r="K552" t="s">
        <v>123</v>
      </c>
      <c r="L552" t="s">
        <v>39</v>
      </c>
      <c r="M552">
        <v>94110</v>
      </c>
      <c r="N552" t="s">
        <v>40</v>
      </c>
      <c r="O552" t="s">
        <v>1476</v>
      </c>
      <c r="P552" t="s">
        <v>28</v>
      </c>
      <c r="Q552" t="s">
        <v>61</v>
      </c>
      <c r="R552" t="s">
        <v>1477</v>
      </c>
      <c r="S552">
        <v>42.6</v>
      </c>
    </row>
    <row r="553" spans="1:19" x14ac:dyDescent="0.35">
      <c r="A553">
        <v>561</v>
      </c>
      <c r="B553" t="s">
        <v>1880</v>
      </c>
      <c r="C553" s="1">
        <v>43424</v>
      </c>
      <c r="D553" s="1">
        <v>43426</v>
      </c>
      <c r="E553" s="1" t="str">
        <f t="shared" si="8"/>
        <v>SLOW</v>
      </c>
      <c r="F553" t="s">
        <v>19</v>
      </c>
      <c r="G553" t="s">
        <v>1881</v>
      </c>
      <c r="H553" t="s">
        <v>1882</v>
      </c>
      <c r="I553" t="s">
        <v>22</v>
      </c>
      <c r="J553" t="s">
        <v>23</v>
      </c>
      <c r="K553" t="s">
        <v>123</v>
      </c>
      <c r="L553" t="s">
        <v>39</v>
      </c>
      <c r="M553">
        <v>94110</v>
      </c>
      <c r="N553" t="s">
        <v>40</v>
      </c>
      <c r="O553" t="s">
        <v>1883</v>
      </c>
      <c r="P553" t="s">
        <v>42</v>
      </c>
      <c r="Q553" t="s">
        <v>71</v>
      </c>
      <c r="R553" t="s">
        <v>1884</v>
      </c>
      <c r="S553">
        <v>84.055999999999997</v>
      </c>
    </row>
    <row r="554" spans="1:19" x14ac:dyDescent="0.35">
      <c r="A554">
        <v>562</v>
      </c>
      <c r="B554" t="s">
        <v>1885</v>
      </c>
      <c r="C554" s="1">
        <v>42261</v>
      </c>
      <c r="D554" s="1">
        <v>42265</v>
      </c>
      <c r="E554" s="1" t="str">
        <f t="shared" si="8"/>
        <v>SLOW</v>
      </c>
      <c r="F554" t="s">
        <v>19</v>
      </c>
      <c r="G554" t="s">
        <v>1886</v>
      </c>
      <c r="H554" t="s">
        <v>1887</v>
      </c>
      <c r="I554" t="s">
        <v>22</v>
      </c>
      <c r="J554" t="s">
        <v>23</v>
      </c>
      <c r="K554" t="s">
        <v>887</v>
      </c>
      <c r="L554" t="s">
        <v>50</v>
      </c>
      <c r="M554">
        <v>33614</v>
      </c>
      <c r="N554" t="s">
        <v>26</v>
      </c>
      <c r="O554" t="s">
        <v>1888</v>
      </c>
      <c r="P554" t="s">
        <v>42</v>
      </c>
      <c r="Q554" t="s">
        <v>74</v>
      </c>
      <c r="R554" t="s">
        <v>1889</v>
      </c>
      <c r="S554">
        <v>13</v>
      </c>
    </row>
    <row r="555" spans="1:19" x14ac:dyDescent="0.35">
      <c r="A555">
        <v>563</v>
      </c>
      <c r="B555" t="s">
        <v>1885</v>
      </c>
      <c r="C555" s="1">
        <v>42261</v>
      </c>
      <c r="D555" s="1">
        <v>42265</v>
      </c>
      <c r="E555" s="1" t="str">
        <f t="shared" si="8"/>
        <v>SLOW</v>
      </c>
      <c r="F555" t="s">
        <v>19</v>
      </c>
      <c r="G555" t="s">
        <v>1886</v>
      </c>
      <c r="H555" t="s">
        <v>1887</v>
      </c>
      <c r="I555" t="s">
        <v>22</v>
      </c>
      <c r="J555" t="s">
        <v>23</v>
      </c>
      <c r="K555" t="s">
        <v>887</v>
      </c>
      <c r="L555" t="s">
        <v>50</v>
      </c>
      <c r="M555">
        <v>33614</v>
      </c>
      <c r="N555" t="s">
        <v>26</v>
      </c>
      <c r="O555" t="s">
        <v>1890</v>
      </c>
      <c r="P555" t="s">
        <v>28</v>
      </c>
      <c r="Q555" t="s">
        <v>61</v>
      </c>
      <c r="R555" t="s">
        <v>1891</v>
      </c>
      <c r="S555">
        <v>13.128</v>
      </c>
    </row>
    <row r="556" spans="1:19" x14ac:dyDescent="0.35">
      <c r="A556">
        <v>564</v>
      </c>
      <c r="B556" t="s">
        <v>1892</v>
      </c>
      <c r="C556" s="1">
        <v>42711</v>
      </c>
      <c r="D556" s="1">
        <v>42713</v>
      </c>
      <c r="E556" s="1" t="str">
        <f t="shared" si="8"/>
        <v>MODERATE</v>
      </c>
      <c r="F556" t="s">
        <v>184</v>
      </c>
      <c r="G556" t="s">
        <v>1893</v>
      </c>
      <c r="H556" t="s">
        <v>1894</v>
      </c>
      <c r="I556" t="s">
        <v>22</v>
      </c>
      <c r="J556" t="s">
        <v>23</v>
      </c>
      <c r="K556" t="s">
        <v>91</v>
      </c>
      <c r="L556" t="s">
        <v>92</v>
      </c>
      <c r="M556">
        <v>98105</v>
      </c>
      <c r="N556" t="s">
        <v>40</v>
      </c>
      <c r="O556" t="s">
        <v>1895</v>
      </c>
      <c r="P556" t="s">
        <v>42</v>
      </c>
      <c r="Q556" t="s">
        <v>263</v>
      </c>
      <c r="R556" t="s">
        <v>1896</v>
      </c>
      <c r="S556">
        <v>3.96</v>
      </c>
    </row>
    <row r="557" spans="1:19" x14ac:dyDescent="0.35">
      <c r="A557">
        <v>565</v>
      </c>
      <c r="B557" t="s">
        <v>1892</v>
      </c>
      <c r="C557" s="1">
        <v>42711</v>
      </c>
      <c r="D557" s="1">
        <v>42713</v>
      </c>
      <c r="E557" s="1" t="str">
        <f t="shared" si="8"/>
        <v>MODERATE</v>
      </c>
      <c r="F557" t="s">
        <v>184</v>
      </c>
      <c r="G557" t="s">
        <v>1893</v>
      </c>
      <c r="H557" t="s">
        <v>1894</v>
      </c>
      <c r="I557" t="s">
        <v>22</v>
      </c>
      <c r="J557" t="s">
        <v>23</v>
      </c>
      <c r="K557" t="s">
        <v>91</v>
      </c>
      <c r="L557" t="s">
        <v>92</v>
      </c>
      <c r="M557">
        <v>98105</v>
      </c>
      <c r="N557" t="s">
        <v>40</v>
      </c>
      <c r="O557" t="s">
        <v>1128</v>
      </c>
      <c r="P557" t="s">
        <v>42</v>
      </c>
      <c r="Q557" t="s">
        <v>43</v>
      </c>
      <c r="R557" t="s">
        <v>1129</v>
      </c>
      <c r="S557">
        <v>2.61</v>
      </c>
    </row>
    <row r="558" spans="1:19" x14ac:dyDescent="0.35">
      <c r="A558">
        <v>566</v>
      </c>
      <c r="B558" t="s">
        <v>1897</v>
      </c>
      <c r="C558" s="1">
        <v>43441</v>
      </c>
      <c r="D558" s="1">
        <v>43444</v>
      </c>
      <c r="E558" s="1" t="str">
        <f t="shared" si="8"/>
        <v>MODERATE</v>
      </c>
      <c r="F558" t="s">
        <v>184</v>
      </c>
      <c r="G558" t="s">
        <v>1898</v>
      </c>
      <c r="H558" t="s">
        <v>1899</v>
      </c>
      <c r="I558" t="s">
        <v>22</v>
      </c>
      <c r="J558" t="s">
        <v>23</v>
      </c>
      <c r="K558" t="s">
        <v>38</v>
      </c>
      <c r="L558" t="s">
        <v>39</v>
      </c>
      <c r="M558">
        <v>90008</v>
      </c>
      <c r="N558" t="s">
        <v>40</v>
      </c>
      <c r="O558" t="s">
        <v>1900</v>
      </c>
      <c r="P558" t="s">
        <v>67</v>
      </c>
      <c r="Q558" t="s">
        <v>68</v>
      </c>
      <c r="R558" t="s">
        <v>1901</v>
      </c>
      <c r="S558">
        <v>374.37599999999998</v>
      </c>
    </row>
    <row r="559" spans="1:19" x14ac:dyDescent="0.35">
      <c r="A559">
        <v>567</v>
      </c>
      <c r="B559" t="s">
        <v>1902</v>
      </c>
      <c r="C559" s="1">
        <v>43374</v>
      </c>
      <c r="D559" s="1">
        <v>43381</v>
      </c>
      <c r="E559" s="1" t="str">
        <f t="shared" si="8"/>
        <v>FAST</v>
      </c>
      <c r="F559" t="s">
        <v>46</v>
      </c>
      <c r="G559" t="s">
        <v>1903</v>
      </c>
      <c r="H559" t="s">
        <v>1904</v>
      </c>
      <c r="I559" t="s">
        <v>37</v>
      </c>
      <c r="J559" t="s">
        <v>23</v>
      </c>
      <c r="K559" t="s">
        <v>91</v>
      </c>
      <c r="L559" t="s">
        <v>92</v>
      </c>
      <c r="M559">
        <v>98105</v>
      </c>
      <c r="N559" t="s">
        <v>40</v>
      </c>
      <c r="O559" t="s">
        <v>1905</v>
      </c>
      <c r="P559" t="s">
        <v>42</v>
      </c>
      <c r="Q559" t="s">
        <v>86</v>
      </c>
      <c r="R559" t="s">
        <v>1906</v>
      </c>
      <c r="S559">
        <v>91.84</v>
      </c>
    </row>
    <row r="560" spans="1:19" x14ac:dyDescent="0.35">
      <c r="A560">
        <v>568</v>
      </c>
      <c r="B560" t="s">
        <v>1902</v>
      </c>
      <c r="C560" s="1">
        <v>43374</v>
      </c>
      <c r="D560" s="1">
        <v>43381</v>
      </c>
      <c r="E560" s="1" t="str">
        <f t="shared" si="8"/>
        <v>FAST</v>
      </c>
      <c r="F560" t="s">
        <v>46</v>
      </c>
      <c r="G560" t="s">
        <v>1903</v>
      </c>
      <c r="H560" t="s">
        <v>1904</v>
      </c>
      <c r="I560" t="s">
        <v>37</v>
      </c>
      <c r="J560" t="s">
        <v>23</v>
      </c>
      <c r="K560" t="s">
        <v>91</v>
      </c>
      <c r="L560" t="s">
        <v>92</v>
      </c>
      <c r="M560">
        <v>98105</v>
      </c>
      <c r="N560" t="s">
        <v>40</v>
      </c>
      <c r="O560" t="s">
        <v>1907</v>
      </c>
      <c r="P560" t="s">
        <v>42</v>
      </c>
      <c r="Q560" t="s">
        <v>71</v>
      </c>
      <c r="R560" t="s">
        <v>1908</v>
      </c>
      <c r="S560">
        <v>81.087999999999994</v>
      </c>
    </row>
    <row r="561" spans="1:19" x14ac:dyDescent="0.35">
      <c r="A561">
        <v>569</v>
      </c>
      <c r="B561" t="s">
        <v>1902</v>
      </c>
      <c r="C561" s="1">
        <v>43374</v>
      </c>
      <c r="D561" s="1">
        <v>43381</v>
      </c>
      <c r="E561" s="1" t="str">
        <f t="shared" si="8"/>
        <v>FAST</v>
      </c>
      <c r="F561" t="s">
        <v>46</v>
      </c>
      <c r="G561" t="s">
        <v>1903</v>
      </c>
      <c r="H561" t="s">
        <v>1904</v>
      </c>
      <c r="I561" t="s">
        <v>37</v>
      </c>
      <c r="J561" t="s">
        <v>23</v>
      </c>
      <c r="K561" t="s">
        <v>91</v>
      </c>
      <c r="L561" t="s">
        <v>92</v>
      </c>
      <c r="M561">
        <v>98105</v>
      </c>
      <c r="N561" t="s">
        <v>40</v>
      </c>
      <c r="O561" t="s">
        <v>1909</v>
      </c>
      <c r="P561" t="s">
        <v>42</v>
      </c>
      <c r="Q561" t="s">
        <v>86</v>
      </c>
      <c r="R561" t="s">
        <v>1910</v>
      </c>
      <c r="S561">
        <v>19.440000000000001</v>
      </c>
    </row>
    <row r="562" spans="1:19" x14ac:dyDescent="0.35">
      <c r="A562">
        <v>570</v>
      </c>
      <c r="B562" t="s">
        <v>1902</v>
      </c>
      <c r="C562" s="1">
        <v>43374</v>
      </c>
      <c r="D562" s="1">
        <v>43381</v>
      </c>
      <c r="E562" s="1" t="str">
        <f t="shared" si="8"/>
        <v>FAST</v>
      </c>
      <c r="F562" t="s">
        <v>46</v>
      </c>
      <c r="G562" t="s">
        <v>1903</v>
      </c>
      <c r="H562" t="s">
        <v>1904</v>
      </c>
      <c r="I562" t="s">
        <v>37</v>
      </c>
      <c r="J562" t="s">
        <v>23</v>
      </c>
      <c r="K562" t="s">
        <v>91</v>
      </c>
      <c r="L562" t="s">
        <v>92</v>
      </c>
      <c r="M562">
        <v>98105</v>
      </c>
      <c r="N562" t="s">
        <v>40</v>
      </c>
      <c r="O562" t="s">
        <v>1911</v>
      </c>
      <c r="P562" t="s">
        <v>28</v>
      </c>
      <c r="Q562" t="s">
        <v>32</v>
      </c>
      <c r="R562" t="s">
        <v>1912</v>
      </c>
      <c r="S562">
        <v>451.15199999999999</v>
      </c>
    </row>
    <row r="563" spans="1:19" x14ac:dyDescent="0.35">
      <c r="A563">
        <v>571</v>
      </c>
      <c r="B563" t="s">
        <v>1913</v>
      </c>
      <c r="C563" s="1">
        <v>43462</v>
      </c>
      <c r="D563" s="1">
        <v>43469</v>
      </c>
      <c r="E563" s="1" t="str">
        <f t="shared" si="8"/>
        <v>FAST</v>
      </c>
      <c r="F563" t="s">
        <v>46</v>
      </c>
      <c r="G563" t="s">
        <v>1914</v>
      </c>
      <c r="H563" t="s">
        <v>1915</v>
      </c>
      <c r="I563" t="s">
        <v>22</v>
      </c>
      <c r="J563" t="s">
        <v>23</v>
      </c>
      <c r="K563" t="s">
        <v>260</v>
      </c>
      <c r="L563" t="s">
        <v>261</v>
      </c>
      <c r="M563">
        <v>10024</v>
      </c>
      <c r="N563" t="s">
        <v>144</v>
      </c>
      <c r="O563" t="s">
        <v>1874</v>
      </c>
      <c r="P563" t="s">
        <v>42</v>
      </c>
      <c r="Q563" t="s">
        <v>43</v>
      </c>
      <c r="R563" t="s">
        <v>1875</v>
      </c>
      <c r="S563">
        <v>72.45</v>
      </c>
    </row>
    <row r="564" spans="1:19" x14ac:dyDescent="0.35">
      <c r="A564">
        <v>572</v>
      </c>
      <c r="B564" t="s">
        <v>1913</v>
      </c>
      <c r="C564" s="1">
        <v>43462</v>
      </c>
      <c r="D564" s="1">
        <v>43469</v>
      </c>
      <c r="E564" s="1" t="str">
        <f t="shared" si="8"/>
        <v>FAST</v>
      </c>
      <c r="F564" t="s">
        <v>46</v>
      </c>
      <c r="G564" t="s">
        <v>1914</v>
      </c>
      <c r="H564" t="s">
        <v>1915</v>
      </c>
      <c r="I564" t="s">
        <v>22</v>
      </c>
      <c r="J564" t="s">
        <v>23</v>
      </c>
      <c r="K564" t="s">
        <v>260</v>
      </c>
      <c r="L564" t="s">
        <v>261</v>
      </c>
      <c r="M564">
        <v>10024</v>
      </c>
      <c r="N564" t="s">
        <v>144</v>
      </c>
      <c r="O564" t="s">
        <v>854</v>
      </c>
      <c r="P564" t="s">
        <v>42</v>
      </c>
      <c r="Q564" t="s">
        <v>263</v>
      </c>
      <c r="R564" t="s">
        <v>855</v>
      </c>
      <c r="S564">
        <v>13.96</v>
      </c>
    </row>
    <row r="565" spans="1:19" x14ac:dyDescent="0.35">
      <c r="A565">
        <v>573</v>
      </c>
      <c r="B565" t="s">
        <v>1913</v>
      </c>
      <c r="C565" s="1">
        <v>43462</v>
      </c>
      <c r="D565" s="1">
        <v>43469</v>
      </c>
      <c r="E565" s="1" t="str">
        <f t="shared" si="8"/>
        <v>FAST</v>
      </c>
      <c r="F565" t="s">
        <v>46</v>
      </c>
      <c r="G565" t="s">
        <v>1914</v>
      </c>
      <c r="H565" t="s">
        <v>1915</v>
      </c>
      <c r="I565" t="s">
        <v>22</v>
      </c>
      <c r="J565" t="s">
        <v>23</v>
      </c>
      <c r="K565" t="s">
        <v>260</v>
      </c>
      <c r="L565" t="s">
        <v>261</v>
      </c>
      <c r="M565">
        <v>10024</v>
      </c>
      <c r="N565" t="s">
        <v>144</v>
      </c>
      <c r="O565" t="s">
        <v>1201</v>
      </c>
      <c r="P565" t="s">
        <v>42</v>
      </c>
      <c r="Q565" t="s">
        <v>71</v>
      </c>
      <c r="R565" t="s">
        <v>1202</v>
      </c>
      <c r="S565">
        <v>33.264000000000003</v>
      </c>
    </row>
    <row r="566" spans="1:19" x14ac:dyDescent="0.35">
      <c r="A566">
        <v>574</v>
      </c>
      <c r="B566" t="s">
        <v>1913</v>
      </c>
      <c r="C566" s="1">
        <v>43462</v>
      </c>
      <c r="D566" s="1">
        <v>43469</v>
      </c>
      <c r="E566" s="1" t="str">
        <f t="shared" si="8"/>
        <v>FAST</v>
      </c>
      <c r="F566" t="s">
        <v>46</v>
      </c>
      <c r="G566" t="s">
        <v>1914</v>
      </c>
      <c r="H566" t="s">
        <v>1915</v>
      </c>
      <c r="I566" t="s">
        <v>22</v>
      </c>
      <c r="J566" t="s">
        <v>23</v>
      </c>
      <c r="K566" t="s">
        <v>260</v>
      </c>
      <c r="L566" t="s">
        <v>261</v>
      </c>
      <c r="M566">
        <v>10024</v>
      </c>
      <c r="N566" t="s">
        <v>144</v>
      </c>
      <c r="O566" t="s">
        <v>1916</v>
      </c>
      <c r="P566" t="s">
        <v>67</v>
      </c>
      <c r="Q566" t="s">
        <v>68</v>
      </c>
      <c r="R566" t="s">
        <v>1917</v>
      </c>
      <c r="S566">
        <v>14.85</v>
      </c>
    </row>
    <row r="567" spans="1:19" x14ac:dyDescent="0.35">
      <c r="A567">
        <v>575</v>
      </c>
      <c r="B567" t="s">
        <v>1918</v>
      </c>
      <c r="C567" s="1">
        <v>43042</v>
      </c>
      <c r="D567" s="1">
        <v>43046</v>
      </c>
      <c r="E567" s="1" t="str">
        <f t="shared" si="8"/>
        <v>FAST</v>
      </c>
      <c r="F567" t="s">
        <v>46</v>
      </c>
      <c r="G567" t="s">
        <v>1919</v>
      </c>
      <c r="H567" t="s">
        <v>1920</v>
      </c>
      <c r="I567" t="s">
        <v>22</v>
      </c>
      <c r="J567" t="s">
        <v>23</v>
      </c>
      <c r="K567" t="s">
        <v>1921</v>
      </c>
      <c r="L567" t="s">
        <v>92</v>
      </c>
      <c r="M567">
        <v>98270</v>
      </c>
      <c r="N567" t="s">
        <v>40</v>
      </c>
      <c r="O567" t="s">
        <v>1922</v>
      </c>
      <c r="P567" t="s">
        <v>42</v>
      </c>
      <c r="Q567" t="s">
        <v>64</v>
      </c>
      <c r="R567" t="s">
        <v>1923</v>
      </c>
      <c r="S567">
        <v>8.82</v>
      </c>
    </row>
    <row r="568" spans="1:19" x14ac:dyDescent="0.35">
      <c r="A568">
        <v>576</v>
      </c>
      <c r="B568" t="s">
        <v>1924</v>
      </c>
      <c r="C568" s="1">
        <v>42631</v>
      </c>
      <c r="D568" s="1">
        <v>42635</v>
      </c>
      <c r="E568" s="1" t="str">
        <f t="shared" si="8"/>
        <v>SLOW</v>
      </c>
      <c r="F568" t="s">
        <v>19</v>
      </c>
      <c r="G568" t="s">
        <v>1925</v>
      </c>
      <c r="H568" t="s">
        <v>1926</v>
      </c>
      <c r="I568" t="s">
        <v>22</v>
      </c>
      <c r="J568" t="s">
        <v>23</v>
      </c>
      <c r="K568" t="s">
        <v>1161</v>
      </c>
      <c r="L568" t="s">
        <v>39</v>
      </c>
      <c r="M568">
        <v>90805</v>
      </c>
      <c r="N568" t="s">
        <v>40</v>
      </c>
      <c r="O568" t="s">
        <v>1905</v>
      </c>
      <c r="P568" t="s">
        <v>42</v>
      </c>
      <c r="Q568" t="s">
        <v>86</v>
      </c>
      <c r="R568" t="s">
        <v>1906</v>
      </c>
      <c r="S568">
        <v>160.72</v>
      </c>
    </row>
    <row r="569" spans="1:19" x14ac:dyDescent="0.35">
      <c r="A569">
        <v>577</v>
      </c>
      <c r="B569" t="s">
        <v>1924</v>
      </c>
      <c r="C569" s="1">
        <v>42631</v>
      </c>
      <c r="D569" s="1">
        <v>42635</v>
      </c>
      <c r="E569" s="1" t="str">
        <f t="shared" si="8"/>
        <v>SLOW</v>
      </c>
      <c r="F569" t="s">
        <v>19</v>
      </c>
      <c r="G569" t="s">
        <v>1925</v>
      </c>
      <c r="H569" t="s">
        <v>1926</v>
      </c>
      <c r="I569" t="s">
        <v>22</v>
      </c>
      <c r="J569" t="s">
        <v>23</v>
      </c>
      <c r="K569" t="s">
        <v>1161</v>
      </c>
      <c r="L569" t="s">
        <v>39</v>
      </c>
      <c r="M569">
        <v>90805</v>
      </c>
      <c r="N569" t="s">
        <v>40</v>
      </c>
      <c r="O569" t="s">
        <v>1927</v>
      </c>
      <c r="P569" t="s">
        <v>42</v>
      </c>
      <c r="Q569" t="s">
        <v>86</v>
      </c>
      <c r="R569" t="s">
        <v>1928</v>
      </c>
      <c r="S569">
        <v>19.920000000000002</v>
      </c>
    </row>
    <row r="570" spans="1:19" x14ac:dyDescent="0.35">
      <c r="A570">
        <v>578</v>
      </c>
      <c r="B570" t="s">
        <v>1924</v>
      </c>
      <c r="C570" s="1">
        <v>42631</v>
      </c>
      <c r="D570" s="1">
        <v>42635</v>
      </c>
      <c r="E570" s="1" t="str">
        <f t="shared" si="8"/>
        <v>SLOW</v>
      </c>
      <c r="F570" t="s">
        <v>19</v>
      </c>
      <c r="G570" t="s">
        <v>1925</v>
      </c>
      <c r="H570" t="s">
        <v>1926</v>
      </c>
      <c r="I570" t="s">
        <v>22</v>
      </c>
      <c r="J570" t="s">
        <v>23</v>
      </c>
      <c r="K570" t="s">
        <v>1161</v>
      </c>
      <c r="L570" t="s">
        <v>39</v>
      </c>
      <c r="M570">
        <v>90805</v>
      </c>
      <c r="N570" t="s">
        <v>40</v>
      </c>
      <c r="O570" t="s">
        <v>1929</v>
      </c>
      <c r="P570" t="s">
        <v>42</v>
      </c>
      <c r="Q570" t="s">
        <v>566</v>
      </c>
      <c r="R570" t="s">
        <v>1930</v>
      </c>
      <c r="S570">
        <v>7.3</v>
      </c>
    </row>
    <row r="571" spans="1:19" x14ac:dyDescent="0.35">
      <c r="A571">
        <v>579</v>
      </c>
      <c r="B571" t="s">
        <v>1931</v>
      </c>
      <c r="C571" s="1">
        <v>43301</v>
      </c>
      <c r="D571" s="1">
        <v>43307</v>
      </c>
      <c r="E571" s="1" t="str">
        <f t="shared" si="8"/>
        <v>FAST</v>
      </c>
      <c r="F571" t="s">
        <v>46</v>
      </c>
      <c r="G571" t="s">
        <v>1932</v>
      </c>
      <c r="H571" t="s">
        <v>1933</v>
      </c>
      <c r="I571" t="s">
        <v>22</v>
      </c>
      <c r="J571" t="s">
        <v>23</v>
      </c>
      <c r="K571" t="s">
        <v>297</v>
      </c>
      <c r="L571" t="s">
        <v>205</v>
      </c>
      <c r="M571">
        <v>60610</v>
      </c>
      <c r="N571" t="s">
        <v>101</v>
      </c>
      <c r="O571" t="s">
        <v>534</v>
      </c>
      <c r="P571" t="s">
        <v>42</v>
      </c>
      <c r="Q571" t="s">
        <v>55</v>
      </c>
      <c r="R571" t="s">
        <v>535</v>
      </c>
      <c r="S571">
        <v>69.712000000000003</v>
      </c>
    </row>
    <row r="572" spans="1:19" x14ac:dyDescent="0.35">
      <c r="A572">
        <v>580</v>
      </c>
      <c r="B572" t="s">
        <v>1931</v>
      </c>
      <c r="C572" s="1">
        <v>43301</v>
      </c>
      <c r="D572" s="1">
        <v>43307</v>
      </c>
      <c r="E572" s="1" t="str">
        <f t="shared" si="8"/>
        <v>FAST</v>
      </c>
      <c r="F572" t="s">
        <v>46</v>
      </c>
      <c r="G572" t="s">
        <v>1932</v>
      </c>
      <c r="H572" t="s">
        <v>1933</v>
      </c>
      <c r="I572" t="s">
        <v>22</v>
      </c>
      <c r="J572" t="s">
        <v>23</v>
      </c>
      <c r="K572" t="s">
        <v>297</v>
      </c>
      <c r="L572" t="s">
        <v>205</v>
      </c>
      <c r="M572">
        <v>60610</v>
      </c>
      <c r="N572" t="s">
        <v>101</v>
      </c>
      <c r="O572" t="s">
        <v>1934</v>
      </c>
      <c r="P572" t="s">
        <v>28</v>
      </c>
      <c r="Q572" t="s">
        <v>61</v>
      </c>
      <c r="R572" t="s">
        <v>1935</v>
      </c>
      <c r="S572">
        <v>8.7919999999999998</v>
      </c>
    </row>
    <row r="573" spans="1:19" x14ac:dyDescent="0.35">
      <c r="A573">
        <v>581</v>
      </c>
      <c r="B573" t="s">
        <v>1936</v>
      </c>
      <c r="C573" s="1">
        <v>42623</v>
      </c>
      <c r="D573" s="1">
        <v>42627</v>
      </c>
      <c r="E573" s="1" t="str">
        <f t="shared" si="8"/>
        <v>FAST</v>
      </c>
      <c r="F573" t="s">
        <v>46</v>
      </c>
      <c r="G573" t="s">
        <v>1937</v>
      </c>
      <c r="H573" t="s">
        <v>1938</v>
      </c>
      <c r="I573" t="s">
        <v>22</v>
      </c>
      <c r="J573" t="s">
        <v>23</v>
      </c>
      <c r="K573" t="s">
        <v>38</v>
      </c>
      <c r="L573" t="s">
        <v>39</v>
      </c>
      <c r="M573">
        <v>90004</v>
      </c>
      <c r="N573" t="s">
        <v>40</v>
      </c>
      <c r="O573" t="s">
        <v>1939</v>
      </c>
      <c r="P573" t="s">
        <v>42</v>
      </c>
      <c r="Q573" t="s">
        <v>566</v>
      </c>
      <c r="R573" t="s">
        <v>1940</v>
      </c>
      <c r="S573">
        <v>51.52</v>
      </c>
    </row>
    <row r="574" spans="1:19" x14ac:dyDescent="0.35">
      <c r="A574">
        <v>582</v>
      </c>
      <c r="B574" t="s">
        <v>1941</v>
      </c>
      <c r="C574" s="1">
        <v>43435</v>
      </c>
      <c r="D574" s="1">
        <v>43439</v>
      </c>
      <c r="E574" s="1" t="str">
        <f t="shared" si="8"/>
        <v>FAST</v>
      </c>
      <c r="F574" t="s">
        <v>46</v>
      </c>
      <c r="G574" t="s">
        <v>1942</v>
      </c>
      <c r="H574" t="s">
        <v>1943</v>
      </c>
      <c r="I574" t="s">
        <v>22</v>
      </c>
      <c r="J574" t="s">
        <v>23</v>
      </c>
      <c r="K574" t="s">
        <v>794</v>
      </c>
      <c r="L574" t="s">
        <v>444</v>
      </c>
      <c r="M574">
        <v>80219</v>
      </c>
      <c r="N574" t="s">
        <v>40</v>
      </c>
      <c r="O574" t="s">
        <v>188</v>
      </c>
      <c r="P574" t="s">
        <v>67</v>
      </c>
      <c r="Q574" t="s">
        <v>68</v>
      </c>
      <c r="R574" t="s">
        <v>189</v>
      </c>
      <c r="S574">
        <v>470.37599999999998</v>
      </c>
    </row>
    <row r="575" spans="1:19" x14ac:dyDescent="0.35">
      <c r="A575">
        <v>583</v>
      </c>
      <c r="B575" t="s">
        <v>1941</v>
      </c>
      <c r="C575" s="1">
        <v>43435</v>
      </c>
      <c r="D575" s="1">
        <v>43439</v>
      </c>
      <c r="E575" s="1" t="str">
        <f t="shared" si="8"/>
        <v>FAST</v>
      </c>
      <c r="F575" t="s">
        <v>46</v>
      </c>
      <c r="G575" t="s">
        <v>1942</v>
      </c>
      <c r="H575" t="s">
        <v>1943</v>
      </c>
      <c r="I575" t="s">
        <v>22</v>
      </c>
      <c r="J575" t="s">
        <v>23</v>
      </c>
      <c r="K575" t="s">
        <v>794</v>
      </c>
      <c r="L575" t="s">
        <v>444</v>
      </c>
      <c r="M575">
        <v>80219</v>
      </c>
      <c r="N575" t="s">
        <v>40</v>
      </c>
      <c r="O575" t="s">
        <v>1944</v>
      </c>
      <c r="P575" t="s">
        <v>67</v>
      </c>
      <c r="Q575" t="s">
        <v>68</v>
      </c>
      <c r="R575" t="s">
        <v>1945</v>
      </c>
      <c r="S575">
        <v>105.584</v>
      </c>
    </row>
    <row r="576" spans="1:19" x14ac:dyDescent="0.35">
      <c r="A576">
        <v>584</v>
      </c>
      <c r="B576" t="s">
        <v>1941</v>
      </c>
      <c r="C576" s="1">
        <v>43435</v>
      </c>
      <c r="D576" s="1">
        <v>43439</v>
      </c>
      <c r="E576" s="1" t="str">
        <f t="shared" si="8"/>
        <v>FAST</v>
      </c>
      <c r="F576" t="s">
        <v>46</v>
      </c>
      <c r="G576" t="s">
        <v>1942</v>
      </c>
      <c r="H576" t="s">
        <v>1943</v>
      </c>
      <c r="I576" t="s">
        <v>22</v>
      </c>
      <c r="J576" t="s">
        <v>23</v>
      </c>
      <c r="K576" t="s">
        <v>794</v>
      </c>
      <c r="L576" t="s">
        <v>444</v>
      </c>
      <c r="M576">
        <v>80219</v>
      </c>
      <c r="N576" t="s">
        <v>40</v>
      </c>
      <c r="O576" t="s">
        <v>424</v>
      </c>
      <c r="P576" t="s">
        <v>42</v>
      </c>
      <c r="Q576" t="s">
        <v>74</v>
      </c>
      <c r="R576" t="s">
        <v>425</v>
      </c>
      <c r="S576">
        <v>31.152000000000001</v>
      </c>
    </row>
    <row r="577" spans="1:19" x14ac:dyDescent="0.35">
      <c r="A577">
        <v>585</v>
      </c>
      <c r="B577" t="s">
        <v>1941</v>
      </c>
      <c r="C577" s="1">
        <v>43435</v>
      </c>
      <c r="D577" s="1">
        <v>43439</v>
      </c>
      <c r="E577" s="1" t="str">
        <f t="shared" si="8"/>
        <v>FAST</v>
      </c>
      <c r="F577" t="s">
        <v>46</v>
      </c>
      <c r="G577" t="s">
        <v>1942</v>
      </c>
      <c r="H577" t="s">
        <v>1943</v>
      </c>
      <c r="I577" t="s">
        <v>22</v>
      </c>
      <c r="J577" t="s">
        <v>23</v>
      </c>
      <c r="K577" t="s">
        <v>794</v>
      </c>
      <c r="L577" t="s">
        <v>444</v>
      </c>
      <c r="M577">
        <v>80219</v>
      </c>
      <c r="N577" t="s">
        <v>40</v>
      </c>
      <c r="O577" t="s">
        <v>1946</v>
      </c>
      <c r="P577" t="s">
        <v>42</v>
      </c>
      <c r="Q577" t="s">
        <v>71</v>
      </c>
      <c r="R577" t="s">
        <v>1947</v>
      </c>
      <c r="S577">
        <v>6.7830000000000004</v>
      </c>
    </row>
    <row r="578" spans="1:19" x14ac:dyDescent="0.35">
      <c r="A578">
        <v>586</v>
      </c>
      <c r="B578" t="s">
        <v>1941</v>
      </c>
      <c r="C578" s="1">
        <v>43435</v>
      </c>
      <c r="D578" s="1">
        <v>43439</v>
      </c>
      <c r="E578" s="1" t="str">
        <f t="shared" si="8"/>
        <v>FAST</v>
      </c>
      <c r="F578" t="s">
        <v>46</v>
      </c>
      <c r="G578" t="s">
        <v>1942</v>
      </c>
      <c r="H578" t="s">
        <v>1943</v>
      </c>
      <c r="I578" t="s">
        <v>22</v>
      </c>
      <c r="J578" t="s">
        <v>23</v>
      </c>
      <c r="K578" t="s">
        <v>794</v>
      </c>
      <c r="L578" t="s">
        <v>444</v>
      </c>
      <c r="M578">
        <v>80219</v>
      </c>
      <c r="N578" t="s">
        <v>40</v>
      </c>
      <c r="O578" t="s">
        <v>613</v>
      </c>
      <c r="P578" t="s">
        <v>67</v>
      </c>
      <c r="Q578" t="s">
        <v>68</v>
      </c>
      <c r="R578" t="s">
        <v>614</v>
      </c>
      <c r="S578">
        <v>406.36799999999999</v>
      </c>
    </row>
    <row r="579" spans="1:19" x14ac:dyDescent="0.35">
      <c r="A579">
        <v>587</v>
      </c>
      <c r="B579" t="s">
        <v>1948</v>
      </c>
      <c r="C579" s="1">
        <v>42554</v>
      </c>
      <c r="D579" s="1">
        <v>42560</v>
      </c>
      <c r="E579" s="1" t="str">
        <f t="shared" ref="E579:E642" si="9">IF(F579="STANDARD CLASS","FAST",IF(F579="SECOND CLASS","SLOW","MODERATE"))</f>
        <v>FAST</v>
      </c>
      <c r="F579" t="s">
        <v>46</v>
      </c>
      <c r="G579" t="s">
        <v>1949</v>
      </c>
      <c r="H579" t="s">
        <v>1950</v>
      </c>
      <c r="I579" t="s">
        <v>22</v>
      </c>
      <c r="J579" t="s">
        <v>23</v>
      </c>
      <c r="K579" t="s">
        <v>1448</v>
      </c>
      <c r="L579" t="s">
        <v>25</v>
      </c>
      <c r="M579">
        <v>40475</v>
      </c>
      <c r="N579" t="s">
        <v>26</v>
      </c>
      <c r="O579" t="s">
        <v>1429</v>
      </c>
      <c r="P579" t="s">
        <v>28</v>
      </c>
      <c r="Q579" t="s">
        <v>32</v>
      </c>
      <c r="R579" t="s">
        <v>1430</v>
      </c>
      <c r="S579">
        <v>70.98</v>
      </c>
    </row>
    <row r="580" spans="1:19" x14ac:dyDescent="0.35">
      <c r="A580">
        <v>588</v>
      </c>
      <c r="B580" t="s">
        <v>1948</v>
      </c>
      <c r="C580" s="1">
        <v>42554</v>
      </c>
      <c r="D580" s="1">
        <v>42560</v>
      </c>
      <c r="E580" s="1" t="str">
        <f t="shared" si="9"/>
        <v>FAST</v>
      </c>
      <c r="F580" t="s">
        <v>46</v>
      </c>
      <c r="G580" t="s">
        <v>1949</v>
      </c>
      <c r="H580" t="s">
        <v>1950</v>
      </c>
      <c r="I580" t="s">
        <v>22</v>
      </c>
      <c r="J580" t="s">
        <v>23</v>
      </c>
      <c r="K580" t="s">
        <v>1448</v>
      </c>
      <c r="L580" t="s">
        <v>25</v>
      </c>
      <c r="M580">
        <v>40475</v>
      </c>
      <c r="N580" t="s">
        <v>26</v>
      </c>
      <c r="O580" t="s">
        <v>1951</v>
      </c>
      <c r="P580" t="s">
        <v>42</v>
      </c>
      <c r="Q580" t="s">
        <v>43</v>
      </c>
      <c r="R580" t="s">
        <v>1952</v>
      </c>
      <c r="S580">
        <v>294.93</v>
      </c>
    </row>
    <row r="581" spans="1:19" x14ac:dyDescent="0.35">
      <c r="A581">
        <v>589</v>
      </c>
      <c r="B581" t="s">
        <v>1953</v>
      </c>
      <c r="C581" s="1">
        <v>42814</v>
      </c>
      <c r="D581" s="1">
        <v>42818</v>
      </c>
      <c r="E581" s="1" t="str">
        <f t="shared" si="9"/>
        <v>FAST</v>
      </c>
      <c r="F581" t="s">
        <v>46</v>
      </c>
      <c r="G581" t="s">
        <v>1954</v>
      </c>
      <c r="H581" t="s">
        <v>1955</v>
      </c>
      <c r="I581" t="s">
        <v>22</v>
      </c>
      <c r="J581" t="s">
        <v>23</v>
      </c>
      <c r="K581" t="s">
        <v>1956</v>
      </c>
      <c r="L581" t="s">
        <v>410</v>
      </c>
      <c r="M581">
        <v>97301</v>
      </c>
      <c r="N581" t="s">
        <v>40</v>
      </c>
      <c r="O581" t="s">
        <v>1957</v>
      </c>
      <c r="P581" t="s">
        <v>67</v>
      </c>
      <c r="Q581" t="s">
        <v>68</v>
      </c>
      <c r="R581" t="s">
        <v>1958</v>
      </c>
      <c r="S581">
        <v>84.784000000000006</v>
      </c>
    </row>
    <row r="582" spans="1:19" x14ac:dyDescent="0.35">
      <c r="A582">
        <v>590</v>
      </c>
      <c r="B582" t="s">
        <v>1953</v>
      </c>
      <c r="C582" s="1">
        <v>42814</v>
      </c>
      <c r="D582" s="1">
        <v>42818</v>
      </c>
      <c r="E582" s="1" t="str">
        <f t="shared" si="9"/>
        <v>FAST</v>
      </c>
      <c r="F582" t="s">
        <v>46</v>
      </c>
      <c r="G582" t="s">
        <v>1954</v>
      </c>
      <c r="H582" t="s">
        <v>1955</v>
      </c>
      <c r="I582" t="s">
        <v>22</v>
      </c>
      <c r="J582" t="s">
        <v>23</v>
      </c>
      <c r="K582" t="s">
        <v>1956</v>
      </c>
      <c r="L582" t="s">
        <v>410</v>
      </c>
      <c r="M582">
        <v>97301</v>
      </c>
      <c r="N582" t="s">
        <v>40</v>
      </c>
      <c r="O582" t="s">
        <v>1959</v>
      </c>
      <c r="P582" t="s">
        <v>42</v>
      </c>
      <c r="Q582" t="s">
        <v>86</v>
      </c>
      <c r="R582" t="s">
        <v>1960</v>
      </c>
      <c r="S582">
        <v>20.736000000000001</v>
      </c>
    </row>
    <row r="583" spans="1:19" x14ac:dyDescent="0.35">
      <c r="A583">
        <v>591</v>
      </c>
      <c r="B583" t="s">
        <v>1953</v>
      </c>
      <c r="C583" s="1">
        <v>42814</v>
      </c>
      <c r="D583" s="1">
        <v>42818</v>
      </c>
      <c r="E583" s="1" t="str">
        <f t="shared" si="9"/>
        <v>FAST</v>
      </c>
      <c r="F583" t="s">
        <v>46</v>
      </c>
      <c r="G583" t="s">
        <v>1954</v>
      </c>
      <c r="H583" t="s">
        <v>1955</v>
      </c>
      <c r="I583" t="s">
        <v>22</v>
      </c>
      <c r="J583" t="s">
        <v>23</v>
      </c>
      <c r="K583" t="s">
        <v>1956</v>
      </c>
      <c r="L583" t="s">
        <v>410</v>
      </c>
      <c r="M583">
        <v>97301</v>
      </c>
      <c r="N583" t="s">
        <v>40</v>
      </c>
      <c r="O583" t="s">
        <v>1692</v>
      </c>
      <c r="P583" t="s">
        <v>42</v>
      </c>
      <c r="Q583" t="s">
        <v>71</v>
      </c>
      <c r="R583" t="s">
        <v>1693</v>
      </c>
      <c r="S583">
        <v>16.821000000000002</v>
      </c>
    </row>
    <row r="584" spans="1:19" x14ac:dyDescent="0.35">
      <c r="A584">
        <v>592</v>
      </c>
      <c r="B584" t="s">
        <v>1953</v>
      </c>
      <c r="C584" s="1">
        <v>42814</v>
      </c>
      <c r="D584" s="1">
        <v>42818</v>
      </c>
      <c r="E584" s="1" t="str">
        <f t="shared" si="9"/>
        <v>FAST</v>
      </c>
      <c r="F584" t="s">
        <v>46</v>
      </c>
      <c r="G584" t="s">
        <v>1954</v>
      </c>
      <c r="H584" t="s">
        <v>1955</v>
      </c>
      <c r="I584" t="s">
        <v>22</v>
      </c>
      <c r="J584" t="s">
        <v>23</v>
      </c>
      <c r="K584" t="s">
        <v>1956</v>
      </c>
      <c r="L584" t="s">
        <v>410</v>
      </c>
      <c r="M584">
        <v>97301</v>
      </c>
      <c r="N584" t="s">
        <v>40</v>
      </c>
      <c r="O584" t="s">
        <v>1961</v>
      </c>
      <c r="P584" t="s">
        <v>42</v>
      </c>
      <c r="Q584" t="s">
        <v>86</v>
      </c>
      <c r="R584" t="s">
        <v>1962</v>
      </c>
      <c r="S584">
        <v>10.368</v>
      </c>
    </row>
    <row r="585" spans="1:19" x14ac:dyDescent="0.35">
      <c r="A585">
        <v>593</v>
      </c>
      <c r="B585" t="s">
        <v>1963</v>
      </c>
      <c r="C585" s="1">
        <v>42013</v>
      </c>
      <c r="D585" s="1">
        <v>42017</v>
      </c>
      <c r="E585" s="1" t="str">
        <f t="shared" si="9"/>
        <v>FAST</v>
      </c>
      <c r="F585" t="s">
        <v>46</v>
      </c>
      <c r="G585" t="s">
        <v>1964</v>
      </c>
      <c r="H585" t="s">
        <v>1965</v>
      </c>
      <c r="I585" t="s">
        <v>22</v>
      </c>
      <c r="J585" t="s">
        <v>23</v>
      </c>
      <c r="K585" t="s">
        <v>1966</v>
      </c>
      <c r="L585" t="s">
        <v>100</v>
      </c>
      <c r="M585">
        <v>78041</v>
      </c>
      <c r="N585" t="s">
        <v>101</v>
      </c>
      <c r="O585" t="s">
        <v>1967</v>
      </c>
      <c r="P585" t="s">
        <v>42</v>
      </c>
      <c r="Q585" t="s">
        <v>64</v>
      </c>
      <c r="R585" t="s">
        <v>1968</v>
      </c>
      <c r="S585">
        <v>9.3439999999999994</v>
      </c>
    </row>
    <row r="586" spans="1:19" x14ac:dyDescent="0.35">
      <c r="A586">
        <v>594</v>
      </c>
      <c r="B586" t="s">
        <v>1963</v>
      </c>
      <c r="C586" s="1">
        <v>42013</v>
      </c>
      <c r="D586" s="1">
        <v>42017</v>
      </c>
      <c r="E586" s="1" t="str">
        <f t="shared" si="9"/>
        <v>FAST</v>
      </c>
      <c r="F586" t="s">
        <v>46</v>
      </c>
      <c r="G586" t="s">
        <v>1964</v>
      </c>
      <c r="H586" t="s">
        <v>1965</v>
      </c>
      <c r="I586" t="s">
        <v>22</v>
      </c>
      <c r="J586" t="s">
        <v>23</v>
      </c>
      <c r="K586" t="s">
        <v>1966</v>
      </c>
      <c r="L586" t="s">
        <v>100</v>
      </c>
      <c r="M586">
        <v>78041</v>
      </c>
      <c r="N586" t="s">
        <v>101</v>
      </c>
      <c r="O586" t="s">
        <v>831</v>
      </c>
      <c r="P586" t="s">
        <v>67</v>
      </c>
      <c r="Q586" t="s">
        <v>157</v>
      </c>
      <c r="R586" t="s">
        <v>832</v>
      </c>
      <c r="S586">
        <v>31.2</v>
      </c>
    </row>
    <row r="587" spans="1:19" x14ac:dyDescent="0.35">
      <c r="A587">
        <v>595</v>
      </c>
      <c r="B587" t="s">
        <v>1969</v>
      </c>
      <c r="C587" s="1">
        <v>42224</v>
      </c>
      <c r="D587" s="1">
        <v>42231</v>
      </c>
      <c r="E587" s="1" t="str">
        <f t="shared" si="9"/>
        <v>FAST</v>
      </c>
      <c r="F587" t="s">
        <v>46</v>
      </c>
      <c r="G587" t="s">
        <v>1970</v>
      </c>
      <c r="H587" t="s">
        <v>1971</v>
      </c>
      <c r="I587" t="s">
        <v>22</v>
      </c>
      <c r="J587" t="s">
        <v>23</v>
      </c>
      <c r="K587" t="s">
        <v>935</v>
      </c>
      <c r="L587" t="s">
        <v>39</v>
      </c>
      <c r="M587">
        <v>92024</v>
      </c>
      <c r="N587" t="s">
        <v>40</v>
      </c>
      <c r="O587" t="s">
        <v>1972</v>
      </c>
      <c r="P587" t="s">
        <v>42</v>
      </c>
      <c r="Q587" t="s">
        <v>74</v>
      </c>
      <c r="R587" t="s">
        <v>1973</v>
      </c>
      <c r="S587">
        <v>76.12</v>
      </c>
    </row>
    <row r="588" spans="1:19" x14ac:dyDescent="0.35">
      <c r="A588">
        <v>596</v>
      </c>
      <c r="B588" t="s">
        <v>1969</v>
      </c>
      <c r="C588" s="1">
        <v>42224</v>
      </c>
      <c r="D588" s="1">
        <v>42231</v>
      </c>
      <c r="E588" s="1" t="str">
        <f t="shared" si="9"/>
        <v>FAST</v>
      </c>
      <c r="F588" t="s">
        <v>46</v>
      </c>
      <c r="G588" t="s">
        <v>1970</v>
      </c>
      <c r="H588" t="s">
        <v>1971</v>
      </c>
      <c r="I588" t="s">
        <v>22</v>
      </c>
      <c r="J588" t="s">
        <v>23</v>
      </c>
      <c r="K588" t="s">
        <v>935</v>
      </c>
      <c r="L588" t="s">
        <v>39</v>
      </c>
      <c r="M588">
        <v>92024</v>
      </c>
      <c r="N588" t="s">
        <v>40</v>
      </c>
      <c r="O588" t="s">
        <v>1416</v>
      </c>
      <c r="P588" t="s">
        <v>67</v>
      </c>
      <c r="Q588" t="s">
        <v>1204</v>
      </c>
      <c r="R588" t="s">
        <v>1417</v>
      </c>
      <c r="S588">
        <v>1199.9760000000001</v>
      </c>
    </row>
    <row r="589" spans="1:19" x14ac:dyDescent="0.35">
      <c r="A589">
        <v>597</v>
      </c>
      <c r="B589" t="s">
        <v>1969</v>
      </c>
      <c r="C589" s="1">
        <v>42224</v>
      </c>
      <c r="D589" s="1">
        <v>42231</v>
      </c>
      <c r="E589" s="1" t="str">
        <f t="shared" si="9"/>
        <v>FAST</v>
      </c>
      <c r="F589" t="s">
        <v>46</v>
      </c>
      <c r="G589" t="s">
        <v>1970</v>
      </c>
      <c r="H589" t="s">
        <v>1971</v>
      </c>
      <c r="I589" t="s">
        <v>22</v>
      </c>
      <c r="J589" t="s">
        <v>23</v>
      </c>
      <c r="K589" t="s">
        <v>935</v>
      </c>
      <c r="L589" t="s">
        <v>39</v>
      </c>
      <c r="M589">
        <v>92024</v>
      </c>
      <c r="N589" t="s">
        <v>40</v>
      </c>
      <c r="O589" t="s">
        <v>1140</v>
      </c>
      <c r="P589" t="s">
        <v>67</v>
      </c>
      <c r="Q589" t="s">
        <v>68</v>
      </c>
      <c r="R589" t="s">
        <v>1141</v>
      </c>
      <c r="S589">
        <v>445.96</v>
      </c>
    </row>
    <row r="590" spans="1:19" x14ac:dyDescent="0.35">
      <c r="A590">
        <v>598</v>
      </c>
      <c r="B590" t="s">
        <v>1969</v>
      </c>
      <c r="C590" s="1">
        <v>42224</v>
      </c>
      <c r="D590" s="1">
        <v>42231</v>
      </c>
      <c r="E590" s="1" t="str">
        <f t="shared" si="9"/>
        <v>FAST</v>
      </c>
      <c r="F590" t="s">
        <v>46</v>
      </c>
      <c r="G590" t="s">
        <v>1970</v>
      </c>
      <c r="H590" t="s">
        <v>1971</v>
      </c>
      <c r="I590" t="s">
        <v>22</v>
      </c>
      <c r="J590" t="s">
        <v>23</v>
      </c>
      <c r="K590" t="s">
        <v>935</v>
      </c>
      <c r="L590" t="s">
        <v>39</v>
      </c>
      <c r="M590">
        <v>92024</v>
      </c>
      <c r="N590" t="s">
        <v>40</v>
      </c>
      <c r="O590" t="s">
        <v>1974</v>
      </c>
      <c r="P590" t="s">
        <v>28</v>
      </c>
      <c r="Q590" t="s">
        <v>61</v>
      </c>
      <c r="R590" t="s">
        <v>1975</v>
      </c>
      <c r="S590">
        <v>327.76</v>
      </c>
    </row>
    <row r="591" spans="1:19" x14ac:dyDescent="0.35">
      <c r="A591">
        <v>599</v>
      </c>
      <c r="B591" t="s">
        <v>1976</v>
      </c>
      <c r="C591" s="1">
        <v>42930</v>
      </c>
      <c r="D591" s="1">
        <v>42932</v>
      </c>
      <c r="E591" s="1" t="str">
        <f t="shared" si="9"/>
        <v>MODERATE</v>
      </c>
      <c r="F591" t="s">
        <v>184</v>
      </c>
      <c r="G591" t="s">
        <v>1977</v>
      </c>
      <c r="H591" t="s">
        <v>1978</v>
      </c>
      <c r="I591" t="s">
        <v>22</v>
      </c>
      <c r="J591" t="s">
        <v>23</v>
      </c>
      <c r="K591" t="s">
        <v>142</v>
      </c>
      <c r="L591" t="s">
        <v>143</v>
      </c>
      <c r="M591">
        <v>19134</v>
      </c>
      <c r="N591" t="s">
        <v>144</v>
      </c>
      <c r="O591" t="s">
        <v>1979</v>
      </c>
      <c r="P591" t="s">
        <v>42</v>
      </c>
      <c r="Q591" t="s">
        <v>566</v>
      </c>
      <c r="R591" t="s">
        <v>1980</v>
      </c>
      <c r="S591">
        <v>11.632</v>
      </c>
    </row>
    <row r="592" spans="1:19" x14ac:dyDescent="0.35">
      <c r="A592">
        <v>600</v>
      </c>
      <c r="B592" t="s">
        <v>1981</v>
      </c>
      <c r="C592" s="1">
        <v>42932</v>
      </c>
      <c r="D592" s="1">
        <v>42937</v>
      </c>
      <c r="E592" s="1" t="str">
        <f t="shared" si="9"/>
        <v>FAST</v>
      </c>
      <c r="F592" t="s">
        <v>46</v>
      </c>
      <c r="G592" t="s">
        <v>1982</v>
      </c>
      <c r="H592" t="s">
        <v>1983</v>
      </c>
      <c r="I592" t="s">
        <v>22</v>
      </c>
      <c r="J592" t="s">
        <v>23</v>
      </c>
      <c r="K592" t="s">
        <v>142</v>
      </c>
      <c r="L592" t="s">
        <v>143</v>
      </c>
      <c r="M592">
        <v>19120</v>
      </c>
      <c r="N592" t="s">
        <v>144</v>
      </c>
      <c r="O592" t="s">
        <v>1984</v>
      </c>
      <c r="P592" t="s">
        <v>67</v>
      </c>
      <c r="Q592" t="s">
        <v>68</v>
      </c>
      <c r="R592" t="s">
        <v>1985</v>
      </c>
      <c r="S592">
        <v>143.982</v>
      </c>
    </row>
    <row r="593" spans="1:19" x14ac:dyDescent="0.35">
      <c r="A593">
        <v>601</v>
      </c>
      <c r="B593" t="s">
        <v>1981</v>
      </c>
      <c r="C593" s="1">
        <v>42932</v>
      </c>
      <c r="D593" s="1">
        <v>42937</v>
      </c>
      <c r="E593" s="1" t="str">
        <f t="shared" si="9"/>
        <v>FAST</v>
      </c>
      <c r="F593" t="s">
        <v>46</v>
      </c>
      <c r="G593" t="s">
        <v>1982</v>
      </c>
      <c r="H593" t="s">
        <v>1983</v>
      </c>
      <c r="I593" t="s">
        <v>22</v>
      </c>
      <c r="J593" t="s">
        <v>23</v>
      </c>
      <c r="K593" t="s">
        <v>142</v>
      </c>
      <c r="L593" t="s">
        <v>143</v>
      </c>
      <c r="M593">
        <v>19120</v>
      </c>
      <c r="N593" t="s">
        <v>144</v>
      </c>
      <c r="O593" t="s">
        <v>1986</v>
      </c>
      <c r="P593" t="s">
        <v>67</v>
      </c>
      <c r="Q593" t="s">
        <v>68</v>
      </c>
      <c r="R593" t="s">
        <v>1987</v>
      </c>
      <c r="S593">
        <v>494.37599999999998</v>
      </c>
    </row>
    <row r="594" spans="1:19" x14ac:dyDescent="0.35">
      <c r="A594">
        <v>602</v>
      </c>
      <c r="B594" t="s">
        <v>1981</v>
      </c>
      <c r="C594" s="1">
        <v>42932</v>
      </c>
      <c r="D594" s="1">
        <v>42937</v>
      </c>
      <c r="E594" s="1" t="str">
        <f t="shared" si="9"/>
        <v>FAST</v>
      </c>
      <c r="F594" t="s">
        <v>46</v>
      </c>
      <c r="G594" t="s">
        <v>1982</v>
      </c>
      <c r="H594" t="s">
        <v>1983</v>
      </c>
      <c r="I594" t="s">
        <v>22</v>
      </c>
      <c r="J594" t="s">
        <v>23</v>
      </c>
      <c r="K594" t="s">
        <v>142</v>
      </c>
      <c r="L594" t="s">
        <v>143</v>
      </c>
      <c r="M594">
        <v>19120</v>
      </c>
      <c r="N594" t="s">
        <v>144</v>
      </c>
      <c r="O594" t="s">
        <v>1929</v>
      </c>
      <c r="P594" t="s">
        <v>42</v>
      </c>
      <c r="Q594" t="s">
        <v>566</v>
      </c>
      <c r="R594" t="s">
        <v>1930</v>
      </c>
      <c r="S594">
        <v>5.84</v>
      </c>
    </row>
    <row r="595" spans="1:19" x14ac:dyDescent="0.35">
      <c r="A595">
        <v>603</v>
      </c>
      <c r="B595" t="s">
        <v>1988</v>
      </c>
      <c r="C595" s="1">
        <v>42078</v>
      </c>
      <c r="D595" s="1">
        <v>42082</v>
      </c>
      <c r="E595" s="1" t="str">
        <f t="shared" si="9"/>
        <v>FAST</v>
      </c>
      <c r="F595" t="s">
        <v>46</v>
      </c>
      <c r="G595" t="s">
        <v>1989</v>
      </c>
      <c r="H595" t="s">
        <v>1990</v>
      </c>
      <c r="I595" t="s">
        <v>22</v>
      </c>
      <c r="J595" t="s">
        <v>23</v>
      </c>
      <c r="K595" t="s">
        <v>887</v>
      </c>
      <c r="L595" t="s">
        <v>50</v>
      </c>
      <c r="M595">
        <v>33614</v>
      </c>
      <c r="N595" t="s">
        <v>26</v>
      </c>
      <c r="O595" t="s">
        <v>1991</v>
      </c>
      <c r="P595" t="s">
        <v>42</v>
      </c>
      <c r="Q595" t="s">
        <v>55</v>
      </c>
      <c r="R595" t="s">
        <v>1992</v>
      </c>
      <c r="S595">
        <v>142.77600000000001</v>
      </c>
    </row>
    <row r="596" spans="1:19" x14ac:dyDescent="0.35">
      <c r="A596">
        <v>604</v>
      </c>
      <c r="B596" t="s">
        <v>1988</v>
      </c>
      <c r="C596" s="1">
        <v>42078</v>
      </c>
      <c r="D596" s="1">
        <v>42082</v>
      </c>
      <c r="E596" s="1" t="str">
        <f t="shared" si="9"/>
        <v>FAST</v>
      </c>
      <c r="F596" t="s">
        <v>46</v>
      </c>
      <c r="G596" t="s">
        <v>1989</v>
      </c>
      <c r="H596" t="s">
        <v>1990</v>
      </c>
      <c r="I596" t="s">
        <v>22</v>
      </c>
      <c r="J596" t="s">
        <v>23</v>
      </c>
      <c r="K596" t="s">
        <v>887</v>
      </c>
      <c r="L596" t="s">
        <v>50</v>
      </c>
      <c r="M596">
        <v>33614</v>
      </c>
      <c r="N596" t="s">
        <v>26</v>
      </c>
      <c r="O596" t="s">
        <v>1126</v>
      </c>
      <c r="P596" t="s">
        <v>28</v>
      </c>
      <c r="Q596" t="s">
        <v>61</v>
      </c>
      <c r="R596" t="s">
        <v>1127</v>
      </c>
      <c r="S596">
        <v>45.695999999999998</v>
      </c>
    </row>
    <row r="597" spans="1:19" x14ac:dyDescent="0.35">
      <c r="A597">
        <v>605</v>
      </c>
      <c r="B597" t="s">
        <v>1988</v>
      </c>
      <c r="C597" s="1">
        <v>42078</v>
      </c>
      <c r="D597" s="1">
        <v>42082</v>
      </c>
      <c r="E597" s="1" t="str">
        <f t="shared" si="9"/>
        <v>FAST</v>
      </c>
      <c r="F597" t="s">
        <v>46</v>
      </c>
      <c r="G597" t="s">
        <v>1989</v>
      </c>
      <c r="H597" t="s">
        <v>1990</v>
      </c>
      <c r="I597" t="s">
        <v>22</v>
      </c>
      <c r="J597" t="s">
        <v>23</v>
      </c>
      <c r="K597" t="s">
        <v>887</v>
      </c>
      <c r="L597" t="s">
        <v>50</v>
      </c>
      <c r="M597">
        <v>33614</v>
      </c>
      <c r="N597" t="s">
        <v>26</v>
      </c>
      <c r="O597" t="s">
        <v>1506</v>
      </c>
      <c r="P597" t="s">
        <v>42</v>
      </c>
      <c r="Q597" t="s">
        <v>71</v>
      </c>
      <c r="R597" t="s">
        <v>1507</v>
      </c>
      <c r="S597">
        <v>7.218</v>
      </c>
    </row>
    <row r="598" spans="1:19" x14ac:dyDescent="0.35">
      <c r="A598">
        <v>606</v>
      </c>
      <c r="B598" t="s">
        <v>1988</v>
      </c>
      <c r="C598" s="1">
        <v>42078</v>
      </c>
      <c r="D598" s="1">
        <v>42082</v>
      </c>
      <c r="E598" s="1" t="str">
        <f t="shared" si="9"/>
        <v>FAST</v>
      </c>
      <c r="F598" t="s">
        <v>46</v>
      </c>
      <c r="G598" t="s">
        <v>1989</v>
      </c>
      <c r="H598" t="s">
        <v>1990</v>
      </c>
      <c r="I598" t="s">
        <v>22</v>
      </c>
      <c r="J598" t="s">
        <v>23</v>
      </c>
      <c r="K598" t="s">
        <v>887</v>
      </c>
      <c r="L598" t="s">
        <v>50</v>
      </c>
      <c r="M598">
        <v>33614</v>
      </c>
      <c r="N598" t="s">
        <v>26</v>
      </c>
      <c r="O598" t="s">
        <v>1478</v>
      </c>
      <c r="P598" t="s">
        <v>42</v>
      </c>
      <c r="Q598" t="s">
        <v>71</v>
      </c>
      <c r="R598" t="s">
        <v>1479</v>
      </c>
      <c r="S598">
        <v>43.188000000000002</v>
      </c>
    </row>
    <row r="599" spans="1:19" x14ac:dyDescent="0.35">
      <c r="A599">
        <v>607</v>
      </c>
      <c r="B599" t="s">
        <v>1988</v>
      </c>
      <c r="C599" s="1">
        <v>42078</v>
      </c>
      <c r="D599" s="1">
        <v>42082</v>
      </c>
      <c r="E599" s="1" t="str">
        <f t="shared" si="9"/>
        <v>FAST</v>
      </c>
      <c r="F599" t="s">
        <v>46</v>
      </c>
      <c r="G599" t="s">
        <v>1989</v>
      </c>
      <c r="H599" t="s">
        <v>1990</v>
      </c>
      <c r="I599" t="s">
        <v>22</v>
      </c>
      <c r="J599" t="s">
        <v>23</v>
      </c>
      <c r="K599" t="s">
        <v>887</v>
      </c>
      <c r="L599" t="s">
        <v>50</v>
      </c>
      <c r="M599">
        <v>33614</v>
      </c>
      <c r="N599" t="s">
        <v>26</v>
      </c>
      <c r="O599" t="s">
        <v>1993</v>
      </c>
      <c r="P599" t="s">
        <v>42</v>
      </c>
      <c r="Q599" t="s">
        <v>86</v>
      </c>
      <c r="R599" t="s">
        <v>1994</v>
      </c>
      <c r="S599">
        <v>131.904</v>
      </c>
    </row>
    <row r="600" spans="1:19" x14ac:dyDescent="0.35">
      <c r="A600">
        <v>608</v>
      </c>
      <c r="B600" t="s">
        <v>1995</v>
      </c>
      <c r="C600" s="1">
        <v>42147</v>
      </c>
      <c r="D600" s="1">
        <v>42151</v>
      </c>
      <c r="E600" s="1" t="str">
        <f t="shared" si="9"/>
        <v>FAST</v>
      </c>
      <c r="F600" t="s">
        <v>46</v>
      </c>
      <c r="G600" t="s">
        <v>1996</v>
      </c>
      <c r="H600" t="s">
        <v>1997</v>
      </c>
      <c r="I600" t="s">
        <v>22</v>
      </c>
      <c r="J600" t="s">
        <v>23</v>
      </c>
      <c r="K600" t="s">
        <v>142</v>
      </c>
      <c r="L600" t="s">
        <v>143</v>
      </c>
      <c r="M600">
        <v>19134</v>
      </c>
      <c r="N600" t="s">
        <v>144</v>
      </c>
      <c r="O600" t="s">
        <v>1998</v>
      </c>
      <c r="P600" t="s">
        <v>42</v>
      </c>
      <c r="Q600" t="s">
        <v>71</v>
      </c>
      <c r="R600" t="s">
        <v>1999</v>
      </c>
      <c r="S600">
        <v>3.282</v>
      </c>
    </row>
    <row r="601" spans="1:19" x14ac:dyDescent="0.35">
      <c r="A601">
        <v>609</v>
      </c>
      <c r="B601" t="s">
        <v>1995</v>
      </c>
      <c r="C601" s="1">
        <v>42147</v>
      </c>
      <c r="D601" s="1">
        <v>42151</v>
      </c>
      <c r="E601" s="1" t="str">
        <f t="shared" si="9"/>
        <v>FAST</v>
      </c>
      <c r="F601" t="s">
        <v>46</v>
      </c>
      <c r="G601" t="s">
        <v>1996</v>
      </c>
      <c r="H601" t="s">
        <v>1997</v>
      </c>
      <c r="I601" t="s">
        <v>22</v>
      </c>
      <c r="J601" t="s">
        <v>23</v>
      </c>
      <c r="K601" t="s">
        <v>142</v>
      </c>
      <c r="L601" t="s">
        <v>143</v>
      </c>
      <c r="M601">
        <v>19134</v>
      </c>
      <c r="N601" t="s">
        <v>144</v>
      </c>
      <c r="O601" t="s">
        <v>1738</v>
      </c>
      <c r="P601" t="s">
        <v>42</v>
      </c>
      <c r="Q601" t="s">
        <v>64</v>
      </c>
      <c r="R601" t="s">
        <v>1739</v>
      </c>
      <c r="S601">
        <v>21.167999999999999</v>
      </c>
    </row>
    <row r="602" spans="1:19" x14ac:dyDescent="0.35">
      <c r="A602">
        <v>610</v>
      </c>
      <c r="B602" t="s">
        <v>1995</v>
      </c>
      <c r="C602" s="1">
        <v>42147</v>
      </c>
      <c r="D602" s="1">
        <v>42151</v>
      </c>
      <c r="E602" s="1" t="str">
        <f t="shared" si="9"/>
        <v>FAST</v>
      </c>
      <c r="F602" t="s">
        <v>46</v>
      </c>
      <c r="G602" t="s">
        <v>1996</v>
      </c>
      <c r="H602" t="s">
        <v>1997</v>
      </c>
      <c r="I602" t="s">
        <v>22</v>
      </c>
      <c r="J602" t="s">
        <v>23</v>
      </c>
      <c r="K602" t="s">
        <v>142</v>
      </c>
      <c r="L602" t="s">
        <v>143</v>
      </c>
      <c r="M602">
        <v>19134</v>
      </c>
      <c r="N602" t="s">
        <v>144</v>
      </c>
      <c r="O602" t="s">
        <v>2000</v>
      </c>
      <c r="P602" t="s">
        <v>67</v>
      </c>
      <c r="Q602" t="s">
        <v>68</v>
      </c>
      <c r="R602" t="s">
        <v>2001</v>
      </c>
      <c r="S602">
        <v>55.188000000000002</v>
      </c>
    </row>
    <row r="603" spans="1:19" x14ac:dyDescent="0.35">
      <c r="A603">
        <v>611</v>
      </c>
      <c r="B603" t="s">
        <v>2002</v>
      </c>
      <c r="C603" s="1">
        <v>42853</v>
      </c>
      <c r="D603" s="1">
        <v>42856</v>
      </c>
      <c r="E603" s="1" t="str">
        <f t="shared" si="9"/>
        <v>MODERATE</v>
      </c>
      <c r="F603" t="s">
        <v>184</v>
      </c>
      <c r="G603" t="s">
        <v>2003</v>
      </c>
      <c r="H603" t="s">
        <v>2004</v>
      </c>
      <c r="I603" t="s">
        <v>37</v>
      </c>
      <c r="J603" t="s">
        <v>23</v>
      </c>
      <c r="K603" t="s">
        <v>802</v>
      </c>
      <c r="L603" t="s">
        <v>100</v>
      </c>
      <c r="M603">
        <v>75217</v>
      </c>
      <c r="N603" t="s">
        <v>101</v>
      </c>
      <c r="O603" t="s">
        <v>1363</v>
      </c>
      <c r="P603" t="s">
        <v>67</v>
      </c>
      <c r="Q603" t="s">
        <v>68</v>
      </c>
      <c r="R603" t="s">
        <v>1364</v>
      </c>
      <c r="S603">
        <v>369.57600000000002</v>
      </c>
    </row>
    <row r="604" spans="1:19" x14ac:dyDescent="0.35">
      <c r="A604">
        <v>612</v>
      </c>
      <c r="B604" t="s">
        <v>2002</v>
      </c>
      <c r="C604" s="1">
        <v>42853</v>
      </c>
      <c r="D604" s="1">
        <v>42856</v>
      </c>
      <c r="E604" s="1" t="str">
        <f t="shared" si="9"/>
        <v>MODERATE</v>
      </c>
      <c r="F604" t="s">
        <v>184</v>
      </c>
      <c r="G604" t="s">
        <v>2003</v>
      </c>
      <c r="H604" t="s">
        <v>2004</v>
      </c>
      <c r="I604" t="s">
        <v>37</v>
      </c>
      <c r="J604" t="s">
        <v>23</v>
      </c>
      <c r="K604" t="s">
        <v>802</v>
      </c>
      <c r="L604" t="s">
        <v>100</v>
      </c>
      <c r="M604">
        <v>75217</v>
      </c>
      <c r="N604" t="s">
        <v>101</v>
      </c>
      <c r="O604" t="s">
        <v>2005</v>
      </c>
      <c r="P604" t="s">
        <v>42</v>
      </c>
      <c r="Q604" t="s">
        <v>43</v>
      </c>
      <c r="R604" t="s">
        <v>2006</v>
      </c>
      <c r="S604">
        <v>15.712</v>
      </c>
    </row>
    <row r="605" spans="1:19" x14ac:dyDescent="0.35">
      <c r="A605">
        <v>613</v>
      </c>
      <c r="B605" t="s">
        <v>2007</v>
      </c>
      <c r="C605" s="1">
        <v>42989</v>
      </c>
      <c r="D605" s="1">
        <v>42991</v>
      </c>
      <c r="E605" s="1" t="str">
        <f t="shared" si="9"/>
        <v>SLOW</v>
      </c>
      <c r="F605" t="s">
        <v>19</v>
      </c>
      <c r="G605" t="s">
        <v>2008</v>
      </c>
      <c r="H605" t="s">
        <v>2009</v>
      </c>
      <c r="I605" t="s">
        <v>37</v>
      </c>
      <c r="J605" t="s">
        <v>23</v>
      </c>
      <c r="K605" t="s">
        <v>142</v>
      </c>
      <c r="L605" t="s">
        <v>143</v>
      </c>
      <c r="M605">
        <v>19143</v>
      </c>
      <c r="N605" t="s">
        <v>144</v>
      </c>
      <c r="O605" t="s">
        <v>2010</v>
      </c>
      <c r="P605" t="s">
        <v>42</v>
      </c>
      <c r="Q605" t="s">
        <v>86</v>
      </c>
      <c r="R605" t="s">
        <v>2011</v>
      </c>
      <c r="S605">
        <v>8.4480000000000004</v>
      </c>
    </row>
    <row r="606" spans="1:19" x14ac:dyDescent="0.35">
      <c r="A606">
        <v>614</v>
      </c>
      <c r="B606" t="s">
        <v>2007</v>
      </c>
      <c r="C606" s="1">
        <v>42989</v>
      </c>
      <c r="D606" s="1">
        <v>42991</v>
      </c>
      <c r="E606" s="1" t="str">
        <f t="shared" si="9"/>
        <v>SLOW</v>
      </c>
      <c r="F606" t="s">
        <v>19</v>
      </c>
      <c r="G606" t="s">
        <v>2008</v>
      </c>
      <c r="H606" t="s">
        <v>2009</v>
      </c>
      <c r="I606" t="s">
        <v>37</v>
      </c>
      <c r="J606" t="s">
        <v>23</v>
      </c>
      <c r="K606" t="s">
        <v>142</v>
      </c>
      <c r="L606" t="s">
        <v>143</v>
      </c>
      <c r="M606">
        <v>19143</v>
      </c>
      <c r="N606" t="s">
        <v>144</v>
      </c>
      <c r="O606" t="s">
        <v>2012</v>
      </c>
      <c r="P606" t="s">
        <v>67</v>
      </c>
      <c r="Q606" t="s">
        <v>68</v>
      </c>
      <c r="R606" t="s">
        <v>2013</v>
      </c>
      <c r="S606">
        <v>728.94600000000003</v>
      </c>
    </row>
    <row r="607" spans="1:19" x14ac:dyDescent="0.35">
      <c r="A607">
        <v>615</v>
      </c>
      <c r="B607" t="s">
        <v>2014</v>
      </c>
      <c r="C607" s="1">
        <v>43418</v>
      </c>
      <c r="D607" s="1">
        <v>43421</v>
      </c>
      <c r="E607" s="1" t="str">
        <f t="shared" si="9"/>
        <v>SLOW</v>
      </c>
      <c r="F607" t="s">
        <v>19</v>
      </c>
      <c r="G607" t="s">
        <v>2015</v>
      </c>
      <c r="H607" t="s">
        <v>2016</v>
      </c>
      <c r="I607" t="s">
        <v>22</v>
      </c>
      <c r="J607" t="s">
        <v>23</v>
      </c>
      <c r="K607" t="s">
        <v>2017</v>
      </c>
      <c r="L607" t="s">
        <v>485</v>
      </c>
      <c r="M607">
        <v>43123</v>
      </c>
      <c r="N607" t="s">
        <v>144</v>
      </c>
      <c r="O607" t="s">
        <v>911</v>
      </c>
      <c r="P607" t="s">
        <v>67</v>
      </c>
      <c r="Q607" t="s">
        <v>68</v>
      </c>
      <c r="R607" t="s">
        <v>912</v>
      </c>
      <c r="S607">
        <v>119.94</v>
      </c>
    </row>
    <row r="608" spans="1:19" x14ac:dyDescent="0.35">
      <c r="A608">
        <v>616</v>
      </c>
      <c r="B608" t="s">
        <v>2014</v>
      </c>
      <c r="C608" s="1">
        <v>43418</v>
      </c>
      <c r="D608" s="1">
        <v>43421</v>
      </c>
      <c r="E608" s="1" t="str">
        <f t="shared" si="9"/>
        <v>SLOW</v>
      </c>
      <c r="F608" t="s">
        <v>19</v>
      </c>
      <c r="G608" t="s">
        <v>2015</v>
      </c>
      <c r="H608" t="s">
        <v>2016</v>
      </c>
      <c r="I608" t="s">
        <v>22</v>
      </c>
      <c r="J608" t="s">
        <v>23</v>
      </c>
      <c r="K608" t="s">
        <v>2017</v>
      </c>
      <c r="L608" t="s">
        <v>485</v>
      </c>
      <c r="M608">
        <v>43123</v>
      </c>
      <c r="N608" t="s">
        <v>144</v>
      </c>
      <c r="O608" t="s">
        <v>2018</v>
      </c>
      <c r="P608" t="s">
        <v>42</v>
      </c>
      <c r="Q608" t="s">
        <v>71</v>
      </c>
      <c r="R608" t="s">
        <v>2019</v>
      </c>
      <c r="S608">
        <v>3.6480000000000001</v>
      </c>
    </row>
    <row r="609" spans="1:19" x14ac:dyDescent="0.35">
      <c r="A609">
        <v>617</v>
      </c>
      <c r="B609" t="s">
        <v>2020</v>
      </c>
      <c r="C609" s="1">
        <v>43330</v>
      </c>
      <c r="D609" s="1">
        <v>43335</v>
      </c>
      <c r="E609" s="1" t="str">
        <f t="shared" si="9"/>
        <v>SLOW</v>
      </c>
      <c r="F609" t="s">
        <v>19</v>
      </c>
      <c r="G609" t="s">
        <v>2021</v>
      </c>
      <c r="H609" t="s">
        <v>2022</v>
      </c>
      <c r="I609" t="s">
        <v>37</v>
      </c>
      <c r="J609" t="s">
        <v>23</v>
      </c>
      <c r="K609" t="s">
        <v>260</v>
      </c>
      <c r="L609" t="s">
        <v>261</v>
      </c>
      <c r="M609">
        <v>10011</v>
      </c>
      <c r="N609" t="s">
        <v>144</v>
      </c>
      <c r="O609" t="s">
        <v>2023</v>
      </c>
      <c r="P609" t="s">
        <v>28</v>
      </c>
      <c r="Q609" t="s">
        <v>61</v>
      </c>
      <c r="R609" t="s">
        <v>2024</v>
      </c>
      <c r="S609">
        <v>40.479999999999997</v>
      </c>
    </row>
    <row r="610" spans="1:19" x14ac:dyDescent="0.35">
      <c r="A610">
        <v>618</v>
      </c>
      <c r="B610" t="s">
        <v>2020</v>
      </c>
      <c r="C610" s="1">
        <v>43330</v>
      </c>
      <c r="D610" s="1">
        <v>43335</v>
      </c>
      <c r="E610" s="1" t="str">
        <f t="shared" si="9"/>
        <v>SLOW</v>
      </c>
      <c r="F610" t="s">
        <v>19</v>
      </c>
      <c r="G610" t="s">
        <v>2021</v>
      </c>
      <c r="H610" t="s">
        <v>2022</v>
      </c>
      <c r="I610" t="s">
        <v>37</v>
      </c>
      <c r="J610" t="s">
        <v>23</v>
      </c>
      <c r="K610" t="s">
        <v>260</v>
      </c>
      <c r="L610" t="s">
        <v>261</v>
      </c>
      <c r="M610">
        <v>10011</v>
      </c>
      <c r="N610" t="s">
        <v>144</v>
      </c>
      <c r="O610" t="s">
        <v>2025</v>
      </c>
      <c r="P610" t="s">
        <v>28</v>
      </c>
      <c r="Q610" t="s">
        <v>61</v>
      </c>
      <c r="R610" t="s">
        <v>2026</v>
      </c>
      <c r="S610">
        <v>9.94</v>
      </c>
    </row>
    <row r="611" spans="1:19" x14ac:dyDescent="0.35">
      <c r="A611">
        <v>619</v>
      </c>
      <c r="B611" t="s">
        <v>2020</v>
      </c>
      <c r="C611" s="1">
        <v>43330</v>
      </c>
      <c r="D611" s="1">
        <v>43335</v>
      </c>
      <c r="E611" s="1" t="str">
        <f t="shared" si="9"/>
        <v>SLOW</v>
      </c>
      <c r="F611" t="s">
        <v>19</v>
      </c>
      <c r="G611" t="s">
        <v>2021</v>
      </c>
      <c r="H611" t="s">
        <v>2022</v>
      </c>
      <c r="I611" t="s">
        <v>37</v>
      </c>
      <c r="J611" t="s">
        <v>23</v>
      </c>
      <c r="K611" t="s">
        <v>260</v>
      </c>
      <c r="L611" t="s">
        <v>261</v>
      </c>
      <c r="M611">
        <v>10011</v>
      </c>
      <c r="N611" t="s">
        <v>144</v>
      </c>
      <c r="O611" t="s">
        <v>2027</v>
      </c>
      <c r="P611" t="s">
        <v>42</v>
      </c>
      <c r="Q611" t="s">
        <v>71</v>
      </c>
      <c r="R611" t="s">
        <v>2028</v>
      </c>
      <c r="S611">
        <v>107.42400000000001</v>
      </c>
    </row>
    <row r="612" spans="1:19" x14ac:dyDescent="0.35">
      <c r="A612">
        <v>620</v>
      </c>
      <c r="B612" t="s">
        <v>2020</v>
      </c>
      <c r="C612" s="1">
        <v>43330</v>
      </c>
      <c r="D612" s="1">
        <v>43335</v>
      </c>
      <c r="E612" s="1" t="str">
        <f t="shared" si="9"/>
        <v>SLOW</v>
      </c>
      <c r="F612" t="s">
        <v>19</v>
      </c>
      <c r="G612" t="s">
        <v>2021</v>
      </c>
      <c r="H612" t="s">
        <v>2022</v>
      </c>
      <c r="I612" t="s">
        <v>37</v>
      </c>
      <c r="J612" t="s">
        <v>23</v>
      </c>
      <c r="K612" t="s">
        <v>260</v>
      </c>
      <c r="L612" t="s">
        <v>261</v>
      </c>
      <c r="M612">
        <v>10011</v>
      </c>
      <c r="N612" t="s">
        <v>144</v>
      </c>
      <c r="O612" t="s">
        <v>2029</v>
      </c>
      <c r="P612" t="s">
        <v>67</v>
      </c>
      <c r="Q612" t="s">
        <v>68</v>
      </c>
      <c r="R612" t="s">
        <v>2030</v>
      </c>
      <c r="S612">
        <v>37.909999999999997</v>
      </c>
    </row>
    <row r="613" spans="1:19" x14ac:dyDescent="0.35">
      <c r="A613">
        <v>621</v>
      </c>
      <c r="B613" t="s">
        <v>2020</v>
      </c>
      <c r="C613" s="1">
        <v>43330</v>
      </c>
      <c r="D613" s="1">
        <v>43335</v>
      </c>
      <c r="E613" s="1" t="str">
        <f t="shared" si="9"/>
        <v>SLOW</v>
      </c>
      <c r="F613" t="s">
        <v>19</v>
      </c>
      <c r="G613" t="s">
        <v>2021</v>
      </c>
      <c r="H613" t="s">
        <v>2022</v>
      </c>
      <c r="I613" t="s">
        <v>37</v>
      </c>
      <c r="J613" t="s">
        <v>23</v>
      </c>
      <c r="K613" t="s">
        <v>260</v>
      </c>
      <c r="L613" t="s">
        <v>261</v>
      </c>
      <c r="M613">
        <v>10011</v>
      </c>
      <c r="N613" t="s">
        <v>144</v>
      </c>
      <c r="O613" t="s">
        <v>595</v>
      </c>
      <c r="P613" t="s">
        <v>28</v>
      </c>
      <c r="Q613" t="s">
        <v>61</v>
      </c>
      <c r="R613" t="s">
        <v>596</v>
      </c>
      <c r="S613">
        <v>88.02</v>
      </c>
    </row>
    <row r="614" spans="1:19" x14ac:dyDescent="0.35">
      <c r="A614">
        <v>622</v>
      </c>
      <c r="B614" t="s">
        <v>2031</v>
      </c>
      <c r="C614" s="1">
        <v>42364</v>
      </c>
      <c r="D614" s="1">
        <v>42369</v>
      </c>
      <c r="E614" s="1" t="str">
        <f t="shared" si="9"/>
        <v>FAST</v>
      </c>
      <c r="F614" t="s">
        <v>46</v>
      </c>
      <c r="G614" t="s">
        <v>2032</v>
      </c>
      <c r="H614" t="s">
        <v>2033</v>
      </c>
      <c r="I614" t="s">
        <v>22</v>
      </c>
      <c r="J614" t="s">
        <v>23</v>
      </c>
      <c r="K614" t="s">
        <v>297</v>
      </c>
      <c r="L614" t="s">
        <v>205</v>
      </c>
      <c r="M614">
        <v>60610</v>
      </c>
      <c r="N614" t="s">
        <v>101</v>
      </c>
      <c r="O614" t="s">
        <v>2034</v>
      </c>
      <c r="P614" t="s">
        <v>42</v>
      </c>
      <c r="Q614" t="s">
        <v>71</v>
      </c>
      <c r="R614" t="s">
        <v>2035</v>
      </c>
      <c r="S614">
        <v>8.69</v>
      </c>
    </row>
    <row r="615" spans="1:19" x14ac:dyDescent="0.35">
      <c r="A615">
        <v>623</v>
      </c>
      <c r="B615" t="s">
        <v>2036</v>
      </c>
      <c r="C615" s="1">
        <v>42703</v>
      </c>
      <c r="D615" s="1">
        <v>42707</v>
      </c>
      <c r="E615" s="1" t="str">
        <f t="shared" si="9"/>
        <v>FAST</v>
      </c>
      <c r="F615" t="s">
        <v>46</v>
      </c>
      <c r="G615" t="s">
        <v>2037</v>
      </c>
      <c r="H615" t="s">
        <v>2038</v>
      </c>
      <c r="I615" t="s">
        <v>37</v>
      </c>
      <c r="J615" t="s">
        <v>23</v>
      </c>
      <c r="K615" t="s">
        <v>2039</v>
      </c>
      <c r="L615" t="s">
        <v>232</v>
      </c>
      <c r="M615">
        <v>48126</v>
      </c>
      <c r="N615" t="s">
        <v>101</v>
      </c>
      <c r="O615" t="s">
        <v>2040</v>
      </c>
      <c r="P615" t="s">
        <v>28</v>
      </c>
      <c r="Q615" t="s">
        <v>32</v>
      </c>
      <c r="R615" t="s">
        <v>2041</v>
      </c>
      <c r="S615">
        <v>301.95999999999998</v>
      </c>
    </row>
    <row r="616" spans="1:19" x14ac:dyDescent="0.35">
      <c r="A616">
        <v>624</v>
      </c>
      <c r="B616" t="s">
        <v>2036</v>
      </c>
      <c r="C616" s="1">
        <v>42703</v>
      </c>
      <c r="D616" s="1">
        <v>42707</v>
      </c>
      <c r="E616" s="1" t="str">
        <f t="shared" si="9"/>
        <v>FAST</v>
      </c>
      <c r="F616" t="s">
        <v>46</v>
      </c>
      <c r="G616" t="s">
        <v>2037</v>
      </c>
      <c r="H616" t="s">
        <v>2038</v>
      </c>
      <c r="I616" t="s">
        <v>37</v>
      </c>
      <c r="J616" t="s">
        <v>23</v>
      </c>
      <c r="K616" t="s">
        <v>2039</v>
      </c>
      <c r="L616" t="s">
        <v>232</v>
      </c>
      <c r="M616">
        <v>48126</v>
      </c>
      <c r="N616" t="s">
        <v>101</v>
      </c>
      <c r="O616" t="s">
        <v>2042</v>
      </c>
      <c r="P616" t="s">
        <v>42</v>
      </c>
      <c r="Q616" t="s">
        <v>74</v>
      </c>
      <c r="R616" t="s">
        <v>2043</v>
      </c>
      <c r="S616">
        <v>555.21</v>
      </c>
    </row>
    <row r="617" spans="1:19" x14ac:dyDescent="0.35">
      <c r="A617">
        <v>625</v>
      </c>
      <c r="B617" t="s">
        <v>2036</v>
      </c>
      <c r="C617" s="1">
        <v>42703</v>
      </c>
      <c r="D617" s="1">
        <v>42707</v>
      </c>
      <c r="E617" s="1" t="str">
        <f t="shared" si="9"/>
        <v>FAST</v>
      </c>
      <c r="F617" t="s">
        <v>46</v>
      </c>
      <c r="G617" t="s">
        <v>2037</v>
      </c>
      <c r="H617" t="s">
        <v>2038</v>
      </c>
      <c r="I617" t="s">
        <v>37</v>
      </c>
      <c r="J617" t="s">
        <v>23</v>
      </c>
      <c r="K617" t="s">
        <v>2039</v>
      </c>
      <c r="L617" t="s">
        <v>232</v>
      </c>
      <c r="M617">
        <v>48126</v>
      </c>
      <c r="N617" t="s">
        <v>101</v>
      </c>
      <c r="O617" t="s">
        <v>2044</v>
      </c>
      <c r="P617" t="s">
        <v>42</v>
      </c>
      <c r="Q617" t="s">
        <v>55</v>
      </c>
      <c r="R617" t="s">
        <v>2045</v>
      </c>
      <c r="S617">
        <v>523.48</v>
      </c>
    </row>
    <row r="618" spans="1:19" x14ac:dyDescent="0.35">
      <c r="A618">
        <v>626</v>
      </c>
      <c r="B618" t="s">
        <v>2036</v>
      </c>
      <c r="C618" s="1">
        <v>42703</v>
      </c>
      <c r="D618" s="1">
        <v>42707</v>
      </c>
      <c r="E618" s="1" t="str">
        <f t="shared" si="9"/>
        <v>FAST</v>
      </c>
      <c r="F618" t="s">
        <v>46</v>
      </c>
      <c r="G618" t="s">
        <v>2037</v>
      </c>
      <c r="H618" t="s">
        <v>2038</v>
      </c>
      <c r="I618" t="s">
        <v>37</v>
      </c>
      <c r="J618" t="s">
        <v>23</v>
      </c>
      <c r="K618" t="s">
        <v>2039</v>
      </c>
      <c r="L618" t="s">
        <v>232</v>
      </c>
      <c r="M618">
        <v>48126</v>
      </c>
      <c r="N618" t="s">
        <v>101</v>
      </c>
      <c r="O618" t="s">
        <v>171</v>
      </c>
      <c r="P618" t="s">
        <v>42</v>
      </c>
      <c r="Q618" t="s">
        <v>64</v>
      </c>
      <c r="R618" t="s">
        <v>172</v>
      </c>
      <c r="S618">
        <v>161.82</v>
      </c>
    </row>
    <row r="619" spans="1:19" x14ac:dyDescent="0.35">
      <c r="A619">
        <v>627</v>
      </c>
      <c r="B619" t="s">
        <v>2046</v>
      </c>
      <c r="C619" s="1">
        <v>43358</v>
      </c>
      <c r="D619" s="1">
        <v>43362</v>
      </c>
      <c r="E619" s="1" t="str">
        <f t="shared" si="9"/>
        <v>FAST</v>
      </c>
      <c r="F619" t="s">
        <v>46</v>
      </c>
      <c r="G619" t="s">
        <v>2047</v>
      </c>
      <c r="H619" t="s">
        <v>2048</v>
      </c>
      <c r="I619" t="s">
        <v>98</v>
      </c>
      <c r="J619" t="s">
        <v>23</v>
      </c>
      <c r="K619" t="s">
        <v>260</v>
      </c>
      <c r="L619" t="s">
        <v>261</v>
      </c>
      <c r="M619">
        <v>10009</v>
      </c>
      <c r="N619" t="s">
        <v>144</v>
      </c>
      <c r="O619" t="s">
        <v>2049</v>
      </c>
      <c r="P619" t="s">
        <v>28</v>
      </c>
      <c r="Q619" t="s">
        <v>61</v>
      </c>
      <c r="R619" t="s">
        <v>2050</v>
      </c>
      <c r="S619">
        <v>35.56</v>
      </c>
    </row>
    <row r="620" spans="1:19" x14ac:dyDescent="0.35">
      <c r="A620">
        <v>628</v>
      </c>
      <c r="B620" t="s">
        <v>2051</v>
      </c>
      <c r="C620" s="1">
        <v>43239</v>
      </c>
      <c r="D620" s="1">
        <v>43243</v>
      </c>
      <c r="E620" s="1" t="str">
        <f t="shared" si="9"/>
        <v>FAST</v>
      </c>
      <c r="F620" t="s">
        <v>46</v>
      </c>
      <c r="G620" t="s">
        <v>2052</v>
      </c>
      <c r="H620" t="s">
        <v>2053</v>
      </c>
      <c r="I620" t="s">
        <v>22</v>
      </c>
      <c r="J620" t="s">
        <v>23</v>
      </c>
      <c r="K620" t="s">
        <v>91</v>
      </c>
      <c r="L620" t="s">
        <v>92</v>
      </c>
      <c r="M620">
        <v>98115</v>
      </c>
      <c r="N620" t="s">
        <v>40</v>
      </c>
      <c r="O620" t="s">
        <v>2054</v>
      </c>
      <c r="P620" t="s">
        <v>42</v>
      </c>
      <c r="Q620" t="s">
        <v>74</v>
      </c>
      <c r="R620" t="s">
        <v>2055</v>
      </c>
      <c r="S620">
        <v>97.16</v>
      </c>
    </row>
    <row r="621" spans="1:19" x14ac:dyDescent="0.35">
      <c r="A621">
        <v>629</v>
      </c>
      <c r="B621" t="s">
        <v>2056</v>
      </c>
      <c r="C621" s="1">
        <v>43451</v>
      </c>
      <c r="D621" s="1">
        <v>43455</v>
      </c>
      <c r="E621" s="1" t="str">
        <f t="shared" si="9"/>
        <v>FAST</v>
      </c>
      <c r="F621" t="s">
        <v>46</v>
      </c>
      <c r="G621" t="s">
        <v>800</v>
      </c>
      <c r="H621" t="s">
        <v>801</v>
      </c>
      <c r="I621" t="s">
        <v>22</v>
      </c>
      <c r="J621" t="s">
        <v>23</v>
      </c>
      <c r="K621" t="s">
        <v>123</v>
      </c>
      <c r="L621" t="s">
        <v>39</v>
      </c>
      <c r="M621">
        <v>94122</v>
      </c>
      <c r="N621" t="s">
        <v>40</v>
      </c>
      <c r="O621" t="s">
        <v>2057</v>
      </c>
      <c r="P621" t="s">
        <v>42</v>
      </c>
      <c r="Q621" t="s">
        <v>71</v>
      </c>
      <c r="R621" t="s">
        <v>2058</v>
      </c>
      <c r="S621">
        <v>15.24</v>
      </c>
    </row>
    <row r="622" spans="1:19" x14ac:dyDescent="0.35">
      <c r="A622">
        <v>630</v>
      </c>
      <c r="B622" t="s">
        <v>2056</v>
      </c>
      <c r="C622" s="1">
        <v>43451</v>
      </c>
      <c r="D622" s="1">
        <v>43455</v>
      </c>
      <c r="E622" s="1" t="str">
        <f t="shared" si="9"/>
        <v>FAST</v>
      </c>
      <c r="F622" t="s">
        <v>46</v>
      </c>
      <c r="G622" t="s">
        <v>800</v>
      </c>
      <c r="H622" t="s">
        <v>801</v>
      </c>
      <c r="I622" t="s">
        <v>22</v>
      </c>
      <c r="J622" t="s">
        <v>23</v>
      </c>
      <c r="K622" t="s">
        <v>123</v>
      </c>
      <c r="L622" t="s">
        <v>39</v>
      </c>
      <c r="M622">
        <v>94122</v>
      </c>
      <c r="N622" t="s">
        <v>40</v>
      </c>
      <c r="O622" t="s">
        <v>1016</v>
      </c>
      <c r="P622" t="s">
        <v>42</v>
      </c>
      <c r="Q622" t="s">
        <v>86</v>
      </c>
      <c r="R622" t="s">
        <v>1017</v>
      </c>
      <c r="S622">
        <v>13.23</v>
      </c>
    </row>
    <row r="623" spans="1:19" x14ac:dyDescent="0.35">
      <c r="A623">
        <v>631</v>
      </c>
      <c r="B623" t="s">
        <v>2059</v>
      </c>
      <c r="C623" s="1">
        <v>43080</v>
      </c>
      <c r="D623" s="1">
        <v>43082</v>
      </c>
      <c r="E623" s="1" t="str">
        <f t="shared" si="9"/>
        <v>SLOW</v>
      </c>
      <c r="F623" t="s">
        <v>19</v>
      </c>
      <c r="G623" t="s">
        <v>2060</v>
      </c>
      <c r="H623" t="s">
        <v>2061</v>
      </c>
      <c r="I623" t="s">
        <v>22</v>
      </c>
      <c r="J623" t="s">
        <v>23</v>
      </c>
      <c r="K623" t="s">
        <v>443</v>
      </c>
      <c r="L623" t="s">
        <v>444</v>
      </c>
      <c r="M623">
        <v>80013</v>
      </c>
      <c r="N623" t="s">
        <v>40</v>
      </c>
      <c r="O623" t="s">
        <v>2062</v>
      </c>
      <c r="P623" t="s">
        <v>42</v>
      </c>
      <c r="Q623" t="s">
        <v>55</v>
      </c>
      <c r="R623" t="s">
        <v>2063</v>
      </c>
      <c r="S623">
        <v>243.38399999999999</v>
      </c>
    </row>
    <row r="624" spans="1:19" x14ac:dyDescent="0.35">
      <c r="A624">
        <v>632</v>
      </c>
      <c r="B624" t="s">
        <v>2059</v>
      </c>
      <c r="C624" s="1">
        <v>43080</v>
      </c>
      <c r="D624" s="1">
        <v>43082</v>
      </c>
      <c r="E624" s="1" t="str">
        <f t="shared" si="9"/>
        <v>SLOW</v>
      </c>
      <c r="F624" t="s">
        <v>19</v>
      </c>
      <c r="G624" t="s">
        <v>2060</v>
      </c>
      <c r="H624" t="s">
        <v>2061</v>
      </c>
      <c r="I624" t="s">
        <v>22</v>
      </c>
      <c r="J624" t="s">
        <v>23</v>
      </c>
      <c r="K624" t="s">
        <v>443</v>
      </c>
      <c r="L624" t="s">
        <v>444</v>
      </c>
      <c r="M624">
        <v>80013</v>
      </c>
      <c r="N624" t="s">
        <v>40</v>
      </c>
      <c r="O624" t="s">
        <v>2064</v>
      </c>
      <c r="P624" t="s">
        <v>67</v>
      </c>
      <c r="Q624" t="s">
        <v>157</v>
      </c>
      <c r="R624" t="s">
        <v>2065</v>
      </c>
      <c r="S624">
        <v>119.8</v>
      </c>
    </row>
    <row r="625" spans="1:19" x14ac:dyDescent="0.35">
      <c r="A625">
        <v>633</v>
      </c>
      <c r="B625" t="s">
        <v>2059</v>
      </c>
      <c r="C625" s="1">
        <v>43080</v>
      </c>
      <c r="D625" s="1">
        <v>43082</v>
      </c>
      <c r="E625" s="1" t="str">
        <f t="shared" si="9"/>
        <v>SLOW</v>
      </c>
      <c r="F625" t="s">
        <v>19</v>
      </c>
      <c r="G625" t="s">
        <v>2060</v>
      </c>
      <c r="H625" t="s">
        <v>2061</v>
      </c>
      <c r="I625" t="s">
        <v>22</v>
      </c>
      <c r="J625" t="s">
        <v>23</v>
      </c>
      <c r="K625" t="s">
        <v>443</v>
      </c>
      <c r="L625" t="s">
        <v>444</v>
      </c>
      <c r="M625">
        <v>80013</v>
      </c>
      <c r="N625" t="s">
        <v>40</v>
      </c>
      <c r="O625" t="s">
        <v>2066</v>
      </c>
      <c r="P625" t="s">
        <v>67</v>
      </c>
      <c r="Q625" t="s">
        <v>68</v>
      </c>
      <c r="R625" t="s">
        <v>2067</v>
      </c>
      <c r="S625">
        <v>300.76799999999997</v>
      </c>
    </row>
    <row r="626" spans="1:19" x14ac:dyDescent="0.35">
      <c r="A626">
        <v>634</v>
      </c>
      <c r="B626" t="s">
        <v>2068</v>
      </c>
      <c r="C626" s="1">
        <v>43367</v>
      </c>
      <c r="D626" s="1">
        <v>43369</v>
      </c>
      <c r="E626" s="1" t="str">
        <f t="shared" si="9"/>
        <v>SLOW</v>
      </c>
      <c r="F626" t="s">
        <v>19</v>
      </c>
      <c r="G626" t="s">
        <v>1766</v>
      </c>
      <c r="H626" t="s">
        <v>1767</v>
      </c>
      <c r="I626" t="s">
        <v>22</v>
      </c>
      <c r="J626" t="s">
        <v>23</v>
      </c>
      <c r="K626" t="s">
        <v>1402</v>
      </c>
      <c r="L626" t="s">
        <v>50</v>
      </c>
      <c r="M626">
        <v>33180</v>
      </c>
      <c r="N626" t="s">
        <v>26</v>
      </c>
      <c r="O626" t="s">
        <v>2069</v>
      </c>
      <c r="P626" t="s">
        <v>67</v>
      </c>
      <c r="Q626" t="s">
        <v>157</v>
      </c>
      <c r="R626" t="s">
        <v>2070</v>
      </c>
      <c r="S626">
        <v>17.88</v>
      </c>
    </row>
    <row r="627" spans="1:19" x14ac:dyDescent="0.35">
      <c r="A627">
        <v>635</v>
      </c>
      <c r="B627" t="s">
        <v>2068</v>
      </c>
      <c r="C627" s="1">
        <v>43367</v>
      </c>
      <c r="D627" s="1">
        <v>43369</v>
      </c>
      <c r="E627" s="1" t="str">
        <f t="shared" si="9"/>
        <v>SLOW</v>
      </c>
      <c r="F627" t="s">
        <v>19</v>
      </c>
      <c r="G627" t="s">
        <v>1766</v>
      </c>
      <c r="H627" t="s">
        <v>1767</v>
      </c>
      <c r="I627" t="s">
        <v>22</v>
      </c>
      <c r="J627" t="s">
        <v>23</v>
      </c>
      <c r="K627" t="s">
        <v>1402</v>
      </c>
      <c r="L627" t="s">
        <v>50</v>
      </c>
      <c r="M627">
        <v>33180</v>
      </c>
      <c r="N627" t="s">
        <v>26</v>
      </c>
      <c r="O627" t="s">
        <v>1951</v>
      </c>
      <c r="P627" t="s">
        <v>42</v>
      </c>
      <c r="Q627" t="s">
        <v>43</v>
      </c>
      <c r="R627" t="s">
        <v>1952</v>
      </c>
      <c r="S627">
        <v>235.94399999999999</v>
      </c>
    </row>
    <row r="628" spans="1:19" x14ac:dyDescent="0.35">
      <c r="A628">
        <v>636</v>
      </c>
      <c r="B628" t="s">
        <v>2071</v>
      </c>
      <c r="C628" s="1">
        <v>42647</v>
      </c>
      <c r="D628" s="1">
        <v>42652</v>
      </c>
      <c r="E628" s="1" t="str">
        <f t="shared" si="9"/>
        <v>SLOW</v>
      </c>
      <c r="F628" t="s">
        <v>19</v>
      </c>
      <c r="G628" t="s">
        <v>2072</v>
      </c>
      <c r="H628" t="s">
        <v>2073</v>
      </c>
      <c r="I628" t="s">
        <v>37</v>
      </c>
      <c r="J628" t="s">
        <v>23</v>
      </c>
      <c r="K628" t="s">
        <v>2074</v>
      </c>
      <c r="L628" t="s">
        <v>1258</v>
      </c>
      <c r="M628">
        <v>31088</v>
      </c>
      <c r="N628" t="s">
        <v>26</v>
      </c>
      <c r="O628" t="s">
        <v>2075</v>
      </c>
      <c r="P628" t="s">
        <v>28</v>
      </c>
      <c r="Q628" t="s">
        <v>32</v>
      </c>
      <c r="R628" t="s">
        <v>2076</v>
      </c>
      <c r="S628">
        <v>392.94</v>
      </c>
    </row>
    <row r="629" spans="1:19" x14ac:dyDescent="0.35">
      <c r="A629">
        <v>637</v>
      </c>
      <c r="B629" t="s">
        <v>2077</v>
      </c>
      <c r="C629" s="1">
        <v>42962</v>
      </c>
      <c r="D629" s="1">
        <v>42968</v>
      </c>
      <c r="E629" s="1" t="str">
        <f t="shared" si="9"/>
        <v>FAST</v>
      </c>
      <c r="F629" t="s">
        <v>46</v>
      </c>
      <c r="G629" t="s">
        <v>2078</v>
      </c>
      <c r="H629" t="s">
        <v>2079</v>
      </c>
      <c r="I629" t="s">
        <v>22</v>
      </c>
      <c r="J629" t="s">
        <v>23</v>
      </c>
      <c r="K629" t="s">
        <v>443</v>
      </c>
      <c r="L629" t="s">
        <v>444</v>
      </c>
      <c r="M629">
        <v>80013</v>
      </c>
      <c r="N629" t="s">
        <v>40</v>
      </c>
      <c r="O629" t="s">
        <v>2080</v>
      </c>
      <c r="P629" t="s">
        <v>42</v>
      </c>
      <c r="Q629" t="s">
        <v>71</v>
      </c>
      <c r="R629" t="s">
        <v>2081</v>
      </c>
      <c r="S629">
        <v>18.882000000000001</v>
      </c>
    </row>
    <row r="630" spans="1:19" x14ac:dyDescent="0.35">
      <c r="A630">
        <v>638</v>
      </c>
      <c r="B630" t="s">
        <v>2077</v>
      </c>
      <c r="C630" s="1">
        <v>42962</v>
      </c>
      <c r="D630" s="1">
        <v>42968</v>
      </c>
      <c r="E630" s="1" t="str">
        <f t="shared" si="9"/>
        <v>FAST</v>
      </c>
      <c r="F630" t="s">
        <v>46</v>
      </c>
      <c r="G630" t="s">
        <v>2078</v>
      </c>
      <c r="H630" t="s">
        <v>2079</v>
      </c>
      <c r="I630" t="s">
        <v>22</v>
      </c>
      <c r="J630" t="s">
        <v>23</v>
      </c>
      <c r="K630" t="s">
        <v>443</v>
      </c>
      <c r="L630" t="s">
        <v>444</v>
      </c>
      <c r="M630">
        <v>80013</v>
      </c>
      <c r="N630" t="s">
        <v>40</v>
      </c>
      <c r="O630" t="s">
        <v>2082</v>
      </c>
      <c r="P630" t="s">
        <v>42</v>
      </c>
      <c r="Q630" t="s">
        <v>74</v>
      </c>
      <c r="R630" t="s">
        <v>2083</v>
      </c>
      <c r="S630">
        <v>122.328</v>
      </c>
    </row>
    <row r="631" spans="1:19" x14ac:dyDescent="0.35">
      <c r="A631">
        <v>639</v>
      </c>
      <c r="B631" t="s">
        <v>2084</v>
      </c>
      <c r="C631" s="1">
        <v>42875</v>
      </c>
      <c r="D631" s="1">
        <v>42880</v>
      </c>
      <c r="E631" s="1" t="str">
        <f t="shared" si="9"/>
        <v>FAST</v>
      </c>
      <c r="F631" t="s">
        <v>46</v>
      </c>
      <c r="G631" t="s">
        <v>427</v>
      </c>
      <c r="H631" t="s">
        <v>428</v>
      </c>
      <c r="I631" t="s">
        <v>98</v>
      </c>
      <c r="J631" t="s">
        <v>23</v>
      </c>
      <c r="K631" t="s">
        <v>2085</v>
      </c>
      <c r="L631" t="s">
        <v>39</v>
      </c>
      <c r="M631">
        <v>94591</v>
      </c>
      <c r="N631" t="s">
        <v>40</v>
      </c>
      <c r="O631" t="s">
        <v>907</v>
      </c>
      <c r="P631" t="s">
        <v>28</v>
      </c>
      <c r="Q631" t="s">
        <v>61</v>
      </c>
      <c r="R631" t="s">
        <v>908</v>
      </c>
      <c r="S631">
        <v>1049.2</v>
      </c>
    </row>
    <row r="632" spans="1:19" x14ac:dyDescent="0.35">
      <c r="A632">
        <v>640</v>
      </c>
      <c r="B632" t="s">
        <v>2084</v>
      </c>
      <c r="C632" s="1">
        <v>42875</v>
      </c>
      <c r="D632" s="1">
        <v>42880</v>
      </c>
      <c r="E632" s="1" t="str">
        <f t="shared" si="9"/>
        <v>FAST</v>
      </c>
      <c r="F632" t="s">
        <v>46</v>
      </c>
      <c r="G632" t="s">
        <v>427</v>
      </c>
      <c r="H632" t="s">
        <v>428</v>
      </c>
      <c r="I632" t="s">
        <v>98</v>
      </c>
      <c r="J632" t="s">
        <v>23</v>
      </c>
      <c r="K632" t="s">
        <v>2085</v>
      </c>
      <c r="L632" t="s">
        <v>39</v>
      </c>
      <c r="M632">
        <v>94591</v>
      </c>
      <c r="N632" t="s">
        <v>40</v>
      </c>
      <c r="O632" t="s">
        <v>2086</v>
      </c>
      <c r="P632" t="s">
        <v>42</v>
      </c>
      <c r="Q632" t="s">
        <v>71</v>
      </c>
      <c r="R632" t="s">
        <v>2087</v>
      </c>
      <c r="S632">
        <v>15.423999999999999</v>
      </c>
    </row>
    <row r="633" spans="1:19" x14ac:dyDescent="0.35">
      <c r="A633">
        <v>641</v>
      </c>
      <c r="B633" t="s">
        <v>2088</v>
      </c>
      <c r="C633" s="1">
        <v>43087</v>
      </c>
      <c r="D633" s="1">
        <v>43091</v>
      </c>
      <c r="E633" s="1" t="str">
        <f t="shared" si="9"/>
        <v>FAST</v>
      </c>
      <c r="F633" t="s">
        <v>46</v>
      </c>
      <c r="G633" t="s">
        <v>2089</v>
      </c>
      <c r="H633" t="s">
        <v>2090</v>
      </c>
      <c r="I633" t="s">
        <v>37</v>
      </c>
      <c r="J633" t="s">
        <v>23</v>
      </c>
      <c r="K633" t="s">
        <v>399</v>
      </c>
      <c r="L633" t="s">
        <v>223</v>
      </c>
      <c r="M633">
        <v>55407</v>
      </c>
      <c r="N633" t="s">
        <v>101</v>
      </c>
      <c r="O633" t="s">
        <v>2091</v>
      </c>
      <c r="P633" t="s">
        <v>28</v>
      </c>
      <c r="Q633" t="s">
        <v>61</v>
      </c>
      <c r="R633" t="s">
        <v>2092</v>
      </c>
      <c r="S633">
        <v>18.84</v>
      </c>
    </row>
    <row r="634" spans="1:19" x14ac:dyDescent="0.35">
      <c r="A634">
        <v>642</v>
      </c>
      <c r="B634" t="s">
        <v>2093</v>
      </c>
      <c r="C634" s="1">
        <v>43311</v>
      </c>
      <c r="D634" s="1">
        <v>43315</v>
      </c>
      <c r="E634" s="1" t="str">
        <f t="shared" si="9"/>
        <v>SLOW</v>
      </c>
      <c r="F634" t="s">
        <v>19</v>
      </c>
      <c r="G634" t="s">
        <v>2094</v>
      </c>
      <c r="H634" t="s">
        <v>2095</v>
      </c>
      <c r="I634" t="s">
        <v>22</v>
      </c>
      <c r="J634" t="s">
        <v>23</v>
      </c>
      <c r="K634" t="s">
        <v>2096</v>
      </c>
      <c r="L634" t="s">
        <v>39</v>
      </c>
      <c r="M634">
        <v>92691</v>
      </c>
      <c r="N634" t="s">
        <v>40</v>
      </c>
      <c r="O634" t="s">
        <v>2097</v>
      </c>
      <c r="P634" t="s">
        <v>42</v>
      </c>
      <c r="Q634" t="s">
        <v>55</v>
      </c>
      <c r="R634" t="s">
        <v>2098</v>
      </c>
      <c r="S634">
        <v>330.4</v>
      </c>
    </row>
    <row r="635" spans="1:19" x14ac:dyDescent="0.35">
      <c r="A635">
        <v>643</v>
      </c>
      <c r="B635" t="s">
        <v>2093</v>
      </c>
      <c r="C635" s="1">
        <v>43311</v>
      </c>
      <c r="D635" s="1">
        <v>43315</v>
      </c>
      <c r="E635" s="1" t="str">
        <f t="shared" si="9"/>
        <v>SLOW</v>
      </c>
      <c r="F635" t="s">
        <v>19</v>
      </c>
      <c r="G635" t="s">
        <v>2094</v>
      </c>
      <c r="H635" t="s">
        <v>2095</v>
      </c>
      <c r="I635" t="s">
        <v>22</v>
      </c>
      <c r="J635" t="s">
        <v>23</v>
      </c>
      <c r="K635" t="s">
        <v>2096</v>
      </c>
      <c r="L635" t="s">
        <v>39</v>
      </c>
      <c r="M635">
        <v>92691</v>
      </c>
      <c r="N635" t="s">
        <v>40</v>
      </c>
      <c r="O635" t="s">
        <v>2099</v>
      </c>
      <c r="P635" t="s">
        <v>42</v>
      </c>
      <c r="Q635" t="s">
        <v>43</v>
      </c>
      <c r="R635" t="s">
        <v>2100</v>
      </c>
      <c r="S635">
        <v>26.25</v>
      </c>
    </row>
    <row r="636" spans="1:19" x14ac:dyDescent="0.35">
      <c r="A636">
        <v>644</v>
      </c>
      <c r="B636" t="s">
        <v>2101</v>
      </c>
      <c r="C636" s="1">
        <v>43261</v>
      </c>
      <c r="D636" s="1">
        <v>43266</v>
      </c>
      <c r="E636" s="1" t="str">
        <f t="shared" si="9"/>
        <v>FAST</v>
      </c>
      <c r="F636" t="s">
        <v>46</v>
      </c>
      <c r="G636" t="s">
        <v>2102</v>
      </c>
      <c r="H636" t="s">
        <v>2103</v>
      </c>
      <c r="I636" t="s">
        <v>22</v>
      </c>
      <c r="J636" t="s">
        <v>23</v>
      </c>
      <c r="K636" t="s">
        <v>2104</v>
      </c>
      <c r="L636" t="s">
        <v>232</v>
      </c>
      <c r="M636">
        <v>48307</v>
      </c>
      <c r="N636" t="s">
        <v>101</v>
      </c>
      <c r="O636" t="s">
        <v>894</v>
      </c>
      <c r="P636" t="s">
        <v>67</v>
      </c>
      <c r="Q636" t="s">
        <v>157</v>
      </c>
      <c r="R636" t="s">
        <v>1764</v>
      </c>
      <c r="S636">
        <v>132.52000000000001</v>
      </c>
    </row>
    <row r="637" spans="1:19" x14ac:dyDescent="0.35">
      <c r="A637">
        <v>645</v>
      </c>
      <c r="B637" t="s">
        <v>2105</v>
      </c>
      <c r="C637" s="1">
        <v>43302</v>
      </c>
      <c r="D637" s="1">
        <v>43306</v>
      </c>
      <c r="E637" s="1" t="str">
        <f t="shared" si="9"/>
        <v>FAST</v>
      </c>
      <c r="F637" t="s">
        <v>46</v>
      </c>
      <c r="G637" t="s">
        <v>608</v>
      </c>
      <c r="H637" t="s">
        <v>609</v>
      </c>
      <c r="I637" t="s">
        <v>98</v>
      </c>
      <c r="J637" t="s">
        <v>23</v>
      </c>
      <c r="K637" t="s">
        <v>2106</v>
      </c>
      <c r="L637" t="s">
        <v>775</v>
      </c>
      <c r="M637">
        <v>7060</v>
      </c>
      <c r="N637" t="s">
        <v>144</v>
      </c>
      <c r="O637" t="s">
        <v>2107</v>
      </c>
      <c r="P637" t="s">
        <v>42</v>
      </c>
      <c r="Q637" t="s">
        <v>86</v>
      </c>
      <c r="R637" t="s">
        <v>2108</v>
      </c>
      <c r="S637">
        <v>6.48</v>
      </c>
    </row>
    <row r="638" spans="1:19" x14ac:dyDescent="0.35">
      <c r="A638">
        <v>646</v>
      </c>
      <c r="B638" t="s">
        <v>2109</v>
      </c>
      <c r="C638" s="1">
        <v>43464</v>
      </c>
      <c r="D638" s="1">
        <v>43470</v>
      </c>
      <c r="E638" s="1" t="str">
        <f t="shared" si="9"/>
        <v>FAST</v>
      </c>
      <c r="F638" t="s">
        <v>46</v>
      </c>
      <c r="G638" t="s">
        <v>2110</v>
      </c>
      <c r="H638" t="s">
        <v>2111</v>
      </c>
      <c r="I638" t="s">
        <v>98</v>
      </c>
      <c r="J638" t="s">
        <v>23</v>
      </c>
      <c r="K638" t="s">
        <v>484</v>
      </c>
      <c r="L638" t="s">
        <v>248</v>
      </c>
      <c r="M638">
        <v>47201</v>
      </c>
      <c r="N638" t="s">
        <v>101</v>
      </c>
      <c r="O638" t="s">
        <v>2112</v>
      </c>
      <c r="P638" t="s">
        <v>42</v>
      </c>
      <c r="Q638" t="s">
        <v>74</v>
      </c>
      <c r="R638" t="s">
        <v>2113</v>
      </c>
      <c r="S638">
        <v>209.3</v>
      </c>
    </row>
    <row r="639" spans="1:19" x14ac:dyDescent="0.35">
      <c r="A639">
        <v>647</v>
      </c>
      <c r="B639" t="s">
        <v>2114</v>
      </c>
      <c r="C639" s="1">
        <v>42826</v>
      </c>
      <c r="D639" s="1">
        <v>42833</v>
      </c>
      <c r="E639" s="1" t="str">
        <f t="shared" si="9"/>
        <v>FAST</v>
      </c>
      <c r="F639" t="s">
        <v>46</v>
      </c>
      <c r="G639" t="s">
        <v>1013</v>
      </c>
      <c r="H639" t="s">
        <v>1014</v>
      </c>
      <c r="I639" t="s">
        <v>37</v>
      </c>
      <c r="J639" t="s">
        <v>23</v>
      </c>
      <c r="K639" t="s">
        <v>2115</v>
      </c>
      <c r="L639" t="s">
        <v>304</v>
      </c>
      <c r="M639">
        <v>85635</v>
      </c>
      <c r="N639" t="s">
        <v>40</v>
      </c>
      <c r="O639" t="s">
        <v>2116</v>
      </c>
      <c r="P639" t="s">
        <v>42</v>
      </c>
      <c r="Q639" t="s">
        <v>263</v>
      </c>
      <c r="R639" t="s">
        <v>550</v>
      </c>
      <c r="S639">
        <v>31.56</v>
      </c>
    </row>
    <row r="640" spans="1:19" x14ac:dyDescent="0.35">
      <c r="A640">
        <v>648</v>
      </c>
      <c r="B640" t="s">
        <v>2114</v>
      </c>
      <c r="C640" s="1">
        <v>42826</v>
      </c>
      <c r="D640" s="1">
        <v>42833</v>
      </c>
      <c r="E640" s="1" t="str">
        <f t="shared" si="9"/>
        <v>FAST</v>
      </c>
      <c r="F640" t="s">
        <v>46</v>
      </c>
      <c r="G640" t="s">
        <v>1013</v>
      </c>
      <c r="H640" t="s">
        <v>1014</v>
      </c>
      <c r="I640" t="s">
        <v>37</v>
      </c>
      <c r="J640" t="s">
        <v>23</v>
      </c>
      <c r="K640" t="s">
        <v>2115</v>
      </c>
      <c r="L640" t="s">
        <v>304</v>
      </c>
      <c r="M640">
        <v>85635</v>
      </c>
      <c r="N640" t="s">
        <v>40</v>
      </c>
      <c r="O640" t="s">
        <v>2117</v>
      </c>
      <c r="P640" t="s">
        <v>42</v>
      </c>
      <c r="Q640" t="s">
        <v>74</v>
      </c>
      <c r="R640" t="s">
        <v>2118</v>
      </c>
      <c r="S640">
        <v>30.143999999999998</v>
      </c>
    </row>
    <row r="641" spans="1:19" x14ac:dyDescent="0.35">
      <c r="A641">
        <v>650</v>
      </c>
      <c r="B641" t="s">
        <v>2119</v>
      </c>
      <c r="C641" s="1">
        <v>43080</v>
      </c>
      <c r="D641" s="1">
        <v>43085</v>
      </c>
      <c r="E641" s="1" t="str">
        <f t="shared" si="9"/>
        <v>SLOW</v>
      </c>
      <c r="F641" t="s">
        <v>19</v>
      </c>
      <c r="G641" t="s">
        <v>2120</v>
      </c>
      <c r="H641" t="s">
        <v>2121</v>
      </c>
      <c r="I641" t="s">
        <v>37</v>
      </c>
      <c r="J641" t="s">
        <v>23</v>
      </c>
      <c r="K641" t="s">
        <v>2122</v>
      </c>
      <c r="L641" t="s">
        <v>92</v>
      </c>
      <c r="M641">
        <v>98661</v>
      </c>
      <c r="N641" t="s">
        <v>40</v>
      </c>
      <c r="O641" t="s">
        <v>726</v>
      </c>
      <c r="P641" t="s">
        <v>67</v>
      </c>
      <c r="Q641" t="s">
        <v>68</v>
      </c>
      <c r="R641" t="s">
        <v>727</v>
      </c>
      <c r="S641">
        <v>302.37599999999998</v>
      </c>
    </row>
    <row r="642" spans="1:19" x14ac:dyDescent="0.35">
      <c r="A642">
        <v>651</v>
      </c>
      <c r="B642" t="s">
        <v>2119</v>
      </c>
      <c r="C642" s="1">
        <v>43080</v>
      </c>
      <c r="D642" s="1">
        <v>43085</v>
      </c>
      <c r="E642" s="1" t="str">
        <f t="shared" si="9"/>
        <v>SLOW</v>
      </c>
      <c r="F642" t="s">
        <v>19</v>
      </c>
      <c r="G642" t="s">
        <v>2120</v>
      </c>
      <c r="H642" t="s">
        <v>2121</v>
      </c>
      <c r="I642" t="s">
        <v>37</v>
      </c>
      <c r="J642" t="s">
        <v>23</v>
      </c>
      <c r="K642" t="s">
        <v>2122</v>
      </c>
      <c r="L642" t="s">
        <v>92</v>
      </c>
      <c r="M642">
        <v>98661</v>
      </c>
      <c r="N642" t="s">
        <v>40</v>
      </c>
      <c r="O642" t="s">
        <v>2123</v>
      </c>
      <c r="P642" t="s">
        <v>67</v>
      </c>
      <c r="Q642" t="s">
        <v>157</v>
      </c>
      <c r="R642" t="s">
        <v>2124</v>
      </c>
      <c r="S642">
        <v>316</v>
      </c>
    </row>
    <row r="643" spans="1:19" x14ac:dyDescent="0.35">
      <c r="A643">
        <v>652</v>
      </c>
      <c r="B643" t="s">
        <v>2125</v>
      </c>
      <c r="C643" s="1">
        <v>43031</v>
      </c>
      <c r="D643" s="1">
        <v>43037</v>
      </c>
      <c r="E643" s="1" t="str">
        <f t="shared" ref="E643:E706" si="10">IF(F643="STANDARD CLASS","FAST",IF(F643="SECOND CLASS","SLOW","MODERATE"))</f>
        <v>FAST</v>
      </c>
      <c r="F643" t="s">
        <v>46</v>
      </c>
      <c r="G643" t="s">
        <v>2126</v>
      </c>
      <c r="H643" t="s">
        <v>2127</v>
      </c>
      <c r="I643" t="s">
        <v>98</v>
      </c>
      <c r="J643" t="s">
        <v>23</v>
      </c>
      <c r="K643" t="s">
        <v>260</v>
      </c>
      <c r="L643" t="s">
        <v>261</v>
      </c>
      <c r="M643">
        <v>10024</v>
      </c>
      <c r="N643" t="s">
        <v>144</v>
      </c>
      <c r="O643" t="s">
        <v>314</v>
      </c>
      <c r="P643" t="s">
        <v>42</v>
      </c>
      <c r="Q643" t="s">
        <v>86</v>
      </c>
      <c r="R643" t="s">
        <v>315</v>
      </c>
      <c r="S643">
        <v>379.4</v>
      </c>
    </row>
    <row r="644" spans="1:19" x14ac:dyDescent="0.35">
      <c r="A644">
        <v>653</v>
      </c>
      <c r="B644" t="s">
        <v>2128</v>
      </c>
      <c r="C644" s="1">
        <v>43270</v>
      </c>
      <c r="D644" s="1">
        <v>43274</v>
      </c>
      <c r="E644" s="1" t="str">
        <f t="shared" si="10"/>
        <v>FAST</v>
      </c>
      <c r="F644" t="s">
        <v>46</v>
      </c>
      <c r="G644" t="s">
        <v>1311</v>
      </c>
      <c r="H644" t="s">
        <v>1312</v>
      </c>
      <c r="I644" t="s">
        <v>37</v>
      </c>
      <c r="J644" t="s">
        <v>23</v>
      </c>
      <c r="K644" t="s">
        <v>260</v>
      </c>
      <c r="L644" t="s">
        <v>261</v>
      </c>
      <c r="M644">
        <v>10035</v>
      </c>
      <c r="N644" t="s">
        <v>144</v>
      </c>
      <c r="O644" t="s">
        <v>290</v>
      </c>
      <c r="P644" t="s">
        <v>42</v>
      </c>
      <c r="Q644" t="s">
        <v>86</v>
      </c>
      <c r="R644" t="s">
        <v>291</v>
      </c>
      <c r="S644">
        <v>97.82</v>
      </c>
    </row>
    <row r="645" spans="1:19" x14ac:dyDescent="0.35">
      <c r="A645">
        <v>654</v>
      </c>
      <c r="B645" t="s">
        <v>2128</v>
      </c>
      <c r="C645" s="1">
        <v>43270</v>
      </c>
      <c r="D645" s="1">
        <v>43274</v>
      </c>
      <c r="E645" s="1" t="str">
        <f t="shared" si="10"/>
        <v>FAST</v>
      </c>
      <c r="F645" t="s">
        <v>46</v>
      </c>
      <c r="G645" t="s">
        <v>1311</v>
      </c>
      <c r="H645" t="s">
        <v>1312</v>
      </c>
      <c r="I645" t="s">
        <v>37</v>
      </c>
      <c r="J645" t="s">
        <v>23</v>
      </c>
      <c r="K645" t="s">
        <v>260</v>
      </c>
      <c r="L645" t="s">
        <v>261</v>
      </c>
      <c r="M645">
        <v>10035</v>
      </c>
      <c r="N645" t="s">
        <v>144</v>
      </c>
      <c r="O645" t="s">
        <v>2129</v>
      </c>
      <c r="P645" t="s">
        <v>67</v>
      </c>
      <c r="Q645" t="s">
        <v>157</v>
      </c>
      <c r="R645" t="s">
        <v>2130</v>
      </c>
      <c r="S645">
        <v>103.12</v>
      </c>
    </row>
    <row r="646" spans="1:19" x14ac:dyDescent="0.35">
      <c r="A646">
        <v>655</v>
      </c>
      <c r="B646" t="s">
        <v>2131</v>
      </c>
      <c r="C646" s="1">
        <v>42969</v>
      </c>
      <c r="D646" s="1">
        <v>42975</v>
      </c>
      <c r="E646" s="1" t="str">
        <f t="shared" si="10"/>
        <v>FAST</v>
      </c>
      <c r="F646" t="s">
        <v>46</v>
      </c>
      <c r="G646" t="s">
        <v>2132</v>
      </c>
      <c r="H646" t="s">
        <v>2133</v>
      </c>
      <c r="I646" t="s">
        <v>22</v>
      </c>
      <c r="J646" t="s">
        <v>23</v>
      </c>
      <c r="K646" t="s">
        <v>484</v>
      </c>
      <c r="L646" t="s">
        <v>485</v>
      </c>
      <c r="M646">
        <v>43229</v>
      </c>
      <c r="N646" t="s">
        <v>144</v>
      </c>
      <c r="O646" t="s">
        <v>2134</v>
      </c>
      <c r="P646" t="s">
        <v>42</v>
      </c>
      <c r="Q646" t="s">
        <v>74</v>
      </c>
      <c r="R646" t="s">
        <v>2135</v>
      </c>
      <c r="S646">
        <v>113.55200000000001</v>
      </c>
    </row>
    <row r="647" spans="1:19" x14ac:dyDescent="0.35">
      <c r="A647">
        <v>656</v>
      </c>
      <c r="B647" t="s">
        <v>2131</v>
      </c>
      <c r="C647" s="1">
        <v>42969</v>
      </c>
      <c r="D647" s="1">
        <v>42975</v>
      </c>
      <c r="E647" s="1" t="str">
        <f t="shared" si="10"/>
        <v>FAST</v>
      </c>
      <c r="F647" t="s">
        <v>46</v>
      </c>
      <c r="G647" t="s">
        <v>2132</v>
      </c>
      <c r="H647" t="s">
        <v>2133</v>
      </c>
      <c r="I647" t="s">
        <v>22</v>
      </c>
      <c r="J647" t="s">
        <v>23</v>
      </c>
      <c r="K647" t="s">
        <v>484</v>
      </c>
      <c r="L647" t="s">
        <v>485</v>
      </c>
      <c r="M647">
        <v>43229</v>
      </c>
      <c r="N647" t="s">
        <v>144</v>
      </c>
      <c r="O647" t="s">
        <v>2136</v>
      </c>
      <c r="P647" t="s">
        <v>42</v>
      </c>
      <c r="Q647" t="s">
        <v>71</v>
      </c>
      <c r="R647" t="s">
        <v>2137</v>
      </c>
      <c r="S647">
        <v>3.3180000000000001</v>
      </c>
    </row>
    <row r="648" spans="1:19" x14ac:dyDescent="0.35">
      <c r="A648">
        <v>657</v>
      </c>
      <c r="B648" t="s">
        <v>2131</v>
      </c>
      <c r="C648" s="1">
        <v>42969</v>
      </c>
      <c r="D648" s="1">
        <v>42975</v>
      </c>
      <c r="E648" s="1" t="str">
        <f t="shared" si="10"/>
        <v>FAST</v>
      </c>
      <c r="F648" t="s">
        <v>46</v>
      </c>
      <c r="G648" t="s">
        <v>2132</v>
      </c>
      <c r="H648" t="s">
        <v>2133</v>
      </c>
      <c r="I648" t="s">
        <v>22</v>
      </c>
      <c r="J648" t="s">
        <v>23</v>
      </c>
      <c r="K648" t="s">
        <v>484</v>
      </c>
      <c r="L648" t="s">
        <v>485</v>
      </c>
      <c r="M648">
        <v>43229</v>
      </c>
      <c r="N648" t="s">
        <v>144</v>
      </c>
      <c r="O648" t="s">
        <v>2138</v>
      </c>
      <c r="P648" t="s">
        <v>42</v>
      </c>
      <c r="Q648" t="s">
        <v>169</v>
      </c>
      <c r="R648" t="s">
        <v>2139</v>
      </c>
      <c r="S648">
        <v>134.28800000000001</v>
      </c>
    </row>
    <row r="649" spans="1:19" x14ac:dyDescent="0.35">
      <c r="A649">
        <v>658</v>
      </c>
      <c r="B649" t="s">
        <v>2140</v>
      </c>
      <c r="C649" s="1">
        <v>42997</v>
      </c>
      <c r="D649" s="1">
        <v>42997</v>
      </c>
      <c r="E649" s="1" t="str">
        <f t="shared" si="10"/>
        <v>MODERATE</v>
      </c>
      <c r="F649" t="s">
        <v>1276</v>
      </c>
      <c r="G649" t="s">
        <v>2141</v>
      </c>
      <c r="H649" t="s">
        <v>2142</v>
      </c>
      <c r="I649" t="s">
        <v>98</v>
      </c>
      <c r="J649" t="s">
        <v>23</v>
      </c>
      <c r="K649" t="s">
        <v>443</v>
      </c>
      <c r="L649" t="s">
        <v>205</v>
      </c>
      <c r="M649">
        <v>60505</v>
      </c>
      <c r="N649" t="s">
        <v>101</v>
      </c>
      <c r="O649" t="s">
        <v>1706</v>
      </c>
      <c r="P649" t="s">
        <v>28</v>
      </c>
      <c r="Q649" t="s">
        <v>32</v>
      </c>
      <c r="R649" t="s">
        <v>1707</v>
      </c>
      <c r="S649">
        <v>701.37199999999996</v>
      </c>
    </row>
    <row r="650" spans="1:19" x14ac:dyDescent="0.35">
      <c r="A650">
        <v>659</v>
      </c>
      <c r="B650" t="s">
        <v>2140</v>
      </c>
      <c r="C650" s="1">
        <v>42997</v>
      </c>
      <c r="D650" s="1">
        <v>42997</v>
      </c>
      <c r="E650" s="1" t="str">
        <f t="shared" si="10"/>
        <v>MODERATE</v>
      </c>
      <c r="F650" t="s">
        <v>1276</v>
      </c>
      <c r="G650" t="s">
        <v>2141</v>
      </c>
      <c r="H650" t="s">
        <v>2142</v>
      </c>
      <c r="I650" t="s">
        <v>98</v>
      </c>
      <c r="J650" t="s">
        <v>23</v>
      </c>
      <c r="K650" t="s">
        <v>443</v>
      </c>
      <c r="L650" t="s">
        <v>205</v>
      </c>
      <c r="M650">
        <v>60505</v>
      </c>
      <c r="N650" t="s">
        <v>101</v>
      </c>
      <c r="O650" t="s">
        <v>319</v>
      </c>
      <c r="P650" t="s">
        <v>42</v>
      </c>
      <c r="Q650" t="s">
        <v>71</v>
      </c>
      <c r="R650" t="s">
        <v>320</v>
      </c>
      <c r="S650">
        <v>2.3079999999999998</v>
      </c>
    </row>
    <row r="651" spans="1:19" x14ac:dyDescent="0.35">
      <c r="A651">
        <v>660</v>
      </c>
      <c r="B651" t="s">
        <v>2143</v>
      </c>
      <c r="C651" s="1">
        <v>42606</v>
      </c>
      <c r="D651" s="1">
        <v>42610</v>
      </c>
      <c r="E651" s="1" t="str">
        <f t="shared" si="10"/>
        <v>FAST</v>
      </c>
      <c r="F651" t="s">
        <v>46</v>
      </c>
      <c r="G651" t="s">
        <v>764</v>
      </c>
      <c r="H651" t="s">
        <v>765</v>
      </c>
      <c r="I651" t="s">
        <v>22</v>
      </c>
      <c r="J651" t="s">
        <v>23</v>
      </c>
      <c r="K651" t="s">
        <v>1115</v>
      </c>
      <c r="L651" t="s">
        <v>100</v>
      </c>
      <c r="M651">
        <v>76017</v>
      </c>
      <c r="N651" t="s">
        <v>101</v>
      </c>
      <c r="O651" t="s">
        <v>1991</v>
      </c>
      <c r="P651" t="s">
        <v>42</v>
      </c>
      <c r="Q651" t="s">
        <v>55</v>
      </c>
      <c r="R651" t="s">
        <v>1992</v>
      </c>
      <c r="S651">
        <v>999.43200000000002</v>
      </c>
    </row>
    <row r="652" spans="1:19" x14ac:dyDescent="0.35">
      <c r="A652">
        <v>661</v>
      </c>
      <c r="B652" t="s">
        <v>2143</v>
      </c>
      <c r="C652" s="1">
        <v>42606</v>
      </c>
      <c r="D652" s="1">
        <v>42610</v>
      </c>
      <c r="E652" s="1" t="str">
        <f t="shared" si="10"/>
        <v>FAST</v>
      </c>
      <c r="F652" t="s">
        <v>46</v>
      </c>
      <c r="G652" t="s">
        <v>764</v>
      </c>
      <c r="H652" t="s">
        <v>765</v>
      </c>
      <c r="I652" t="s">
        <v>22</v>
      </c>
      <c r="J652" t="s">
        <v>23</v>
      </c>
      <c r="K652" t="s">
        <v>1115</v>
      </c>
      <c r="L652" t="s">
        <v>100</v>
      </c>
      <c r="M652">
        <v>76017</v>
      </c>
      <c r="N652" t="s">
        <v>101</v>
      </c>
      <c r="O652" t="s">
        <v>2144</v>
      </c>
      <c r="P652" t="s">
        <v>42</v>
      </c>
      <c r="Q652" t="s">
        <v>55</v>
      </c>
      <c r="R652" t="s">
        <v>2145</v>
      </c>
      <c r="S652">
        <v>724.08</v>
      </c>
    </row>
    <row r="653" spans="1:19" x14ac:dyDescent="0.35">
      <c r="A653">
        <v>662</v>
      </c>
      <c r="B653" t="s">
        <v>2143</v>
      </c>
      <c r="C653" s="1">
        <v>42606</v>
      </c>
      <c r="D653" s="1">
        <v>42610</v>
      </c>
      <c r="E653" s="1" t="str">
        <f t="shared" si="10"/>
        <v>FAST</v>
      </c>
      <c r="F653" t="s">
        <v>46</v>
      </c>
      <c r="G653" t="s">
        <v>764</v>
      </c>
      <c r="H653" t="s">
        <v>765</v>
      </c>
      <c r="I653" t="s">
        <v>22</v>
      </c>
      <c r="J653" t="s">
        <v>23</v>
      </c>
      <c r="K653" t="s">
        <v>1115</v>
      </c>
      <c r="L653" t="s">
        <v>100</v>
      </c>
      <c r="M653">
        <v>76017</v>
      </c>
      <c r="N653" t="s">
        <v>101</v>
      </c>
      <c r="O653" t="s">
        <v>497</v>
      </c>
      <c r="P653" t="s">
        <v>28</v>
      </c>
      <c r="Q653" t="s">
        <v>52</v>
      </c>
      <c r="R653" t="s">
        <v>498</v>
      </c>
      <c r="S653">
        <v>918.78499999999997</v>
      </c>
    </row>
    <row r="654" spans="1:19" x14ac:dyDescent="0.35">
      <c r="A654">
        <v>663</v>
      </c>
      <c r="B654" t="s">
        <v>2143</v>
      </c>
      <c r="C654" s="1">
        <v>42606</v>
      </c>
      <c r="D654" s="1">
        <v>42610</v>
      </c>
      <c r="E654" s="1" t="str">
        <f t="shared" si="10"/>
        <v>FAST</v>
      </c>
      <c r="F654" t="s">
        <v>46</v>
      </c>
      <c r="G654" t="s">
        <v>764</v>
      </c>
      <c r="H654" t="s">
        <v>765</v>
      </c>
      <c r="I654" t="s">
        <v>22</v>
      </c>
      <c r="J654" t="s">
        <v>23</v>
      </c>
      <c r="K654" t="s">
        <v>1115</v>
      </c>
      <c r="L654" t="s">
        <v>100</v>
      </c>
      <c r="M654">
        <v>76017</v>
      </c>
      <c r="N654" t="s">
        <v>101</v>
      </c>
      <c r="O654" t="s">
        <v>479</v>
      </c>
      <c r="P654" t="s">
        <v>42</v>
      </c>
      <c r="Q654" t="s">
        <v>71</v>
      </c>
      <c r="R654" t="s">
        <v>480</v>
      </c>
      <c r="S654">
        <v>2.7240000000000002</v>
      </c>
    </row>
    <row r="655" spans="1:19" x14ac:dyDescent="0.35">
      <c r="A655">
        <v>664</v>
      </c>
      <c r="B655" t="s">
        <v>2146</v>
      </c>
      <c r="C655" s="1">
        <v>42820</v>
      </c>
      <c r="D655" s="1">
        <v>42824</v>
      </c>
      <c r="E655" s="1" t="str">
        <f t="shared" si="10"/>
        <v>FAST</v>
      </c>
      <c r="F655" t="s">
        <v>46</v>
      </c>
      <c r="G655" t="s">
        <v>2147</v>
      </c>
      <c r="H655" t="s">
        <v>2148</v>
      </c>
      <c r="I655" t="s">
        <v>37</v>
      </c>
      <c r="J655" t="s">
        <v>23</v>
      </c>
      <c r="K655" t="s">
        <v>260</v>
      </c>
      <c r="L655" t="s">
        <v>261</v>
      </c>
      <c r="M655">
        <v>10011</v>
      </c>
      <c r="N655" t="s">
        <v>144</v>
      </c>
      <c r="O655" t="s">
        <v>826</v>
      </c>
      <c r="P655" t="s">
        <v>42</v>
      </c>
      <c r="Q655" t="s">
        <v>55</v>
      </c>
      <c r="R655" t="s">
        <v>827</v>
      </c>
      <c r="S655">
        <v>459.95</v>
      </c>
    </row>
    <row r="656" spans="1:19" x14ac:dyDescent="0.35">
      <c r="A656">
        <v>665</v>
      </c>
      <c r="B656" t="s">
        <v>2149</v>
      </c>
      <c r="C656" s="1">
        <v>43043</v>
      </c>
      <c r="D656" s="1">
        <v>43043</v>
      </c>
      <c r="E656" s="1" t="str">
        <f t="shared" si="10"/>
        <v>MODERATE</v>
      </c>
      <c r="F656" t="s">
        <v>1276</v>
      </c>
      <c r="G656" t="s">
        <v>972</v>
      </c>
      <c r="H656" t="s">
        <v>973</v>
      </c>
      <c r="I656" t="s">
        <v>22</v>
      </c>
      <c r="J656" t="s">
        <v>23</v>
      </c>
      <c r="K656" t="s">
        <v>1457</v>
      </c>
      <c r="L656" t="s">
        <v>25</v>
      </c>
      <c r="M656">
        <v>40214</v>
      </c>
      <c r="N656" t="s">
        <v>26</v>
      </c>
      <c r="O656" t="s">
        <v>486</v>
      </c>
      <c r="P656" t="s">
        <v>42</v>
      </c>
      <c r="Q656" t="s">
        <v>263</v>
      </c>
      <c r="R656" t="s">
        <v>487</v>
      </c>
      <c r="S656">
        <v>10.74</v>
      </c>
    </row>
    <row r="657" spans="1:19" x14ac:dyDescent="0.35">
      <c r="A657">
        <v>666</v>
      </c>
      <c r="B657" t="s">
        <v>2150</v>
      </c>
      <c r="C657" s="1">
        <v>43259</v>
      </c>
      <c r="D657" s="1">
        <v>43261</v>
      </c>
      <c r="E657" s="1" t="str">
        <f t="shared" si="10"/>
        <v>SLOW</v>
      </c>
      <c r="F657" t="s">
        <v>19</v>
      </c>
      <c r="G657" t="s">
        <v>2151</v>
      </c>
      <c r="H657" t="s">
        <v>2152</v>
      </c>
      <c r="I657" t="s">
        <v>37</v>
      </c>
      <c r="J657" t="s">
        <v>23</v>
      </c>
      <c r="K657" t="s">
        <v>802</v>
      </c>
      <c r="L657" t="s">
        <v>100</v>
      </c>
      <c r="M657">
        <v>75081</v>
      </c>
      <c r="N657" t="s">
        <v>101</v>
      </c>
      <c r="O657" t="s">
        <v>2153</v>
      </c>
      <c r="P657" t="s">
        <v>42</v>
      </c>
      <c r="Q657" t="s">
        <v>566</v>
      </c>
      <c r="R657" t="s">
        <v>2154</v>
      </c>
      <c r="S657">
        <v>23.76</v>
      </c>
    </row>
    <row r="658" spans="1:19" x14ac:dyDescent="0.35">
      <c r="A658">
        <v>667</v>
      </c>
      <c r="B658" t="s">
        <v>2150</v>
      </c>
      <c r="C658" s="1">
        <v>43259</v>
      </c>
      <c r="D658" s="1">
        <v>43261</v>
      </c>
      <c r="E658" s="1" t="str">
        <f t="shared" si="10"/>
        <v>SLOW</v>
      </c>
      <c r="F658" t="s">
        <v>19</v>
      </c>
      <c r="G658" t="s">
        <v>2151</v>
      </c>
      <c r="H658" t="s">
        <v>2152</v>
      </c>
      <c r="I658" t="s">
        <v>37</v>
      </c>
      <c r="J658" t="s">
        <v>23</v>
      </c>
      <c r="K658" t="s">
        <v>802</v>
      </c>
      <c r="L658" t="s">
        <v>100</v>
      </c>
      <c r="M658">
        <v>75081</v>
      </c>
      <c r="N658" t="s">
        <v>101</v>
      </c>
      <c r="O658" t="s">
        <v>1042</v>
      </c>
      <c r="P658" t="s">
        <v>42</v>
      </c>
      <c r="Q658" t="s">
        <v>86</v>
      </c>
      <c r="R658" t="s">
        <v>182</v>
      </c>
      <c r="S658">
        <v>85.055999999999997</v>
      </c>
    </row>
    <row r="659" spans="1:19" x14ac:dyDescent="0.35">
      <c r="A659">
        <v>668</v>
      </c>
      <c r="B659" t="s">
        <v>2150</v>
      </c>
      <c r="C659" s="1">
        <v>43259</v>
      </c>
      <c r="D659" s="1">
        <v>43261</v>
      </c>
      <c r="E659" s="1" t="str">
        <f t="shared" si="10"/>
        <v>SLOW</v>
      </c>
      <c r="F659" t="s">
        <v>19</v>
      </c>
      <c r="G659" t="s">
        <v>2151</v>
      </c>
      <c r="H659" t="s">
        <v>2152</v>
      </c>
      <c r="I659" t="s">
        <v>37</v>
      </c>
      <c r="J659" t="s">
        <v>23</v>
      </c>
      <c r="K659" t="s">
        <v>802</v>
      </c>
      <c r="L659" t="s">
        <v>100</v>
      </c>
      <c r="M659">
        <v>75081</v>
      </c>
      <c r="N659" t="s">
        <v>101</v>
      </c>
      <c r="O659" t="s">
        <v>2155</v>
      </c>
      <c r="P659" t="s">
        <v>67</v>
      </c>
      <c r="Q659" t="s">
        <v>68</v>
      </c>
      <c r="R659" t="s">
        <v>2156</v>
      </c>
      <c r="S659">
        <v>381.57600000000002</v>
      </c>
    </row>
    <row r="660" spans="1:19" x14ac:dyDescent="0.35">
      <c r="A660">
        <v>669</v>
      </c>
      <c r="B660" t="s">
        <v>2157</v>
      </c>
      <c r="C660" s="1">
        <v>42362</v>
      </c>
      <c r="D660" s="1">
        <v>42364</v>
      </c>
      <c r="E660" s="1" t="str">
        <f t="shared" si="10"/>
        <v>MODERATE</v>
      </c>
      <c r="F660" t="s">
        <v>184</v>
      </c>
      <c r="G660" t="s">
        <v>2158</v>
      </c>
      <c r="H660" t="s">
        <v>2159</v>
      </c>
      <c r="I660" t="s">
        <v>22</v>
      </c>
      <c r="J660" t="s">
        <v>23</v>
      </c>
      <c r="K660" t="s">
        <v>2160</v>
      </c>
      <c r="L660" t="s">
        <v>485</v>
      </c>
      <c r="M660">
        <v>44105</v>
      </c>
      <c r="N660" t="s">
        <v>144</v>
      </c>
      <c r="O660" t="s">
        <v>2161</v>
      </c>
      <c r="P660" t="s">
        <v>28</v>
      </c>
      <c r="Q660" t="s">
        <v>61</v>
      </c>
      <c r="R660" t="s">
        <v>2162</v>
      </c>
      <c r="S660">
        <v>30.36</v>
      </c>
    </row>
    <row r="661" spans="1:19" x14ac:dyDescent="0.35">
      <c r="A661">
        <v>671</v>
      </c>
      <c r="B661" t="s">
        <v>2163</v>
      </c>
      <c r="C661" s="1">
        <v>43260</v>
      </c>
      <c r="D661" s="1">
        <v>43264</v>
      </c>
      <c r="E661" s="1" t="str">
        <f t="shared" si="10"/>
        <v>FAST</v>
      </c>
      <c r="F661" t="s">
        <v>46</v>
      </c>
      <c r="G661" t="s">
        <v>2047</v>
      </c>
      <c r="H661" t="s">
        <v>2048</v>
      </c>
      <c r="I661" t="s">
        <v>98</v>
      </c>
      <c r="J661" t="s">
        <v>23</v>
      </c>
      <c r="K661" t="s">
        <v>297</v>
      </c>
      <c r="L661" t="s">
        <v>205</v>
      </c>
      <c r="M661">
        <v>60653</v>
      </c>
      <c r="N661" t="s">
        <v>101</v>
      </c>
      <c r="O661" t="s">
        <v>2164</v>
      </c>
      <c r="P661" t="s">
        <v>28</v>
      </c>
      <c r="Q661" t="s">
        <v>52</v>
      </c>
      <c r="R661" t="s">
        <v>2165</v>
      </c>
      <c r="S661">
        <v>108.925</v>
      </c>
    </row>
    <row r="662" spans="1:19" x14ac:dyDescent="0.35">
      <c r="A662">
        <v>672</v>
      </c>
      <c r="B662" t="s">
        <v>2163</v>
      </c>
      <c r="C662" s="1">
        <v>43260</v>
      </c>
      <c r="D662" s="1">
        <v>43264</v>
      </c>
      <c r="E662" s="1" t="str">
        <f t="shared" si="10"/>
        <v>FAST</v>
      </c>
      <c r="F662" t="s">
        <v>46</v>
      </c>
      <c r="G662" t="s">
        <v>2047</v>
      </c>
      <c r="H662" t="s">
        <v>2048</v>
      </c>
      <c r="I662" t="s">
        <v>98</v>
      </c>
      <c r="J662" t="s">
        <v>23</v>
      </c>
      <c r="K662" t="s">
        <v>297</v>
      </c>
      <c r="L662" t="s">
        <v>205</v>
      </c>
      <c r="M662">
        <v>60653</v>
      </c>
      <c r="N662" t="s">
        <v>101</v>
      </c>
      <c r="O662" t="s">
        <v>547</v>
      </c>
      <c r="P662" t="s">
        <v>42</v>
      </c>
      <c r="Q662" t="s">
        <v>86</v>
      </c>
      <c r="R662" t="s">
        <v>2166</v>
      </c>
      <c r="S662">
        <v>36.351999999999997</v>
      </c>
    </row>
    <row r="663" spans="1:19" x14ac:dyDescent="0.35">
      <c r="A663">
        <v>673</v>
      </c>
      <c r="B663" t="s">
        <v>2167</v>
      </c>
      <c r="C663" s="1">
        <v>43266</v>
      </c>
      <c r="D663" s="1">
        <v>43273</v>
      </c>
      <c r="E663" s="1" t="str">
        <f t="shared" si="10"/>
        <v>FAST</v>
      </c>
      <c r="F663" t="s">
        <v>46</v>
      </c>
      <c r="G663" t="s">
        <v>1230</v>
      </c>
      <c r="H663" t="s">
        <v>1231</v>
      </c>
      <c r="I663" t="s">
        <v>22</v>
      </c>
      <c r="J663" t="s">
        <v>23</v>
      </c>
      <c r="K663" t="s">
        <v>1307</v>
      </c>
      <c r="L663" t="s">
        <v>205</v>
      </c>
      <c r="M663">
        <v>62301</v>
      </c>
      <c r="N663" t="s">
        <v>101</v>
      </c>
      <c r="O663" t="s">
        <v>2168</v>
      </c>
      <c r="P663" t="s">
        <v>42</v>
      </c>
      <c r="Q663" t="s">
        <v>64</v>
      </c>
      <c r="R663" t="s">
        <v>2169</v>
      </c>
      <c r="S663">
        <v>19.559999999999999</v>
      </c>
    </row>
    <row r="664" spans="1:19" x14ac:dyDescent="0.35">
      <c r="A664">
        <v>674</v>
      </c>
      <c r="B664" t="s">
        <v>2170</v>
      </c>
      <c r="C664" s="1">
        <v>43439</v>
      </c>
      <c r="D664" s="1">
        <v>43442</v>
      </c>
      <c r="E664" s="1" t="str">
        <f t="shared" si="10"/>
        <v>MODERATE</v>
      </c>
      <c r="F664" t="s">
        <v>184</v>
      </c>
      <c r="G664" t="s">
        <v>2171</v>
      </c>
      <c r="H664" t="s">
        <v>2172</v>
      </c>
      <c r="I664" t="s">
        <v>22</v>
      </c>
      <c r="J664" t="s">
        <v>23</v>
      </c>
      <c r="K664" t="s">
        <v>484</v>
      </c>
      <c r="L664" t="s">
        <v>248</v>
      </c>
      <c r="M664">
        <v>47201</v>
      </c>
      <c r="N664" t="s">
        <v>101</v>
      </c>
      <c r="O664" t="s">
        <v>2173</v>
      </c>
      <c r="P664" t="s">
        <v>42</v>
      </c>
      <c r="Q664" t="s">
        <v>74</v>
      </c>
      <c r="R664" t="s">
        <v>2174</v>
      </c>
      <c r="S664">
        <v>61.44</v>
      </c>
    </row>
    <row r="665" spans="1:19" x14ac:dyDescent="0.35">
      <c r="A665">
        <v>675</v>
      </c>
      <c r="B665" t="s">
        <v>2170</v>
      </c>
      <c r="C665" s="1">
        <v>43439</v>
      </c>
      <c r="D665" s="1">
        <v>43442</v>
      </c>
      <c r="E665" s="1" t="str">
        <f t="shared" si="10"/>
        <v>MODERATE</v>
      </c>
      <c r="F665" t="s">
        <v>184</v>
      </c>
      <c r="G665" t="s">
        <v>2171</v>
      </c>
      <c r="H665" t="s">
        <v>2172</v>
      </c>
      <c r="I665" t="s">
        <v>22</v>
      </c>
      <c r="J665" t="s">
        <v>23</v>
      </c>
      <c r="K665" t="s">
        <v>484</v>
      </c>
      <c r="L665" t="s">
        <v>248</v>
      </c>
      <c r="M665">
        <v>47201</v>
      </c>
      <c r="N665" t="s">
        <v>101</v>
      </c>
      <c r="O665" t="s">
        <v>2175</v>
      </c>
      <c r="P665" t="s">
        <v>42</v>
      </c>
      <c r="Q665" t="s">
        <v>86</v>
      </c>
      <c r="R665" t="s">
        <v>2176</v>
      </c>
      <c r="S665">
        <v>38.9</v>
      </c>
    </row>
    <row r="666" spans="1:19" x14ac:dyDescent="0.35">
      <c r="A666">
        <v>676</v>
      </c>
      <c r="B666" t="s">
        <v>2170</v>
      </c>
      <c r="C666" s="1">
        <v>43439</v>
      </c>
      <c r="D666" s="1">
        <v>43442</v>
      </c>
      <c r="E666" s="1" t="str">
        <f t="shared" si="10"/>
        <v>MODERATE</v>
      </c>
      <c r="F666" t="s">
        <v>184</v>
      </c>
      <c r="G666" t="s">
        <v>2171</v>
      </c>
      <c r="H666" t="s">
        <v>2172</v>
      </c>
      <c r="I666" t="s">
        <v>22</v>
      </c>
      <c r="J666" t="s">
        <v>23</v>
      </c>
      <c r="K666" t="s">
        <v>484</v>
      </c>
      <c r="L666" t="s">
        <v>248</v>
      </c>
      <c r="M666">
        <v>47201</v>
      </c>
      <c r="N666" t="s">
        <v>101</v>
      </c>
      <c r="O666" t="s">
        <v>894</v>
      </c>
      <c r="P666" t="s">
        <v>67</v>
      </c>
      <c r="Q666" t="s">
        <v>157</v>
      </c>
      <c r="R666" t="s">
        <v>1764</v>
      </c>
      <c r="S666">
        <v>99.39</v>
      </c>
    </row>
    <row r="667" spans="1:19" x14ac:dyDescent="0.35">
      <c r="A667">
        <v>677</v>
      </c>
      <c r="B667" t="s">
        <v>2177</v>
      </c>
      <c r="C667" s="1">
        <v>43177</v>
      </c>
      <c r="D667" s="1">
        <v>43182</v>
      </c>
      <c r="E667" s="1" t="str">
        <f t="shared" si="10"/>
        <v>FAST</v>
      </c>
      <c r="F667" t="s">
        <v>46</v>
      </c>
      <c r="G667" t="s">
        <v>2178</v>
      </c>
      <c r="H667" t="s">
        <v>2179</v>
      </c>
      <c r="I667" t="s">
        <v>22</v>
      </c>
      <c r="J667" t="s">
        <v>23</v>
      </c>
      <c r="K667" t="s">
        <v>2180</v>
      </c>
      <c r="L667" t="s">
        <v>100</v>
      </c>
      <c r="M667">
        <v>75701</v>
      </c>
      <c r="N667" t="s">
        <v>101</v>
      </c>
      <c r="O667" t="s">
        <v>2181</v>
      </c>
      <c r="P667" t="s">
        <v>42</v>
      </c>
      <c r="Q667" t="s">
        <v>74</v>
      </c>
      <c r="R667" t="s">
        <v>2182</v>
      </c>
      <c r="S667">
        <v>2.6880000000000002</v>
      </c>
    </row>
    <row r="668" spans="1:19" x14ac:dyDescent="0.35">
      <c r="A668">
        <v>678</v>
      </c>
      <c r="B668" t="s">
        <v>2177</v>
      </c>
      <c r="C668" s="1">
        <v>43177</v>
      </c>
      <c r="D668" s="1">
        <v>43182</v>
      </c>
      <c r="E668" s="1" t="str">
        <f t="shared" si="10"/>
        <v>FAST</v>
      </c>
      <c r="F668" t="s">
        <v>46</v>
      </c>
      <c r="G668" t="s">
        <v>2178</v>
      </c>
      <c r="H668" t="s">
        <v>2179</v>
      </c>
      <c r="I668" t="s">
        <v>22</v>
      </c>
      <c r="J668" t="s">
        <v>23</v>
      </c>
      <c r="K668" t="s">
        <v>2180</v>
      </c>
      <c r="L668" t="s">
        <v>100</v>
      </c>
      <c r="M668">
        <v>75701</v>
      </c>
      <c r="N668" t="s">
        <v>101</v>
      </c>
      <c r="O668" t="s">
        <v>2183</v>
      </c>
      <c r="P668" t="s">
        <v>67</v>
      </c>
      <c r="Q668" t="s">
        <v>157</v>
      </c>
      <c r="R668" t="s">
        <v>2184</v>
      </c>
      <c r="S668">
        <v>27.815999999999999</v>
      </c>
    </row>
    <row r="669" spans="1:19" x14ac:dyDescent="0.35">
      <c r="A669">
        <v>679</v>
      </c>
      <c r="B669" t="s">
        <v>2177</v>
      </c>
      <c r="C669" s="1">
        <v>43177</v>
      </c>
      <c r="D669" s="1">
        <v>43182</v>
      </c>
      <c r="E669" s="1" t="str">
        <f t="shared" si="10"/>
        <v>FAST</v>
      </c>
      <c r="F669" t="s">
        <v>46</v>
      </c>
      <c r="G669" t="s">
        <v>2178</v>
      </c>
      <c r="H669" t="s">
        <v>2179</v>
      </c>
      <c r="I669" t="s">
        <v>22</v>
      </c>
      <c r="J669" t="s">
        <v>23</v>
      </c>
      <c r="K669" t="s">
        <v>2180</v>
      </c>
      <c r="L669" t="s">
        <v>100</v>
      </c>
      <c r="M669">
        <v>75701</v>
      </c>
      <c r="N669" t="s">
        <v>101</v>
      </c>
      <c r="O669" t="s">
        <v>2185</v>
      </c>
      <c r="P669" t="s">
        <v>28</v>
      </c>
      <c r="Q669" t="s">
        <v>61</v>
      </c>
      <c r="R669" t="s">
        <v>2186</v>
      </c>
      <c r="S669">
        <v>82.524000000000001</v>
      </c>
    </row>
    <row r="670" spans="1:19" x14ac:dyDescent="0.35">
      <c r="A670">
        <v>680</v>
      </c>
      <c r="B670" t="s">
        <v>2177</v>
      </c>
      <c r="C670" s="1">
        <v>43177</v>
      </c>
      <c r="D670" s="1">
        <v>43182</v>
      </c>
      <c r="E670" s="1" t="str">
        <f t="shared" si="10"/>
        <v>FAST</v>
      </c>
      <c r="F670" t="s">
        <v>46</v>
      </c>
      <c r="G670" t="s">
        <v>2178</v>
      </c>
      <c r="H670" t="s">
        <v>2179</v>
      </c>
      <c r="I670" t="s">
        <v>22</v>
      </c>
      <c r="J670" t="s">
        <v>23</v>
      </c>
      <c r="K670" t="s">
        <v>2180</v>
      </c>
      <c r="L670" t="s">
        <v>100</v>
      </c>
      <c r="M670">
        <v>75701</v>
      </c>
      <c r="N670" t="s">
        <v>101</v>
      </c>
      <c r="O670" t="s">
        <v>2187</v>
      </c>
      <c r="P670" t="s">
        <v>42</v>
      </c>
      <c r="Q670" t="s">
        <v>71</v>
      </c>
      <c r="R670" t="s">
        <v>2188</v>
      </c>
      <c r="S670">
        <v>182.994</v>
      </c>
    </row>
    <row r="671" spans="1:19" x14ac:dyDescent="0.35">
      <c r="A671">
        <v>681</v>
      </c>
      <c r="B671" t="s">
        <v>2189</v>
      </c>
      <c r="C671" s="1">
        <v>43058</v>
      </c>
      <c r="D671" s="1">
        <v>43063</v>
      </c>
      <c r="E671" s="1" t="str">
        <f t="shared" si="10"/>
        <v>FAST</v>
      </c>
      <c r="F671" t="s">
        <v>46</v>
      </c>
      <c r="G671" t="s">
        <v>2190</v>
      </c>
      <c r="H671" t="s">
        <v>2191</v>
      </c>
      <c r="I671" t="s">
        <v>22</v>
      </c>
      <c r="J671" t="s">
        <v>23</v>
      </c>
      <c r="K671" t="s">
        <v>260</v>
      </c>
      <c r="L671" t="s">
        <v>261</v>
      </c>
      <c r="M671">
        <v>10024</v>
      </c>
      <c r="N671" t="s">
        <v>144</v>
      </c>
      <c r="O671" t="s">
        <v>2192</v>
      </c>
      <c r="P671" t="s">
        <v>42</v>
      </c>
      <c r="Q671" t="s">
        <v>71</v>
      </c>
      <c r="R671" t="s">
        <v>2193</v>
      </c>
      <c r="S671">
        <v>14.352</v>
      </c>
    </row>
    <row r="672" spans="1:19" x14ac:dyDescent="0.35">
      <c r="A672">
        <v>682</v>
      </c>
      <c r="B672" t="s">
        <v>2189</v>
      </c>
      <c r="C672" s="1">
        <v>43058</v>
      </c>
      <c r="D672" s="1">
        <v>43063</v>
      </c>
      <c r="E672" s="1" t="str">
        <f t="shared" si="10"/>
        <v>FAST</v>
      </c>
      <c r="F672" t="s">
        <v>46</v>
      </c>
      <c r="G672" t="s">
        <v>2190</v>
      </c>
      <c r="H672" t="s">
        <v>2191</v>
      </c>
      <c r="I672" t="s">
        <v>22</v>
      </c>
      <c r="J672" t="s">
        <v>23</v>
      </c>
      <c r="K672" t="s">
        <v>260</v>
      </c>
      <c r="L672" t="s">
        <v>261</v>
      </c>
      <c r="M672">
        <v>10024</v>
      </c>
      <c r="N672" t="s">
        <v>144</v>
      </c>
      <c r="O672" t="s">
        <v>2194</v>
      </c>
      <c r="P672" t="s">
        <v>42</v>
      </c>
      <c r="Q672" t="s">
        <v>55</v>
      </c>
      <c r="R672" t="s">
        <v>2195</v>
      </c>
      <c r="S672">
        <v>64.959999999999994</v>
      </c>
    </row>
    <row r="673" spans="1:19" x14ac:dyDescent="0.35">
      <c r="A673">
        <v>683</v>
      </c>
      <c r="B673" t="s">
        <v>2189</v>
      </c>
      <c r="C673" s="1">
        <v>43058</v>
      </c>
      <c r="D673" s="1">
        <v>43063</v>
      </c>
      <c r="E673" s="1" t="str">
        <f t="shared" si="10"/>
        <v>FAST</v>
      </c>
      <c r="F673" t="s">
        <v>46</v>
      </c>
      <c r="G673" t="s">
        <v>2190</v>
      </c>
      <c r="H673" t="s">
        <v>2191</v>
      </c>
      <c r="I673" t="s">
        <v>22</v>
      </c>
      <c r="J673" t="s">
        <v>23</v>
      </c>
      <c r="K673" t="s">
        <v>260</v>
      </c>
      <c r="L673" t="s">
        <v>261</v>
      </c>
      <c r="M673">
        <v>10024</v>
      </c>
      <c r="N673" t="s">
        <v>144</v>
      </c>
      <c r="O673" t="s">
        <v>1745</v>
      </c>
      <c r="P673" t="s">
        <v>42</v>
      </c>
      <c r="Q673" t="s">
        <v>55</v>
      </c>
      <c r="R673" t="s">
        <v>1746</v>
      </c>
      <c r="S673">
        <v>68.599999999999994</v>
      </c>
    </row>
    <row r="674" spans="1:19" x14ac:dyDescent="0.35">
      <c r="A674">
        <v>684</v>
      </c>
      <c r="B674" t="s">
        <v>2196</v>
      </c>
      <c r="C674" s="1">
        <v>43408</v>
      </c>
      <c r="D674" s="1">
        <v>43408</v>
      </c>
      <c r="E674" s="1" t="str">
        <f t="shared" si="10"/>
        <v>MODERATE</v>
      </c>
      <c r="F674" t="s">
        <v>1276</v>
      </c>
      <c r="G674" t="s">
        <v>2197</v>
      </c>
      <c r="H674" t="s">
        <v>2198</v>
      </c>
      <c r="I674" t="s">
        <v>37</v>
      </c>
      <c r="J674" t="s">
        <v>23</v>
      </c>
      <c r="K674" t="s">
        <v>2199</v>
      </c>
      <c r="L674" t="s">
        <v>84</v>
      </c>
      <c r="M674">
        <v>27217</v>
      </c>
      <c r="N674" t="s">
        <v>26</v>
      </c>
      <c r="O674" t="s">
        <v>2200</v>
      </c>
      <c r="P674" t="s">
        <v>67</v>
      </c>
      <c r="Q674" t="s">
        <v>671</v>
      </c>
      <c r="R674" t="s">
        <v>2201</v>
      </c>
      <c r="S674">
        <v>7999.98</v>
      </c>
    </row>
    <row r="675" spans="1:19" x14ac:dyDescent="0.35">
      <c r="A675">
        <v>685</v>
      </c>
      <c r="B675" t="s">
        <v>2196</v>
      </c>
      <c r="C675" s="1">
        <v>43408</v>
      </c>
      <c r="D675" s="1">
        <v>43408</v>
      </c>
      <c r="E675" s="1" t="str">
        <f t="shared" si="10"/>
        <v>MODERATE</v>
      </c>
      <c r="F675" t="s">
        <v>1276</v>
      </c>
      <c r="G675" t="s">
        <v>2197</v>
      </c>
      <c r="H675" t="s">
        <v>2198</v>
      </c>
      <c r="I675" t="s">
        <v>37</v>
      </c>
      <c r="J675" t="s">
        <v>23</v>
      </c>
      <c r="K675" t="s">
        <v>2199</v>
      </c>
      <c r="L675" t="s">
        <v>84</v>
      </c>
      <c r="M675">
        <v>27217</v>
      </c>
      <c r="N675" t="s">
        <v>26</v>
      </c>
      <c r="O675" t="s">
        <v>2112</v>
      </c>
      <c r="P675" t="s">
        <v>42</v>
      </c>
      <c r="Q675" t="s">
        <v>74</v>
      </c>
      <c r="R675" t="s">
        <v>2113</v>
      </c>
      <c r="S675">
        <v>167.44</v>
      </c>
    </row>
    <row r="676" spans="1:19" x14ac:dyDescent="0.35">
      <c r="A676">
        <v>686</v>
      </c>
      <c r="B676" t="s">
        <v>2202</v>
      </c>
      <c r="C676" s="1">
        <v>42190</v>
      </c>
      <c r="D676" s="1">
        <v>42193</v>
      </c>
      <c r="E676" s="1" t="str">
        <f t="shared" si="10"/>
        <v>MODERATE</v>
      </c>
      <c r="F676" t="s">
        <v>184</v>
      </c>
      <c r="G676" t="s">
        <v>2203</v>
      </c>
      <c r="H676" t="s">
        <v>2204</v>
      </c>
      <c r="I676" t="s">
        <v>22</v>
      </c>
      <c r="J676" t="s">
        <v>23</v>
      </c>
      <c r="K676" t="s">
        <v>322</v>
      </c>
      <c r="L676" t="s">
        <v>1471</v>
      </c>
      <c r="M676">
        <v>39212</v>
      </c>
      <c r="N676" t="s">
        <v>26</v>
      </c>
      <c r="O676" t="s">
        <v>1298</v>
      </c>
      <c r="P676" t="s">
        <v>67</v>
      </c>
      <c r="Q676" t="s">
        <v>157</v>
      </c>
      <c r="R676" t="s">
        <v>1299</v>
      </c>
      <c r="S676">
        <v>479.97</v>
      </c>
    </row>
    <row r="677" spans="1:19" x14ac:dyDescent="0.35">
      <c r="A677">
        <v>687</v>
      </c>
      <c r="B677" t="s">
        <v>2202</v>
      </c>
      <c r="C677" s="1">
        <v>42190</v>
      </c>
      <c r="D677" s="1">
        <v>42193</v>
      </c>
      <c r="E677" s="1" t="str">
        <f t="shared" si="10"/>
        <v>MODERATE</v>
      </c>
      <c r="F677" t="s">
        <v>184</v>
      </c>
      <c r="G677" t="s">
        <v>2203</v>
      </c>
      <c r="H677" t="s">
        <v>2204</v>
      </c>
      <c r="I677" t="s">
        <v>22</v>
      </c>
      <c r="J677" t="s">
        <v>23</v>
      </c>
      <c r="K677" t="s">
        <v>322</v>
      </c>
      <c r="L677" t="s">
        <v>1471</v>
      </c>
      <c r="M677">
        <v>39212</v>
      </c>
      <c r="N677" t="s">
        <v>26</v>
      </c>
      <c r="O677" t="s">
        <v>2205</v>
      </c>
      <c r="P677" t="s">
        <v>42</v>
      </c>
      <c r="Q677" t="s">
        <v>43</v>
      </c>
      <c r="R677" t="s">
        <v>2206</v>
      </c>
      <c r="S677">
        <v>14.62</v>
      </c>
    </row>
    <row r="678" spans="1:19" x14ac:dyDescent="0.35">
      <c r="A678">
        <v>688</v>
      </c>
      <c r="B678" t="s">
        <v>2202</v>
      </c>
      <c r="C678" s="1">
        <v>42190</v>
      </c>
      <c r="D678" s="1">
        <v>42193</v>
      </c>
      <c r="E678" s="1" t="str">
        <f t="shared" si="10"/>
        <v>MODERATE</v>
      </c>
      <c r="F678" t="s">
        <v>184</v>
      </c>
      <c r="G678" t="s">
        <v>2203</v>
      </c>
      <c r="H678" t="s">
        <v>2204</v>
      </c>
      <c r="I678" t="s">
        <v>22</v>
      </c>
      <c r="J678" t="s">
        <v>23</v>
      </c>
      <c r="K678" t="s">
        <v>322</v>
      </c>
      <c r="L678" t="s">
        <v>1471</v>
      </c>
      <c r="M678">
        <v>39212</v>
      </c>
      <c r="N678" t="s">
        <v>26</v>
      </c>
      <c r="O678" t="s">
        <v>394</v>
      </c>
      <c r="P678" t="s">
        <v>42</v>
      </c>
      <c r="Q678" t="s">
        <v>86</v>
      </c>
      <c r="R678" t="s">
        <v>395</v>
      </c>
      <c r="S678">
        <v>19.440000000000001</v>
      </c>
    </row>
    <row r="679" spans="1:19" x14ac:dyDescent="0.35">
      <c r="A679">
        <v>689</v>
      </c>
      <c r="B679" t="s">
        <v>2207</v>
      </c>
      <c r="C679" s="1">
        <v>43459</v>
      </c>
      <c r="D679" s="1">
        <v>43463</v>
      </c>
      <c r="E679" s="1" t="str">
        <f t="shared" si="10"/>
        <v>FAST</v>
      </c>
      <c r="F679" t="s">
        <v>46</v>
      </c>
      <c r="G679" t="s">
        <v>2208</v>
      </c>
      <c r="H679" t="s">
        <v>2209</v>
      </c>
      <c r="I679" t="s">
        <v>22</v>
      </c>
      <c r="J679" t="s">
        <v>23</v>
      </c>
      <c r="K679" t="s">
        <v>260</v>
      </c>
      <c r="L679" t="s">
        <v>261</v>
      </c>
      <c r="M679">
        <v>10035</v>
      </c>
      <c r="N679" t="s">
        <v>144</v>
      </c>
      <c r="O679" t="s">
        <v>2210</v>
      </c>
      <c r="P679" t="s">
        <v>28</v>
      </c>
      <c r="Q679" t="s">
        <v>29</v>
      </c>
      <c r="R679" t="s">
        <v>2211</v>
      </c>
      <c r="S679">
        <v>191.98400000000001</v>
      </c>
    </row>
    <row r="680" spans="1:19" x14ac:dyDescent="0.35">
      <c r="A680">
        <v>690</v>
      </c>
      <c r="B680" t="s">
        <v>2212</v>
      </c>
      <c r="C680" s="1">
        <v>42176</v>
      </c>
      <c r="D680" s="1">
        <v>42178</v>
      </c>
      <c r="E680" s="1" t="str">
        <f t="shared" si="10"/>
        <v>SLOW</v>
      </c>
      <c r="F680" t="s">
        <v>19</v>
      </c>
      <c r="G680" t="s">
        <v>2213</v>
      </c>
      <c r="H680" t="s">
        <v>2214</v>
      </c>
      <c r="I680" t="s">
        <v>22</v>
      </c>
      <c r="J680" t="s">
        <v>23</v>
      </c>
      <c r="K680" t="s">
        <v>2215</v>
      </c>
      <c r="L680" t="s">
        <v>313</v>
      </c>
      <c r="M680">
        <v>22980</v>
      </c>
      <c r="N680" t="s">
        <v>26</v>
      </c>
      <c r="O680" t="s">
        <v>2216</v>
      </c>
      <c r="P680" t="s">
        <v>28</v>
      </c>
      <c r="Q680" t="s">
        <v>61</v>
      </c>
      <c r="R680" t="s">
        <v>2217</v>
      </c>
      <c r="S680">
        <v>104.01</v>
      </c>
    </row>
    <row r="681" spans="1:19" x14ac:dyDescent="0.35">
      <c r="A681">
        <v>691</v>
      </c>
      <c r="B681" t="s">
        <v>2212</v>
      </c>
      <c r="C681" s="1">
        <v>42176</v>
      </c>
      <c r="D681" s="1">
        <v>42178</v>
      </c>
      <c r="E681" s="1" t="str">
        <f t="shared" si="10"/>
        <v>SLOW</v>
      </c>
      <c r="F681" t="s">
        <v>19</v>
      </c>
      <c r="G681" t="s">
        <v>2213</v>
      </c>
      <c r="H681" t="s">
        <v>2214</v>
      </c>
      <c r="I681" t="s">
        <v>22</v>
      </c>
      <c r="J681" t="s">
        <v>23</v>
      </c>
      <c r="K681" t="s">
        <v>2215</v>
      </c>
      <c r="L681" t="s">
        <v>313</v>
      </c>
      <c r="M681">
        <v>22980</v>
      </c>
      <c r="N681" t="s">
        <v>26</v>
      </c>
      <c r="O681" t="s">
        <v>78</v>
      </c>
      <c r="P681" t="s">
        <v>67</v>
      </c>
      <c r="Q681" t="s">
        <v>68</v>
      </c>
      <c r="R681" t="s">
        <v>79</v>
      </c>
      <c r="S681">
        <v>284.82</v>
      </c>
    </row>
    <row r="682" spans="1:19" x14ac:dyDescent="0.35">
      <c r="A682">
        <v>692</v>
      </c>
      <c r="B682" t="s">
        <v>2212</v>
      </c>
      <c r="C682" s="1">
        <v>42176</v>
      </c>
      <c r="D682" s="1">
        <v>42178</v>
      </c>
      <c r="E682" s="1" t="str">
        <f t="shared" si="10"/>
        <v>SLOW</v>
      </c>
      <c r="F682" t="s">
        <v>19</v>
      </c>
      <c r="G682" t="s">
        <v>2213</v>
      </c>
      <c r="H682" t="s">
        <v>2214</v>
      </c>
      <c r="I682" t="s">
        <v>22</v>
      </c>
      <c r="J682" t="s">
        <v>23</v>
      </c>
      <c r="K682" t="s">
        <v>2215</v>
      </c>
      <c r="L682" t="s">
        <v>313</v>
      </c>
      <c r="M682">
        <v>22980</v>
      </c>
      <c r="N682" t="s">
        <v>26</v>
      </c>
      <c r="O682" t="s">
        <v>2218</v>
      </c>
      <c r="P682" t="s">
        <v>42</v>
      </c>
      <c r="Q682" t="s">
        <v>55</v>
      </c>
      <c r="R682" t="s">
        <v>2219</v>
      </c>
      <c r="S682">
        <v>36.840000000000003</v>
      </c>
    </row>
    <row r="683" spans="1:19" x14ac:dyDescent="0.35">
      <c r="A683">
        <v>693</v>
      </c>
      <c r="B683" t="s">
        <v>2220</v>
      </c>
      <c r="C683" s="1">
        <v>42457</v>
      </c>
      <c r="D683" s="1">
        <v>42462</v>
      </c>
      <c r="E683" s="1" t="str">
        <f t="shared" si="10"/>
        <v>FAST</v>
      </c>
      <c r="F683" t="s">
        <v>46</v>
      </c>
      <c r="G683" t="s">
        <v>2221</v>
      </c>
      <c r="H683" t="s">
        <v>2222</v>
      </c>
      <c r="I683" t="s">
        <v>22</v>
      </c>
      <c r="J683" t="s">
        <v>23</v>
      </c>
      <c r="K683" t="s">
        <v>38</v>
      </c>
      <c r="L683" t="s">
        <v>39</v>
      </c>
      <c r="M683">
        <v>90036</v>
      </c>
      <c r="N683" t="s">
        <v>40</v>
      </c>
      <c r="O683" t="s">
        <v>2223</v>
      </c>
      <c r="P683" t="s">
        <v>67</v>
      </c>
      <c r="Q683" t="s">
        <v>157</v>
      </c>
      <c r="R683" t="s">
        <v>2224</v>
      </c>
      <c r="S683">
        <v>166.24</v>
      </c>
    </row>
    <row r="684" spans="1:19" x14ac:dyDescent="0.35">
      <c r="A684">
        <v>694</v>
      </c>
      <c r="B684" t="s">
        <v>2220</v>
      </c>
      <c r="C684" s="1">
        <v>42457</v>
      </c>
      <c r="D684" s="1">
        <v>42462</v>
      </c>
      <c r="E684" s="1" t="str">
        <f t="shared" si="10"/>
        <v>FAST</v>
      </c>
      <c r="F684" t="s">
        <v>46</v>
      </c>
      <c r="G684" t="s">
        <v>2221</v>
      </c>
      <c r="H684" t="s">
        <v>2222</v>
      </c>
      <c r="I684" t="s">
        <v>22</v>
      </c>
      <c r="J684" t="s">
        <v>23</v>
      </c>
      <c r="K684" t="s">
        <v>38</v>
      </c>
      <c r="L684" t="s">
        <v>39</v>
      </c>
      <c r="M684">
        <v>90036</v>
      </c>
      <c r="N684" t="s">
        <v>40</v>
      </c>
      <c r="O684" t="s">
        <v>2225</v>
      </c>
      <c r="P684" t="s">
        <v>42</v>
      </c>
      <c r="Q684" t="s">
        <v>86</v>
      </c>
      <c r="R684" t="s">
        <v>2226</v>
      </c>
      <c r="S684">
        <v>33.4</v>
      </c>
    </row>
    <row r="685" spans="1:19" x14ac:dyDescent="0.35">
      <c r="A685">
        <v>695</v>
      </c>
      <c r="B685" t="s">
        <v>2227</v>
      </c>
      <c r="C685" s="1">
        <v>42504</v>
      </c>
      <c r="D685" s="1">
        <v>42507</v>
      </c>
      <c r="E685" s="1" t="str">
        <f t="shared" si="10"/>
        <v>MODERATE</v>
      </c>
      <c r="F685" t="s">
        <v>184</v>
      </c>
      <c r="G685" t="s">
        <v>2228</v>
      </c>
      <c r="H685" t="s">
        <v>2229</v>
      </c>
      <c r="I685" t="s">
        <v>98</v>
      </c>
      <c r="J685" t="s">
        <v>23</v>
      </c>
      <c r="K685" t="s">
        <v>2230</v>
      </c>
      <c r="L685" t="s">
        <v>143</v>
      </c>
      <c r="M685">
        <v>19013</v>
      </c>
      <c r="N685" t="s">
        <v>144</v>
      </c>
      <c r="O685" t="s">
        <v>1147</v>
      </c>
      <c r="P685" t="s">
        <v>42</v>
      </c>
      <c r="Q685" t="s">
        <v>64</v>
      </c>
      <c r="R685" t="s">
        <v>1148</v>
      </c>
      <c r="S685">
        <v>198.27199999999999</v>
      </c>
    </row>
    <row r="686" spans="1:19" x14ac:dyDescent="0.35">
      <c r="A686">
        <v>696</v>
      </c>
      <c r="B686" t="s">
        <v>2227</v>
      </c>
      <c r="C686" s="1">
        <v>42504</v>
      </c>
      <c r="D686" s="1">
        <v>42507</v>
      </c>
      <c r="E686" s="1" t="str">
        <f t="shared" si="10"/>
        <v>MODERATE</v>
      </c>
      <c r="F686" t="s">
        <v>184</v>
      </c>
      <c r="G686" t="s">
        <v>2228</v>
      </c>
      <c r="H686" t="s">
        <v>2229</v>
      </c>
      <c r="I686" t="s">
        <v>98</v>
      </c>
      <c r="J686" t="s">
        <v>23</v>
      </c>
      <c r="K686" t="s">
        <v>2230</v>
      </c>
      <c r="L686" t="s">
        <v>143</v>
      </c>
      <c r="M686">
        <v>19013</v>
      </c>
      <c r="N686" t="s">
        <v>144</v>
      </c>
      <c r="O686" t="s">
        <v>2231</v>
      </c>
      <c r="P686" t="s">
        <v>42</v>
      </c>
      <c r="Q686" t="s">
        <v>43</v>
      </c>
      <c r="R686" t="s">
        <v>2232</v>
      </c>
      <c r="S686">
        <v>47.36</v>
      </c>
    </row>
    <row r="687" spans="1:19" x14ac:dyDescent="0.35">
      <c r="A687">
        <v>697</v>
      </c>
      <c r="B687" t="s">
        <v>2227</v>
      </c>
      <c r="C687" s="1">
        <v>42504</v>
      </c>
      <c r="D687" s="1">
        <v>42507</v>
      </c>
      <c r="E687" s="1" t="str">
        <f t="shared" si="10"/>
        <v>MODERATE</v>
      </c>
      <c r="F687" t="s">
        <v>184</v>
      </c>
      <c r="G687" t="s">
        <v>2228</v>
      </c>
      <c r="H687" t="s">
        <v>2229</v>
      </c>
      <c r="I687" t="s">
        <v>98</v>
      </c>
      <c r="J687" t="s">
        <v>23</v>
      </c>
      <c r="K687" t="s">
        <v>2230</v>
      </c>
      <c r="L687" t="s">
        <v>143</v>
      </c>
      <c r="M687">
        <v>19013</v>
      </c>
      <c r="N687" t="s">
        <v>144</v>
      </c>
      <c r="O687" t="s">
        <v>364</v>
      </c>
      <c r="P687" t="s">
        <v>42</v>
      </c>
      <c r="Q687" t="s">
        <v>169</v>
      </c>
      <c r="R687" t="s">
        <v>365</v>
      </c>
      <c r="S687">
        <v>200.98400000000001</v>
      </c>
    </row>
    <row r="688" spans="1:19" x14ac:dyDescent="0.35">
      <c r="A688">
        <v>698</v>
      </c>
      <c r="B688" t="s">
        <v>2227</v>
      </c>
      <c r="C688" s="1">
        <v>42504</v>
      </c>
      <c r="D688" s="1">
        <v>42507</v>
      </c>
      <c r="E688" s="1" t="str">
        <f t="shared" si="10"/>
        <v>MODERATE</v>
      </c>
      <c r="F688" t="s">
        <v>184</v>
      </c>
      <c r="G688" t="s">
        <v>2228</v>
      </c>
      <c r="H688" t="s">
        <v>2229</v>
      </c>
      <c r="I688" t="s">
        <v>98</v>
      </c>
      <c r="J688" t="s">
        <v>23</v>
      </c>
      <c r="K688" t="s">
        <v>2230</v>
      </c>
      <c r="L688" t="s">
        <v>143</v>
      </c>
      <c r="M688">
        <v>19013</v>
      </c>
      <c r="N688" t="s">
        <v>144</v>
      </c>
      <c r="O688" t="s">
        <v>2233</v>
      </c>
      <c r="P688" t="s">
        <v>42</v>
      </c>
      <c r="Q688" t="s">
        <v>43</v>
      </c>
      <c r="R688" t="s">
        <v>2234</v>
      </c>
      <c r="S688">
        <v>97.695999999999998</v>
      </c>
    </row>
    <row r="689" spans="1:19" x14ac:dyDescent="0.35">
      <c r="A689">
        <v>699</v>
      </c>
      <c r="B689" t="s">
        <v>2227</v>
      </c>
      <c r="C689" s="1">
        <v>42504</v>
      </c>
      <c r="D689" s="1">
        <v>42507</v>
      </c>
      <c r="E689" s="1" t="str">
        <f t="shared" si="10"/>
        <v>MODERATE</v>
      </c>
      <c r="F689" t="s">
        <v>184</v>
      </c>
      <c r="G689" t="s">
        <v>2228</v>
      </c>
      <c r="H689" t="s">
        <v>2229</v>
      </c>
      <c r="I689" t="s">
        <v>98</v>
      </c>
      <c r="J689" t="s">
        <v>23</v>
      </c>
      <c r="K689" t="s">
        <v>2230</v>
      </c>
      <c r="L689" t="s">
        <v>143</v>
      </c>
      <c r="M689">
        <v>19013</v>
      </c>
      <c r="N689" t="s">
        <v>144</v>
      </c>
      <c r="O689" t="s">
        <v>2235</v>
      </c>
      <c r="P689" t="s">
        <v>42</v>
      </c>
      <c r="Q689" t="s">
        <v>64</v>
      </c>
      <c r="R689" t="s">
        <v>2236</v>
      </c>
      <c r="S689">
        <v>2.6960000000000002</v>
      </c>
    </row>
    <row r="690" spans="1:19" x14ac:dyDescent="0.35">
      <c r="A690">
        <v>700</v>
      </c>
      <c r="B690" t="s">
        <v>2227</v>
      </c>
      <c r="C690" s="1">
        <v>42504</v>
      </c>
      <c r="D690" s="1">
        <v>42507</v>
      </c>
      <c r="E690" s="1" t="str">
        <f t="shared" si="10"/>
        <v>MODERATE</v>
      </c>
      <c r="F690" t="s">
        <v>184</v>
      </c>
      <c r="G690" t="s">
        <v>2228</v>
      </c>
      <c r="H690" t="s">
        <v>2229</v>
      </c>
      <c r="I690" t="s">
        <v>98</v>
      </c>
      <c r="J690" t="s">
        <v>23</v>
      </c>
      <c r="K690" t="s">
        <v>2230</v>
      </c>
      <c r="L690" t="s">
        <v>143</v>
      </c>
      <c r="M690">
        <v>19013</v>
      </c>
      <c r="N690" t="s">
        <v>144</v>
      </c>
      <c r="O690" t="s">
        <v>2237</v>
      </c>
      <c r="P690" t="s">
        <v>42</v>
      </c>
      <c r="Q690" t="s">
        <v>71</v>
      </c>
      <c r="R690" t="s">
        <v>2238</v>
      </c>
      <c r="S690">
        <v>18.588000000000001</v>
      </c>
    </row>
    <row r="691" spans="1:19" x14ac:dyDescent="0.35">
      <c r="A691">
        <v>701</v>
      </c>
      <c r="B691" t="s">
        <v>2227</v>
      </c>
      <c r="C691" s="1">
        <v>42504</v>
      </c>
      <c r="D691" s="1">
        <v>42507</v>
      </c>
      <c r="E691" s="1" t="str">
        <f t="shared" si="10"/>
        <v>MODERATE</v>
      </c>
      <c r="F691" t="s">
        <v>184</v>
      </c>
      <c r="G691" t="s">
        <v>2228</v>
      </c>
      <c r="H691" t="s">
        <v>2229</v>
      </c>
      <c r="I691" t="s">
        <v>98</v>
      </c>
      <c r="J691" t="s">
        <v>23</v>
      </c>
      <c r="K691" t="s">
        <v>2230</v>
      </c>
      <c r="L691" t="s">
        <v>143</v>
      </c>
      <c r="M691">
        <v>19013</v>
      </c>
      <c r="N691" t="s">
        <v>144</v>
      </c>
      <c r="O691" t="s">
        <v>1196</v>
      </c>
      <c r="P691" t="s">
        <v>42</v>
      </c>
      <c r="Q691" t="s">
        <v>71</v>
      </c>
      <c r="R691" t="s">
        <v>1197</v>
      </c>
      <c r="S691">
        <v>4.8959999999999999</v>
      </c>
    </row>
    <row r="692" spans="1:19" x14ac:dyDescent="0.35">
      <c r="A692">
        <v>702</v>
      </c>
      <c r="B692" t="s">
        <v>2239</v>
      </c>
      <c r="C692" s="1">
        <v>43345</v>
      </c>
      <c r="D692" s="1">
        <v>43351</v>
      </c>
      <c r="E692" s="1" t="str">
        <f t="shared" si="10"/>
        <v>FAST</v>
      </c>
      <c r="F692" t="s">
        <v>46</v>
      </c>
      <c r="G692" t="s">
        <v>962</v>
      </c>
      <c r="H692" t="s">
        <v>963</v>
      </c>
      <c r="I692" t="s">
        <v>37</v>
      </c>
      <c r="J692" t="s">
        <v>23</v>
      </c>
      <c r="K692" t="s">
        <v>2160</v>
      </c>
      <c r="L692" t="s">
        <v>485</v>
      </c>
      <c r="M692">
        <v>44105</v>
      </c>
      <c r="N692" t="s">
        <v>144</v>
      </c>
      <c r="O692" t="s">
        <v>808</v>
      </c>
      <c r="P692" t="s">
        <v>28</v>
      </c>
      <c r="Q692" t="s">
        <v>61</v>
      </c>
      <c r="R692" t="s">
        <v>809</v>
      </c>
      <c r="S692">
        <v>15.071999999999999</v>
      </c>
    </row>
    <row r="693" spans="1:19" x14ac:dyDescent="0.35">
      <c r="A693">
        <v>703</v>
      </c>
      <c r="B693" t="s">
        <v>2240</v>
      </c>
      <c r="C693" s="1">
        <v>43043</v>
      </c>
      <c r="D693" s="1">
        <v>43047</v>
      </c>
      <c r="E693" s="1" t="str">
        <f t="shared" si="10"/>
        <v>SLOW</v>
      </c>
      <c r="F693" t="s">
        <v>19</v>
      </c>
      <c r="G693" t="s">
        <v>1325</v>
      </c>
      <c r="H693" t="s">
        <v>1326</v>
      </c>
      <c r="I693" t="s">
        <v>37</v>
      </c>
      <c r="J693" t="s">
        <v>23</v>
      </c>
      <c r="K693" t="s">
        <v>91</v>
      </c>
      <c r="L693" t="s">
        <v>92</v>
      </c>
      <c r="M693">
        <v>98103</v>
      </c>
      <c r="N693" t="s">
        <v>40</v>
      </c>
      <c r="O693" t="s">
        <v>2241</v>
      </c>
      <c r="P693" t="s">
        <v>28</v>
      </c>
      <c r="Q693" t="s">
        <v>61</v>
      </c>
      <c r="R693" t="s">
        <v>2242</v>
      </c>
      <c r="S693">
        <v>209.88</v>
      </c>
    </row>
    <row r="694" spans="1:19" x14ac:dyDescent="0.35">
      <c r="A694">
        <v>704</v>
      </c>
      <c r="B694" t="s">
        <v>2243</v>
      </c>
      <c r="C694" s="1">
        <v>42469</v>
      </c>
      <c r="D694" s="1">
        <v>42474</v>
      </c>
      <c r="E694" s="1" t="str">
        <f t="shared" si="10"/>
        <v>FAST</v>
      </c>
      <c r="F694" t="s">
        <v>46</v>
      </c>
      <c r="G694" t="s">
        <v>2244</v>
      </c>
      <c r="H694" t="s">
        <v>2245</v>
      </c>
      <c r="I694" t="s">
        <v>22</v>
      </c>
      <c r="J694" t="s">
        <v>23</v>
      </c>
      <c r="K694" t="s">
        <v>1161</v>
      </c>
      <c r="L694" t="s">
        <v>39</v>
      </c>
      <c r="M694">
        <v>90805</v>
      </c>
      <c r="N694" t="s">
        <v>40</v>
      </c>
      <c r="O694" t="s">
        <v>2246</v>
      </c>
      <c r="P694" t="s">
        <v>28</v>
      </c>
      <c r="Q694" t="s">
        <v>52</v>
      </c>
      <c r="R694" t="s">
        <v>2247</v>
      </c>
      <c r="S694">
        <v>369.91199999999998</v>
      </c>
    </row>
    <row r="695" spans="1:19" x14ac:dyDescent="0.35">
      <c r="A695">
        <v>705</v>
      </c>
      <c r="B695" t="s">
        <v>2248</v>
      </c>
      <c r="C695" s="1">
        <v>42259</v>
      </c>
      <c r="D695" s="1">
        <v>42264</v>
      </c>
      <c r="E695" s="1" t="str">
        <f t="shared" si="10"/>
        <v>FAST</v>
      </c>
      <c r="F695" t="s">
        <v>46</v>
      </c>
      <c r="G695" t="s">
        <v>2249</v>
      </c>
      <c r="H695" t="s">
        <v>2250</v>
      </c>
      <c r="I695" t="s">
        <v>37</v>
      </c>
      <c r="J695" t="s">
        <v>23</v>
      </c>
      <c r="K695" t="s">
        <v>2251</v>
      </c>
      <c r="L695" t="s">
        <v>84</v>
      </c>
      <c r="M695">
        <v>27511</v>
      </c>
      <c r="N695" t="s">
        <v>26</v>
      </c>
      <c r="O695" t="s">
        <v>2252</v>
      </c>
      <c r="P695" t="s">
        <v>42</v>
      </c>
      <c r="Q695" t="s">
        <v>86</v>
      </c>
      <c r="R695" t="s">
        <v>2253</v>
      </c>
      <c r="S695">
        <v>10.368</v>
      </c>
    </row>
    <row r="696" spans="1:19" x14ac:dyDescent="0.35">
      <c r="A696">
        <v>706</v>
      </c>
      <c r="B696" t="s">
        <v>2248</v>
      </c>
      <c r="C696" s="1">
        <v>42259</v>
      </c>
      <c r="D696" s="1">
        <v>42264</v>
      </c>
      <c r="E696" s="1" t="str">
        <f t="shared" si="10"/>
        <v>FAST</v>
      </c>
      <c r="F696" t="s">
        <v>46</v>
      </c>
      <c r="G696" t="s">
        <v>2249</v>
      </c>
      <c r="H696" t="s">
        <v>2250</v>
      </c>
      <c r="I696" t="s">
        <v>37</v>
      </c>
      <c r="J696" t="s">
        <v>23</v>
      </c>
      <c r="K696" t="s">
        <v>2251</v>
      </c>
      <c r="L696" t="s">
        <v>84</v>
      </c>
      <c r="M696">
        <v>27511</v>
      </c>
      <c r="N696" t="s">
        <v>26</v>
      </c>
      <c r="O696" t="s">
        <v>2254</v>
      </c>
      <c r="P696" t="s">
        <v>42</v>
      </c>
      <c r="Q696" t="s">
        <v>74</v>
      </c>
      <c r="R696" t="s">
        <v>2255</v>
      </c>
      <c r="S696">
        <v>166.84</v>
      </c>
    </row>
    <row r="697" spans="1:19" x14ac:dyDescent="0.35">
      <c r="A697">
        <v>707</v>
      </c>
      <c r="B697" t="s">
        <v>2248</v>
      </c>
      <c r="C697" s="1">
        <v>42259</v>
      </c>
      <c r="D697" s="1">
        <v>42264</v>
      </c>
      <c r="E697" s="1" t="str">
        <f t="shared" si="10"/>
        <v>FAST</v>
      </c>
      <c r="F697" t="s">
        <v>46</v>
      </c>
      <c r="G697" t="s">
        <v>2249</v>
      </c>
      <c r="H697" t="s">
        <v>2250</v>
      </c>
      <c r="I697" t="s">
        <v>37</v>
      </c>
      <c r="J697" t="s">
        <v>23</v>
      </c>
      <c r="K697" t="s">
        <v>2251</v>
      </c>
      <c r="L697" t="s">
        <v>84</v>
      </c>
      <c r="M697">
        <v>27511</v>
      </c>
      <c r="N697" t="s">
        <v>26</v>
      </c>
      <c r="O697" t="s">
        <v>1730</v>
      </c>
      <c r="P697" t="s">
        <v>67</v>
      </c>
      <c r="Q697" t="s">
        <v>157</v>
      </c>
      <c r="R697" t="s">
        <v>1731</v>
      </c>
      <c r="S697">
        <v>15.215999999999999</v>
      </c>
    </row>
    <row r="698" spans="1:19" x14ac:dyDescent="0.35">
      <c r="A698">
        <v>708</v>
      </c>
      <c r="B698" t="s">
        <v>2256</v>
      </c>
      <c r="C698" s="1">
        <v>42340</v>
      </c>
      <c r="D698" s="1">
        <v>42342</v>
      </c>
      <c r="E698" s="1" t="str">
        <f t="shared" si="10"/>
        <v>MODERATE</v>
      </c>
      <c r="F698" t="s">
        <v>184</v>
      </c>
      <c r="G698" t="s">
        <v>2257</v>
      </c>
      <c r="H698" t="s">
        <v>2258</v>
      </c>
      <c r="I698" t="s">
        <v>22</v>
      </c>
      <c r="J698" t="s">
        <v>23</v>
      </c>
      <c r="K698" t="s">
        <v>260</v>
      </c>
      <c r="L698" t="s">
        <v>261</v>
      </c>
      <c r="M698">
        <v>10035</v>
      </c>
      <c r="N698" t="s">
        <v>144</v>
      </c>
      <c r="O698" t="s">
        <v>1006</v>
      </c>
      <c r="P698" t="s">
        <v>67</v>
      </c>
      <c r="Q698" t="s">
        <v>157</v>
      </c>
      <c r="R698" t="s">
        <v>1007</v>
      </c>
      <c r="S698">
        <v>119.96</v>
      </c>
    </row>
    <row r="699" spans="1:19" x14ac:dyDescent="0.35">
      <c r="A699">
        <v>709</v>
      </c>
      <c r="B699" t="s">
        <v>2256</v>
      </c>
      <c r="C699" s="1">
        <v>42340</v>
      </c>
      <c r="D699" s="1">
        <v>42342</v>
      </c>
      <c r="E699" s="1" t="str">
        <f t="shared" si="10"/>
        <v>MODERATE</v>
      </c>
      <c r="F699" t="s">
        <v>184</v>
      </c>
      <c r="G699" t="s">
        <v>2257</v>
      </c>
      <c r="H699" t="s">
        <v>2258</v>
      </c>
      <c r="I699" t="s">
        <v>22</v>
      </c>
      <c r="J699" t="s">
        <v>23</v>
      </c>
      <c r="K699" t="s">
        <v>260</v>
      </c>
      <c r="L699" t="s">
        <v>261</v>
      </c>
      <c r="M699">
        <v>10035</v>
      </c>
      <c r="N699" t="s">
        <v>144</v>
      </c>
      <c r="O699" t="s">
        <v>2259</v>
      </c>
      <c r="P699" t="s">
        <v>28</v>
      </c>
      <c r="Q699" t="s">
        <v>29</v>
      </c>
      <c r="R699" t="s">
        <v>2260</v>
      </c>
      <c r="S699">
        <v>883.92</v>
      </c>
    </row>
    <row r="700" spans="1:19" x14ac:dyDescent="0.35">
      <c r="A700">
        <v>710</v>
      </c>
      <c r="B700" t="s">
        <v>2256</v>
      </c>
      <c r="C700" s="1">
        <v>42340</v>
      </c>
      <c r="D700" s="1">
        <v>42342</v>
      </c>
      <c r="E700" s="1" t="str">
        <f t="shared" si="10"/>
        <v>MODERATE</v>
      </c>
      <c r="F700" t="s">
        <v>184</v>
      </c>
      <c r="G700" t="s">
        <v>2257</v>
      </c>
      <c r="H700" t="s">
        <v>2258</v>
      </c>
      <c r="I700" t="s">
        <v>22</v>
      </c>
      <c r="J700" t="s">
        <v>23</v>
      </c>
      <c r="K700" t="s">
        <v>260</v>
      </c>
      <c r="L700" t="s">
        <v>261</v>
      </c>
      <c r="M700">
        <v>10035</v>
      </c>
      <c r="N700" t="s">
        <v>144</v>
      </c>
      <c r="O700" t="s">
        <v>1357</v>
      </c>
      <c r="P700" t="s">
        <v>42</v>
      </c>
      <c r="Q700" t="s">
        <v>71</v>
      </c>
      <c r="R700" t="s">
        <v>1358</v>
      </c>
      <c r="S700">
        <v>46.72</v>
      </c>
    </row>
    <row r="701" spans="1:19" x14ac:dyDescent="0.35">
      <c r="A701">
        <v>711</v>
      </c>
      <c r="B701" t="s">
        <v>2261</v>
      </c>
      <c r="C701" s="1">
        <v>42099</v>
      </c>
      <c r="D701" s="1">
        <v>42101</v>
      </c>
      <c r="E701" s="1" t="str">
        <f t="shared" si="10"/>
        <v>MODERATE</v>
      </c>
      <c r="F701" t="s">
        <v>184</v>
      </c>
      <c r="G701" t="s">
        <v>2262</v>
      </c>
      <c r="H701" t="s">
        <v>2263</v>
      </c>
      <c r="I701" t="s">
        <v>98</v>
      </c>
      <c r="J701" t="s">
        <v>23</v>
      </c>
      <c r="K701" t="s">
        <v>260</v>
      </c>
      <c r="L701" t="s">
        <v>261</v>
      </c>
      <c r="M701">
        <v>10035</v>
      </c>
      <c r="N701" t="s">
        <v>144</v>
      </c>
      <c r="O701" t="s">
        <v>1604</v>
      </c>
      <c r="P701" t="s">
        <v>42</v>
      </c>
      <c r="Q701" t="s">
        <v>86</v>
      </c>
      <c r="R701" t="s">
        <v>1605</v>
      </c>
      <c r="S701">
        <v>55.48</v>
      </c>
    </row>
    <row r="702" spans="1:19" x14ac:dyDescent="0.35">
      <c r="A702">
        <v>713</v>
      </c>
      <c r="B702" t="s">
        <v>2266</v>
      </c>
      <c r="C702" s="1">
        <v>43239</v>
      </c>
      <c r="D702" s="1">
        <v>43244</v>
      </c>
      <c r="E702" s="1" t="str">
        <f t="shared" si="10"/>
        <v>FAST</v>
      </c>
      <c r="F702" t="s">
        <v>46</v>
      </c>
      <c r="G702" t="s">
        <v>2267</v>
      </c>
      <c r="H702" t="s">
        <v>2268</v>
      </c>
      <c r="I702" t="s">
        <v>37</v>
      </c>
      <c r="J702" t="s">
        <v>23</v>
      </c>
      <c r="K702" t="s">
        <v>2269</v>
      </c>
      <c r="L702" t="s">
        <v>261</v>
      </c>
      <c r="M702">
        <v>10550</v>
      </c>
      <c r="N702" t="s">
        <v>144</v>
      </c>
      <c r="O702" t="s">
        <v>2270</v>
      </c>
      <c r="P702" t="s">
        <v>42</v>
      </c>
      <c r="Q702" t="s">
        <v>74</v>
      </c>
      <c r="R702" t="s">
        <v>2271</v>
      </c>
      <c r="S702">
        <v>281.33999999999997</v>
      </c>
    </row>
    <row r="703" spans="1:19" x14ac:dyDescent="0.35">
      <c r="A703">
        <v>714</v>
      </c>
      <c r="B703" t="s">
        <v>2266</v>
      </c>
      <c r="C703" s="1">
        <v>43239</v>
      </c>
      <c r="D703" s="1">
        <v>43244</v>
      </c>
      <c r="E703" s="1" t="str">
        <f t="shared" si="10"/>
        <v>FAST</v>
      </c>
      <c r="F703" t="s">
        <v>46</v>
      </c>
      <c r="G703" t="s">
        <v>2267</v>
      </c>
      <c r="H703" t="s">
        <v>2268</v>
      </c>
      <c r="I703" t="s">
        <v>37</v>
      </c>
      <c r="J703" t="s">
        <v>23</v>
      </c>
      <c r="K703" t="s">
        <v>2269</v>
      </c>
      <c r="L703" t="s">
        <v>261</v>
      </c>
      <c r="M703">
        <v>10550</v>
      </c>
      <c r="N703" t="s">
        <v>144</v>
      </c>
      <c r="O703" t="s">
        <v>1363</v>
      </c>
      <c r="P703" t="s">
        <v>67</v>
      </c>
      <c r="Q703" t="s">
        <v>68</v>
      </c>
      <c r="R703" t="s">
        <v>1364</v>
      </c>
      <c r="S703">
        <v>307.98</v>
      </c>
    </row>
    <row r="704" spans="1:19" x14ac:dyDescent="0.35">
      <c r="A704">
        <v>715</v>
      </c>
      <c r="B704" t="s">
        <v>2266</v>
      </c>
      <c r="C704" s="1">
        <v>43239</v>
      </c>
      <c r="D704" s="1">
        <v>43244</v>
      </c>
      <c r="E704" s="1" t="str">
        <f t="shared" si="10"/>
        <v>FAST</v>
      </c>
      <c r="F704" t="s">
        <v>46</v>
      </c>
      <c r="G704" t="s">
        <v>2267</v>
      </c>
      <c r="H704" t="s">
        <v>2268</v>
      </c>
      <c r="I704" t="s">
        <v>37</v>
      </c>
      <c r="J704" t="s">
        <v>23</v>
      </c>
      <c r="K704" t="s">
        <v>2269</v>
      </c>
      <c r="L704" t="s">
        <v>261</v>
      </c>
      <c r="M704">
        <v>10550</v>
      </c>
      <c r="N704" t="s">
        <v>144</v>
      </c>
      <c r="O704" t="s">
        <v>2272</v>
      </c>
      <c r="P704" t="s">
        <v>67</v>
      </c>
      <c r="Q704" t="s">
        <v>157</v>
      </c>
      <c r="R704" t="s">
        <v>2273</v>
      </c>
      <c r="S704">
        <v>299.97000000000003</v>
      </c>
    </row>
    <row r="705" spans="1:19" x14ac:dyDescent="0.35">
      <c r="A705">
        <v>716</v>
      </c>
      <c r="B705" t="s">
        <v>2274</v>
      </c>
      <c r="C705" s="1">
        <v>42186</v>
      </c>
      <c r="D705" s="1">
        <v>42191</v>
      </c>
      <c r="E705" s="1" t="str">
        <f t="shared" si="10"/>
        <v>SLOW</v>
      </c>
      <c r="F705" t="s">
        <v>19</v>
      </c>
      <c r="G705" t="s">
        <v>962</v>
      </c>
      <c r="H705" t="s">
        <v>963</v>
      </c>
      <c r="I705" t="s">
        <v>37</v>
      </c>
      <c r="J705" t="s">
        <v>23</v>
      </c>
      <c r="K705" t="s">
        <v>91</v>
      </c>
      <c r="L705" t="s">
        <v>92</v>
      </c>
      <c r="M705">
        <v>98105</v>
      </c>
      <c r="N705" t="s">
        <v>40</v>
      </c>
      <c r="O705" t="s">
        <v>2275</v>
      </c>
      <c r="P705" t="s">
        <v>42</v>
      </c>
      <c r="Q705" t="s">
        <v>71</v>
      </c>
      <c r="R705" t="s">
        <v>2276</v>
      </c>
      <c r="S705">
        <v>19.920000000000002</v>
      </c>
    </row>
    <row r="706" spans="1:19" x14ac:dyDescent="0.35">
      <c r="A706">
        <v>717</v>
      </c>
      <c r="B706" t="s">
        <v>2277</v>
      </c>
      <c r="C706" s="1">
        <v>42015</v>
      </c>
      <c r="D706" s="1">
        <v>42018</v>
      </c>
      <c r="E706" s="1" t="str">
        <f t="shared" si="10"/>
        <v>MODERATE</v>
      </c>
      <c r="F706" t="s">
        <v>184</v>
      </c>
      <c r="G706" t="s">
        <v>2278</v>
      </c>
      <c r="H706" t="s">
        <v>2279</v>
      </c>
      <c r="I706" t="s">
        <v>22</v>
      </c>
      <c r="J706" t="s">
        <v>23</v>
      </c>
      <c r="K706" t="s">
        <v>238</v>
      </c>
      <c r="L706" t="s">
        <v>239</v>
      </c>
      <c r="M706">
        <v>19901</v>
      </c>
      <c r="N706" t="s">
        <v>144</v>
      </c>
      <c r="O706" t="s">
        <v>2025</v>
      </c>
      <c r="P706" t="s">
        <v>28</v>
      </c>
      <c r="Q706" t="s">
        <v>61</v>
      </c>
      <c r="R706" t="s">
        <v>2026</v>
      </c>
      <c r="S706">
        <v>9.94</v>
      </c>
    </row>
    <row r="707" spans="1:19" x14ac:dyDescent="0.35">
      <c r="A707">
        <v>718</v>
      </c>
      <c r="B707" t="s">
        <v>2280</v>
      </c>
      <c r="C707" s="1">
        <v>43367</v>
      </c>
      <c r="D707" s="1">
        <v>43372</v>
      </c>
      <c r="E707" s="1" t="str">
        <f t="shared" ref="E707:E770" si="11">IF(F707="STANDARD CLASS","FAST",IF(F707="SECOND CLASS","SLOW","MODERATE"))</f>
        <v>FAST</v>
      </c>
      <c r="F707" t="s">
        <v>46</v>
      </c>
      <c r="G707" t="s">
        <v>933</v>
      </c>
      <c r="H707" t="s">
        <v>934</v>
      </c>
      <c r="I707" t="s">
        <v>22</v>
      </c>
      <c r="J707" t="s">
        <v>23</v>
      </c>
      <c r="K707" t="s">
        <v>594</v>
      </c>
      <c r="L707" t="s">
        <v>485</v>
      </c>
      <c r="M707">
        <v>43055</v>
      </c>
      <c r="N707" t="s">
        <v>144</v>
      </c>
      <c r="O707" t="s">
        <v>2281</v>
      </c>
      <c r="P707" t="s">
        <v>28</v>
      </c>
      <c r="Q707" t="s">
        <v>61</v>
      </c>
      <c r="R707" t="s">
        <v>2282</v>
      </c>
      <c r="S707">
        <v>103.056</v>
      </c>
    </row>
    <row r="708" spans="1:19" x14ac:dyDescent="0.35">
      <c r="A708">
        <v>719</v>
      </c>
      <c r="B708" t="s">
        <v>2283</v>
      </c>
      <c r="C708" s="1">
        <v>42157</v>
      </c>
      <c r="D708" s="1">
        <v>42162</v>
      </c>
      <c r="E708" s="1" t="str">
        <f t="shared" si="11"/>
        <v>FAST</v>
      </c>
      <c r="F708" t="s">
        <v>46</v>
      </c>
      <c r="G708" t="s">
        <v>2284</v>
      </c>
      <c r="H708" t="s">
        <v>2285</v>
      </c>
      <c r="I708" t="s">
        <v>98</v>
      </c>
      <c r="J708" t="s">
        <v>23</v>
      </c>
      <c r="K708" t="s">
        <v>150</v>
      </c>
      <c r="L708" t="s">
        <v>117</v>
      </c>
      <c r="M708">
        <v>84057</v>
      </c>
      <c r="N708" t="s">
        <v>40</v>
      </c>
      <c r="O708" t="s">
        <v>1704</v>
      </c>
      <c r="P708" t="s">
        <v>42</v>
      </c>
      <c r="Q708" t="s">
        <v>71</v>
      </c>
      <c r="R708" t="s">
        <v>1705</v>
      </c>
      <c r="S708">
        <v>59.808</v>
      </c>
    </row>
    <row r="709" spans="1:19" x14ac:dyDescent="0.35">
      <c r="A709">
        <v>720</v>
      </c>
      <c r="B709" t="s">
        <v>2283</v>
      </c>
      <c r="C709" s="1">
        <v>42157</v>
      </c>
      <c r="D709" s="1">
        <v>42162</v>
      </c>
      <c r="E709" s="1" t="str">
        <f t="shared" si="11"/>
        <v>FAST</v>
      </c>
      <c r="F709" t="s">
        <v>46</v>
      </c>
      <c r="G709" t="s">
        <v>2284</v>
      </c>
      <c r="H709" t="s">
        <v>2285</v>
      </c>
      <c r="I709" t="s">
        <v>98</v>
      </c>
      <c r="J709" t="s">
        <v>23</v>
      </c>
      <c r="K709" t="s">
        <v>150</v>
      </c>
      <c r="L709" t="s">
        <v>117</v>
      </c>
      <c r="M709">
        <v>84057</v>
      </c>
      <c r="N709" t="s">
        <v>40</v>
      </c>
      <c r="O709" t="s">
        <v>1524</v>
      </c>
      <c r="P709" t="s">
        <v>28</v>
      </c>
      <c r="Q709" t="s">
        <v>61</v>
      </c>
      <c r="R709" t="s">
        <v>1525</v>
      </c>
      <c r="S709">
        <v>73.319999999999993</v>
      </c>
    </row>
    <row r="710" spans="1:19" x14ac:dyDescent="0.35">
      <c r="A710">
        <v>721</v>
      </c>
      <c r="B710" t="s">
        <v>2286</v>
      </c>
      <c r="C710" s="1">
        <v>42779</v>
      </c>
      <c r="D710" s="1">
        <v>42784</v>
      </c>
      <c r="E710" s="1" t="str">
        <f t="shared" si="11"/>
        <v>FAST</v>
      </c>
      <c r="F710" t="s">
        <v>46</v>
      </c>
      <c r="G710" t="s">
        <v>2287</v>
      </c>
      <c r="H710" t="s">
        <v>2288</v>
      </c>
      <c r="I710" t="s">
        <v>98</v>
      </c>
      <c r="J710" t="s">
        <v>23</v>
      </c>
      <c r="K710" t="s">
        <v>38</v>
      </c>
      <c r="L710" t="s">
        <v>39</v>
      </c>
      <c r="M710">
        <v>90045</v>
      </c>
      <c r="N710" t="s">
        <v>40</v>
      </c>
      <c r="O710" t="s">
        <v>2289</v>
      </c>
      <c r="P710" t="s">
        <v>42</v>
      </c>
      <c r="Q710" t="s">
        <v>86</v>
      </c>
      <c r="R710" t="s">
        <v>2290</v>
      </c>
      <c r="S710">
        <v>146.82</v>
      </c>
    </row>
    <row r="711" spans="1:19" x14ac:dyDescent="0.35">
      <c r="A711">
        <v>722</v>
      </c>
      <c r="B711" t="s">
        <v>2291</v>
      </c>
      <c r="C711" s="1">
        <v>43084</v>
      </c>
      <c r="D711" s="1">
        <v>43088</v>
      </c>
      <c r="E711" s="1" t="str">
        <f t="shared" si="11"/>
        <v>FAST</v>
      </c>
      <c r="F711" t="s">
        <v>46</v>
      </c>
      <c r="G711" t="s">
        <v>1461</v>
      </c>
      <c r="H711" t="s">
        <v>1462</v>
      </c>
      <c r="I711" t="s">
        <v>37</v>
      </c>
      <c r="J711" t="s">
        <v>23</v>
      </c>
      <c r="K711" t="s">
        <v>867</v>
      </c>
      <c r="L711" t="s">
        <v>232</v>
      </c>
      <c r="M711">
        <v>48205</v>
      </c>
      <c r="N711" t="s">
        <v>101</v>
      </c>
      <c r="O711" t="s">
        <v>2292</v>
      </c>
      <c r="P711" t="s">
        <v>28</v>
      </c>
      <c r="Q711" t="s">
        <v>52</v>
      </c>
      <c r="R711" t="s">
        <v>2293</v>
      </c>
      <c r="S711">
        <v>1652.94</v>
      </c>
    </row>
    <row r="712" spans="1:19" x14ac:dyDescent="0.35">
      <c r="A712">
        <v>723</v>
      </c>
      <c r="B712" t="s">
        <v>2291</v>
      </c>
      <c r="C712" s="1">
        <v>43084</v>
      </c>
      <c r="D712" s="1">
        <v>43088</v>
      </c>
      <c r="E712" s="1" t="str">
        <f t="shared" si="11"/>
        <v>FAST</v>
      </c>
      <c r="F712" t="s">
        <v>46</v>
      </c>
      <c r="G712" t="s">
        <v>1461</v>
      </c>
      <c r="H712" t="s">
        <v>1462</v>
      </c>
      <c r="I712" t="s">
        <v>37</v>
      </c>
      <c r="J712" t="s">
        <v>23</v>
      </c>
      <c r="K712" t="s">
        <v>867</v>
      </c>
      <c r="L712" t="s">
        <v>232</v>
      </c>
      <c r="M712">
        <v>48205</v>
      </c>
      <c r="N712" t="s">
        <v>101</v>
      </c>
      <c r="O712" t="s">
        <v>2294</v>
      </c>
      <c r="P712" t="s">
        <v>42</v>
      </c>
      <c r="Q712" t="s">
        <v>55</v>
      </c>
      <c r="R712" t="s">
        <v>2295</v>
      </c>
      <c r="S712">
        <v>296.37</v>
      </c>
    </row>
    <row r="713" spans="1:19" x14ac:dyDescent="0.35">
      <c r="A713">
        <v>724</v>
      </c>
      <c r="B713" t="s">
        <v>2296</v>
      </c>
      <c r="C713" s="1">
        <v>42284</v>
      </c>
      <c r="D713" s="1">
        <v>42290</v>
      </c>
      <c r="E713" s="1" t="str">
        <f t="shared" si="11"/>
        <v>FAST</v>
      </c>
      <c r="F713" t="s">
        <v>46</v>
      </c>
      <c r="G713" t="s">
        <v>2297</v>
      </c>
      <c r="H713" t="s">
        <v>2298</v>
      </c>
      <c r="I713" t="s">
        <v>98</v>
      </c>
      <c r="J713" t="s">
        <v>23</v>
      </c>
      <c r="K713" t="s">
        <v>142</v>
      </c>
      <c r="L713" t="s">
        <v>143</v>
      </c>
      <c r="M713">
        <v>19140</v>
      </c>
      <c r="N713" t="s">
        <v>144</v>
      </c>
      <c r="O713" t="s">
        <v>2299</v>
      </c>
      <c r="P713" t="s">
        <v>28</v>
      </c>
      <c r="Q713" t="s">
        <v>61</v>
      </c>
      <c r="R713" t="s">
        <v>2300</v>
      </c>
      <c r="S713">
        <v>129.91999999999999</v>
      </c>
    </row>
    <row r="714" spans="1:19" x14ac:dyDescent="0.35">
      <c r="A714">
        <v>725</v>
      </c>
      <c r="B714" t="s">
        <v>2301</v>
      </c>
      <c r="C714" s="1">
        <v>42923</v>
      </c>
      <c r="D714" s="1">
        <v>42928</v>
      </c>
      <c r="E714" s="1" t="str">
        <f t="shared" si="11"/>
        <v>FAST</v>
      </c>
      <c r="F714" t="s">
        <v>46</v>
      </c>
      <c r="G714" t="s">
        <v>2302</v>
      </c>
      <c r="H714" t="s">
        <v>2303</v>
      </c>
      <c r="I714" t="s">
        <v>37</v>
      </c>
      <c r="J714" t="s">
        <v>23</v>
      </c>
      <c r="K714" t="s">
        <v>2304</v>
      </c>
      <c r="L714" t="s">
        <v>50</v>
      </c>
      <c r="M714">
        <v>33012</v>
      </c>
      <c r="N714" t="s">
        <v>26</v>
      </c>
      <c r="O714" t="s">
        <v>2305</v>
      </c>
      <c r="P714" t="s">
        <v>42</v>
      </c>
      <c r="Q714" t="s">
        <v>566</v>
      </c>
      <c r="R714" t="s">
        <v>2306</v>
      </c>
      <c r="S714">
        <v>45.584000000000003</v>
      </c>
    </row>
    <row r="715" spans="1:19" x14ac:dyDescent="0.35">
      <c r="A715">
        <v>726</v>
      </c>
      <c r="B715" t="s">
        <v>2307</v>
      </c>
      <c r="C715" s="1">
        <v>43359</v>
      </c>
      <c r="D715" s="1">
        <v>43363</v>
      </c>
      <c r="E715" s="1" t="str">
        <f t="shared" si="11"/>
        <v>FAST</v>
      </c>
      <c r="F715" t="s">
        <v>46</v>
      </c>
      <c r="G715" t="s">
        <v>2308</v>
      </c>
      <c r="H715" t="s">
        <v>2309</v>
      </c>
      <c r="I715" t="s">
        <v>22</v>
      </c>
      <c r="J715" t="s">
        <v>23</v>
      </c>
      <c r="K715" t="s">
        <v>1225</v>
      </c>
      <c r="L715" t="s">
        <v>100</v>
      </c>
      <c r="M715">
        <v>78745</v>
      </c>
      <c r="N715" t="s">
        <v>101</v>
      </c>
      <c r="O715" t="s">
        <v>2310</v>
      </c>
      <c r="P715" t="s">
        <v>42</v>
      </c>
      <c r="Q715" t="s">
        <v>169</v>
      </c>
      <c r="R715" t="s">
        <v>2311</v>
      </c>
      <c r="S715">
        <v>17.568000000000001</v>
      </c>
    </row>
    <row r="716" spans="1:19" x14ac:dyDescent="0.35">
      <c r="A716">
        <v>727</v>
      </c>
      <c r="B716" t="s">
        <v>2307</v>
      </c>
      <c r="C716" s="1">
        <v>43359</v>
      </c>
      <c r="D716" s="1">
        <v>43363</v>
      </c>
      <c r="E716" s="1" t="str">
        <f t="shared" si="11"/>
        <v>FAST</v>
      </c>
      <c r="F716" t="s">
        <v>46</v>
      </c>
      <c r="G716" t="s">
        <v>2308</v>
      </c>
      <c r="H716" t="s">
        <v>2309</v>
      </c>
      <c r="I716" t="s">
        <v>22</v>
      </c>
      <c r="J716" t="s">
        <v>23</v>
      </c>
      <c r="K716" t="s">
        <v>1225</v>
      </c>
      <c r="L716" t="s">
        <v>100</v>
      </c>
      <c r="M716">
        <v>78745</v>
      </c>
      <c r="N716" t="s">
        <v>101</v>
      </c>
      <c r="O716" t="s">
        <v>2312</v>
      </c>
      <c r="P716" t="s">
        <v>67</v>
      </c>
      <c r="Q716" t="s">
        <v>68</v>
      </c>
      <c r="R716" t="s">
        <v>2313</v>
      </c>
      <c r="S716">
        <v>55.991999999999997</v>
      </c>
    </row>
    <row r="717" spans="1:19" x14ac:dyDescent="0.35">
      <c r="A717">
        <v>728</v>
      </c>
      <c r="B717" t="s">
        <v>2314</v>
      </c>
      <c r="C717" s="1">
        <v>43072</v>
      </c>
      <c r="D717" s="1">
        <v>43075</v>
      </c>
      <c r="E717" s="1" t="str">
        <f t="shared" si="11"/>
        <v>MODERATE</v>
      </c>
      <c r="F717" t="s">
        <v>184</v>
      </c>
      <c r="G717" t="s">
        <v>2315</v>
      </c>
      <c r="H717" t="s">
        <v>2316</v>
      </c>
      <c r="I717" t="s">
        <v>22</v>
      </c>
      <c r="J717" t="s">
        <v>23</v>
      </c>
      <c r="K717" t="s">
        <v>2317</v>
      </c>
      <c r="L717" t="s">
        <v>261</v>
      </c>
      <c r="M717">
        <v>11572</v>
      </c>
      <c r="N717" t="s">
        <v>144</v>
      </c>
      <c r="O717" t="s">
        <v>2318</v>
      </c>
      <c r="P717" t="s">
        <v>42</v>
      </c>
      <c r="Q717" t="s">
        <v>86</v>
      </c>
      <c r="R717" t="s">
        <v>2319</v>
      </c>
      <c r="S717">
        <v>182.72</v>
      </c>
    </row>
    <row r="718" spans="1:19" x14ac:dyDescent="0.35">
      <c r="A718">
        <v>729</v>
      </c>
      <c r="B718" t="s">
        <v>2314</v>
      </c>
      <c r="C718" s="1">
        <v>43072</v>
      </c>
      <c r="D718" s="1">
        <v>43075</v>
      </c>
      <c r="E718" s="1" t="str">
        <f t="shared" si="11"/>
        <v>MODERATE</v>
      </c>
      <c r="F718" t="s">
        <v>184</v>
      </c>
      <c r="G718" t="s">
        <v>2315</v>
      </c>
      <c r="H718" t="s">
        <v>2316</v>
      </c>
      <c r="I718" t="s">
        <v>22</v>
      </c>
      <c r="J718" t="s">
        <v>23</v>
      </c>
      <c r="K718" t="s">
        <v>2317</v>
      </c>
      <c r="L718" t="s">
        <v>261</v>
      </c>
      <c r="M718">
        <v>11572</v>
      </c>
      <c r="N718" t="s">
        <v>144</v>
      </c>
      <c r="O718" t="s">
        <v>2320</v>
      </c>
      <c r="P718" t="s">
        <v>28</v>
      </c>
      <c r="Q718" t="s">
        <v>52</v>
      </c>
      <c r="R718" t="s">
        <v>2321</v>
      </c>
      <c r="S718">
        <v>400.03199999999998</v>
      </c>
    </row>
    <row r="719" spans="1:19" x14ac:dyDescent="0.35">
      <c r="A719">
        <v>730</v>
      </c>
      <c r="B719" t="s">
        <v>2314</v>
      </c>
      <c r="C719" s="1">
        <v>43072</v>
      </c>
      <c r="D719" s="1">
        <v>43075</v>
      </c>
      <c r="E719" s="1" t="str">
        <f t="shared" si="11"/>
        <v>MODERATE</v>
      </c>
      <c r="F719" t="s">
        <v>184</v>
      </c>
      <c r="G719" t="s">
        <v>2315</v>
      </c>
      <c r="H719" t="s">
        <v>2316</v>
      </c>
      <c r="I719" t="s">
        <v>22</v>
      </c>
      <c r="J719" t="s">
        <v>23</v>
      </c>
      <c r="K719" t="s">
        <v>2317</v>
      </c>
      <c r="L719" t="s">
        <v>261</v>
      </c>
      <c r="M719">
        <v>11572</v>
      </c>
      <c r="N719" t="s">
        <v>144</v>
      </c>
      <c r="O719" t="s">
        <v>2322</v>
      </c>
      <c r="P719" t="s">
        <v>42</v>
      </c>
      <c r="Q719" t="s">
        <v>55</v>
      </c>
      <c r="R719" t="s">
        <v>2323</v>
      </c>
      <c r="S719">
        <v>33.630000000000003</v>
      </c>
    </row>
    <row r="720" spans="1:19" x14ac:dyDescent="0.35">
      <c r="A720">
        <v>731</v>
      </c>
      <c r="B720" t="s">
        <v>2314</v>
      </c>
      <c r="C720" s="1">
        <v>43072</v>
      </c>
      <c r="D720" s="1">
        <v>43075</v>
      </c>
      <c r="E720" s="1" t="str">
        <f t="shared" si="11"/>
        <v>MODERATE</v>
      </c>
      <c r="F720" t="s">
        <v>184</v>
      </c>
      <c r="G720" t="s">
        <v>2315</v>
      </c>
      <c r="H720" t="s">
        <v>2316</v>
      </c>
      <c r="I720" t="s">
        <v>22</v>
      </c>
      <c r="J720" t="s">
        <v>23</v>
      </c>
      <c r="K720" t="s">
        <v>2317</v>
      </c>
      <c r="L720" t="s">
        <v>261</v>
      </c>
      <c r="M720">
        <v>11572</v>
      </c>
      <c r="N720" t="s">
        <v>144</v>
      </c>
      <c r="O720" t="s">
        <v>930</v>
      </c>
      <c r="P720" t="s">
        <v>28</v>
      </c>
      <c r="Q720" t="s">
        <v>32</v>
      </c>
      <c r="R720" t="s">
        <v>931</v>
      </c>
      <c r="S720">
        <v>542.64599999999996</v>
      </c>
    </row>
    <row r="721" spans="1:19" x14ac:dyDescent="0.35">
      <c r="A721">
        <v>732</v>
      </c>
      <c r="B721" t="s">
        <v>2314</v>
      </c>
      <c r="C721" s="1">
        <v>43072</v>
      </c>
      <c r="D721" s="1">
        <v>43075</v>
      </c>
      <c r="E721" s="1" t="str">
        <f t="shared" si="11"/>
        <v>MODERATE</v>
      </c>
      <c r="F721" t="s">
        <v>184</v>
      </c>
      <c r="G721" t="s">
        <v>2315</v>
      </c>
      <c r="H721" t="s">
        <v>2316</v>
      </c>
      <c r="I721" t="s">
        <v>22</v>
      </c>
      <c r="J721" t="s">
        <v>23</v>
      </c>
      <c r="K721" t="s">
        <v>2317</v>
      </c>
      <c r="L721" t="s">
        <v>261</v>
      </c>
      <c r="M721">
        <v>11572</v>
      </c>
      <c r="N721" t="s">
        <v>144</v>
      </c>
      <c r="O721" t="s">
        <v>1534</v>
      </c>
      <c r="P721" t="s">
        <v>42</v>
      </c>
      <c r="Q721" t="s">
        <v>43</v>
      </c>
      <c r="R721" t="s">
        <v>1535</v>
      </c>
      <c r="S721">
        <v>6.3</v>
      </c>
    </row>
    <row r="722" spans="1:19" x14ac:dyDescent="0.35">
      <c r="A722">
        <v>733</v>
      </c>
      <c r="B722" t="s">
        <v>2324</v>
      </c>
      <c r="C722" s="1">
        <v>43121</v>
      </c>
      <c r="D722" s="1">
        <v>43125</v>
      </c>
      <c r="E722" s="1" t="str">
        <f t="shared" si="11"/>
        <v>FAST</v>
      </c>
      <c r="F722" t="s">
        <v>46</v>
      </c>
      <c r="G722" t="s">
        <v>2325</v>
      </c>
      <c r="H722" t="s">
        <v>2326</v>
      </c>
      <c r="I722" t="s">
        <v>98</v>
      </c>
      <c r="J722" t="s">
        <v>23</v>
      </c>
      <c r="K722" t="s">
        <v>91</v>
      </c>
      <c r="L722" t="s">
        <v>92</v>
      </c>
      <c r="M722">
        <v>98115</v>
      </c>
      <c r="N722" t="s">
        <v>40</v>
      </c>
      <c r="O722" t="s">
        <v>1754</v>
      </c>
      <c r="P722" t="s">
        <v>42</v>
      </c>
      <c r="Q722" t="s">
        <v>55</v>
      </c>
      <c r="R722" t="s">
        <v>1755</v>
      </c>
      <c r="S722">
        <v>242.94</v>
      </c>
    </row>
    <row r="723" spans="1:19" x14ac:dyDescent="0.35">
      <c r="A723">
        <v>734</v>
      </c>
      <c r="B723" t="s">
        <v>2324</v>
      </c>
      <c r="C723" s="1">
        <v>43121</v>
      </c>
      <c r="D723" s="1">
        <v>43125</v>
      </c>
      <c r="E723" s="1" t="str">
        <f t="shared" si="11"/>
        <v>FAST</v>
      </c>
      <c r="F723" t="s">
        <v>46</v>
      </c>
      <c r="G723" t="s">
        <v>2325</v>
      </c>
      <c r="H723" t="s">
        <v>2326</v>
      </c>
      <c r="I723" t="s">
        <v>98</v>
      </c>
      <c r="J723" t="s">
        <v>23</v>
      </c>
      <c r="K723" t="s">
        <v>91</v>
      </c>
      <c r="L723" t="s">
        <v>92</v>
      </c>
      <c r="M723">
        <v>98115</v>
      </c>
      <c r="N723" t="s">
        <v>40</v>
      </c>
      <c r="O723" t="s">
        <v>2327</v>
      </c>
      <c r="P723" t="s">
        <v>67</v>
      </c>
      <c r="Q723" t="s">
        <v>157</v>
      </c>
      <c r="R723" t="s">
        <v>2328</v>
      </c>
      <c r="S723">
        <v>179.97</v>
      </c>
    </row>
    <row r="724" spans="1:19" x14ac:dyDescent="0.35">
      <c r="A724">
        <v>735</v>
      </c>
      <c r="B724" t="s">
        <v>2324</v>
      </c>
      <c r="C724" s="1">
        <v>43121</v>
      </c>
      <c r="D724" s="1">
        <v>43125</v>
      </c>
      <c r="E724" s="1" t="str">
        <f t="shared" si="11"/>
        <v>FAST</v>
      </c>
      <c r="F724" t="s">
        <v>46</v>
      </c>
      <c r="G724" t="s">
        <v>2325</v>
      </c>
      <c r="H724" t="s">
        <v>2326</v>
      </c>
      <c r="I724" t="s">
        <v>98</v>
      </c>
      <c r="J724" t="s">
        <v>23</v>
      </c>
      <c r="K724" t="s">
        <v>91</v>
      </c>
      <c r="L724" t="s">
        <v>92</v>
      </c>
      <c r="M724">
        <v>98115</v>
      </c>
      <c r="N724" t="s">
        <v>40</v>
      </c>
      <c r="O724" t="s">
        <v>1371</v>
      </c>
      <c r="P724" t="s">
        <v>42</v>
      </c>
      <c r="Q724" t="s">
        <v>71</v>
      </c>
      <c r="R724" t="s">
        <v>1372</v>
      </c>
      <c r="S724">
        <v>99.695999999999998</v>
      </c>
    </row>
    <row r="725" spans="1:19" x14ac:dyDescent="0.35">
      <c r="A725">
        <v>736</v>
      </c>
      <c r="B725" t="s">
        <v>2324</v>
      </c>
      <c r="C725" s="1">
        <v>43121</v>
      </c>
      <c r="D725" s="1">
        <v>43125</v>
      </c>
      <c r="E725" s="1" t="str">
        <f t="shared" si="11"/>
        <v>FAST</v>
      </c>
      <c r="F725" t="s">
        <v>46</v>
      </c>
      <c r="G725" t="s">
        <v>2325</v>
      </c>
      <c r="H725" t="s">
        <v>2326</v>
      </c>
      <c r="I725" t="s">
        <v>98</v>
      </c>
      <c r="J725" t="s">
        <v>23</v>
      </c>
      <c r="K725" t="s">
        <v>91</v>
      </c>
      <c r="L725" t="s">
        <v>92</v>
      </c>
      <c r="M725">
        <v>98115</v>
      </c>
      <c r="N725" t="s">
        <v>40</v>
      </c>
      <c r="O725" t="s">
        <v>226</v>
      </c>
      <c r="P725" t="s">
        <v>42</v>
      </c>
      <c r="Q725" t="s">
        <v>71</v>
      </c>
      <c r="R725" t="s">
        <v>227</v>
      </c>
      <c r="S725">
        <v>27.936</v>
      </c>
    </row>
    <row r="726" spans="1:19" x14ac:dyDescent="0.35">
      <c r="A726">
        <v>737</v>
      </c>
      <c r="B726" t="s">
        <v>2324</v>
      </c>
      <c r="C726" s="1">
        <v>43121</v>
      </c>
      <c r="D726" s="1">
        <v>43125</v>
      </c>
      <c r="E726" s="1" t="str">
        <f t="shared" si="11"/>
        <v>FAST</v>
      </c>
      <c r="F726" t="s">
        <v>46</v>
      </c>
      <c r="G726" t="s">
        <v>2325</v>
      </c>
      <c r="H726" t="s">
        <v>2326</v>
      </c>
      <c r="I726" t="s">
        <v>98</v>
      </c>
      <c r="J726" t="s">
        <v>23</v>
      </c>
      <c r="K726" t="s">
        <v>91</v>
      </c>
      <c r="L726" t="s">
        <v>92</v>
      </c>
      <c r="M726">
        <v>98115</v>
      </c>
      <c r="N726" t="s">
        <v>40</v>
      </c>
      <c r="O726" t="s">
        <v>2329</v>
      </c>
      <c r="P726" t="s">
        <v>28</v>
      </c>
      <c r="Q726" t="s">
        <v>29</v>
      </c>
      <c r="R726" t="s">
        <v>2330</v>
      </c>
      <c r="S726">
        <v>84.98</v>
      </c>
    </row>
    <row r="727" spans="1:19" x14ac:dyDescent="0.35">
      <c r="A727">
        <v>738</v>
      </c>
      <c r="B727" t="s">
        <v>2324</v>
      </c>
      <c r="C727" s="1">
        <v>43121</v>
      </c>
      <c r="D727" s="1">
        <v>43125</v>
      </c>
      <c r="E727" s="1" t="str">
        <f t="shared" si="11"/>
        <v>FAST</v>
      </c>
      <c r="F727" t="s">
        <v>46</v>
      </c>
      <c r="G727" t="s">
        <v>2325</v>
      </c>
      <c r="H727" t="s">
        <v>2326</v>
      </c>
      <c r="I727" t="s">
        <v>98</v>
      </c>
      <c r="J727" t="s">
        <v>23</v>
      </c>
      <c r="K727" t="s">
        <v>91</v>
      </c>
      <c r="L727" t="s">
        <v>92</v>
      </c>
      <c r="M727">
        <v>98115</v>
      </c>
      <c r="N727" t="s">
        <v>40</v>
      </c>
      <c r="O727" t="s">
        <v>2331</v>
      </c>
      <c r="P727" t="s">
        <v>42</v>
      </c>
      <c r="Q727" t="s">
        <v>71</v>
      </c>
      <c r="R727" t="s">
        <v>2332</v>
      </c>
      <c r="S727">
        <v>18.72</v>
      </c>
    </row>
    <row r="728" spans="1:19" x14ac:dyDescent="0.35">
      <c r="A728">
        <v>739</v>
      </c>
      <c r="B728" t="s">
        <v>2333</v>
      </c>
      <c r="C728" s="1">
        <v>42255</v>
      </c>
      <c r="D728" s="1">
        <v>42259</v>
      </c>
      <c r="E728" s="1" t="str">
        <f t="shared" si="11"/>
        <v>FAST</v>
      </c>
      <c r="F728" t="s">
        <v>46</v>
      </c>
      <c r="G728" t="s">
        <v>436</v>
      </c>
      <c r="H728" t="s">
        <v>437</v>
      </c>
      <c r="I728" t="s">
        <v>22</v>
      </c>
      <c r="J728" t="s">
        <v>23</v>
      </c>
      <c r="K728" t="s">
        <v>123</v>
      </c>
      <c r="L728" t="s">
        <v>39</v>
      </c>
      <c r="M728">
        <v>94110</v>
      </c>
      <c r="N728" t="s">
        <v>40</v>
      </c>
      <c r="O728" t="s">
        <v>2334</v>
      </c>
      <c r="P728" t="s">
        <v>67</v>
      </c>
      <c r="Q728" t="s">
        <v>157</v>
      </c>
      <c r="R728" t="s">
        <v>2335</v>
      </c>
      <c r="S728">
        <v>49.98</v>
      </c>
    </row>
    <row r="729" spans="1:19" x14ac:dyDescent="0.35">
      <c r="A729">
        <v>740</v>
      </c>
      <c r="B729" t="s">
        <v>2336</v>
      </c>
      <c r="C729" s="1">
        <v>42008</v>
      </c>
      <c r="D729" s="1">
        <v>42012</v>
      </c>
      <c r="E729" s="1" t="str">
        <f t="shared" si="11"/>
        <v>FAST</v>
      </c>
      <c r="F729" t="s">
        <v>46</v>
      </c>
      <c r="G729" t="s">
        <v>2337</v>
      </c>
      <c r="H729" t="s">
        <v>2338</v>
      </c>
      <c r="I729" t="s">
        <v>98</v>
      </c>
      <c r="J729" t="s">
        <v>23</v>
      </c>
      <c r="K729" t="s">
        <v>204</v>
      </c>
      <c r="L729" t="s">
        <v>205</v>
      </c>
      <c r="M729">
        <v>60540</v>
      </c>
      <c r="N729" t="s">
        <v>101</v>
      </c>
      <c r="O729" t="s">
        <v>2339</v>
      </c>
      <c r="P729" t="s">
        <v>42</v>
      </c>
      <c r="Q729" t="s">
        <v>43</v>
      </c>
      <c r="R729" t="s">
        <v>2340</v>
      </c>
      <c r="S729">
        <v>11.784000000000001</v>
      </c>
    </row>
    <row r="730" spans="1:19" x14ac:dyDescent="0.35">
      <c r="A730">
        <v>741</v>
      </c>
      <c r="B730" t="s">
        <v>2336</v>
      </c>
      <c r="C730" s="1">
        <v>42008</v>
      </c>
      <c r="D730" s="1">
        <v>42012</v>
      </c>
      <c r="E730" s="1" t="str">
        <f t="shared" si="11"/>
        <v>FAST</v>
      </c>
      <c r="F730" t="s">
        <v>46</v>
      </c>
      <c r="G730" t="s">
        <v>2337</v>
      </c>
      <c r="H730" t="s">
        <v>2338</v>
      </c>
      <c r="I730" t="s">
        <v>98</v>
      </c>
      <c r="J730" t="s">
        <v>23</v>
      </c>
      <c r="K730" t="s">
        <v>204</v>
      </c>
      <c r="L730" t="s">
        <v>205</v>
      </c>
      <c r="M730">
        <v>60540</v>
      </c>
      <c r="N730" t="s">
        <v>101</v>
      </c>
      <c r="O730" t="s">
        <v>1609</v>
      </c>
      <c r="P730" t="s">
        <v>42</v>
      </c>
      <c r="Q730" t="s">
        <v>55</v>
      </c>
      <c r="R730" t="s">
        <v>1610</v>
      </c>
      <c r="S730">
        <v>272.73599999999999</v>
      </c>
    </row>
    <row r="731" spans="1:19" x14ac:dyDescent="0.35">
      <c r="A731">
        <v>742</v>
      </c>
      <c r="B731" t="s">
        <v>2336</v>
      </c>
      <c r="C731" s="1">
        <v>42008</v>
      </c>
      <c r="D731" s="1">
        <v>42012</v>
      </c>
      <c r="E731" s="1" t="str">
        <f t="shared" si="11"/>
        <v>FAST</v>
      </c>
      <c r="F731" t="s">
        <v>46</v>
      </c>
      <c r="G731" t="s">
        <v>2337</v>
      </c>
      <c r="H731" t="s">
        <v>2338</v>
      </c>
      <c r="I731" t="s">
        <v>98</v>
      </c>
      <c r="J731" t="s">
        <v>23</v>
      </c>
      <c r="K731" t="s">
        <v>204</v>
      </c>
      <c r="L731" t="s">
        <v>205</v>
      </c>
      <c r="M731">
        <v>60540</v>
      </c>
      <c r="N731" t="s">
        <v>101</v>
      </c>
      <c r="O731" t="s">
        <v>2341</v>
      </c>
      <c r="P731" t="s">
        <v>42</v>
      </c>
      <c r="Q731" t="s">
        <v>71</v>
      </c>
      <c r="R731" t="s">
        <v>2342</v>
      </c>
      <c r="S731">
        <v>3.54</v>
      </c>
    </row>
    <row r="732" spans="1:19" x14ac:dyDescent="0.35">
      <c r="A732">
        <v>743</v>
      </c>
      <c r="B732" t="s">
        <v>2343</v>
      </c>
      <c r="C732" s="1">
        <v>42974</v>
      </c>
      <c r="D732" s="1">
        <v>42979</v>
      </c>
      <c r="E732" s="1" t="str">
        <f t="shared" si="11"/>
        <v>FAST</v>
      </c>
      <c r="F732" t="s">
        <v>46</v>
      </c>
      <c r="G732" t="s">
        <v>2344</v>
      </c>
      <c r="H732" t="s">
        <v>2345</v>
      </c>
      <c r="I732" t="s">
        <v>22</v>
      </c>
      <c r="J732" t="s">
        <v>23</v>
      </c>
      <c r="K732" t="s">
        <v>802</v>
      </c>
      <c r="L732" t="s">
        <v>100</v>
      </c>
      <c r="M732">
        <v>75220</v>
      </c>
      <c r="N732" t="s">
        <v>101</v>
      </c>
      <c r="O732" t="s">
        <v>1939</v>
      </c>
      <c r="P732" t="s">
        <v>42</v>
      </c>
      <c r="Q732" t="s">
        <v>566</v>
      </c>
      <c r="R732" t="s">
        <v>1940</v>
      </c>
      <c r="S732">
        <v>51.52</v>
      </c>
    </row>
    <row r="733" spans="1:19" x14ac:dyDescent="0.35">
      <c r="A733">
        <v>744</v>
      </c>
      <c r="B733" t="s">
        <v>2343</v>
      </c>
      <c r="C733" s="1">
        <v>42974</v>
      </c>
      <c r="D733" s="1">
        <v>42979</v>
      </c>
      <c r="E733" s="1" t="str">
        <f t="shared" si="11"/>
        <v>FAST</v>
      </c>
      <c r="F733" t="s">
        <v>46</v>
      </c>
      <c r="G733" t="s">
        <v>2344</v>
      </c>
      <c r="H733" t="s">
        <v>2345</v>
      </c>
      <c r="I733" t="s">
        <v>22</v>
      </c>
      <c r="J733" t="s">
        <v>23</v>
      </c>
      <c r="K733" t="s">
        <v>802</v>
      </c>
      <c r="L733" t="s">
        <v>100</v>
      </c>
      <c r="M733">
        <v>75220</v>
      </c>
      <c r="N733" t="s">
        <v>101</v>
      </c>
      <c r="O733" t="s">
        <v>1016</v>
      </c>
      <c r="P733" t="s">
        <v>42</v>
      </c>
      <c r="Q733" t="s">
        <v>86</v>
      </c>
      <c r="R733" t="s">
        <v>1017</v>
      </c>
      <c r="S733">
        <v>3.528</v>
      </c>
    </row>
    <row r="734" spans="1:19" x14ac:dyDescent="0.35">
      <c r="A734">
        <v>745</v>
      </c>
      <c r="B734" t="s">
        <v>2343</v>
      </c>
      <c r="C734" s="1">
        <v>42974</v>
      </c>
      <c r="D734" s="1">
        <v>42979</v>
      </c>
      <c r="E734" s="1" t="str">
        <f t="shared" si="11"/>
        <v>FAST</v>
      </c>
      <c r="F734" t="s">
        <v>46</v>
      </c>
      <c r="G734" t="s">
        <v>2344</v>
      </c>
      <c r="H734" t="s">
        <v>2345</v>
      </c>
      <c r="I734" t="s">
        <v>22</v>
      </c>
      <c r="J734" t="s">
        <v>23</v>
      </c>
      <c r="K734" t="s">
        <v>802</v>
      </c>
      <c r="L734" t="s">
        <v>100</v>
      </c>
      <c r="M734">
        <v>75220</v>
      </c>
      <c r="N734" t="s">
        <v>101</v>
      </c>
      <c r="O734" t="s">
        <v>2346</v>
      </c>
      <c r="P734" t="s">
        <v>42</v>
      </c>
      <c r="Q734" t="s">
        <v>86</v>
      </c>
      <c r="R734" t="s">
        <v>2347</v>
      </c>
      <c r="S734">
        <v>4.6239999999999997</v>
      </c>
    </row>
    <row r="735" spans="1:19" x14ac:dyDescent="0.35">
      <c r="A735">
        <v>746</v>
      </c>
      <c r="B735" t="s">
        <v>2343</v>
      </c>
      <c r="C735" s="1">
        <v>42974</v>
      </c>
      <c r="D735" s="1">
        <v>42979</v>
      </c>
      <c r="E735" s="1" t="str">
        <f t="shared" si="11"/>
        <v>FAST</v>
      </c>
      <c r="F735" t="s">
        <v>46</v>
      </c>
      <c r="G735" t="s">
        <v>2344</v>
      </c>
      <c r="H735" t="s">
        <v>2345</v>
      </c>
      <c r="I735" t="s">
        <v>22</v>
      </c>
      <c r="J735" t="s">
        <v>23</v>
      </c>
      <c r="K735" t="s">
        <v>802</v>
      </c>
      <c r="L735" t="s">
        <v>100</v>
      </c>
      <c r="M735">
        <v>75220</v>
      </c>
      <c r="N735" t="s">
        <v>101</v>
      </c>
      <c r="O735" t="s">
        <v>2348</v>
      </c>
      <c r="P735" t="s">
        <v>42</v>
      </c>
      <c r="Q735" t="s">
        <v>566</v>
      </c>
      <c r="R735" t="s">
        <v>2349</v>
      </c>
      <c r="S735">
        <v>55.167999999999999</v>
      </c>
    </row>
    <row r="736" spans="1:19" x14ac:dyDescent="0.35">
      <c r="A736">
        <v>747</v>
      </c>
      <c r="B736" t="s">
        <v>2350</v>
      </c>
      <c r="C736" s="1">
        <v>42151</v>
      </c>
      <c r="D736" s="1">
        <v>42151</v>
      </c>
      <c r="E736" s="1" t="str">
        <f t="shared" si="11"/>
        <v>MODERATE</v>
      </c>
      <c r="F736" t="s">
        <v>1276</v>
      </c>
      <c r="G736" t="s">
        <v>1601</v>
      </c>
      <c r="H736" t="s">
        <v>1602</v>
      </c>
      <c r="I736" t="s">
        <v>37</v>
      </c>
      <c r="J736" t="s">
        <v>23</v>
      </c>
      <c r="K736" t="s">
        <v>935</v>
      </c>
      <c r="L736" t="s">
        <v>39</v>
      </c>
      <c r="M736">
        <v>92105</v>
      </c>
      <c r="N736" t="s">
        <v>40</v>
      </c>
      <c r="O736" t="s">
        <v>913</v>
      </c>
      <c r="P736" t="s">
        <v>28</v>
      </c>
      <c r="Q736" t="s">
        <v>52</v>
      </c>
      <c r="R736" t="s">
        <v>914</v>
      </c>
      <c r="S736">
        <v>567.12</v>
      </c>
    </row>
    <row r="737" spans="1:19" x14ac:dyDescent="0.35">
      <c r="A737">
        <v>748</v>
      </c>
      <c r="B737" t="s">
        <v>2350</v>
      </c>
      <c r="C737" s="1">
        <v>42151</v>
      </c>
      <c r="D737" s="1">
        <v>42151</v>
      </c>
      <c r="E737" s="1" t="str">
        <f t="shared" si="11"/>
        <v>MODERATE</v>
      </c>
      <c r="F737" t="s">
        <v>1276</v>
      </c>
      <c r="G737" t="s">
        <v>1601</v>
      </c>
      <c r="H737" t="s">
        <v>1602</v>
      </c>
      <c r="I737" t="s">
        <v>37</v>
      </c>
      <c r="J737" t="s">
        <v>23</v>
      </c>
      <c r="K737" t="s">
        <v>935</v>
      </c>
      <c r="L737" t="s">
        <v>39</v>
      </c>
      <c r="M737">
        <v>92105</v>
      </c>
      <c r="N737" t="s">
        <v>40</v>
      </c>
      <c r="O737" t="s">
        <v>1669</v>
      </c>
      <c r="P737" t="s">
        <v>42</v>
      </c>
      <c r="Q737" t="s">
        <v>55</v>
      </c>
      <c r="R737" t="s">
        <v>1670</v>
      </c>
      <c r="S737">
        <v>359.32</v>
      </c>
    </row>
    <row r="738" spans="1:19" x14ac:dyDescent="0.35">
      <c r="A738">
        <v>749</v>
      </c>
      <c r="B738" t="s">
        <v>2351</v>
      </c>
      <c r="C738" s="1">
        <v>42814</v>
      </c>
      <c r="D738" s="1">
        <v>42816</v>
      </c>
      <c r="E738" s="1" t="str">
        <f t="shared" si="11"/>
        <v>SLOW</v>
      </c>
      <c r="F738" t="s">
        <v>19</v>
      </c>
      <c r="G738" t="s">
        <v>2352</v>
      </c>
      <c r="H738" t="s">
        <v>2353</v>
      </c>
      <c r="I738" t="s">
        <v>22</v>
      </c>
      <c r="J738" t="s">
        <v>23</v>
      </c>
      <c r="K738" t="s">
        <v>2354</v>
      </c>
      <c r="L738" t="s">
        <v>205</v>
      </c>
      <c r="M738">
        <v>60201</v>
      </c>
      <c r="N738" t="s">
        <v>101</v>
      </c>
      <c r="O738" t="s">
        <v>2355</v>
      </c>
      <c r="P738" t="s">
        <v>67</v>
      </c>
      <c r="Q738" t="s">
        <v>68</v>
      </c>
      <c r="R738" t="s">
        <v>2356</v>
      </c>
      <c r="S738">
        <v>11.992000000000001</v>
      </c>
    </row>
    <row r="739" spans="1:19" x14ac:dyDescent="0.35">
      <c r="A739">
        <v>750</v>
      </c>
      <c r="B739" t="s">
        <v>2357</v>
      </c>
      <c r="C739" s="1">
        <v>43375</v>
      </c>
      <c r="D739" s="1">
        <v>43379</v>
      </c>
      <c r="E739" s="1" t="str">
        <f t="shared" si="11"/>
        <v>FAST</v>
      </c>
      <c r="F739" t="s">
        <v>46</v>
      </c>
      <c r="G739" t="s">
        <v>2358</v>
      </c>
      <c r="H739" t="s">
        <v>2359</v>
      </c>
      <c r="I739" t="s">
        <v>22</v>
      </c>
      <c r="J739" t="s">
        <v>23</v>
      </c>
      <c r="K739" t="s">
        <v>2360</v>
      </c>
      <c r="L739" t="s">
        <v>232</v>
      </c>
      <c r="M739">
        <v>48183</v>
      </c>
      <c r="N739" t="s">
        <v>101</v>
      </c>
      <c r="O739" t="s">
        <v>2361</v>
      </c>
      <c r="P739" t="s">
        <v>42</v>
      </c>
      <c r="Q739" t="s">
        <v>71</v>
      </c>
      <c r="R739" t="s">
        <v>2362</v>
      </c>
      <c r="S739">
        <v>58.05</v>
      </c>
    </row>
    <row r="740" spans="1:19" x14ac:dyDescent="0.35">
      <c r="A740">
        <v>751</v>
      </c>
      <c r="B740" t="s">
        <v>2357</v>
      </c>
      <c r="C740" s="1">
        <v>43375</v>
      </c>
      <c r="D740" s="1">
        <v>43379</v>
      </c>
      <c r="E740" s="1" t="str">
        <f t="shared" si="11"/>
        <v>FAST</v>
      </c>
      <c r="F740" t="s">
        <v>46</v>
      </c>
      <c r="G740" t="s">
        <v>2358</v>
      </c>
      <c r="H740" t="s">
        <v>2359</v>
      </c>
      <c r="I740" t="s">
        <v>22</v>
      </c>
      <c r="J740" t="s">
        <v>23</v>
      </c>
      <c r="K740" t="s">
        <v>2360</v>
      </c>
      <c r="L740" t="s">
        <v>232</v>
      </c>
      <c r="M740">
        <v>48183</v>
      </c>
      <c r="N740" t="s">
        <v>101</v>
      </c>
      <c r="O740" t="s">
        <v>2363</v>
      </c>
      <c r="P740" t="s">
        <v>28</v>
      </c>
      <c r="Q740" t="s">
        <v>61</v>
      </c>
      <c r="R740" t="s">
        <v>2364</v>
      </c>
      <c r="S740">
        <v>157.74</v>
      </c>
    </row>
    <row r="741" spans="1:19" x14ac:dyDescent="0.35">
      <c r="A741">
        <v>752</v>
      </c>
      <c r="B741" t="s">
        <v>2357</v>
      </c>
      <c r="C741" s="1">
        <v>43375</v>
      </c>
      <c r="D741" s="1">
        <v>43379</v>
      </c>
      <c r="E741" s="1" t="str">
        <f t="shared" si="11"/>
        <v>FAST</v>
      </c>
      <c r="F741" t="s">
        <v>46</v>
      </c>
      <c r="G741" t="s">
        <v>2358</v>
      </c>
      <c r="H741" t="s">
        <v>2359</v>
      </c>
      <c r="I741" t="s">
        <v>22</v>
      </c>
      <c r="J741" t="s">
        <v>23</v>
      </c>
      <c r="K741" t="s">
        <v>2360</v>
      </c>
      <c r="L741" t="s">
        <v>232</v>
      </c>
      <c r="M741">
        <v>48183</v>
      </c>
      <c r="N741" t="s">
        <v>101</v>
      </c>
      <c r="O741" t="s">
        <v>1406</v>
      </c>
      <c r="P741" t="s">
        <v>42</v>
      </c>
      <c r="Q741" t="s">
        <v>64</v>
      </c>
      <c r="R741" t="s">
        <v>1407</v>
      </c>
      <c r="S741">
        <v>56.98</v>
      </c>
    </row>
    <row r="742" spans="1:19" x14ac:dyDescent="0.35">
      <c r="A742">
        <v>753</v>
      </c>
      <c r="B742" t="s">
        <v>2357</v>
      </c>
      <c r="C742" s="1">
        <v>43375</v>
      </c>
      <c r="D742" s="1">
        <v>43379</v>
      </c>
      <c r="E742" s="1" t="str">
        <f t="shared" si="11"/>
        <v>FAST</v>
      </c>
      <c r="F742" t="s">
        <v>46</v>
      </c>
      <c r="G742" t="s">
        <v>2358</v>
      </c>
      <c r="H742" t="s">
        <v>2359</v>
      </c>
      <c r="I742" t="s">
        <v>22</v>
      </c>
      <c r="J742" t="s">
        <v>23</v>
      </c>
      <c r="K742" t="s">
        <v>2360</v>
      </c>
      <c r="L742" t="s">
        <v>232</v>
      </c>
      <c r="M742">
        <v>48183</v>
      </c>
      <c r="N742" t="s">
        <v>101</v>
      </c>
      <c r="O742" t="s">
        <v>2365</v>
      </c>
      <c r="P742" t="s">
        <v>42</v>
      </c>
      <c r="Q742" t="s">
        <v>71</v>
      </c>
      <c r="R742" t="s">
        <v>2366</v>
      </c>
      <c r="S742">
        <v>2.88</v>
      </c>
    </row>
    <row r="743" spans="1:19" x14ac:dyDescent="0.35">
      <c r="A743">
        <v>754</v>
      </c>
      <c r="B743" t="s">
        <v>2367</v>
      </c>
      <c r="C743" s="1">
        <v>42832</v>
      </c>
      <c r="D743" s="1">
        <v>42834</v>
      </c>
      <c r="E743" s="1" t="str">
        <f t="shared" si="11"/>
        <v>MODERATE</v>
      </c>
      <c r="F743" t="s">
        <v>184</v>
      </c>
      <c r="G743" t="s">
        <v>2368</v>
      </c>
      <c r="H743" t="s">
        <v>2369</v>
      </c>
      <c r="I743" t="s">
        <v>37</v>
      </c>
      <c r="J743" t="s">
        <v>23</v>
      </c>
      <c r="K743" t="s">
        <v>123</v>
      </c>
      <c r="L743" t="s">
        <v>39</v>
      </c>
      <c r="M743">
        <v>94110</v>
      </c>
      <c r="N743" t="s">
        <v>40</v>
      </c>
      <c r="O743" t="s">
        <v>2370</v>
      </c>
      <c r="P743" t="s">
        <v>67</v>
      </c>
      <c r="Q743" t="s">
        <v>1204</v>
      </c>
      <c r="R743" t="s">
        <v>2371</v>
      </c>
      <c r="S743">
        <v>1199.9760000000001</v>
      </c>
    </row>
    <row r="744" spans="1:19" x14ac:dyDescent="0.35">
      <c r="A744">
        <v>756</v>
      </c>
      <c r="B744" t="s">
        <v>2372</v>
      </c>
      <c r="C744" s="1">
        <v>42996</v>
      </c>
      <c r="D744" s="1">
        <v>43000</v>
      </c>
      <c r="E744" s="1" t="str">
        <f t="shared" si="11"/>
        <v>FAST</v>
      </c>
      <c r="F744" t="s">
        <v>46</v>
      </c>
      <c r="G744" t="s">
        <v>2003</v>
      </c>
      <c r="H744" t="s">
        <v>2004</v>
      </c>
      <c r="I744" t="s">
        <v>37</v>
      </c>
      <c r="J744" t="s">
        <v>23</v>
      </c>
      <c r="K744" t="s">
        <v>1505</v>
      </c>
      <c r="L744" t="s">
        <v>50</v>
      </c>
      <c r="M744">
        <v>32216</v>
      </c>
      <c r="N744" t="s">
        <v>26</v>
      </c>
      <c r="O744" t="s">
        <v>2373</v>
      </c>
      <c r="P744" t="s">
        <v>28</v>
      </c>
      <c r="Q744" t="s">
        <v>52</v>
      </c>
      <c r="R744" t="s">
        <v>2374</v>
      </c>
      <c r="S744">
        <v>383.43799999999999</v>
      </c>
    </row>
    <row r="745" spans="1:19" x14ac:dyDescent="0.35">
      <c r="A745">
        <v>757</v>
      </c>
      <c r="B745" t="s">
        <v>2375</v>
      </c>
      <c r="C745" s="1">
        <v>42367</v>
      </c>
      <c r="D745" s="1">
        <v>42371</v>
      </c>
      <c r="E745" s="1" t="str">
        <f t="shared" si="11"/>
        <v>FAST</v>
      </c>
      <c r="F745" t="s">
        <v>46</v>
      </c>
      <c r="G745" t="s">
        <v>2376</v>
      </c>
      <c r="H745" t="s">
        <v>2377</v>
      </c>
      <c r="I745" t="s">
        <v>22</v>
      </c>
      <c r="J745" t="s">
        <v>23</v>
      </c>
      <c r="K745" t="s">
        <v>2378</v>
      </c>
      <c r="L745" t="s">
        <v>223</v>
      </c>
      <c r="M745">
        <v>55016</v>
      </c>
      <c r="N745" t="s">
        <v>101</v>
      </c>
      <c r="O745" t="s">
        <v>2218</v>
      </c>
      <c r="P745" t="s">
        <v>42</v>
      </c>
      <c r="Q745" t="s">
        <v>55</v>
      </c>
      <c r="R745" t="s">
        <v>2219</v>
      </c>
      <c r="S745">
        <v>24.56</v>
      </c>
    </row>
    <row r="746" spans="1:19" x14ac:dyDescent="0.35">
      <c r="A746">
        <v>758</v>
      </c>
      <c r="B746" t="s">
        <v>2375</v>
      </c>
      <c r="C746" s="1">
        <v>42367</v>
      </c>
      <c r="D746" s="1">
        <v>42371</v>
      </c>
      <c r="E746" s="1" t="str">
        <f t="shared" si="11"/>
        <v>FAST</v>
      </c>
      <c r="F746" t="s">
        <v>46</v>
      </c>
      <c r="G746" t="s">
        <v>2376</v>
      </c>
      <c r="H746" t="s">
        <v>2377</v>
      </c>
      <c r="I746" t="s">
        <v>22</v>
      </c>
      <c r="J746" t="s">
        <v>23</v>
      </c>
      <c r="K746" t="s">
        <v>2378</v>
      </c>
      <c r="L746" t="s">
        <v>223</v>
      </c>
      <c r="M746">
        <v>55016</v>
      </c>
      <c r="N746" t="s">
        <v>101</v>
      </c>
      <c r="O746" t="s">
        <v>2064</v>
      </c>
      <c r="P746" t="s">
        <v>67</v>
      </c>
      <c r="Q746" t="s">
        <v>157</v>
      </c>
      <c r="R746" t="s">
        <v>2065</v>
      </c>
      <c r="S746">
        <v>119.8</v>
      </c>
    </row>
    <row r="747" spans="1:19" x14ac:dyDescent="0.35">
      <c r="A747">
        <v>759</v>
      </c>
      <c r="B747" t="s">
        <v>2379</v>
      </c>
      <c r="C747" s="1">
        <v>43304</v>
      </c>
      <c r="D747" s="1">
        <v>43309</v>
      </c>
      <c r="E747" s="1" t="str">
        <f t="shared" si="11"/>
        <v>FAST</v>
      </c>
      <c r="F747" t="s">
        <v>46</v>
      </c>
      <c r="G747" t="s">
        <v>2380</v>
      </c>
      <c r="H747" t="s">
        <v>2381</v>
      </c>
      <c r="I747" t="s">
        <v>37</v>
      </c>
      <c r="J747" t="s">
        <v>23</v>
      </c>
      <c r="K747" t="s">
        <v>260</v>
      </c>
      <c r="L747" t="s">
        <v>261</v>
      </c>
      <c r="M747">
        <v>10009</v>
      </c>
      <c r="N747" t="s">
        <v>144</v>
      </c>
      <c r="O747" t="s">
        <v>1998</v>
      </c>
      <c r="P747" t="s">
        <v>42</v>
      </c>
      <c r="Q747" t="s">
        <v>71</v>
      </c>
      <c r="R747" t="s">
        <v>1999</v>
      </c>
      <c r="S747">
        <v>13.128</v>
      </c>
    </row>
    <row r="748" spans="1:19" x14ac:dyDescent="0.35">
      <c r="A748">
        <v>760</v>
      </c>
      <c r="B748" t="s">
        <v>2382</v>
      </c>
      <c r="C748" s="1">
        <v>43361</v>
      </c>
      <c r="D748" s="1">
        <v>43365</v>
      </c>
      <c r="E748" s="1" t="str">
        <f t="shared" si="11"/>
        <v>FAST</v>
      </c>
      <c r="F748" t="s">
        <v>46</v>
      </c>
      <c r="G748" t="s">
        <v>2383</v>
      </c>
      <c r="H748" t="s">
        <v>2384</v>
      </c>
      <c r="I748" t="s">
        <v>37</v>
      </c>
      <c r="J748" t="s">
        <v>23</v>
      </c>
      <c r="K748" t="s">
        <v>1824</v>
      </c>
      <c r="L748" t="s">
        <v>110</v>
      </c>
      <c r="M748">
        <v>54302</v>
      </c>
      <c r="N748" t="s">
        <v>101</v>
      </c>
      <c r="O748" t="s">
        <v>547</v>
      </c>
      <c r="P748" t="s">
        <v>42</v>
      </c>
      <c r="Q748" t="s">
        <v>86</v>
      </c>
      <c r="R748" t="s">
        <v>2166</v>
      </c>
      <c r="S748">
        <v>22.72</v>
      </c>
    </row>
    <row r="749" spans="1:19" x14ac:dyDescent="0.35">
      <c r="A749">
        <v>761</v>
      </c>
      <c r="B749" t="s">
        <v>2385</v>
      </c>
      <c r="C749" s="1">
        <v>42613</v>
      </c>
      <c r="D749" s="1">
        <v>42618</v>
      </c>
      <c r="E749" s="1" t="str">
        <f t="shared" si="11"/>
        <v>FAST</v>
      </c>
      <c r="F749" t="s">
        <v>46</v>
      </c>
      <c r="G749" t="s">
        <v>1996</v>
      </c>
      <c r="H749" t="s">
        <v>1997</v>
      </c>
      <c r="I749" t="s">
        <v>22</v>
      </c>
      <c r="J749" t="s">
        <v>23</v>
      </c>
      <c r="K749" t="s">
        <v>38</v>
      </c>
      <c r="L749" t="s">
        <v>39</v>
      </c>
      <c r="M749">
        <v>90004</v>
      </c>
      <c r="N749" t="s">
        <v>40</v>
      </c>
      <c r="O749" t="s">
        <v>1878</v>
      </c>
      <c r="P749" t="s">
        <v>42</v>
      </c>
      <c r="Q749" t="s">
        <v>86</v>
      </c>
      <c r="R749" t="s">
        <v>1879</v>
      </c>
      <c r="S749">
        <v>58.32</v>
      </c>
    </row>
    <row r="750" spans="1:19" x14ac:dyDescent="0.35">
      <c r="A750">
        <v>762</v>
      </c>
      <c r="B750" t="s">
        <v>2386</v>
      </c>
      <c r="C750" s="1">
        <v>43407</v>
      </c>
      <c r="D750" s="1">
        <v>43411</v>
      </c>
      <c r="E750" s="1" t="str">
        <f t="shared" si="11"/>
        <v>FAST</v>
      </c>
      <c r="F750" t="s">
        <v>46</v>
      </c>
      <c r="G750" t="s">
        <v>361</v>
      </c>
      <c r="H750" t="s">
        <v>362</v>
      </c>
      <c r="I750" t="s">
        <v>37</v>
      </c>
      <c r="J750" t="s">
        <v>23</v>
      </c>
      <c r="K750" t="s">
        <v>1716</v>
      </c>
      <c r="L750" t="s">
        <v>1258</v>
      </c>
      <c r="M750">
        <v>30318</v>
      </c>
      <c r="N750" t="s">
        <v>26</v>
      </c>
      <c r="O750" t="s">
        <v>2387</v>
      </c>
      <c r="P750" t="s">
        <v>42</v>
      </c>
      <c r="Q750" t="s">
        <v>43</v>
      </c>
      <c r="R750" t="s">
        <v>2388</v>
      </c>
      <c r="S750">
        <v>12.39</v>
      </c>
    </row>
    <row r="751" spans="1:19" x14ac:dyDescent="0.35">
      <c r="A751">
        <v>763</v>
      </c>
      <c r="B751" t="s">
        <v>2389</v>
      </c>
      <c r="C751" s="1">
        <v>42408</v>
      </c>
      <c r="D751" s="1">
        <v>42413</v>
      </c>
      <c r="E751" s="1" t="str">
        <f t="shared" si="11"/>
        <v>FAST</v>
      </c>
      <c r="F751" t="s">
        <v>46</v>
      </c>
      <c r="G751" t="s">
        <v>2390</v>
      </c>
      <c r="H751" t="s">
        <v>2391</v>
      </c>
      <c r="I751" t="s">
        <v>22</v>
      </c>
      <c r="J751" t="s">
        <v>23</v>
      </c>
      <c r="K751" t="s">
        <v>484</v>
      </c>
      <c r="L751" t="s">
        <v>485</v>
      </c>
      <c r="M751">
        <v>43229</v>
      </c>
      <c r="N751" t="s">
        <v>144</v>
      </c>
      <c r="O751" t="s">
        <v>681</v>
      </c>
      <c r="P751" t="s">
        <v>67</v>
      </c>
      <c r="Q751" t="s">
        <v>68</v>
      </c>
      <c r="R751" t="s">
        <v>682</v>
      </c>
      <c r="S751">
        <v>107.982</v>
      </c>
    </row>
    <row r="752" spans="1:19" x14ac:dyDescent="0.35">
      <c r="A752">
        <v>764</v>
      </c>
      <c r="B752" t="s">
        <v>2392</v>
      </c>
      <c r="C752" s="1">
        <v>42017</v>
      </c>
      <c r="D752" s="1">
        <v>42019</v>
      </c>
      <c r="E752" s="1" t="str">
        <f t="shared" si="11"/>
        <v>SLOW</v>
      </c>
      <c r="F752" t="s">
        <v>19</v>
      </c>
      <c r="G752" t="s">
        <v>2393</v>
      </c>
      <c r="H752" t="s">
        <v>2394</v>
      </c>
      <c r="I752" t="s">
        <v>37</v>
      </c>
      <c r="J752" t="s">
        <v>23</v>
      </c>
      <c r="K752" t="s">
        <v>2395</v>
      </c>
      <c r="L752" t="s">
        <v>725</v>
      </c>
      <c r="M752">
        <v>71111</v>
      </c>
      <c r="N752" t="s">
        <v>26</v>
      </c>
      <c r="O752" t="s">
        <v>657</v>
      </c>
      <c r="P752" t="s">
        <v>42</v>
      </c>
      <c r="Q752" t="s">
        <v>169</v>
      </c>
      <c r="R752" t="s">
        <v>658</v>
      </c>
      <c r="S752">
        <v>11.36</v>
      </c>
    </row>
    <row r="753" spans="1:19" x14ac:dyDescent="0.35">
      <c r="A753">
        <v>765</v>
      </c>
      <c r="B753" t="s">
        <v>2392</v>
      </c>
      <c r="C753" s="1">
        <v>42017</v>
      </c>
      <c r="D753" s="1">
        <v>42019</v>
      </c>
      <c r="E753" s="1" t="str">
        <f t="shared" si="11"/>
        <v>SLOW</v>
      </c>
      <c r="F753" t="s">
        <v>19</v>
      </c>
      <c r="G753" t="s">
        <v>2393</v>
      </c>
      <c r="H753" t="s">
        <v>2394</v>
      </c>
      <c r="I753" t="s">
        <v>37</v>
      </c>
      <c r="J753" t="s">
        <v>23</v>
      </c>
      <c r="K753" t="s">
        <v>2395</v>
      </c>
      <c r="L753" t="s">
        <v>725</v>
      </c>
      <c r="M753">
        <v>71111</v>
      </c>
      <c r="N753" t="s">
        <v>26</v>
      </c>
      <c r="O753" t="s">
        <v>2396</v>
      </c>
      <c r="P753" t="s">
        <v>42</v>
      </c>
      <c r="Q753" t="s">
        <v>169</v>
      </c>
      <c r="R753" t="s">
        <v>2397</v>
      </c>
      <c r="S753">
        <v>50.94</v>
      </c>
    </row>
    <row r="754" spans="1:19" x14ac:dyDescent="0.35">
      <c r="A754">
        <v>766</v>
      </c>
      <c r="B754" t="s">
        <v>2392</v>
      </c>
      <c r="C754" s="1">
        <v>42017</v>
      </c>
      <c r="D754" s="1">
        <v>42019</v>
      </c>
      <c r="E754" s="1" t="str">
        <f t="shared" si="11"/>
        <v>SLOW</v>
      </c>
      <c r="F754" t="s">
        <v>19</v>
      </c>
      <c r="G754" t="s">
        <v>2393</v>
      </c>
      <c r="H754" t="s">
        <v>2394</v>
      </c>
      <c r="I754" t="s">
        <v>37</v>
      </c>
      <c r="J754" t="s">
        <v>23</v>
      </c>
      <c r="K754" t="s">
        <v>2395</v>
      </c>
      <c r="L754" t="s">
        <v>725</v>
      </c>
      <c r="M754">
        <v>71111</v>
      </c>
      <c r="N754" t="s">
        <v>26</v>
      </c>
      <c r="O754" t="s">
        <v>2398</v>
      </c>
      <c r="P754" t="s">
        <v>67</v>
      </c>
      <c r="Q754" t="s">
        <v>157</v>
      </c>
      <c r="R754" t="s">
        <v>2399</v>
      </c>
      <c r="S754">
        <v>646.74</v>
      </c>
    </row>
    <row r="755" spans="1:19" x14ac:dyDescent="0.35">
      <c r="A755">
        <v>768</v>
      </c>
      <c r="B755" t="s">
        <v>2392</v>
      </c>
      <c r="C755" s="1">
        <v>42017</v>
      </c>
      <c r="D755" s="1">
        <v>42019</v>
      </c>
      <c r="E755" s="1" t="str">
        <f t="shared" si="11"/>
        <v>SLOW</v>
      </c>
      <c r="F755" t="s">
        <v>19</v>
      </c>
      <c r="G755" t="s">
        <v>2393</v>
      </c>
      <c r="H755" t="s">
        <v>2394</v>
      </c>
      <c r="I755" t="s">
        <v>37</v>
      </c>
      <c r="J755" t="s">
        <v>23</v>
      </c>
      <c r="K755" t="s">
        <v>2395</v>
      </c>
      <c r="L755" t="s">
        <v>725</v>
      </c>
      <c r="M755">
        <v>71111</v>
      </c>
      <c r="N755" t="s">
        <v>26</v>
      </c>
      <c r="O755" t="s">
        <v>2400</v>
      </c>
      <c r="P755" t="s">
        <v>42</v>
      </c>
      <c r="Q755" t="s">
        <v>55</v>
      </c>
      <c r="R755" t="s">
        <v>2401</v>
      </c>
      <c r="S755">
        <v>572.58000000000004</v>
      </c>
    </row>
    <row r="756" spans="1:19" x14ac:dyDescent="0.35">
      <c r="A756">
        <v>769</v>
      </c>
      <c r="B756" t="s">
        <v>2402</v>
      </c>
      <c r="C756" s="1">
        <v>42138</v>
      </c>
      <c r="D756" s="1">
        <v>42144</v>
      </c>
      <c r="E756" s="1" t="str">
        <f t="shared" si="11"/>
        <v>FAST</v>
      </c>
      <c r="F756" t="s">
        <v>46</v>
      </c>
      <c r="G756" t="s">
        <v>2403</v>
      </c>
      <c r="H756" t="s">
        <v>2404</v>
      </c>
      <c r="I756" t="s">
        <v>37</v>
      </c>
      <c r="J756" t="s">
        <v>23</v>
      </c>
      <c r="K756" t="s">
        <v>1139</v>
      </c>
      <c r="L756" t="s">
        <v>50</v>
      </c>
      <c r="M756">
        <v>33710</v>
      </c>
      <c r="N756" t="s">
        <v>26</v>
      </c>
      <c r="O756" t="s">
        <v>2405</v>
      </c>
      <c r="P756" t="s">
        <v>28</v>
      </c>
      <c r="Q756" t="s">
        <v>61</v>
      </c>
      <c r="R756" t="s">
        <v>2406</v>
      </c>
      <c r="S756">
        <v>310.88</v>
      </c>
    </row>
    <row r="757" spans="1:19" x14ac:dyDescent="0.35">
      <c r="A757">
        <v>770</v>
      </c>
      <c r="B757" t="s">
        <v>2407</v>
      </c>
      <c r="C757" s="1">
        <v>42874</v>
      </c>
      <c r="D757" s="1">
        <v>42879</v>
      </c>
      <c r="E757" s="1" t="str">
        <f t="shared" si="11"/>
        <v>FAST</v>
      </c>
      <c r="F757" t="s">
        <v>46</v>
      </c>
      <c r="G757" t="s">
        <v>811</v>
      </c>
      <c r="H757" t="s">
        <v>812</v>
      </c>
      <c r="I757" t="s">
        <v>22</v>
      </c>
      <c r="J757" t="s">
        <v>23</v>
      </c>
      <c r="K757" t="s">
        <v>1115</v>
      </c>
      <c r="L757" t="s">
        <v>313</v>
      </c>
      <c r="M757">
        <v>22204</v>
      </c>
      <c r="N757" t="s">
        <v>26</v>
      </c>
      <c r="O757" t="s">
        <v>2408</v>
      </c>
      <c r="P757" t="s">
        <v>28</v>
      </c>
      <c r="Q757" t="s">
        <v>32</v>
      </c>
      <c r="R757" t="s">
        <v>2409</v>
      </c>
      <c r="S757">
        <v>641.96</v>
      </c>
    </row>
    <row r="758" spans="1:19" x14ac:dyDescent="0.35">
      <c r="A758">
        <v>771</v>
      </c>
      <c r="B758" t="s">
        <v>2410</v>
      </c>
      <c r="C758" s="1">
        <v>43130</v>
      </c>
      <c r="D758" s="1">
        <v>43136</v>
      </c>
      <c r="E758" s="1" t="str">
        <f t="shared" si="11"/>
        <v>FAST</v>
      </c>
      <c r="F758" t="s">
        <v>46</v>
      </c>
      <c r="G758" t="s">
        <v>2411</v>
      </c>
      <c r="H758" t="s">
        <v>2412</v>
      </c>
      <c r="I758" t="s">
        <v>37</v>
      </c>
      <c r="J758" t="s">
        <v>23</v>
      </c>
      <c r="K758" t="s">
        <v>1362</v>
      </c>
      <c r="L758" t="s">
        <v>476</v>
      </c>
      <c r="M758">
        <v>50315</v>
      </c>
      <c r="N758" t="s">
        <v>101</v>
      </c>
      <c r="O758" t="s">
        <v>2413</v>
      </c>
      <c r="P758" t="s">
        <v>42</v>
      </c>
      <c r="Q758" t="s">
        <v>71</v>
      </c>
      <c r="R758" t="s">
        <v>2414</v>
      </c>
      <c r="S758">
        <v>18.28</v>
      </c>
    </row>
    <row r="759" spans="1:19" x14ac:dyDescent="0.35">
      <c r="A759">
        <v>772</v>
      </c>
      <c r="B759" t="s">
        <v>2410</v>
      </c>
      <c r="C759" s="1">
        <v>43130</v>
      </c>
      <c r="D759" s="1">
        <v>43136</v>
      </c>
      <c r="E759" s="1" t="str">
        <f t="shared" si="11"/>
        <v>FAST</v>
      </c>
      <c r="F759" t="s">
        <v>46</v>
      </c>
      <c r="G759" t="s">
        <v>2411</v>
      </c>
      <c r="H759" t="s">
        <v>2412</v>
      </c>
      <c r="I759" t="s">
        <v>37</v>
      </c>
      <c r="J759" t="s">
        <v>23</v>
      </c>
      <c r="K759" t="s">
        <v>1362</v>
      </c>
      <c r="L759" t="s">
        <v>476</v>
      </c>
      <c r="M759">
        <v>50315</v>
      </c>
      <c r="N759" t="s">
        <v>101</v>
      </c>
      <c r="O759" t="s">
        <v>1192</v>
      </c>
      <c r="P759" t="s">
        <v>67</v>
      </c>
      <c r="Q759" t="s">
        <v>68</v>
      </c>
      <c r="R759" t="s">
        <v>1193</v>
      </c>
      <c r="S759">
        <v>207</v>
      </c>
    </row>
    <row r="760" spans="1:19" x14ac:dyDescent="0.35">
      <c r="A760">
        <v>773</v>
      </c>
      <c r="B760" t="s">
        <v>2410</v>
      </c>
      <c r="C760" s="1">
        <v>43130</v>
      </c>
      <c r="D760" s="1">
        <v>43136</v>
      </c>
      <c r="E760" s="1" t="str">
        <f t="shared" si="11"/>
        <v>FAST</v>
      </c>
      <c r="F760" t="s">
        <v>46</v>
      </c>
      <c r="G760" t="s">
        <v>2411</v>
      </c>
      <c r="H760" t="s">
        <v>2412</v>
      </c>
      <c r="I760" t="s">
        <v>37</v>
      </c>
      <c r="J760" t="s">
        <v>23</v>
      </c>
      <c r="K760" t="s">
        <v>1362</v>
      </c>
      <c r="L760" t="s">
        <v>476</v>
      </c>
      <c r="M760">
        <v>50315</v>
      </c>
      <c r="N760" t="s">
        <v>101</v>
      </c>
      <c r="O760" t="s">
        <v>2415</v>
      </c>
      <c r="P760" t="s">
        <v>42</v>
      </c>
      <c r="Q760" t="s">
        <v>71</v>
      </c>
      <c r="R760" t="s">
        <v>2416</v>
      </c>
      <c r="S760">
        <v>32.35</v>
      </c>
    </row>
    <row r="761" spans="1:19" x14ac:dyDescent="0.35">
      <c r="A761">
        <v>774</v>
      </c>
      <c r="B761" t="s">
        <v>2410</v>
      </c>
      <c r="C761" s="1">
        <v>43130</v>
      </c>
      <c r="D761" s="1">
        <v>43136</v>
      </c>
      <c r="E761" s="1" t="str">
        <f t="shared" si="11"/>
        <v>FAST</v>
      </c>
      <c r="F761" t="s">
        <v>46</v>
      </c>
      <c r="G761" t="s">
        <v>2411</v>
      </c>
      <c r="H761" t="s">
        <v>2412</v>
      </c>
      <c r="I761" t="s">
        <v>37</v>
      </c>
      <c r="J761" t="s">
        <v>23</v>
      </c>
      <c r="K761" t="s">
        <v>1362</v>
      </c>
      <c r="L761" t="s">
        <v>476</v>
      </c>
      <c r="M761">
        <v>50315</v>
      </c>
      <c r="N761" t="s">
        <v>101</v>
      </c>
      <c r="O761" t="s">
        <v>70</v>
      </c>
      <c r="P761" t="s">
        <v>42</v>
      </c>
      <c r="Q761" t="s">
        <v>71</v>
      </c>
      <c r="R761" t="s">
        <v>72</v>
      </c>
      <c r="S761">
        <v>7.71</v>
      </c>
    </row>
    <row r="762" spans="1:19" x14ac:dyDescent="0.35">
      <c r="A762">
        <v>775</v>
      </c>
      <c r="B762" t="s">
        <v>2410</v>
      </c>
      <c r="C762" s="1">
        <v>43130</v>
      </c>
      <c r="D762" s="1">
        <v>43136</v>
      </c>
      <c r="E762" s="1" t="str">
        <f t="shared" si="11"/>
        <v>FAST</v>
      </c>
      <c r="F762" t="s">
        <v>46</v>
      </c>
      <c r="G762" t="s">
        <v>2411</v>
      </c>
      <c r="H762" t="s">
        <v>2412</v>
      </c>
      <c r="I762" t="s">
        <v>37</v>
      </c>
      <c r="J762" t="s">
        <v>23</v>
      </c>
      <c r="K762" t="s">
        <v>1362</v>
      </c>
      <c r="L762" t="s">
        <v>476</v>
      </c>
      <c r="M762">
        <v>50315</v>
      </c>
      <c r="N762" t="s">
        <v>101</v>
      </c>
      <c r="O762" t="s">
        <v>2417</v>
      </c>
      <c r="P762" t="s">
        <v>42</v>
      </c>
      <c r="Q762" t="s">
        <v>64</v>
      </c>
      <c r="R762" t="s">
        <v>2418</v>
      </c>
      <c r="S762">
        <v>40.299999999999997</v>
      </c>
    </row>
    <row r="763" spans="1:19" x14ac:dyDescent="0.35">
      <c r="A763">
        <v>776</v>
      </c>
      <c r="B763" t="s">
        <v>2410</v>
      </c>
      <c r="C763" s="1">
        <v>43130</v>
      </c>
      <c r="D763" s="1">
        <v>43136</v>
      </c>
      <c r="E763" s="1" t="str">
        <f t="shared" si="11"/>
        <v>FAST</v>
      </c>
      <c r="F763" t="s">
        <v>46</v>
      </c>
      <c r="G763" t="s">
        <v>2411</v>
      </c>
      <c r="H763" t="s">
        <v>2412</v>
      </c>
      <c r="I763" t="s">
        <v>37</v>
      </c>
      <c r="J763" t="s">
        <v>23</v>
      </c>
      <c r="K763" t="s">
        <v>1362</v>
      </c>
      <c r="L763" t="s">
        <v>476</v>
      </c>
      <c r="M763">
        <v>50315</v>
      </c>
      <c r="N763" t="s">
        <v>101</v>
      </c>
      <c r="O763" t="s">
        <v>2419</v>
      </c>
      <c r="P763" t="s">
        <v>28</v>
      </c>
      <c r="Q763" t="s">
        <v>61</v>
      </c>
      <c r="R763" t="s">
        <v>2420</v>
      </c>
      <c r="S763">
        <v>34.58</v>
      </c>
    </row>
    <row r="764" spans="1:19" x14ac:dyDescent="0.35">
      <c r="A764">
        <v>777</v>
      </c>
      <c r="B764" t="s">
        <v>2421</v>
      </c>
      <c r="C764" s="1">
        <v>42184</v>
      </c>
      <c r="D764" s="1">
        <v>42191</v>
      </c>
      <c r="E764" s="1" t="str">
        <f t="shared" si="11"/>
        <v>FAST</v>
      </c>
      <c r="F764" t="s">
        <v>46</v>
      </c>
      <c r="G764" t="s">
        <v>2422</v>
      </c>
      <c r="H764" t="s">
        <v>2423</v>
      </c>
      <c r="I764" t="s">
        <v>22</v>
      </c>
      <c r="J764" t="s">
        <v>23</v>
      </c>
      <c r="K764" t="s">
        <v>995</v>
      </c>
      <c r="L764" t="s">
        <v>485</v>
      </c>
      <c r="M764">
        <v>45231</v>
      </c>
      <c r="N764" t="s">
        <v>144</v>
      </c>
      <c r="O764" t="s">
        <v>2424</v>
      </c>
      <c r="P764" t="s">
        <v>42</v>
      </c>
      <c r="Q764" t="s">
        <v>64</v>
      </c>
      <c r="R764" t="s">
        <v>2425</v>
      </c>
      <c r="S764">
        <v>32.76</v>
      </c>
    </row>
    <row r="765" spans="1:19" x14ac:dyDescent="0.35">
      <c r="A765">
        <v>778</v>
      </c>
      <c r="B765" t="s">
        <v>2426</v>
      </c>
      <c r="C765" s="1">
        <v>42603</v>
      </c>
      <c r="D765" s="1">
        <v>42605</v>
      </c>
      <c r="E765" s="1" t="str">
        <f t="shared" si="11"/>
        <v>MODERATE</v>
      </c>
      <c r="F765" t="s">
        <v>184</v>
      </c>
      <c r="G765" t="s">
        <v>1056</v>
      </c>
      <c r="H765" t="s">
        <v>1057</v>
      </c>
      <c r="I765" t="s">
        <v>98</v>
      </c>
      <c r="J765" t="s">
        <v>23</v>
      </c>
      <c r="K765" t="s">
        <v>123</v>
      </c>
      <c r="L765" t="s">
        <v>39</v>
      </c>
      <c r="M765">
        <v>94110</v>
      </c>
      <c r="N765" t="s">
        <v>40</v>
      </c>
      <c r="O765" t="s">
        <v>2427</v>
      </c>
      <c r="P765" t="s">
        <v>28</v>
      </c>
      <c r="Q765" t="s">
        <v>32</v>
      </c>
      <c r="R765" t="s">
        <v>2428</v>
      </c>
      <c r="S765">
        <v>544.00800000000004</v>
      </c>
    </row>
    <row r="766" spans="1:19" x14ac:dyDescent="0.35">
      <c r="A766">
        <v>779</v>
      </c>
      <c r="B766" t="s">
        <v>2426</v>
      </c>
      <c r="C766" s="1">
        <v>42603</v>
      </c>
      <c r="D766" s="1">
        <v>42605</v>
      </c>
      <c r="E766" s="1" t="str">
        <f t="shared" si="11"/>
        <v>MODERATE</v>
      </c>
      <c r="F766" t="s">
        <v>184</v>
      </c>
      <c r="G766" t="s">
        <v>1056</v>
      </c>
      <c r="H766" t="s">
        <v>1057</v>
      </c>
      <c r="I766" t="s">
        <v>98</v>
      </c>
      <c r="J766" t="s">
        <v>23</v>
      </c>
      <c r="K766" t="s">
        <v>123</v>
      </c>
      <c r="L766" t="s">
        <v>39</v>
      </c>
      <c r="M766">
        <v>94110</v>
      </c>
      <c r="N766" t="s">
        <v>40</v>
      </c>
      <c r="O766" t="s">
        <v>1434</v>
      </c>
      <c r="P766" t="s">
        <v>42</v>
      </c>
      <c r="Q766" t="s">
        <v>86</v>
      </c>
      <c r="R766" t="s">
        <v>1435</v>
      </c>
      <c r="S766">
        <v>59.94</v>
      </c>
    </row>
    <row r="767" spans="1:19" x14ac:dyDescent="0.35">
      <c r="A767">
        <v>780</v>
      </c>
      <c r="B767" t="s">
        <v>2426</v>
      </c>
      <c r="C767" s="1">
        <v>42603</v>
      </c>
      <c r="D767" s="1">
        <v>42605</v>
      </c>
      <c r="E767" s="1" t="str">
        <f t="shared" si="11"/>
        <v>MODERATE</v>
      </c>
      <c r="F767" t="s">
        <v>184</v>
      </c>
      <c r="G767" t="s">
        <v>1056</v>
      </c>
      <c r="H767" t="s">
        <v>1057</v>
      </c>
      <c r="I767" t="s">
        <v>98</v>
      </c>
      <c r="J767" t="s">
        <v>23</v>
      </c>
      <c r="K767" t="s">
        <v>123</v>
      </c>
      <c r="L767" t="s">
        <v>39</v>
      </c>
      <c r="M767">
        <v>94110</v>
      </c>
      <c r="N767" t="s">
        <v>40</v>
      </c>
      <c r="O767" t="s">
        <v>1403</v>
      </c>
      <c r="P767" t="s">
        <v>42</v>
      </c>
      <c r="Q767" t="s">
        <v>86</v>
      </c>
      <c r="R767" t="s">
        <v>1404</v>
      </c>
      <c r="S767">
        <v>23.92</v>
      </c>
    </row>
    <row r="768" spans="1:19" x14ac:dyDescent="0.35">
      <c r="A768">
        <v>781</v>
      </c>
      <c r="B768" t="s">
        <v>2426</v>
      </c>
      <c r="C768" s="1">
        <v>42603</v>
      </c>
      <c r="D768" s="1">
        <v>42605</v>
      </c>
      <c r="E768" s="1" t="str">
        <f t="shared" si="11"/>
        <v>MODERATE</v>
      </c>
      <c r="F768" t="s">
        <v>184</v>
      </c>
      <c r="G768" t="s">
        <v>1056</v>
      </c>
      <c r="H768" t="s">
        <v>1057</v>
      </c>
      <c r="I768" t="s">
        <v>98</v>
      </c>
      <c r="J768" t="s">
        <v>23</v>
      </c>
      <c r="K768" t="s">
        <v>123</v>
      </c>
      <c r="L768" t="s">
        <v>39</v>
      </c>
      <c r="M768">
        <v>94110</v>
      </c>
      <c r="N768" t="s">
        <v>40</v>
      </c>
      <c r="O768" t="s">
        <v>2429</v>
      </c>
      <c r="P768" t="s">
        <v>42</v>
      </c>
      <c r="Q768" t="s">
        <v>86</v>
      </c>
      <c r="R768" t="s">
        <v>2430</v>
      </c>
      <c r="S768">
        <v>4.28</v>
      </c>
    </row>
    <row r="769" spans="1:19" x14ac:dyDescent="0.35">
      <c r="A769">
        <v>782</v>
      </c>
      <c r="B769" t="s">
        <v>2431</v>
      </c>
      <c r="C769" s="1">
        <v>42646</v>
      </c>
      <c r="D769" s="1">
        <v>42649</v>
      </c>
      <c r="E769" s="1" t="str">
        <f t="shared" si="11"/>
        <v>SLOW</v>
      </c>
      <c r="F769" t="s">
        <v>19</v>
      </c>
      <c r="G769" t="s">
        <v>2432</v>
      </c>
      <c r="H769" t="s">
        <v>2433</v>
      </c>
      <c r="I769" t="s">
        <v>22</v>
      </c>
      <c r="J769" t="s">
        <v>23</v>
      </c>
      <c r="K769" t="s">
        <v>484</v>
      </c>
      <c r="L769" t="s">
        <v>485</v>
      </c>
      <c r="M769">
        <v>43229</v>
      </c>
      <c r="N769" t="s">
        <v>144</v>
      </c>
      <c r="O769" t="s">
        <v>1576</v>
      </c>
      <c r="P769" t="s">
        <v>42</v>
      </c>
      <c r="Q769" t="s">
        <v>71</v>
      </c>
      <c r="R769" t="s">
        <v>1577</v>
      </c>
      <c r="S769">
        <v>32.07</v>
      </c>
    </row>
    <row r="770" spans="1:19" x14ac:dyDescent="0.35">
      <c r="A770">
        <v>783</v>
      </c>
      <c r="B770" t="s">
        <v>2431</v>
      </c>
      <c r="C770" s="1">
        <v>42646</v>
      </c>
      <c r="D770" s="1">
        <v>42649</v>
      </c>
      <c r="E770" s="1" t="str">
        <f t="shared" si="11"/>
        <v>SLOW</v>
      </c>
      <c r="F770" t="s">
        <v>19</v>
      </c>
      <c r="G770" t="s">
        <v>2432</v>
      </c>
      <c r="H770" t="s">
        <v>2433</v>
      </c>
      <c r="I770" t="s">
        <v>22</v>
      </c>
      <c r="J770" t="s">
        <v>23</v>
      </c>
      <c r="K770" t="s">
        <v>484</v>
      </c>
      <c r="L770" t="s">
        <v>485</v>
      </c>
      <c r="M770">
        <v>43229</v>
      </c>
      <c r="N770" t="s">
        <v>144</v>
      </c>
      <c r="O770" t="s">
        <v>240</v>
      </c>
      <c r="P770" t="s">
        <v>67</v>
      </c>
      <c r="Q770" t="s">
        <v>157</v>
      </c>
      <c r="R770" t="s">
        <v>241</v>
      </c>
      <c r="S770">
        <v>24</v>
      </c>
    </row>
    <row r="771" spans="1:19" x14ac:dyDescent="0.35">
      <c r="A771">
        <v>784</v>
      </c>
      <c r="B771" t="s">
        <v>2431</v>
      </c>
      <c r="C771" s="1">
        <v>42646</v>
      </c>
      <c r="D771" s="1">
        <v>42649</v>
      </c>
      <c r="E771" s="1" t="str">
        <f t="shared" ref="E771:E834" si="12">IF(F771="STANDARD CLASS","FAST",IF(F771="SECOND CLASS","SLOW","MODERATE"))</f>
        <v>SLOW</v>
      </c>
      <c r="F771" t="s">
        <v>19</v>
      </c>
      <c r="G771" t="s">
        <v>2432</v>
      </c>
      <c r="H771" t="s">
        <v>2433</v>
      </c>
      <c r="I771" t="s">
        <v>22</v>
      </c>
      <c r="J771" t="s">
        <v>23</v>
      </c>
      <c r="K771" t="s">
        <v>484</v>
      </c>
      <c r="L771" t="s">
        <v>485</v>
      </c>
      <c r="M771">
        <v>43229</v>
      </c>
      <c r="N771" t="s">
        <v>144</v>
      </c>
      <c r="O771" t="s">
        <v>2434</v>
      </c>
      <c r="P771" t="s">
        <v>28</v>
      </c>
      <c r="Q771" t="s">
        <v>29</v>
      </c>
      <c r="R771" t="s">
        <v>2435</v>
      </c>
      <c r="S771">
        <v>35.49</v>
      </c>
    </row>
    <row r="772" spans="1:19" x14ac:dyDescent="0.35">
      <c r="A772">
        <v>785</v>
      </c>
      <c r="B772" t="s">
        <v>2431</v>
      </c>
      <c r="C772" s="1">
        <v>42646</v>
      </c>
      <c r="D772" s="1">
        <v>42649</v>
      </c>
      <c r="E772" s="1" t="str">
        <f t="shared" si="12"/>
        <v>SLOW</v>
      </c>
      <c r="F772" t="s">
        <v>19</v>
      </c>
      <c r="G772" t="s">
        <v>2432</v>
      </c>
      <c r="H772" t="s">
        <v>2433</v>
      </c>
      <c r="I772" t="s">
        <v>22</v>
      </c>
      <c r="J772" t="s">
        <v>23</v>
      </c>
      <c r="K772" t="s">
        <v>484</v>
      </c>
      <c r="L772" t="s">
        <v>485</v>
      </c>
      <c r="M772">
        <v>43229</v>
      </c>
      <c r="N772" t="s">
        <v>144</v>
      </c>
      <c r="O772" t="s">
        <v>2436</v>
      </c>
      <c r="P772" t="s">
        <v>67</v>
      </c>
      <c r="Q772" t="s">
        <v>157</v>
      </c>
      <c r="R772" t="s">
        <v>2437</v>
      </c>
      <c r="S772">
        <v>47.984000000000002</v>
      </c>
    </row>
    <row r="773" spans="1:19" x14ac:dyDescent="0.35">
      <c r="A773">
        <v>786</v>
      </c>
      <c r="B773" t="s">
        <v>2438</v>
      </c>
      <c r="C773" s="1">
        <v>42513</v>
      </c>
      <c r="D773" s="1">
        <v>42518</v>
      </c>
      <c r="E773" s="1" t="str">
        <f t="shared" si="12"/>
        <v>FAST</v>
      </c>
      <c r="F773" t="s">
        <v>46</v>
      </c>
      <c r="G773" t="s">
        <v>882</v>
      </c>
      <c r="H773" t="s">
        <v>883</v>
      </c>
      <c r="I773" t="s">
        <v>37</v>
      </c>
      <c r="J773" t="s">
        <v>23</v>
      </c>
      <c r="K773" t="s">
        <v>372</v>
      </c>
      <c r="L773" t="s">
        <v>373</v>
      </c>
      <c r="M773">
        <v>29203</v>
      </c>
      <c r="N773" t="s">
        <v>26</v>
      </c>
      <c r="O773" t="s">
        <v>2439</v>
      </c>
      <c r="P773" t="s">
        <v>42</v>
      </c>
      <c r="Q773" t="s">
        <v>169</v>
      </c>
      <c r="R773" t="s">
        <v>2440</v>
      </c>
      <c r="S773">
        <v>186.69</v>
      </c>
    </row>
    <row r="774" spans="1:19" x14ac:dyDescent="0.35">
      <c r="A774">
        <v>787</v>
      </c>
      <c r="B774" t="s">
        <v>2441</v>
      </c>
      <c r="C774" s="1">
        <v>43176</v>
      </c>
      <c r="D774" s="1">
        <v>43180</v>
      </c>
      <c r="E774" s="1" t="str">
        <f t="shared" si="12"/>
        <v>SLOW</v>
      </c>
      <c r="F774" t="s">
        <v>19</v>
      </c>
      <c r="G774" t="s">
        <v>473</v>
      </c>
      <c r="H774" t="s">
        <v>474</v>
      </c>
      <c r="I774" t="s">
        <v>22</v>
      </c>
      <c r="J774" t="s">
        <v>23</v>
      </c>
      <c r="K774" t="s">
        <v>2442</v>
      </c>
      <c r="L774" t="s">
        <v>39</v>
      </c>
      <c r="M774">
        <v>93534</v>
      </c>
      <c r="N774" t="s">
        <v>40</v>
      </c>
      <c r="O774" t="s">
        <v>2443</v>
      </c>
      <c r="P774" t="s">
        <v>42</v>
      </c>
      <c r="Q774" t="s">
        <v>71</v>
      </c>
      <c r="R774" t="s">
        <v>2444</v>
      </c>
      <c r="S774">
        <v>17.456</v>
      </c>
    </row>
    <row r="775" spans="1:19" x14ac:dyDescent="0.35">
      <c r="A775">
        <v>788</v>
      </c>
      <c r="B775" t="s">
        <v>2445</v>
      </c>
      <c r="C775" s="1">
        <v>42716</v>
      </c>
      <c r="D775" s="1">
        <v>42720</v>
      </c>
      <c r="E775" s="1" t="str">
        <f t="shared" si="12"/>
        <v>FAST</v>
      </c>
      <c r="F775" t="s">
        <v>46</v>
      </c>
      <c r="G775" t="s">
        <v>2446</v>
      </c>
      <c r="H775" t="s">
        <v>2447</v>
      </c>
      <c r="I775" t="s">
        <v>22</v>
      </c>
      <c r="J775" t="s">
        <v>23</v>
      </c>
      <c r="K775" t="s">
        <v>2442</v>
      </c>
      <c r="L775" t="s">
        <v>39</v>
      </c>
      <c r="M775">
        <v>93534</v>
      </c>
      <c r="N775" t="s">
        <v>40</v>
      </c>
      <c r="O775" t="s">
        <v>2448</v>
      </c>
      <c r="P775" t="s">
        <v>28</v>
      </c>
      <c r="Q775" t="s">
        <v>32</v>
      </c>
      <c r="R775" t="s">
        <v>2449</v>
      </c>
      <c r="S775">
        <v>348.928</v>
      </c>
    </row>
    <row r="776" spans="1:19" x14ac:dyDescent="0.35">
      <c r="A776">
        <v>789</v>
      </c>
      <c r="B776" t="s">
        <v>2450</v>
      </c>
      <c r="C776" s="1">
        <v>42547</v>
      </c>
      <c r="D776" s="1">
        <v>42551</v>
      </c>
      <c r="E776" s="1" t="str">
        <f t="shared" si="12"/>
        <v>FAST</v>
      </c>
      <c r="F776" t="s">
        <v>46</v>
      </c>
      <c r="G776" t="s">
        <v>1654</v>
      </c>
      <c r="H776" t="s">
        <v>1655</v>
      </c>
      <c r="I776" t="s">
        <v>22</v>
      </c>
      <c r="J776" t="s">
        <v>23</v>
      </c>
      <c r="K776" t="s">
        <v>1448</v>
      </c>
      <c r="L776" t="s">
        <v>313</v>
      </c>
      <c r="M776">
        <v>23223</v>
      </c>
      <c r="N776" t="s">
        <v>26</v>
      </c>
      <c r="O776" t="s">
        <v>1478</v>
      </c>
      <c r="P776" t="s">
        <v>42</v>
      </c>
      <c r="Q776" t="s">
        <v>71</v>
      </c>
      <c r="R776" t="s">
        <v>1479</v>
      </c>
      <c r="S776">
        <v>143.96</v>
      </c>
    </row>
    <row r="777" spans="1:19" x14ac:dyDescent="0.35">
      <c r="A777">
        <v>790</v>
      </c>
      <c r="B777" t="s">
        <v>2450</v>
      </c>
      <c r="C777" s="1">
        <v>42547</v>
      </c>
      <c r="D777" s="1">
        <v>42551</v>
      </c>
      <c r="E777" s="1" t="str">
        <f t="shared" si="12"/>
        <v>FAST</v>
      </c>
      <c r="F777" t="s">
        <v>46</v>
      </c>
      <c r="G777" t="s">
        <v>1654</v>
      </c>
      <c r="H777" t="s">
        <v>1655</v>
      </c>
      <c r="I777" t="s">
        <v>22</v>
      </c>
      <c r="J777" t="s">
        <v>23</v>
      </c>
      <c r="K777" t="s">
        <v>1448</v>
      </c>
      <c r="L777" t="s">
        <v>313</v>
      </c>
      <c r="M777">
        <v>23223</v>
      </c>
      <c r="N777" t="s">
        <v>26</v>
      </c>
      <c r="O777" t="s">
        <v>1615</v>
      </c>
      <c r="P777" t="s">
        <v>42</v>
      </c>
      <c r="Q777" t="s">
        <v>55</v>
      </c>
      <c r="R777" t="s">
        <v>1616</v>
      </c>
      <c r="S777">
        <v>15.42</v>
      </c>
    </row>
    <row r="778" spans="1:19" x14ac:dyDescent="0.35">
      <c r="A778">
        <v>791</v>
      </c>
      <c r="B778" t="s">
        <v>2450</v>
      </c>
      <c r="C778" s="1">
        <v>42547</v>
      </c>
      <c r="D778" s="1">
        <v>42551</v>
      </c>
      <c r="E778" s="1" t="str">
        <f t="shared" si="12"/>
        <v>FAST</v>
      </c>
      <c r="F778" t="s">
        <v>46</v>
      </c>
      <c r="G778" t="s">
        <v>1654</v>
      </c>
      <c r="H778" t="s">
        <v>1655</v>
      </c>
      <c r="I778" t="s">
        <v>22</v>
      </c>
      <c r="J778" t="s">
        <v>23</v>
      </c>
      <c r="K778" t="s">
        <v>1448</v>
      </c>
      <c r="L778" t="s">
        <v>313</v>
      </c>
      <c r="M778">
        <v>23223</v>
      </c>
      <c r="N778" t="s">
        <v>26</v>
      </c>
      <c r="O778" t="s">
        <v>2451</v>
      </c>
      <c r="P778" t="s">
        <v>42</v>
      </c>
      <c r="Q778" t="s">
        <v>71</v>
      </c>
      <c r="R778" t="s">
        <v>2452</v>
      </c>
      <c r="S778">
        <v>43.04</v>
      </c>
    </row>
    <row r="779" spans="1:19" x14ac:dyDescent="0.35">
      <c r="A779">
        <v>792</v>
      </c>
      <c r="B779" t="s">
        <v>2450</v>
      </c>
      <c r="C779" s="1">
        <v>42547</v>
      </c>
      <c r="D779" s="1">
        <v>42551</v>
      </c>
      <c r="E779" s="1" t="str">
        <f t="shared" si="12"/>
        <v>FAST</v>
      </c>
      <c r="F779" t="s">
        <v>46</v>
      </c>
      <c r="G779" t="s">
        <v>1654</v>
      </c>
      <c r="H779" t="s">
        <v>1655</v>
      </c>
      <c r="I779" t="s">
        <v>22</v>
      </c>
      <c r="J779" t="s">
        <v>23</v>
      </c>
      <c r="K779" t="s">
        <v>1448</v>
      </c>
      <c r="L779" t="s">
        <v>313</v>
      </c>
      <c r="M779">
        <v>23223</v>
      </c>
      <c r="N779" t="s">
        <v>26</v>
      </c>
      <c r="O779" t="s">
        <v>2453</v>
      </c>
      <c r="P779" t="s">
        <v>28</v>
      </c>
      <c r="Q779" t="s">
        <v>32</v>
      </c>
      <c r="R779" t="s">
        <v>2454</v>
      </c>
      <c r="S779">
        <v>332.94</v>
      </c>
    </row>
    <row r="780" spans="1:19" x14ac:dyDescent="0.35">
      <c r="A780">
        <v>793</v>
      </c>
      <c r="B780" t="s">
        <v>2455</v>
      </c>
      <c r="C780" s="1">
        <v>42875</v>
      </c>
      <c r="D780" s="1">
        <v>42875</v>
      </c>
      <c r="E780" s="1" t="str">
        <f t="shared" si="12"/>
        <v>MODERATE</v>
      </c>
      <c r="F780" t="s">
        <v>1276</v>
      </c>
      <c r="G780" t="s">
        <v>2456</v>
      </c>
      <c r="H780" t="s">
        <v>2457</v>
      </c>
      <c r="I780" t="s">
        <v>22</v>
      </c>
      <c r="J780" t="s">
        <v>23</v>
      </c>
      <c r="K780" t="s">
        <v>2458</v>
      </c>
      <c r="L780" t="s">
        <v>84</v>
      </c>
      <c r="M780">
        <v>28806</v>
      </c>
      <c r="N780" t="s">
        <v>26</v>
      </c>
      <c r="O780" t="s">
        <v>2459</v>
      </c>
      <c r="P780" t="s">
        <v>67</v>
      </c>
      <c r="Q780" t="s">
        <v>68</v>
      </c>
      <c r="R780" t="s">
        <v>2460</v>
      </c>
      <c r="S780">
        <v>1363.96</v>
      </c>
    </row>
    <row r="781" spans="1:19" x14ac:dyDescent="0.35">
      <c r="A781">
        <v>794</v>
      </c>
      <c r="B781" t="s">
        <v>2461</v>
      </c>
      <c r="C781" s="1">
        <v>42267</v>
      </c>
      <c r="D781" s="1">
        <v>42273</v>
      </c>
      <c r="E781" s="1" t="str">
        <f t="shared" si="12"/>
        <v>FAST</v>
      </c>
      <c r="F781" t="s">
        <v>46</v>
      </c>
      <c r="G781" t="s">
        <v>2462</v>
      </c>
      <c r="H781" t="s">
        <v>2463</v>
      </c>
      <c r="I781" t="s">
        <v>22</v>
      </c>
      <c r="J781" t="s">
        <v>23</v>
      </c>
      <c r="K781" t="s">
        <v>123</v>
      </c>
      <c r="L781" t="s">
        <v>39</v>
      </c>
      <c r="M781">
        <v>94110</v>
      </c>
      <c r="N781" t="s">
        <v>40</v>
      </c>
      <c r="O781" t="s">
        <v>2464</v>
      </c>
      <c r="P781" t="s">
        <v>42</v>
      </c>
      <c r="Q781" t="s">
        <v>43</v>
      </c>
      <c r="R781" t="s">
        <v>2465</v>
      </c>
      <c r="S781">
        <v>9.9600000000000009</v>
      </c>
    </row>
    <row r="782" spans="1:19" x14ac:dyDescent="0.35">
      <c r="A782">
        <v>795</v>
      </c>
      <c r="B782" t="s">
        <v>2461</v>
      </c>
      <c r="C782" s="1">
        <v>42267</v>
      </c>
      <c r="D782" s="1">
        <v>42273</v>
      </c>
      <c r="E782" s="1" t="str">
        <f t="shared" si="12"/>
        <v>FAST</v>
      </c>
      <c r="F782" t="s">
        <v>46</v>
      </c>
      <c r="G782" t="s">
        <v>2462</v>
      </c>
      <c r="H782" t="s">
        <v>2463</v>
      </c>
      <c r="I782" t="s">
        <v>22</v>
      </c>
      <c r="J782" t="s">
        <v>23</v>
      </c>
      <c r="K782" t="s">
        <v>123</v>
      </c>
      <c r="L782" t="s">
        <v>39</v>
      </c>
      <c r="M782">
        <v>94110</v>
      </c>
      <c r="N782" t="s">
        <v>40</v>
      </c>
      <c r="O782" t="s">
        <v>1418</v>
      </c>
      <c r="P782" t="s">
        <v>42</v>
      </c>
      <c r="Q782" t="s">
        <v>86</v>
      </c>
      <c r="R782" t="s">
        <v>1419</v>
      </c>
      <c r="S782">
        <v>21.72</v>
      </c>
    </row>
    <row r="783" spans="1:19" x14ac:dyDescent="0.35">
      <c r="A783">
        <v>796</v>
      </c>
      <c r="B783" t="s">
        <v>2466</v>
      </c>
      <c r="C783" s="1">
        <v>43364</v>
      </c>
      <c r="D783" s="1">
        <v>43369</v>
      </c>
      <c r="E783" s="1" t="str">
        <f t="shared" si="12"/>
        <v>FAST</v>
      </c>
      <c r="F783" t="s">
        <v>46</v>
      </c>
      <c r="G783" t="s">
        <v>2467</v>
      </c>
      <c r="H783" t="s">
        <v>2468</v>
      </c>
      <c r="I783" t="s">
        <v>22</v>
      </c>
      <c r="J783" t="s">
        <v>23</v>
      </c>
      <c r="K783" t="s">
        <v>379</v>
      </c>
      <c r="L783" t="s">
        <v>223</v>
      </c>
      <c r="M783">
        <v>55901</v>
      </c>
      <c r="N783" t="s">
        <v>101</v>
      </c>
      <c r="O783" t="s">
        <v>2365</v>
      </c>
      <c r="P783" t="s">
        <v>42</v>
      </c>
      <c r="Q783" t="s">
        <v>71</v>
      </c>
      <c r="R783" t="s">
        <v>2366</v>
      </c>
      <c r="S783">
        <v>20.16</v>
      </c>
    </row>
    <row r="784" spans="1:19" x14ac:dyDescent="0.35">
      <c r="A784">
        <v>797</v>
      </c>
      <c r="B784" t="s">
        <v>2469</v>
      </c>
      <c r="C784" s="1">
        <v>42728</v>
      </c>
      <c r="D784" s="1">
        <v>42730</v>
      </c>
      <c r="E784" s="1" t="str">
        <f t="shared" si="12"/>
        <v>MODERATE</v>
      </c>
      <c r="F784" t="s">
        <v>184</v>
      </c>
      <c r="G784" t="s">
        <v>897</v>
      </c>
      <c r="H784" t="s">
        <v>898</v>
      </c>
      <c r="I784" t="s">
        <v>37</v>
      </c>
      <c r="J784" t="s">
        <v>23</v>
      </c>
      <c r="K784" t="s">
        <v>379</v>
      </c>
      <c r="L784" t="s">
        <v>261</v>
      </c>
      <c r="M784">
        <v>14609</v>
      </c>
      <c r="N784" t="s">
        <v>144</v>
      </c>
      <c r="O784" t="s">
        <v>2470</v>
      </c>
      <c r="P784" t="s">
        <v>42</v>
      </c>
      <c r="Q784" t="s">
        <v>86</v>
      </c>
      <c r="R784" t="s">
        <v>2471</v>
      </c>
      <c r="S784">
        <v>132.79</v>
      </c>
    </row>
    <row r="785" spans="1:19" x14ac:dyDescent="0.35">
      <c r="A785">
        <v>798</v>
      </c>
      <c r="B785" t="s">
        <v>2469</v>
      </c>
      <c r="C785" s="1">
        <v>42728</v>
      </c>
      <c r="D785" s="1">
        <v>42730</v>
      </c>
      <c r="E785" s="1" t="str">
        <f t="shared" si="12"/>
        <v>MODERATE</v>
      </c>
      <c r="F785" t="s">
        <v>184</v>
      </c>
      <c r="G785" t="s">
        <v>897</v>
      </c>
      <c r="H785" t="s">
        <v>898</v>
      </c>
      <c r="I785" t="s">
        <v>37</v>
      </c>
      <c r="J785" t="s">
        <v>23</v>
      </c>
      <c r="K785" t="s">
        <v>379</v>
      </c>
      <c r="L785" t="s">
        <v>261</v>
      </c>
      <c r="M785">
        <v>14609</v>
      </c>
      <c r="N785" t="s">
        <v>144</v>
      </c>
      <c r="O785" t="s">
        <v>85</v>
      </c>
      <c r="P785" t="s">
        <v>42</v>
      </c>
      <c r="Q785" t="s">
        <v>86</v>
      </c>
      <c r="R785" t="s">
        <v>87</v>
      </c>
      <c r="S785">
        <v>12.96</v>
      </c>
    </row>
    <row r="786" spans="1:19" x14ac:dyDescent="0.35">
      <c r="A786">
        <v>799</v>
      </c>
      <c r="B786" t="s">
        <v>2469</v>
      </c>
      <c r="C786" s="1">
        <v>42728</v>
      </c>
      <c r="D786" s="1">
        <v>42730</v>
      </c>
      <c r="E786" s="1" t="str">
        <f t="shared" si="12"/>
        <v>MODERATE</v>
      </c>
      <c r="F786" t="s">
        <v>184</v>
      </c>
      <c r="G786" t="s">
        <v>897</v>
      </c>
      <c r="H786" t="s">
        <v>898</v>
      </c>
      <c r="I786" t="s">
        <v>37</v>
      </c>
      <c r="J786" t="s">
        <v>23</v>
      </c>
      <c r="K786" t="s">
        <v>379</v>
      </c>
      <c r="L786" t="s">
        <v>261</v>
      </c>
      <c r="M786">
        <v>14609</v>
      </c>
      <c r="N786" t="s">
        <v>144</v>
      </c>
      <c r="O786" t="s">
        <v>2472</v>
      </c>
      <c r="P786" t="s">
        <v>42</v>
      </c>
      <c r="Q786" t="s">
        <v>43</v>
      </c>
      <c r="R786" t="s">
        <v>2473</v>
      </c>
      <c r="S786">
        <v>21.56</v>
      </c>
    </row>
    <row r="787" spans="1:19" x14ac:dyDescent="0.35">
      <c r="A787">
        <v>800</v>
      </c>
      <c r="B787" t="s">
        <v>2474</v>
      </c>
      <c r="C787" s="1">
        <v>42701</v>
      </c>
      <c r="D787" s="1">
        <v>42707</v>
      </c>
      <c r="E787" s="1" t="str">
        <f t="shared" si="12"/>
        <v>FAST</v>
      </c>
      <c r="F787" t="s">
        <v>46</v>
      </c>
      <c r="G787" t="s">
        <v>2475</v>
      </c>
      <c r="H787" t="s">
        <v>2476</v>
      </c>
      <c r="I787" t="s">
        <v>22</v>
      </c>
      <c r="J787" t="s">
        <v>23</v>
      </c>
      <c r="K787" t="s">
        <v>2477</v>
      </c>
      <c r="L787" t="s">
        <v>39</v>
      </c>
      <c r="M787">
        <v>92530</v>
      </c>
      <c r="N787" t="s">
        <v>40</v>
      </c>
      <c r="O787" t="s">
        <v>1819</v>
      </c>
      <c r="P787" t="s">
        <v>28</v>
      </c>
      <c r="Q787" t="s">
        <v>32</v>
      </c>
      <c r="R787" t="s">
        <v>1820</v>
      </c>
      <c r="S787">
        <v>283.92</v>
      </c>
    </row>
    <row r="788" spans="1:19" x14ac:dyDescent="0.35">
      <c r="A788">
        <v>801</v>
      </c>
      <c r="B788" t="s">
        <v>2478</v>
      </c>
      <c r="C788" s="1">
        <v>43151</v>
      </c>
      <c r="D788" s="1">
        <v>43154</v>
      </c>
      <c r="E788" s="1" t="str">
        <f t="shared" si="12"/>
        <v>MODERATE</v>
      </c>
      <c r="F788" t="s">
        <v>184</v>
      </c>
      <c r="G788" t="s">
        <v>2479</v>
      </c>
      <c r="H788" t="s">
        <v>2480</v>
      </c>
      <c r="I788" t="s">
        <v>37</v>
      </c>
      <c r="J788" t="s">
        <v>23</v>
      </c>
      <c r="K788" t="s">
        <v>935</v>
      </c>
      <c r="L788" t="s">
        <v>39</v>
      </c>
      <c r="M788">
        <v>92105</v>
      </c>
      <c r="N788" t="s">
        <v>40</v>
      </c>
      <c r="O788" t="s">
        <v>2481</v>
      </c>
      <c r="P788" t="s">
        <v>28</v>
      </c>
      <c r="Q788" t="s">
        <v>61</v>
      </c>
      <c r="R788" t="s">
        <v>2482</v>
      </c>
      <c r="S788">
        <v>22.23</v>
      </c>
    </row>
    <row r="789" spans="1:19" x14ac:dyDescent="0.35">
      <c r="A789">
        <v>802</v>
      </c>
      <c r="B789" t="s">
        <v>2478</v>
      </c>
      <c r="C789" s="1">
        <v>43151</v>
      </c>
      <c r="D789" s="1">
        <v>43154</v>
      </c>
      <c r="E789" s="1" t="str">
        <f t="shared" si="12"/>
        <v>MODERATE</v>
      </c>
      <c r="F789" t="s">
        <v>184</v>
      </c>
      <c r="G789" t="s">
        <v>2479</v>
      </c>
      <c r="H789" t="s">
        <v>2480</v>
      </c>
      <c r="I789" t="s">
        <v>37</v>
      </c>
      <c r="J789" t="s">
        <v>23</v>
      </c>
      <c r="K789" t="s">
        <v>935</v>
      </c>
      <c r="L789" t="s">
        <v>39</v>
      </c>
      <c r="M789">
        <v>92105</v>
      </c>
      <c r="N789" t="s">
        <v>40</v>
      </c>
      <c r="O789" t="s">
        <v>950</v>
      </c>
      <c r="P789" t="s">
        <v>67</v>
      </c>
      <c r="Q789" t="s">
        <v>68</v>
      </c>
      <c r="R789" t="s">
        <v>951</v>
      </c>
      <c r="S789">
        <v>215.96799999999999</v>
      </c>
    </row>
    <row r="790" spans="1:19" x14ac:dyDescent="0.35">
      <c r="A790">
        <v>803</v>
      </c>
      <c r="B790" t="s">
        <v>2483</v>
      </c>
      <c r="C790" s="1">
        <v>42965</v>
      </c>
      <c r="D790" s="1">
        <v>42970</v>
      </c>
      <c r="E790" s="1" t="str">
        <f t="shared" si="12"/>
        <v>SLOW</v>
      </c>
      <c r="F790" t="s">
        <v>19</v>
      </c>
      <c r="G790" t="s">
        <v>2479</v>
      </c>
      <c r="H790" t="s">
        <v>2480</v>
      </c>
      <c r="I790" t="s">
        <v>37</v>
      </c>
      <c r="J790" t="s">
        <v>23</v>
      </c>
      <c r="K790" t="s">
        <v>260</v>
      </c>
      <c r="L790" t="s">
        <v>261</v>
      </c>
      <c r="M790">
        <v>10024</v>
      </c>
      <c r="N790" t="s">
        <v>144</v>
      </c>
      <c r="O790" t="s">
        <v>2484</v>
      </c>
      <c r="P790" t="s">
        <v>42</v>
      </c>
      <c r="Q790" t="s">
        <v>74</v>
      </c>
      <c r="R790" t="s">
        <v>2485</v>
      </c>
      <c r="S790">
        <v>355.32</v>
      </c>
    </row>
    <row r="791" spans="1:19" x14ac:dyDescent="0.35">
      <c r="A791">
        <v>804</v>
      </c>
      <c r="B791" t="s">
        <v>2486</v>
      </c>
      <c r="C791" s="1">
        <v>42806</v>
      </c>
      <c r="D791" s="1">
        <v>42811</v>
      </c>
      <c r="E791" s="1" t="str">
        <f t="shared" si="12"/>
        <v>FAST</v>
      </c>
      <c r="F791" t="s">
        <v>46</v>
      </c>
      <c r="G791" t="s">
        <v>2487</v>
      </c>
      <c r="H791" t="s">
        <v>2488</v>
      </c>
      <c r="I791" t="s">
        <v>37</v>
      </c>
      <c r="J791" t="s">
        <v>23</v>
      </c>
      <c r="K791" t="s">
        <v>724</v>
      </c>
      <c r="L791" t="s">
        <v>725</v>
      </c>
      <c r="M791">
        <v>71203</v>
      </c>
      <c r="N791" t="s">
        <v>26</v>
      </c>
      <c r="O791" t="s">
        <v>2489</v>
      </c>
      <c r="P791" t="s">
        <v>42</v>
      </c>
      <c r="Q791" t="s">
        <v>86</v>
      </c>
      <c r="R791" t="s">
        <v>2490</v>
      </c>
      <c r="S791">
        <v>12.96</v>
      </c>
    </row>
    <row r="792" spans="1:19" x14ac:dyDescent="0.35">
      <c r="A792">
        <v>805</v>
      </c>
      <c r="B792" t="s">
        <v>2491</v>
      </c>
      <c r="C792" s="1">
        <v>43212</v>
      </c>
      <c r="D792" s="1">
        <v>43214</v>
      </c>
      <c r="E792" s="1" t="str">
        <f t="shared" si="12"/>
        <v>MODERATE</v>
      </c>
      <c r="F792" t="s">
        <v>184</v>
      </c>
      <c r="G792" t="s">
        <v>2492</v>
      </c>
      <c r="H792" t="s">
        <v>2493</v>
      </c>
      <c r="I792" t="s">
        <v>22</v>
      </c>
      <c r="J792" t="s">
        <v>23</v>
      </c>
      <c r="K792" t="s">
        <v>123</v>
      </c>
      <c r="L792" t="s">
        <v>39</v>
      </c>
      <c r="M792">
        <v>94122</v>
      </c>
      <c r="N792" t="s">
        <v>40</v>
      </c>
      <c r="O792" t="s">
        <v>2494</v>
      </c>
      <c r="P792" t="s">
        <v>28</v>
      </c>
      <c r="Q792" t="s">
        <v>61</v>
      </c>
      <c r="R792" t="s">
        <v>2495</v>
      </c>
      <c r="S792">
        <v>18.28</v>
      </c>
    </row>
    <row r="793" spans="1:19" x14ac:dyDescent="0.35">
      <c r="A793">
        <v>806</v>
      </c>
      <c r="B793" t="s">
        <v>2496</v>
      </c>
      <c r="C793" s="1">
        <v>42309</v>
      </c>
      <c r="D793" s="1">
        <v>42315</v>
      </c>
      <c r="E793" s="1" t="str">
        <f t="shared" si="12"/>
        <v>FAST</v>
      </c>
      <c r="F793" t="s">
        <v>46</v>
      </c>
      <c r="G793" t="s">
        <v>1316</v>
      </c>
      <c r="H793" t="s">
        <v>1317</v>
      </c>
      <c r="I793" t="s">
        <v>22</v>
      </c>
      <c r="J793" t="s">
        <v>23</v>
      </c>
      <c r="K793" t="s">
        <v>794</v>
      </c>
      <c r="L793" t="s">
        <v>444</v>
      </c>
      <c r="M793">
        <v>80219</v>
      </c>
      <c r="N793" t="s">
        <v>40</v>
      </c>
      <c r="O793" t="s">
        <v>2497</v>
      </c>
      <c r="P793" t="s">
        <v>42</v>
      </c>
      <c r="Q793" t="s">
        <v>64</v>
      </c>
      <c r="R793" t="s">
        <v>2498</v>
      </c>
      <c r="S793">
        <v>43.176000000000002</v>
      </c>
    </row>
    <row r="794" spans="1:19" x14ac:dyDescent="0.35">
      <c r="A794">
        <v>807</v>
      </c>
      <c r="B794" t="s">
        <v>2496</v>
      </c>
      <c r="C794" s="1">
        <v>42309</v>
      </c>
      <c r="D794" s="1">
        <v>42315</v>
      </c>
      <c r="E794" s="1" t="str">
        <f t="shared" si="12"/>
        <v>FAST</v>
      </c>
      <c r="F794" t="s">
        <v>46</v>
      </c>
      <c r="G794" t="s">
        <v>1316</v>
      </c>
      <c r="H794" t="s">
        <v>1317</v>
      </c>
      <c r="I794" t="s">
        <v>22</v>
      </c>
      <c r="J794" t="s">
        <v>23</v>
      </c>
      <c r="K794" t="s">
        <v>794</v>
      </c>
      <c r="L794" t="s">
        <v>444</v>
      </c>
      <c r="M794">
        <v>80219</v>
      </c>
      <c r="N794" t="s">
        <v>40</v>
      </c>
      <c r="O794" t="s">
        <v>2499</v>
      </c>
      <c r="P794" t="s">
        <v>67</v>
      </c>
      <c r="Q794" t="s">
        <v>68</v>
      </c>
      <c r="R794" t="s">
        <v>2500</v>
      </c>
      <c r="S794">
        <v>1983.9680000000001</v>
      </c>
    </row>
    <row r="795" spans="1:19" x14ac:dyDescent="0.35">
      <c r="A795">
        <v>808</v>
      </c>
      <c r="B795" t="s">
        <v>2501</v>
      </c>
      <c r="C795" s="1">
        <v>42403</v>
      </c>
      <c r="D795" s="1">
        <v>42405</v>
      </c>
      <c r="E795" s="1" t="str">
        <f t="shared" si="12"/>
        <v>MODERATE</v>
      </c>
      <c r="F795" t="s">
        <v>184</v>
      </c>
      <c r="G795" t="s">
        <v>1801</v>
      </c>
      <c r="H795" t="s">
        <v>1802</v>
      </c>
      <c r="I795" t="s">
        <v>22</v>
      </c>
      <c r="J795" t="s">
        <v>23</v>
      </c>
      <c r="K795" t="s">
        <v>2502</v>
      </c>
      <c r="L795" t="s">
        <v>134</v>
      </c>
      <c r="M795">
        <v>68104</v>
      </c>
      <c r="N795" t="s">
        <v>101</v>
      </c>
      <c r="O795" t="s">
        <v>1476</v>
      </c>
      <c r="P795" t="s">
        <v>28</v>
      </c>
      <c r="Q795" t="s">
        <v>61</v>
      </c>
      <c r="R795" t="s">
        <v>1477</v>
      </c>
      <c r="S795">
        <v>28.4</v>
      </c>
    </row>
    <row r="796" spans="1:19" x14ac:dyDescent="0.35">
      <c r="A796">
        <v>809</v>
      </c>
      <c r="B796" t="s">
        <v>2501</v>
      </c>
      <c r="C796" s="1">
        <v>42403</v>
      </c>
      <c r="D796" s="1">
        <v>42405</v>
      </c>
      <c r="E796" s="1" t="str">
        <f t="shared" si="12"/>
        <v>MODERATE</v>
      </c>
      <c r="F796" t="s">
        <v>184</v>
      </c>
      <c r="G796" t="s">
        <v>1801</v>
      </c>
      <c r="H796" t="s">
        <v>1802</v>
      </c>
      <c r="I796" t="s">
        <v>22</v>
      </c>
      <c r="J796" t="s">
        <v>23</v>
      </c>
      <c r="K796" t="s">
        <v>2502</v>
      </c>
      <c r="L796" t="s">
        <v>134</v>
      </c>
      <c r="M796">
        <v>68104</v>
      </c>
      <c r="N796" t="s">
        <v>101</v>
      </c>
      <c r="O796" t="s">
        <v>2503</v>
      </c>
      <c r="P796" t="s">
        <v>67</v>
      </c>
      <c r="Q796" t="s">
        <v>157</v>
      </c>
      <c r="R796" t="s">
        <v>2504</v>
      </c>
      <c r="S796">
        <v>149.97</v>
      </c>
    </row>
    <row r="797" spans="1:19" x14ac:dyDescent="0.35">
      <c r="A797">
        <v>810</v>
      </c>
      <c r="B797" t="s">
        <v>2505</v>
      </c>
      <c r="C797" s="1">
        <v>42290</v>
      </c>
      <c r="D797" s="1">
        <v>42292</v>
      </c>
      <c r="E797" s="1" t="str">
        <f t="shared" si="12"/>
        <v>MODERATE</v>
      </c>
      <c r="F797" t="s">
        <v>184</v>
      </c>
      <c r="G797" t="s">
        <v>1954</v>
      </c>
      <c r="H797" t="s">
        <v>1955</v>
      </c>
      <c r="I797" t="s">
        <v>22</v>
      </c>
      <c r="J797" t="s">
        <v>23</v>
      </c>
      <c r="K797" t="s">
        <v>2506</v>
      </c>
      <c r="L797" t="s">
        <v>92</v>
      </c>
      <c r="M797">
        <v>98026</v>
      </c>
      <c r="N797" t="s">
        <v>40</v>
      </c>
      <c r="O797" t="s">
        <v>2507</v>
      </c>
      <c r="P797" t="s">
        <v>42</v>
      </c>
      <c r="Q797" t="s">
        <v>64</v>
      </c>
      <c r="R797" t="s">
        <v>2508</v>
      </c>
      <c r="S797">
        <v>11.52</v>
      </c>
    </row>
    <row r="798" spans="1:19" x14ac:dyDescent="0.35">
      <c r="A798">
        <v>811</v>
      </c>
      <c r="B798" t="s">
        <v>2505</v>
      </c>
      <c r="C798" s="1">
        <v>42290</v>
      </c>
      <c r="D798" s="1">
        <v>42292</v>
      </c>
      <c r="E798" s="1" t="str">
        <f t="shared" si="12"/>
        <v>MODERATE</v>
      </c>
      <c r="F798" t="s">
        <v>184</v>
      </c>
      <c r="G798" t="s">
        <v>1954</v>
      </c>
      <c r="H798" t="s">
        <v>1955</v>
      </c>
      <c r="I798" t="s">
        <v>22</v>
      </c>
      <c r="J798" t="s">
        <v>23</v>
      </c>
      <c r="K798" t="s">
        <v>2506</v>
      </c>
      <c r="L798" t="s">
        <v>92</v>
      </c>
      <c r="M798">
        <v>98026</v>
      </c>
      <c r="N798" t="s">
        <v>40</v>
      </c>
      <c r="O798" t="s">
        <v>1039</v>
      </c>
      <c r="P798" t="s">
        <v>28</v>
      </c>
      <c r="Q798" t="s">
        <v>52</v>
      </c>
      <c r="R798" t="s">
        <v>1040</v>
      </c>
      <c r="S798">
        <v>1298.55</v>
      </c>
    </row>
    <row r="799" spans="1:19" x14ac:dyDescent="0.35">
      <c r="A799">
        <v>812</v>
      </c>
      <c r="B799" t="s">
        <v>2505</v>
      </c>
      <c r="C799" s="1">
        <v>42290</v>
      </c>
      <c r="D799" s="1">
        <v>42292</v>
      </c>
      <c r="E799" s="1" t="str">
        <f t="shared" si="12"/>
        <v>MODERATE</v>
      </c>
      <c r="F799" t="s">
        <v>184</v>
      </c>
      <c r="G799" t="s">
        <v>1954</v>
      </c>
      <c r="H799" t="s">
        <v>1955</v>
      </c>
      <c r="I799" t="s">
        <v>22</v>
      </c>
      <c r="J799" t="s">
        <v>23</v>
      </c>
      <c r="K799" t="s">
        <v>2506</v>
      </c>
      <c r="L799" t="s">
        <v>92</v>
      </c>
      <c r="M799">
        <v>98026</v>
      </c>
      <c r="N799" t="s">
        <v>40</v>
      </c>
      <c r="O799" t="s">
        <v>2509</v>
      </c>
      <c r="P799" t="s">
        <v>42</v>
      </c>
      <c r="Q799" t="s">
        <v>74</v>
      </c>
      <c r="R799" t="s">
        <v>2510</v>
      </c>
      <c r="S799">
        <v>213.92</v>
      </c>
    </row>
    <row r="800" spans="1:19" x14ac:dyDescent="0.35">
      <c r="A800">
        <v>813</v>
      </c>
      <c r="B800" t="s">
        <v>2505</v>
      </c>
      <c r="C800" s="1">
        <v>42290</v>
      </c>
      <c r="D800" s="1">
        <v>42292</v>
      </c>
      <c r="E800" s="1" t="str">
        <f t="shared" si="12"/>
        <v>MODERATE</v>
      </c>
      <c r="F800" t="s">
        <v>184</v>
      </c>
      <c r="G800" t="s">
        <v>1954</v>
      </c>
      <c r="H800" t="s">
        <v>1955</v>
      </c>
      <c r="I800" t="s">
        <v>22</v>
      </c>
      <c r="J800" t="s">
        <v>23</v>
      </c>
      <c r="K800" t="s">
        <v>2506</v>
      </c>
      <c r="L800" t="s">
        <v>92</v>
      </c>
      <c r="M800">
        <v>98026</v>
      </c>
      <c r="N800" t="s">
        <v>40</v>
      </c>
      <c r="O800" t="s">
        <v>2129</v>
      </c>
      <c r="P800" t="s">
        <v>67</v>
      </c>
      <c r="Q800" t="s">
        <v>157</v>
      </c>
      <c r="R800" t="s">
        <v>2130</v>
      </c>
      <c r="S800">
        <v>25.78</v>
      </c>
    </row>
    <row r="801" spans="1:19" x14ac:dyDescent="0.35">
      <c r="A801">
        <v>814</v>
      </c>
      <c r="B801" t="s">
        <v>2511</v>
      </c>
      <c r="C801" s="1">
        <v>43234</v>
      </c>
      <c r="D801" s="1">
        <v>43234</v>
      </c>
      <c r="E801" s="1" t="str">
        <f t="shared" si="12"/>
        <v>MODERATE</v>
      </c>
      <c r="F801" t="s">
        <v>1276</v>
      </c>
      <c r="G801" t="s">
        <v>2512</v>
      </c>
      <c r="H801" t="s">
        <v>2513</v>
      </c>
      <c r="I801" t="s">
        <v>22</v>
      </c>
      <c r="J801" t="s">
        <v>23</v>
      </c>
      <c r="K801" t="s">
        <v>2514</v>
      </c>
      <c r="L801" t="s">
        <v>39</v>
      </c>
      <c r="M801">
        <v>92704</v>
      </c>
      <c r="N801" t="s">
        <v>40</v>
      </c>
      <c r="O801" t="s">
        <v>2494</v>
      </c>
      <c r="P801" t="s">
        <v>28</v>
      </c>
      <c r="Q801" t="s">
        <v>61</v>
      </c>
      <c r="R801" t="s">
        <v>2495</v>
      </c>
      <c r="S801">
        <v>18.28</v>
      </c>
    </row>
    <row r="802" spans="1:19" x14ac:dyDescent="0.35">
      <c r="A802">
        <v>815</v>
      </c>
      <c r="B802" t="s">
        <v>2511</v>
      </c>
      <c r="C802" s="1">
        <v>43234</v>
      </c>
      <c r="D802" s="1">
        <v>43234</v>
      </c>
      <c r="E802" s="1" t="str">
        <f t="shared" si="12"/>
        <v>MODERATE</v>
      </c>
      <c r="F802" t="s">
        <v>1276</v>
      </c>
      <c r="G802" t="s">
        <v>2512</v>
      </c>
      <c r="H802" t="s">
        <v>2513</v>
      </c>
      <c r="I802" t="s">
        <v>22</v>
      </c>
      <c r="J802" t="s">
        <v>23</v>
      </c>
      <c r="K802" t="s">
        <v>2514</v>
      </c>
      <c r="L802" t="s">
        <v>39</v>
      </c>
      <c r="M802">
        <v>92704</v>
      </c>
      <c r="N802" t="s">
        <v>40</v>
      </c>
      <c r="O802" t="s">
        <v>2515</v>
      </c>
      <c r="P802" t="s">
        <v>67</v>
      </c>
      <c r="Q802" t="s">
        <v>157</v>
      </c>
      <c r="R802" t="s">
        <v>2516</v>
      </c>
      <c r="S802">
        <v>1399.93</v>
      </c>
    </row>
    <row r="803" spans="1:19" x14ac:dyDescent="0.35">
      <c r="A803">
        <v>816</v>
      </c>
      <c r="B803" t="s">
        <v>2517</v>
      </c>
      <c r="C803" s="1">
        <v>42449</v>
      </c>
      <c r="D803" s="1">
        <v>42452</v>
      </c>
      <c r="E803" s="1" t="str">
        <f t="shared" si="12"/>
        <v>MODERATE</v>
      </c>
      <c r="F803" t="s">
        <v>184</v>
      </c>
      <c r="G803" t="s">
        <v>2518</v>
      </c>
      <c r="H803" t="s">
        <v>2519</v>
      </c>
      <c r="I803" t="s">
        <v>37</v>
      </c>
      <c r="J803" t="s">
        <v>23</v>
      </c>
      <c r="K803" t="s">
        <v>2520</v>
      </c>
      <c r="L803" t="s">
        <v>110</v>
      </c>
      <c r="M803">
        <v>53209</v>
      </c>
      <c r="N803" t="s">
        <v>101</v>
      </c>
      <c r="O803" t="s">
        <v>757</v>
      </c>
      <c r="P803" t="s">
        <v>42</v>
      </c>
      <c r="Q803" t="s">
        <v>86</v>
      </c>
      <c r="R803" t="s">
        <v>758</v>
      </c>
      <c r="S803">
        <v>51.84</v>
      </c>
    </row>
    <row r="804" spans="1:19" x14ac:dyDescent="0.35">
      <c r="A804">
        <v>817</v>
      </c>
      <c r="B804" t="s">
        <v>2521</v>
      </c>
      <c r="C804" s="1">
        <v>42993</v>
      </c>
      <c r="D804" s="1">
        <v>42997</v>
      </c>
      <c r="E804" s="1" t="str">
        <f t="shared" si="12"/>
        <v>FAST</v>
      </c>
      <c r="F804" t="s">
        <v>46</v>
      </c>
      <c r="G804" t="s">
        <v>1752</v>
      </c>
      <c r="H804" t="s">
        <v>1753</v>
      </c>
      <c r="I804" t="s">
        <v>22</v>
      </c>
      <c r="J804" t="s">
        <v>23</v>
      </c>
      <c r="K804" t="s">
        <v>142</v>
      </c>
      <c r="L804" t="s">
        <v>143</v>
      </c>
      <c r="M804">
        <v>19140</v>
      </c>
      <c r="N804" t="s">
        <v>144</v>
      </c>
      <c r="O804" t="s">
        <v>2522</v>
      </c>
      <c r="P804" t="s">
        <v>42</v>
      </c>
      <c r="Q804" t="s">
        <v>86</v>
      </c>
      <c r="R804" t="s">
        <v>2523</v>
      </c>
      <c r="S804">
        <v>5.3440000000000003</v>
      </c>
    </row>
    <row r="805" spans="1:19" x14ac:dyDescent="0.35">
      <c r="A805">
        <v>818</v>
      </c>
      <c r="B805" t="s">
        <v>2524</v>
      </c>
      <c r="C805" s="1">
        <v>42183</v>
      </c>
      <c r="D805" s="1">
        <v>42187</v>
      </c>
      <c r="E805" s="1" t="str">
        <f t="shared" si="12"/>
        <v>FAST</v>
      </c>
      <c r="F805" t="s">
        <v>46</v>
      </c>
      <c r="G805" t="s">
        <v>1886</v>
      </c>
      <c r="H805" t="s">
        <v>1887</v>
      </c>
      <c r="I805" t="s">
        <v>22</v>
      </c>
      <c r="J805" t="s">
        <v>23</v>
      </c>
      <c r="K805" t="s">
        <v>142</v>
      </c>
      <c r="L805" t="s">
        <v>143</v>
      </c>
      <c r="M805">
        <v>19140</v>
      </c>
      <c r="N805" t="s">
        <v>144</v>
      </c>
      <c r="O805" t="s">
        <v>394</v>
      </c>
      <c r="P805" t="s">
        <v>42</v>
      </c>
      <c r="Q805" t="s">
        <v>86</v>
      </c>
      <c r="R805" t="s">
        <v>395</v>
      </c>
      <c r="S805">
        <v>41.472000000000001</v>
      </c>
    </row>
    <row r="806" spans="1:19" x14ac:dyDescent="0.35">
      <c r="A806">
        <v>819</v>
      </c>
      <c r="B806" t="s">
        <v>2524</v>
      </c>
      <c r="C806" s="1">
        <v>42183</v>
      </c>
      <c r="D806" s="1">
        <v>42187</v>
      </c>
      <c r="E806" s="1" t="str">
        <f t="shared" si="12"/>
        <v>FAST</v>
      </c>
      <c r="F806" t="s">
        <v>46</v>
      </c>
      <c r="G806" t="s">
        <v>1886</v>
      </c>
      <c r="H806" t="s">
        <v>1887</v>
      </c>
      <c r="I806" t="s">
        <v>22</v>
      </c>
      <c r="J806" t="s">
        <v>23</v>
      </c>
      <c r="K806" t="s">
        <v>142</v>
      </c>
      <c r="L806" t="s">
        <v>143</v>
      </c>
      <c r="M806">
        <v>19140</v>
      </c>
      <c r="N806" t="s">
        <v>144</v>
      </c>
      <c r="O806" t="s">
        <v>2525</v>
      </c>
      <c r="P806" t="s">
        <v>42</v>
      </c>
      <c r="Q806" t="s">
        <v>71</v>
      </c>
      <c r="R806" t="s">
        <v>2526</v>
      </c>
      <c r="S806">
        <v>3.1680000000000001</v>
      </c>
    </row>
    <row r="807" spans="1:19" x14ac:dyDescent="0.35">
      <c r="A807">
        <v>820</v>
      </c>
      <c r="B807" t="s">
        <v>2524</v>
      </c>
      <c r="C807" s="1">
        <v>42183</v>
      </c>
      <c r="D807" s="1">
        <v>42187</v>
      </c>
      <c r="E807" s="1" t="str">
        <f t="shared" si="12"/>
        <v>FAST</v>
      </c>
      <c r="F807" t="s">
        <v>46</v>
      </c>
      <c r="G807" t="s">
        <v>1886</v>
      </c>
      <c r="H807" t="s">
        <v>1887</v>
      </c>
      <c r="I807" t="s">
        <v>22</v>
      </c>
      <c r="J807" t="s">
        <v>23</v>
      </c>
      <c r="K807" t="s">
        <v>142</v>
      </c>
      <c r="L807" t="s">
        <v>143</v>
      </c>
      <c r="M807">
        <v>19140</v>
      </c>
      <c r="N807" t="s">
        <v>144</v>
      </c>
      <c r="O807" t="s">
        <v>2527</v>
      </c>
      <c r="P807" t="s">
        <v>28</v>
      </c>
      <c r="Q807" t="s">
        <v>32</v>
      </c>
      <c r="R807" t="s">
        <v>2528</v>
      </c>
      <c r="S807">
        <v>1228.4649999999999</v>
      </c>
    </row>
    <row r="808" spans="1:19" x14ac:dyDescent="0.35">
      <c r="A808">
        <v>821</v>
      </c>
      <c r="B808" t="s">
        <v>2524</v>
      </c>
      <c r="C808" s="1">
        <v>42183</v>
      </c>
      <c r="D808" s="1">
        <v>42187</v>
      </c>
      <c r="E808" s="1" t="str">
        <f t="shared" si="12"/>
        <v>FAST</v>
      </c>
      <c r="F808" t="s">
        <v>46</v>
      </c>
      <c r="G808" t="s">
        <v>1886</v>
      </c>
      <c r="H808" t="s">
        <v>1887</v>
      </c>
      <c r="I808" t="s">
        <v>22</v>
      </c>
      <c r="J808" t="s">
        <v>23</v>
      </c>
      <c r="K808" t="s">
        <v>142</v>
      </c>
      <c r="L808" t="s">
        <v>143</v>
      </c>
      <c r="M808">
        <v>19140</v>
      </c>
      <c r="N808" t="s">
        <v>144</v>
      </c>
      <c r="O808" t="s">
        <v>2529</v>
      </c>
      <c r="P808" t="s">
        <v>42</v>
      </c>
      <c r="Q808" t="s">
        <v>71</v>
      </c>
      <c r="R808" t="s">
        <v>2530</v>
      </c>
      <c r="S808">
        <v>31.085999999999999</v>
      </c>
    </row>
    <row r="809" spans="1:19" x14ac:dyDescent="0.35">
      <c r="A809">
        <v>822</v>
      </c>
      <c r="B809" t="s">
        <v>2524</v>
      </c>
      <c r="C809" s="1">
        <v>42183</v>
      </c>
      <c r="D809" s="1">
        <v>42187</v>
      </c>
      <c r="E809" s="1" t="str">
        <f t="shared" si="12"/>
        <v>FAST</v>
      </c>
      <c r="F809" t="s">
        <v>46</v>
      </c>
      <c r="G809" t="s">
        <v>1886</v>
      </c>
      <c r="H809" t="s">
        <v>1887</v>
      </c>
      <c r="I809" t="s">
        <v>22</v>
      </c>
      <c r="J809" t="s">
        <v>23</v>
      </c>
      <c r="K809" t="s">
        <v>142</v>
      </c>
      <c r="L809" t="s">
        <v>143</v>
      </c>
      <c r="M809">
        <v>19140</v>
      </c>
      <c r="N809" t="s">
        <v>144</v>
      </c>
      <c r="O809" t="s">
        <v>2531</v>
      </c>
      <c r="P809" t="s">
        <v>42</v>
      </c>
      <c r="Q809" t="s">
        <v>86</v>
      </c>
      <c r="R809" t="s">
        <v>2532</v>
      </c>
      <c r="S809">
        <v>335.52</v>
      </c>
    </row>
    <row r="810" spans="1:19" x14ac:dyDescent="0.35">
      <c r="A810">
        <v>823</v>
      </c>
      <c r="B810" t="s">
        <v>2533</v>
      </c>
      <c r="C810" s="1">
        <v>43271</v>
      </c>
      <c r="D810" s="1">
        <v>43278</v>
      </c>
      <c r="E810" s="1" t="str">
        <f t="shared" si="12"/>
        <v>FAST</v>
      </c>
      <c r="F810" t="s">
        <v>46</v>
      </c>
      <c r="G810" t="s">
        <v>2534</v>
      </c>
      <c r="H810" t="s">
        <v>2535</v>
      </c>
      <c r="I810" t="s">
        <v>22</v>
      </c>
      <c r="J810" t="s">
        <v>23</v>
      </c>
      <c r="K810" t="s">
        <v>1081</v>
      </c>
      <c r="L810" t="s">
        <v>775</v>
      </c>
      <c r="M810">
        <v>7109</v>
      </c>
      <c r="N810" t="s">
        <v>144</v>
      </c>
      <c r="O810" t="s">
        <v>2536</v>
      </c>
      <c r="P810" t="s">
        <v>67</v>
      </c>
      <c r="Q810" t="s">
        <v>157</v>
      </c>
      <c r="R810" t="s">
        <v>2537</v>
      </c>
      <c r="S810">
        <v>239.97</v>
      </c>
    </row>
    <row r="811" spans="1:19" x14ac:dyDescent="0.35">
      <c r="A811">
        <v>824</v>
      </c>
      <c r="B811" t="s">
        <v>2533</v>
      </c>
      <c r="C811" s="1">
        <v>43271</v>
      </c>
      <c r="D811" s="1">
        <v>43278</v>
      </c>
      <c r="E811" s="1" t="str">
        <f t="shared" si="12"/>
        <v>FAST</v>
      </c>
      <c r="F811" t="s">
        <v>46</v>
      </c>
      <c r="G811" t="s">
        <v>2534</v>
      </c>
      <c r="H811" t="s">
        <v>2535</v>
      </c>
      <c r="I811" t="s">
        <v>22</v>
      </c>
      <c r="J811" t="s">
        <v>23</v>
      </c>
      <c r="K811" t="s">
        <v>1081</v>
      </c>
      <c r="L811" t="s">
        <v>775</v>
      </c>
      <c r="M811">
        <v>7109</v>
      </c>
      <c r="N811" t="s">
        <v>144</v>
      </c>
      <c r="O811" t="s">
        <v>2339</v>
      </c>
      <c r="P811" t="s">
        <v>42</v>
      </c>
      <c r="Q811" t="s">
        <v>43</v>
      </c>
      <c r="R811" t="s">
        <v>2340</v>
      </c>
      <c r="S811">
        <v>9.82</v>
      </c>
    </row>
    <row r="812" spans="1:19" x14ac:dyDescent="0.35">
      <c r="A812">
        <v>825</v>
      </c>
      <c r="B812" t="s">
        <v>2538</v>
      </c>
      <c r="C812" s="1">
        <v>42133</v>
      </c>
      <c r="D812" s="1">
        <v>42139</v>
      </c>
      <c r="E812" s="1" t="str">
        <f t="shared" si="12"/>
        <v>FAST</v>
      </c>
      <c r="F812" t="s">
        <v>46</v>
      </c>
      <c r="G812" t="s">
        <v>2539</v>
      </c>
      <c r="H812" t="s">
        <v>2540</v>
      </c>
      <c r="I812" t="s">
        <v>22</v>
      </c>
      <c r="J812" t="s">
        <v>23</v>
      </c>
      <c r="K812" t="s">
        <v>123</v>
      </c>
      <c r="L812" t="s">
        <v>39</v>
      </c>
      <c r="M812">
        <v>94110</v>
      </c>
      <c r="N812" t="s">
        <v>40</v>
      </c>
      <c r="O812" t="s">
        <v>2541</v>
      </c>
      <c r="P812" t="s">
        <v>67</v>
      </c>
      <c r="Q812" t="s">
        <v>157</v>
      </c>
      <c r="R812" t="s">
        <v>2542</v>
      </c>
      <c r="S812">
        <v>67.8</v>
      </c>
    </row>
    <row r="813" spans="1:19" x14ac:dyDescent="0.35">
      <c r="A813">
        <v>826</v>
      </c>
      <c r="B813" t="s">
        <v>2538</v>
      </c>
      <c r="C813" s="1">
        <v>42133</v>
      </c>
      <c r="D813" s="1">
        <v>42139</v>
      </c>
      <c r="E813" s="1" t="str">
        <f t="shared" si="12"/>
        <v>FAST</v>
      </c>
      <c r="F813" t="s">
        <v>46</v>
      </c>
      <c r="G813" t="s">
        <v>2539</v>
      </c>
      <c r="H813" t="s">
        <v>2540</v>
      </c>
      <c r="I813" t="s">
        <v>22</v>
      </c>
      <c r="J813" t="s">
        <v>23</v>
      </c>
      <c r="K813" t="s">
        <v>123</v>
      </c>
      <c r="L813" t="s">
        <v>39</v>
      </c>
      <c r="M813">
        <v>94110</v>
      </c>
      <c r="N813" t="s">
        <v>40</v>
      </c>
      <c r="O813" t="s">
        <v>843</v>
      </c>
      <c r="P813" t="s">
        <v>67</v>
      </c>
      <c r="Q813" t="s">
        <v>157</v>
      </c>
      <c r="R813" t="s">
        <v>844</v>
      </c>
      <c r="S813">
        <v>167.97</v>
      </c>
    </row>
    <row r="814" spans="1:19" x14ac:dyDescent="0.35">
      <c r="A814">
        <v>827</v>
      </c>
      <c r="B814" t="s">
        <v>2543</v>
      </c>
      <c r="C814" s="1">
        <v>43333</v>
      </c>
      <c r="D814" s="1">
        <v>43340</v>
      </c>
      <c r="E814" s="1" t="str">
        <f t="shared" si="12"/>
        <v>FAST</v>
      </c>
      <c r="F814" t="s">
        <v>46</v>
      </c>
      <c r="G814" t="s">
        <v>1858</v>
      </c>
      <c r="H814" t="s">
        <v>1859</v>
      </c>
      <c r="I814" t="s">
        <v>22</v>
      </c>
      <c r="J814" t="s">
        <v>23</v>
      </c>
      <c r="K814" t="s">
        <v>920</v>
      </c>
      <c r="L814" t="s">
        <v>223</v>
      </c>
      <c r="M814">
        <v>55044</v>
      </c>
      <c r="N814" t="s">
        <v>101</v>
      </c>
      <c r="O814" t="s">
        <v>2544</v>
      </c>
      <c r="P814" t="s">
        <v>42</v>
      </c>
      <c r="Q814" t="s">
        <v>263</v>
      </c>
      <c r="R814" t="s">
        <v>2545</v>
      </c>
      <c r="S814">
        <v>35</v>
      </c>
    </row>
    <row r="815" spans="1:19" x14ac:dyDescent="0.35">
      <c r="A815">
        <v>828</v>
      </c>
      <c r="B815" t="s">
        <v>2543</v>
      </c>
      <c r="C815" s="1">
        <v>43333</v>
      </c>
      <c r="D815" s="1">
        <v>43340</v>
      </c>
      <c r="E815" s="1" t="str">
        <f t="shared" si="12"/>
        <v>FAST</v>
      </c>
      <c r="F815" t="s">
        <v>46</v>
      </c>
      <c r="G815" t="s">
        <v>1858</v>
      </c>
      <c r="H815" t="s">
        <v>1859</v>
      </c>
      <c r="I815" t="s">
        <v>22</v>
      </c>
      <c r="J815" t="s">
        <v>23</v>
      </c>
      <c r="K815" t="s">
        <v>920</v>
      </c>
      <c r="L815" t="s">
        <v>223</v>
      </c>
      <c r="M815">
        <v>55044</v>
      </c>
      <c r="N815" t="s">
        <v>101</v>
      </c>
      <c r="O815" t="s">
        <v>2546</v>
      </c>
      <c r="P815" t="s">
        <v>42</v>
      </c>
      <c r="Q815" t="s">
        <v>566</v>
      </c>
      <c r="R815" t="s">
        <v>2547</v>
      </c>
      <c r="S815">
        <v>37.24</v>
      </c>
    </row>
    <row r="816" spans="1:19" x14ac:dyDescent="0.35">
      <c r="A816">
        <v>829</v>
      </c>
      <c r="B816" t="s">
        <v>2543</v>
      </c>
      <c r="C816" s="1">
        <v>43333</v>
      </c>
      <c r="D816" s="1">
        <v>43340</v>
      </c>
      <c r="E816" s="1" t="str">
        <f t="shared" si="12"/>
        <v>FAST</v>
      </c>
      <c r="F816" t="s">
        <v>46</v>
      </c>
      <c r="G816" t="s">
        <v>1858</v>
      </c>
      <c r="H816" t="s">
        <v>1859</v>
      </c>
      <c r="I816" t="s">
        <v>22</v>
      </c>
      <c r="J816" t="s">
        <v>23</v>
      </c>
      <c r="K816" t="s">
        <v>920</v>
      </c>
      <c r="L816" t="s">
        <v>223</v>
      </c>
      <c r="M816">
        <v>55044</v>
      </c>
      <c r="N816" t="s">
        <v>101</v>
      </c>
      <c r="O816" t="s">
        <v>2548</v>
      </c>
      <c r="P816" t="s">
        <v>42</v>
      </c>
      <c r="Q816" t="s">
        <v>169</v>
      </c>
      <c r="R816" t="s">
        <v>2549</v>
      </c>
      <c r="S816">
        <v>15.28</v>
      </c>
    </row>
    <row r="817" spans="1:19" x14ac:dyDescent="0.35">
      <c r="A817">
        <v>830</v>
      </c>
      <c r="B817" t="s">
        <v>2550</v>
      </c>
      <c r="C817" s="1">
        <v>43267</v>
      </c>
      <c r="D817" s="1">
        <v>43272</v>
      </c>
      <c r="E817" s="1" t="str">
        <f t="shared" si="12"/>
        <v>SLOW</v>
      </c>
      <c r="F817" t="s">
        <v>19</v>
      </c>
      <c r="G817" t="s">
        <v>326</v>
      </c>
      <c r="H817" t="s">
        <v>327</v>
      </c>
      <c r="I817" t="s">
        <v>22</v>
      </c>
      <c r="J817" t="s">
        <v>23</v>
      </c>
      <c r="K817" t="s">
        <v>2551</v>
      </c>
      <c r="L817" t="s">
        <v>25</v>
      </c>
      <c r="M817">
        <v>41042</v>
      </c>
      <c r="N817" t="s">
        <v>26</v>
      </c>
      <c r="O817" t="s">
        <v>2552</v>
      </c>
      <c r="P817" t="s">
        <v>28</v>
      </c>
      <c r="Q817" t="s">
        <v>32</v>
      </c>
      <c r="R817" t="s">
        <v>2553</v>
      </c>
      <c r="S817">
        <v>301.95999999999998</v>
      </c>
    </row>
    <row r="818" spans="1:19" x14ac:dyDescent="0.35">
      <c r="A818">
        <v>831</v>
      </c>
      <c r="B818" t="s">
        <v>2550</v>
      </c>
      <c r="C818" s="1">
        <v>43267</v>
      </c>
      <c r="D818" s="1">
        <v>43272</v>
      </c>
      <c r="E818" s="1" t="str">
        <f t="shared" si="12"/>
        <v>SLOW</v>
      </c>
      <c r="F818" t="s">
        <v>19</v>
      </c>
      <c r="G818" t="s">
        <v>326</v>
      </c>
      <c r="H818" t="s">
        <v>327</v>
      </c>
      <c r="I818" t="s">
        <v>22</v>
      </c>
      <c r="J818" t="s">
        <v>23</v>
      </c>
      <c r="K818" t="s">
        <v>2551</v>
      </c>
      <c r="L818" t="s">
        <v>25</v>
      </c>
      <c r="M818">
        <v>41042</v>
      </c>
      <c r="N818" t="s">
        <v>26</v>
      </c>
      <c r="O818" t="s">
        <v>2554</v>
      </c>
      <c r="P818" t="s">
        <v>42</v>
      </c>
      <c r="Q818" t="s">
        <v>74</v>
      </c>
      <c r="R818" t="s">
        <v>2555</v>
      </c>
      <c r="S818">
        <v>180.66</v>
      </c>
    </row>
    <row r="819" spans="1:19" x14ac:dyDescent="0.35">
      <c r="A819">
        <v>832</v>
      </c>
      <c r="B819" t="s">
        <v>2550</v>
      </c>
      <c r="C819" s="1">
        <v>43267</v>
      </c>
      <c r="D819" s="1">
        <v>43272</v>
      </c>
      <c r="E819" s="1" t="str">
        <f t="shared" si="12"/>
        <v>SLOW</v>
      </c>
      <c r="F819" t="s">
        <v>19</v>
      </c>
      <c r="G819" t="s">
        <v>326</v>
      </c>
      <c r="H819" t="s">
        <v>327</v>
      </c>
      <c r="I819" t="s">
        <v>22</v>
      </c>
      <c r="J819" t="s">
        <v>23</v>
      </c>
      <c r="K819" t="s">
        <v>2551</v>
      </c>
      <c r="L819" t="s">
        <v>25</v>
      </c>
      <c r="M819">
        <v>41042</v>
      </c>
      <c r="N819" t="s">
        <v>26</v>
      </c>
      <c r="O819" t="s">
        <v>2556</v>
      </c>
      <c r="P819" t="s">
        <v>67</v>
      </c>
      <c r="Q819" t="s">
        <v>68</v>
      </c>
      <c r="R819" t="s">
        <v>2557</v>
      </c>
      <c r="S819">
        <v>191.98</v>
      </c>
    </row>
    <row r="820" spans="1:19" x14ac:dyDescent="0.35">
      <c r="A820">
        <v>833</v>
      </c>
      <c r="B820" t="s">
        <v>2550</v>
      </c>
      <c r="C820" s="1">
        <v>43267</v>
      </c>
      <c r="D820" s="1">
        <v>43272</v>
      </c>
      <c r="E820" s="1" t="str">
        <f t="shared" si="12"/>
        <v>SLOW</v>
      </c>
      <c r="F820" t="s">
        <v>19</v>
      </c>
      <c r="G820" t="s">
        <v>326</v>
      </c>
      <c r="H820" t="s">
        <v>327</v>
      </c>
      <c r="I820" t="s">
        <v>22</v>
      </c>
      <c r="J820" t="s">
        <v>23</v>
      </c>
      <c r="K820" t="s">
        <v>2551</v>
      </c>
      <c r="L820" t="s">
        <v>25</v>
      </c>
      <c r="M820">
        <v>41042</v>
      </c>
      <c r="N820" t="s">
        <v>26</v>
      </c>
      <c r="O820" t="s">
        <v>2558</v>
      </c>
      <c r="P820" t="s">
        <v>67</v>
      </c>
      <c r="Q820" t="s">
        <v>68</v>
      </c>
      <c r="R820" t="s">
        <v>2559</v>
      </c>
      <c r="S820">
        <v>65.989999999999995</v>
      </c>
    </row>
    <row r="821" spans="1:19" x14ac:dyDescent="0.35">
      <c r="A821">
        <v>834</v>
      </c>
      <c r="B821" t="s">
        <v>2560</v>
      </c>
      <c r="C821" s="1">
        <v>42939</v>
      </c>
      <c r="D821" s="1">
        <v>42943</v>
      </c>
      <c r="E821" s="1" t="str">
        <f t="shared" si="12"/>
        <v>FAST</v>
      </c>
      <c r="F821" t="s">
        <v>46</v>
      </c>
      <c r="G821" t="s">
        <v>693</v>
      </c>
      <c r="H821" t="s">
        <v>694</v>
      </c>
      <c r="I821" t="s">
        <v>37</v>
      </c>
      <c r="J821" t="s">
        <v>23</v>
      </c>
      <c r="K821" t="s">
        <v>887</v>
      </c>
      <c r="L821" t="s">
        <v>50</v>
      </c>
      <c r="M821">
        <v>33614</v>
      </c>
      <c r="N821" t="s">
        <v>26</v>
      </c>
      <c r="O821" t="s">
        <v>2561</v>
      </c>
      <c r="P821" t="s">
        <v>42</v>
      </c>
      <c r="Q821" t="s">
        <v>64</v>
      </c>
      <c r="R821" t="s">
        <v>2562</v>
      </c>
      <c r="S821">
        <v>35.216000000000001</v>
      </c>
    </row>
    <row r="822" spans="1:19" x14ac:dyDescent="0.35">
      <c r="A822">
        <v>835</v>
      </c>
      <c r="B822" t="s">
        <v>2560</v>
      </c>
      <c r="C822" s="1">
        <v>42939</v>
      </c>
      <c r="D822" s="1">
        <v>42943</v>
      </c>
      <c r="E822" s="1" t="str">
        <f t="shared" si="12"/>
        <v>FAST</v>
      </c>
      <c r="F822" t="s">
        <v>46</v>
      </c>
      <c r="G822" t="s">
        <v>693</v>
      </c>
      <c r="H822" t="s">
        <v>694</v>
      </c>
      <c r="I822" t="s">
        <v>37</v>
      </c>
      <c r="J822" t="s">
        <v>23</v>
      </c>
      <c r="K822" t="s">
        <v>887</v>
      </c>
      <c r="L822" t="s">
        <v>50</v>
      </c>
      <c r="M822">
        <v>33614</v>
      </c>
      <c r="N822" t="s">
        <v>26</v>
      </c>
      <c r="O822" t="s">
        <v>2563</v>
      </c>
      <c r="P822" t="s">
        <v>42</v>
      </c>
      <c r="Q822" t="s">
        <v>74</v>
      </c>
      <c r="R822" t="s">
        <v>2564</v>
      </c>
      <c r="S822">
        <v>23.696000000000002</v>
      </c>
    </row>
    <row r="823" spans="1:19" x14ac:dyDescent="0.35">
      <c r="A823">
        <v>836</v>
      </c>
      <c r="B823" t="s">
        <v>2560</v>
      </c>
      <c r="C823" s="1">
        <v>42939</v>
      </c>
      <c r="D823" s="1">
        <v>42943</v>
      </c>
      <c r="E823" s="1" t="str">
        <f t="shared" si="12"/>
        <v>FAST</v>
      </c>
      <c r="F823" t="s">
        <v>46</v>
      </c>
      <c r="G823" t="s">
        <v>693</v>
      </c>
      <c r="H823" t="s">
        <v>694</v>
      </c>
      <c r="I823" t="s">
        <v>37</v>
      </c>
      <c r="J823" t="s">
        <v>23</v>
      </c>
      <c r="K823" t="s">
        <v>887</v>
      </c>
      <c r="L823" t="s">
        <v>50</v>
      </c>
      <c r="M823">
        <v>33614</v>
      </c>
      <c r="N823" t="s">
        <v>26</v>
      </c>
      <c r="O823" t="s">
        <v>2565</v>
      </c>
      <c r="P823" t="s">
        <v>67</v>
      </c>
      <c r="Q823" t="s">
        <v>671</v>
      </c>
      <c r="R823" t="s">
        <v>2566</v>
      </c>
      <c r="S823">
        <v>265.47500000000002</v>
      </c>
    </row>
    <row r="824" spans="1:19" x14ac:dyDescent="0.35">
      <c r="A824">
        <v>837</v>
      </c>
      <c r="B824" t="s">
        <v>2567</v>
      </c>
      <c r="C824" s="1">
        <v>42255</v>
      </c>
      <c r="D824" s="1">
        <v>42260</v>
      </c>
      <c r="E824" s="1" t="str">
        <f t="shared" si="12"/>
        <v>SLOW</v>
      </c>
      <c r="F824" t="s">
        <v>19</v>
      </c>
      <c r="G824" t="s">
        <v>2390</v>
      </c>
      <c r="H824" t="s">
        <v>2391</v>
      </c>
      <c r="I824" t="s">
        <v>22</v>
      </c>
      <c r="J824" t="s">
        <v>23</v>
      </c>
      <c r="K824" t="s">
        <v>2180</v>
      </c>
      <c r="L824" t="s">
        <v>100</v>
      </c>
      <c r="M824">
        <v>75701</v>
      </c>
      <c r="N824" t="s">
        <v>101</v>
      </c>
      <c r="O824" t="s">
        <v>2568</v>
      </c>
      <c r="P824" t="s">
        <v>42</v>
      </c>
      <c r="Q824" t="s">
        <v>71</v>
      </c>
      <c r="R824" t="s">
        <v>2569</v>
      </c>
      <c r="S824">
        <v>51.183999999999997</v>
      </c>
    </row>
    <row r="825" spans="1:19" x14ac:dyDescent="0.35">
      <c r="A825">
        <v>838</v>
      </c>
      <c r="B825" t="s">
        <v>2570</v>
      </c>
      <c r="C825" s="1">
        <v>43408</v>
      </c>
      <c r="D825" s="1">
        <v>43415</v>
      </c>
      <c r="E825" s="1" t="str">
        <f t="shared" si="12"/>
        <v>FAST</v>
      </c>
      <c r="F825" t="s">
        <v>46</v>
      </c>
      <c r="G825" t="s">
        <v>2571</v>
      </c>
      <c r="H825" t="s">
        <v>2572</v>
      </c>
      <c r="I825" t="s">
        <v>98</v>
      </c>
      <c r="J825" t="s">
        <v>23</v>
      </c>
      <c r="K825" t="s">
        <v>372</v>
      </c>
      <c r="L825" t="s">
        <v>329</v>
      </c>
      <c r="M825">
        <v>38401</v>
      </c>
      <c r="N825" t="s">
        <v>26</v>
      </c>
      <c r="O825" t="s">
        <v>2573</v>
      </c>
      <c r="P825" t="s">
        <v>42</v>
      </c>
      <c r="Q825" t="s">
        <v>86</v>
      </c>
      <c r="R825" t="s">
        <v>2574</v>
      </c>
      <c r="S825">
        <v>9.6639999999999997</v>
      </c>
    </row>
    <row r="826" spans="1:19" x14ac:dyDescent="0.35">
      <c r="A826">
        <v>839</v>
      </c>
      <c r="B826" t="s">
        <v>2575</v>
      </c>
      <c r="C826" s="1">
        <v>42801</v>
      </c>
      <c r="D826" s="1">
        <v>42806</v>
      </c>
      <c r="E826" s="1" t="str">
        <f t="shared" si="12"/>
        <v>FAST</v>
      </c>
      <c r="F826" t="s">
        <v>46</v>
      </c>
      <c r="G826" t="s">
        <v>1556</v>
      </c>
      <c r="H826" t="s">
        <v>1557</v>
      </c>
      <c r="I826" t="s">
        <v>37</v>
      </c>
      <c r="J826" t="s">
        <v>23</v>
      </c>
      <c r="K826" t="s">
        <v>99</v>
      </c>
      <c r="L826" t="s">
        <v>100</v>
      </c>
      <c r="M826">
        <v>76106</v>
      </c>
      <c r="N826" t="s">
        <v>101</v>
      </c>
      <c r="O826" t="s">
        <v>1553</v>
      </c>
      <c r="P826" t="s">
        <v>67</v>
      </c>
      <c r="Q826" t="s">
        <v>68</v>
      </c>
      <c r="R826" t="s">
        <v>1554</v>
      </c>
      <c r="S826">
        <v>21.071999999999999</v>
      </c>
    </row>
    <row r="827" spans="1:19" x14ac:dyDescent="0.35">
      <c r="A827">
        <v>840</v>
      </c>
      <c r="B827" t="s">
        <v>2576</v>
      </c>
      <c r="C827" s="1">
        <v>42694</v>
      </c>
      <c r="D827" s="1">
        <v>42699</v>
      </c>
      <c r="E827" s="1" t="str">
        <f t="shared" si="12"/>
        <v>FAST</v>
      </c>
      <c r="F827" t="s">
        <v>46</v>
      </c>
      <c r="G827" t="s">
        <v>2577</v>
      </c>
      <c r="H827" t="s">
        <v>2578</v>
      </c>
      <c r="I827" t="s">
        <v>37</v>
      </c>
      <c r="J827" t="s">
        <v>23</v>
      </c>
      <c r="K827" t="s">
        <v>260</v>
      </c>
      <c r="L827" t="s">
        <v>261</v>
      </c>
      <c r="M827">
        <v>10035</v>
      </c>
      <c r="N827" t="s">
        <v>144</v>
      </c>
      <c r="O827" t="s">
        <v>2417</v>
      </c>
      <c r="P827" t="s">
        <v>42</v>
      </c>
      <c r="Q827" t="s">
        <v>64</v>
      </c>
      <c r="R827" t="s">
        <v>2418</v>
      </c>
      <c r="S827">
        <v>60.45</v>
      </c>
    </row>
    <row r="828" spans="1:19" x14ac:dyDescent="0.35">
      <c r="A828">
        <v>841</v>
      </c>
      <c r="B828" t="s">
        <v>2576</v>
      </c>
      <c r="C828" s="1">
        <v>42694</v>
      </c>
      <c r="D828" s="1">
        <v>42699</v>
      </c>
      <c r="E828" s="1" t="str">
        <f t="shared" si="12"/>
        <v>FAST</v>
      </c>
      <c r="F828" t="s">
        <v>46</v>
      </c>
      <c r="G828" t="s">
        <v>2577</v>
      </c>
      <c r="H828" t="s">
        <v>2578</v>
      </c>
      <c r="I828" t="s">
        <v>37</v>
      </c>
      <c r="J828" t="s">
        <v>23</v>
      </c>
      <c r="K828" t="s">
        <v>260</v>
      </c>
      <c r="L828" t="s">
        <v>261</v>
      </c>
      <c r="M828">
        <v>10035</v>
      </c>
      <c r="N828" t="s">
        <v>144</v>
      </c>
      <c r="O828" t="s">
        <v>2579</v>
      </c>
      <c r="P828" t="s">
        <v>42</v>
      </c>
      <c r="Q828" t="s">
        <v>64</v>
      </c>
      <c r="R828" t="s">
        <v>2580</v>
      </c>
      <c r="S828">
        <v>11.52</v>
      </c>
    </row>
    <row r="829" spans="1:19" x14ac:dyDescent="0.35">
      <c r="A829">
        <v>842</v>
      </c>
      <c r="B829" t="s">
        <v>2576</v>
      </c>
      <c r="C829" s="1">
        <v>42694</v>
      </c>
      <c r="D829" s="1">
        <v>42699</v>
      </c>
      <c r="E829" s="1" t="str">
        <f t="shared" si="12"/>
        <v>FAST</v>
      </c>
      <c r="F829" t="s">
        <v>46</v>
      </c>
      <c r="G829" t="s">
        <v>2577</v>
      </c>
      <c r="H829" t="s">
        <v>2578</v>
      </c>
      <c r="I829" t="s">
        <v>37</v>
      </c>
      <c r="J829" t="s">
        <v>23</v>
      </c>
      <c r="K829" t="s">
        <v>260</v>
      </c>
      <c r="L829" t="s">
        <v>261</v>
      </c>
      <c r="M829">
        <v>10035</v>
      </c>
      <c r="N829" t="s">
        <v>144</v>
      </c>
      <c r="O829" t="s">
        <v>2581</v>
      </c>
      <c r="P829" t="s">
        <v>28</v>
      </c>
      <c r="Q829" t="s">
        <v>29</v>
      </c>
      <c r="R829" t="s">
        <v>2582</v>
      </c>
      <c r="S829">
        <v>186.048</v>
      </c>
    </row>
    <row r="830" spans="1:19" x14ac:dyDescent="0.35">
      <c r="A830">
        <v>843</v>
      </c>
      <c r="B830" t="s">
        <v>2583</v>
      </c>
      <c r="C830" s="1">
        <v>43046</v>
      </c>
      <c r="D830" s="1">
        <v>43048</v>
      </c>
      <c r="E830" s="1" t="str">
        <f t="shared" si="12"/>
        <v>MODERATE</v>
      </c>
      <c r="F830" t="s">
        <v>184</v>
      </c>
      <c r="G830" t="s">
        <v>2584</v>
      </c>
      <c r="H830" t="s">
        <v>2585</v>
      </c>
      <c r="I830" t="s">
        <v>37</v>
      </c>
      <c r="J830" t="s">
        <v>23</v>
      </c>
      <c r="K830" t="s">
        <v>38</v>
      </c>
      <c r="L830" t="s">
        <v>39</v>
      </c>
      <c r="M830">
        <v>90036</v>
      </c>
      <c r="N830" t="s">
        <v>40</v>
      </c>
      <c r="O830" t="s">
        <v>2586</v>
      </c>
      <c r="P830" t="s">
        <v>42</v>
      </c>
      <c r="Q830" t="s">
        <v>71</v>
      </c>
      <c r="R830" t="s">
        <v>2587</v>
      </c>
      <c r="S830">
        <v>37.44</v>
      </c>
    </row>
    <row r="831" spans="1:19" x14ac:dyDescent="0.35">
      <c r="A831">
        <v>844</v>
      </c>
      <c r="B831" t="s">
        <v>2583</v>
      </c>
      <c r="C831" s="1">
        <v>43046</v>
      </c>
      <c r="D831" s="1">
        <v>43048</v>
      </c>
      <c r="E831" s="1" t="str">
        <f t="shared" si="12"/>
        <v>MODERATE</v>
      </c>
      <c r="F831" t="s">
        <v>184</v>
      </c>
      <c r="G831" t="s">
        <v>2584</v>
      </c>
      <c r="H831" t="s">
        <v>2585</v>
      </c>
      <c r="I831" t="s">
        <v>37</v>
      </c>
      <c r="J831" t="s">
        <v>23</v>
      </c>
      <c r="K831" t="s">
        <v>38</v>
      </c>
      <c r="L831" t="s">
        <v>39</v>
      </c>
      <c r="M831">
        <v>90036</v>
      </c>
      <c r="N831" t="s">
        <v>40</v>
      </c>
      <c r="O831" t="s">
        <v>2588</v>
      </c>
      <c r="P831" t="s">
        <v>42</v>
      </c>
      <c r="Q831" t="s">
        <v>71</v>
      </c>
      <c r="R831" t="s">
        <v>2589</v>
      </c>
      <c r="S831">
        <v>26.975999999999999</v>
      </c>
    </row>
    <row r="832" spans="1:19" x14ac:dyDescent="0.35">
      <c r="A832">
        <v>845</v>
      </c>
      <c r="B832" t="s">
        <v>2583</v>
      </c>
      <c r="C832" s="1">
        <v>43046</v>
      </c>
      <c r="D832" s="1">
        <v>43048</v>
      </c>
      <c r="E832" s="1" t="str">
        <f t="shared" si="12"/>
        <v>MODERATE</v>
      </c>
      <c r="F832" t="s">
        <v>184</v>
      </c>
      <c r="G832" t="s">
        <v>2584</v>
      </c>
      <c r="H832" t="s">
        <v>2585</v>
      </c>
      <c r="I832" t="s">
        <v>37</v>
      </c>
      <c r="J832" t="s">
        <v>23</v>
      </c>
      <c r="K832" t="s">
        <v>38</v>
      </c>
      <c r="L832" t="s">
        <v>39</v>
      </c>
      <c r="M832">
        <v>90036</v>
      </c>
      <c r="N832" t="s">
        <v>40</v>
      </c>
      <c r="O832" t="s">
        <v>2590</v>
      </c>
      <c r="P832" t="s">
        <v>42</v>
      </c>
      <c r="Q832" t="s">
        <v>566</v>
      </c>
      <c r="R832" t="s">
        <v>2591</v>
      </c>
      <c r="S832">
        <v>11.36</v>
      </c>
    </row>
    <row r="833" spans="1:19" x14ac:dyDescent="0.35">
      <c r="A833">
        <v>846</v>
      </c>
      <c r="B833" t="s">
        <v>2583</v>
      </c>
      <c r="C833" s="1">
        <v>43046</v>
      </c>
      <c r="D833" s="1">
        <v>43048</v>
      </c>
      <c r="E833" s="1" t="str">
        <f t="shared" si="12"/>
        <v>MODERATE</v>
      </c>
      <c r="F833" t="s">
        <v>184</v>
      </c>
      <c r="G833" t="s">
        <v>2584</v>
      </c>
      <c r="H833" t="s">
        <v>2585</v>
      </c>
      <c r="I833" t="s">
        <v>37</v>
      </c>
      <c r="J833" t="s">
        <v>23</v>
      </c>
      <c r="K833" t="s">
        <v>38</v>
      </c>
      <c r="L833" t="s">
        <v>39</v>
      </c>
      <c r="M833">
        <v>90036</v>
      </c>
      <c r="N833" t="s">
        <v>40</v>
      </c>
      <c r="O833" t="s">
        <v>2592</v>
      </c>
      <c r="P833" t="s">
        <v>42</v>
      </c>
      <c r="Q833" t="s">
        <v>43</v>
      </c>
      <c r="R833" t="s">
        <v>2593</v>
      </c>
      <c r="S833">
        <v>14.62</v>
      </c>
    </row>
    <row r="834" spans="1:19" x14ac:dyDescent="0.35">
      <c r="A834">
        <v>847</v>
      </c>
      <c r="B834" t="s">
        <v>2594</v>
      </c>
      <c r="C834" s="1">
        <v>42656</v>
      </c>
      <c r="D834" s="1">
        <v>42660</v>
      </c>
      <c r="E834" s="1" t="str">
        <f t="shared" si="12"/>
        <v>FAST</v>
      </c>
      <c r="F834" t="s">
        <v>46</v>
      </c>
      <c r="G834" t="s">
        <v>2595</v>
      </c>
      <c r="H834" t="s">
        <v>2596</v>
      </c>
      <c r="I834" t="s">
        <v>22</v>
      </c>
      <c r="J834" t="s">
        <v>23</v>
      </c>
      <c r="K834" t="s">
        <v>1457</v>
      </c>
      <c r="L834" t="s">
        <v>25</v>
      </c>
      <c r="M834">
        <v>40214</v>
      </c>
      <c r="N834" t="s">
        <v>26</v>
      </c>
      <c r="O834" t="s">
        <v>755</v>
      </c>
      <c r="P834" t="s">
        <v>67</v>
      </c>
      <c r="Q834" t="s">
        <v>68</v>
      </c>
      <c r="R834" t="s">
        <v>756</v>
      </c>
      <c r="S834">
        <v>83.72</v>
      </c>
    </row>
    <row r="835" spans="1:19" x14ac:dyDescent="0.35">
      <c r="A835">
        <v>848</v>
      </c>
      <c r="B835" t="s">
        <v>2594</v>
      </c>
      <c r="C835" s="1">
        <v>42656</v>
      </c>
      <c r="D835" s="1">
        <v>42660</v>
      </c>
      <c r="E835" s="1" t="str">
        <f t="shared" ref="E835:E898" si="13">IF(F835="STANDARD CLASS","FAST",IF(F835="SECOND CLASS","SLOW","MODERATE"))</f>
        <v>FAST</v>
      </c>
      <c r="F835" t="s">
        <v>46</v>
      </c>
      <c r="G835" t="s">
        <v>2595</v>
      </c>
      <c r="H835" t="s">
        <v>2596</v>
      </c>
      <c r="I835" t="s">
        <v>22</v>
      </c>
      <c r="J835" t="s">
        <v>23</v>
      </c>
      <c r="K835" t="s">
        <v>1457</v>
      </c>
      <c r="L835" t="s">
        <v>25</v>
      </c>
      <c r="M835">
        <v>40214</v>
      </c>
      <c r="N835" t="s">
        <v>26</v>
      </c>
      <c r="O835" t="s">
        <v>1072</v>
      </c>
      <c r="P835" t="s">
        <v>28</v>
      </c>
      <c r="Q835" t="s">
        <v>32</v>
      </c>
      <c r="R835" t="s">
        <v>1073</v>
      </c>
      <c r="S835">
        <v>287.94</v>
      </c>
    </row>
    <row r="836" spans="1:19" x14ac:dyDescent="0.35">
      <c r="A836">
        <v>849</v>
      </c>
      <c r="B836" t="s">
        <v>2597</v>
      </c>
      <c r="C836" s="1">
        <v>43101</v>
      </c>
      <c r="D836" s="1">
        <v>43106</v>
      </c>
      <c r="E836" s="1" t="str">
        <f t="shared" si="13"/>
        <v>FAST</v>
      </c>
      <c r="F836" t="s">
        <v>46</v>
      </c>
      <c r="G836" t="s">
        <v>2598</v>
      </c>
      <c r="H836" t="s">
        <v>2599</v>
      </c>
      <c r="I836" t="s">
        <v>22</v>
      </c>
      <c r="J836" t="s">
        <v>23</v>
      </c>
      <c r="K836" t="s">
        <v>2600</v>
      </c>
      <c r="L836" t="s">
        <v>485</v>
      </c>
      <c r="M836">
        <v>44052</v>
      </c>
      <c r="N836" t="s">
        <v>144</v>
      </c>
      <c r="O836" t="s">
        <v>2601</v>
      </c>
      <c r="P836" t="s">
        <v>28</v>
      </c>
      <c r="Q836" t="s">
        <v>61</v>
      </c>
      <c r="R836" t="s">
        <v>2602</v>
      </c>
      <c r="S836">
        <v>48.896000000000001</v>
      </c>
    </row>
    <row r="837" spans="1:19" x14ac:dyDescent="0.35">
      <c r="A837">
        <v>850</v>
      </c>
      <c r="B837" t="s">
        <v>2603</v>
      </c>
      <c r="C837" s="1">
        <v>42042</v>
      </c>
      <c r="D837" s="1">
        <v>42047</v>
      </c>
      <c r="E837" s="1" t="str">
        <f t="shared" si="13"/>
        <v>FAST</v>
      </c>
      <c r="F837" t="s">
        <v>46</v>
      </c>
      <c r="G837" t="s">
        <v>2604</v>
      </c>
      <c r="H837" t="s">
        <v>2605</v>
      </c>
      <c r="I837" t="s">
        <v>37</v>
      </c>
      <c r="J837" t="s">
        <v>23</v>
      </c>
      <c r="K837" t="s">
        <v>2606</v>
      </c>
      <c r="L837" t="s">
        <v>775</v>
      </c>
      <c r="M837">
        <v>7036</v>
      </c>
      <c r="N837" t="s">
        <v>144</v>
      </c>
      <c r="O837" t="s">
        <v>2607</v>
      </c>
      <c r="P837" t="s">
        <v>67</v>
      </c>
      <c r="Q837" t="s">
        <v>157</v>
      </c>
      <c r="R837" t="s">
        <v>2608</v>
      </c>
      <c r="S837">
        <v>115.36</v>
      </c>
    </row>
    <row r="838" spans="1:19" x14ac:dyDescent="0.35">
      <c r="A838">
        <v>851</v>
      </c>
      <c r="B838" t="s">
        <v>2609</v>
      </c>
      <c r="C838" s="1">
        <v>42906</v>
      </c>
      <c r="D838" s="1">
        <v>42911</v>
      </c>
      <c r="E838" s="1" t="str">
        <f t="shared" si="13"/>
        <v>SLOW</v>
      </c>
      <c r="F838" t="s">
        <v>19</v>
      </c>
      <c r="G838" t="s">
        <v>2610</v>
      </c>
      <c r="H838" t="s">
        <v>2611</v>
      </c>
      <c r="I838" t="s">
        <v>37</v>
      </c>
      <c r="J838" t="s">
        <v>23</v>
      </c>
      <c r="K838" t="s">
        <v>2612</v>
      </c>
      <c r="L838" t="s">
        <v>39</v>
      </c>
      <c r="M838">
        <v>93905</v>
      </c>
      <c r="N838" t="s">
        <v>40</v>
      </c>
      <c r="O838" t="s">
        <v>2613</v>
      </c>
      <c r="P838" t="s">
        <v>42</v>
      </c>
      <c r="Q838" t="s">
        <v>64</v>
      </c>
      <c r="R838" t="s">
        <v>2614</v>
      </c>
      <c r="S838">
        <v>5.16</v>
      </c>
    </row>
    <row r="839" spans="1:19" x14ac:dyDescent="0.35">
      <c r="A839">
        <v>852</v>
      </c>
      <c r="B839" t="s">
        <v>2609</v>
      </c>
      <c r="C839" s="1">
        <v>42906</v>
      </c>
      <c r="D839" s="1">
        <v>42911</v>
      </c>
      <c r="E839" s="1" t="str">
        <f t="shared" si="13"/>
        <v>SLOW</v>
      </c>
      <c r="F839" t="s">
        <v>19</v>
      </c>
      <c r="G839" t="s">
        <v>2610</v>
      </c>
      <c r="H839" t="s">
        <v>2611</v>
      </c>
      <c r="I839" t="s">
        <v>37</v>
      </c>
      <c r="J839" t="s">
        <v>23</v>
      </c>
      <c r="K839" t="s">
        <v>2612</v>
      </c>
      <c r="L839" t="s">
        <v>39</v>
      </c>
      <c r="M839">
        <v>93905</v>
      </c>
      <c r="N839" t="s">
        <v>40</v>
      </c>
      <c r="O839" t="s">
        <v>2615</v>
      </c>
      <c r="P839" t="s">
        <v>42</v>
      </c>
      <c r="Q839" t="s">
        <v>86</v>
      </c>
      <c r="R839" t="s">
        <v>2616</v>
      </c>
      <c r="S839">
        <v>38.880000000000003</v>
      </c>
    </row>
    <row r="840" spans="1:19" x14ac:dyDescent="0.35">
      <c r="A840">
        <v>853</v>
      </c>
      <c r="B840" t="s">
        <v>2617</v>
      </c>
      <c r="C840" s="1">
        <v>42883</v>
      </c>
      <c r="D840" s="1">
        <v>42890</v>
      </c>
      <c r="E840" s="1" t="str">
        <f t="shared" si="13"/>
        <v>FAST</v>
      </c>
      <c r="F840" t="s">
        <v>46</v>
      </c>
      <c r="G840" t="s">
        <v>875</v>
      </c>
      <c r="H840" t="s">
        <v>876</v>
      </c>
      <c r="I840" t="s">
        <v>22</v>
      </c>
      <c r="J840" t="s">
        <v>23</v>
      </c>
      <c r="K840" t="s">
        <v>322</v>
      </c>
      <c r="L840" t="s">
        <v>1471</v>
      </c>
      <c r="M840">
        <v>39212</v>
      </c>
      <c r="N840" t="s">
        <v>26</v>
      </c>
      <c r="O840" t="s">
        <v>1147</v>
      </c>
      <c r="P840" t="s">
        <v>42</v>
      </c>
      <c r="Q840" t="s">
        <v>64</v>
      </c>
      <c r="R840" t="s">
        <v>1148</v>
      </c>
      <c r="S840">
        <v>185.88</v>
      </c>
    </row>
    <row r="841" spans="1:19" x14ac:dyDescent="0.35">
      <c r="A841">
        <v>854</v>
      </c>
      <c r="B841" t="s">
        <v>2618</v>
      </c>
      <c r="C841" s="1">
        <v>42785</v>
      </c>
      <c r="D841" s="1">
        <v>42790</v>
      </c>
      <c r="E841" s="1" t="str">
        <f t="shared" si="13"/>
        <v>FAST</v>
      </c>
      <c r="F841" t="s">
        <v>46</v>
      </c>
      <c r="G841" t="s">
        <v>1858</v>
      </c>
      <c r="H841" t="s">
        <v>1859</v>
      </c>
      <c r="I841" t="s">
        <v>22</v>
      </c>
      <c r="J841" t="s">
        <v>23</v>
      </c>
      <c r="K841" t="s">
        <v>260</v>
      </c>
      <c r="L841" t="s">
        <v>261</v>
      </c>
      <c r="M841">
        <v>10035</v>
      </c>
      <c r="N841" t="s">
        <v>144</v>
      </c>
      <c r="O841" t="s">
        <v>2481</v>
      </c>
      <c r="P841" t="s">
        <v>28</v>
      </c>
      <c r="Q841" t="s">
        <v>61</v>
      </c>
      <c r="R841" t="s">
        <v>2482</v>
      </c>
      <c r="S841">
        <v>44.46</v>
      </c>
    </row>
    <row r="842" spans="1:19" x14ac:dyDescent="0.35">
      <c r="A842">
        <v>855</v>
      </c>
      <c r="B842" t="s">
        <v>2618</v>
      </c>
      <c r="C842" s="1">
        <v>42785</v>
      </c>
      <c r="D842" s="1">
        <v>42790</v>
      </c>
      <c r="E842" s="1" t="str">
        <f t="shared" si="13"/>
        <v>FAST</v>
      </c>
      <c r="F842" t="s">
        <v>46</v>
      </c>
      <c r="G842" t="s">
        <v>1858</v>
      </c>
      <c r="H842" t="s">
        <v>1859</v>
      </c>
      <c r="I842" t="s">
        <v>22</v>
      </c>
      <c r="J842" t="s">
        <v>23</v>
      </c>
      <c r="K842" t="s">
        <v>260</v>
      </c>
      <c r="L842" t="s">
        <v>261</v>
      </c>
      <c r="M842">
        <v>10035</v>
      </c>
      <c r="N842" t="s">
        <v>144</v>
      </c>
      <c r="O842" t="s">
        <v>1754</v>
      </c>
      <c r="P842" t="s">
        <v>42</v>
      </c>
      <c r="Q842" t="s">
        <v>55</v>
      </c>
      <c r="R842" t="s">
        <v>1755</v>
      </c>
      <c r="S842">
        <v>242.94</v>
      </c>
    </row>
    <row r="843" spans="1:19" x14ac:dyDescent="0.35">
      <c r="A843">
        <v>856</v>
      </c>
      <c r="B843" t="s">
        <v>2619</v>
      </c>
      <c r="C843" s="1">
        <v>42219</v>
      </c>
      <c r="D843" s="1">
        <v>42224</v>
      </c>
      <c r="E843" s="1" t="str">
        <f t="shared" si="13"/>
        <v>FAST</v>
      </c>
      <c r="F843" t="s">
        <v>46</v>
      </c>
      <c r="G843" t="s">
        <v>2620</v>
      </c>
      <c r="H843" t="s">
        <v>2621</v>
      </c>
      <c r="I843" t="s">
        <v>22</v>
      </c>
      <c r="J843" t="s">
        <v>23</v>
      </c>
      <c r="K843" t="s">
        <v>260</v>
      </c>
      <c r="L843" t="s">
        <v>261</v>
      </c>
      <c r="M843">
        <v>10035</v>
      </c>
      <c r="N843" t="s">
        <v>144</v>
      </c>
      <c r="O843" t="s">
        <v>2622</v>
      </c>
      <c r="P843" t="s">
        <v>42</v>
      </c>
      <c r="Q843" t="s">
        <v>86</v>
      </c>
      <c r="R843" t="s">
        <v>2623</v>
      </c>
      <c r="S843">
        <v>39.96</v>
      </c>
    </row>
    <row r="844" spans="1:19" x14ac:dyDescent="0.35">
      <c r="A844">
        <v>857</v>
      </c>
      <c r="B844" t="s">
        <v>2619</v>
      </c>
      <c r="C844" s="1">
        <v>42219</v>
      </c>
      <c r="D844" s="1">
        <v>42224</v>
      </c>
      <c r="E844" s="1" t="str">
        <f t="shared" si="13"/>
        <v>FAST</v>
      </c>
      <c r="F844" t="s">
        <v>46</v>
      </c>
      <c r="G844" t="s">
        <v>2620</v>
      </c>
      <c r="H844" t="s">
        <v>2621</v>
      </c>
      <c r="I844" t="s">
        <v>22</v>
      </c>
      <c r="J844" t="s">
        <v>23</v>
      </c>
      <c r="K844" t="s">
        <v>260</v>
      </c>
      <c r="L844" t="s">
        <v>261</v>
      </c>
      <c r="M844">
        <v>10035</v>
      </c>
      <c r="N844" t="s">
        <v>144</v>
      </c>
      <c r="O844" t="s">
        <v>2624</v>
      </c>
      <c r="P844" t="s">
        <v>42</v>
      </c>
      <c r="Q844" t="s">
        <v>566</v>
      </c>
      <c r="R844" t="s">
        <v>2625</v>
      </c>
      <c r="S844">
        <v>102.3</v>
      </c>
    </row>
    <row r="845" spans="1:19" x14ac:dyDescent="0.35">
      <c r="A845">
        <v>858</v>
      </c>
      <c r="B845" t="s">
        <v>2619</v>
      </c>
      <c r="C845" s="1">
        <v>42219</v>
      </c>
      <c r="D845" s="1">
        <v>42224</v>
      </c>
      <c r="E845" s="1" t="str">
        <f t="shared" si="13"/>
        <v>FAST</v>
      </c>
      <c r="F845" t="s">
        <v>46</v>
      </c>
      <c r="G845" t="s">
        <v>2620</v>
      </c>
      <c r="H845" t="s">
        <v>2621</v>
      </c>
      <c r="I845" t="s">
        <v>22</v>
      </c>
      <c r="J845" t="s">
        <v>23</v>
      </c>
      <c r="K845" t="s">
        <v>260</v>
      </c>
      <c r="L845" t="s">
        <v>261</v>
      </c>
      <c r="M845">
        <v>10035</v>
      </c>
      <c r="N845" t="s">
        <v>144</v>
      </c>
      <c r="O845" t="s">
        <v>2626</v>
      </c>
      <c r="P845" t="s">
        <v>42</v>
      </c>
      <c r="Q845" t="s">
        <v>55</v>
      </c>
      <c r="R845" t="s">
        <v>2627</v>
      </c>
      <c r="S845">
        <v>21.36</v>
      </c>
    </row>
    <row r="846" spans="1:19" x14ac:dyDescent="0.35">
      <c r="A846">
        <v>859</v>
      </c>
      <c r="B846" t="s">
        <v>2628</v>
      </c>
      <c r="C846" s="1">
        <v>43200</v>
      </c>
      <c r="D846" s="1">
        <v>43205</v>
      </c>
      <c r="E846" s="1" t="str">
        <f t="shared" si="13"/>
        <v>FAST</v>
      </c>
      <c r="F846" t="s">
        <v>46</v>
      </c>
      <c r="G846" t="s">
        <v>2629</v>
      </c>
      <c r="H846" t="s">
        <v>2630</v>
      </c>
      <c r="I846" t="s">
        <v>98</v>
      </c>
      <c r="J846" t="s">
        <v>23</v>
      </c>
      <c r="K846" t="s">
        <v>2631</v>
      </c>
      <c r="L846" t="s">
        <v>775</v>
      </c>
      <c r="M846">
        <v>8901</v>
      </c>
      <c r="N846" t="s">
        <v>144</v>
      </c>
      <c r="O846" t="s">
        <v>936</v>
      </c>
      <c r="P846" t="s">
        <v>42</v>
      </c>
      <c r="Q846" t="s">
        <v>86</v>
      </c>
      <c r="R846" t="s">
        <v>937</v>
      </c>
      <c r="S846">
        <v>7.61</v>
      </c>
    </row>
    <row r="847" spans="1:19" x14ac:dyDescent="0.35">
      <c r="A847">
        <v>860</v>
      </c>
      <c r="B847" t="s">
        <v>2628</v>
      </c>
      <c r="C847" s="1">
        <v>43200</v>
      </c>
      <c r="D847" s="1">
        <v>43205</v>
      </c>
      <c r="E847" s="1" t="str">
        <f t="shared" si="13"/>
        <v>FAST</v>
      </c>
      <c r="F847" t="s">
        <v>46</v>
      </c>
      <c r="G847" t="s">
        <v>2629</v>
      </c>
      <c r="H847" t="s">
        <v>2630</v>
      </c>
      <c r="I847" t="s">
        <v>98</v>
      </c>
      <c r="J847" t="s">
        <v>23</v>
      </c>
      <c r="K847" t="s">
        <v>2631</v>
      </c>
      <c r="L847" t="s">
        <v>775</v>
      </c>
      <c r="M847">
        <v>8901</v>
      </c>
      <c r="N847" t="s">
        <v>144</v>
      </c>
      <c r="O847" t="s">
        <v>1162</v>
      </c>
      <c r="P847" t="s">
        <v>42</v>
      </c>
      <c r="Q847" t="s">
        <v>263</v>
      </c>
      <c r="R847" t="s">
        <v>1163</v>
      </c>
      <c r="S847">
        <v>7.16</v>
      </c>
    </row>
    <row r="848" spans="1:19" x14ac:dyDescent="0.35">
      <c r="A848">
        <v>861</v>
      </c>
      <c r="B848" t="s">
        <v>2632</v>
      </c>
      <c r="C848" s="1">
        <v>42164</v>
      </c>
      <c r="D848" s="1">
        <v>42171</v>
      </c>
      <c r="E848" s="1" t="str">
        <f t="shared" si="13"/>
        <v>FAST</v>
      </c>
      <c r="F848" t="s">
        <v>46</v>
      </c>
      <c r="G848" t="s">
        <v>2633</v>
      </c>
      <c r="H848" t="s">
        <v>2634</v>
      </c>
      <c r="I848" t="s">
        <v>22</v>
      </c>
      <c r="J848" t="s">
        <v>23</v>
      </c>
      <c r="K848" t="s">
        <v>123</v>
      </c>
      <c r="L848" t="s">
        <v>39</v>
      </c>
      <c r="M848">
        <v>94122</v>
      </c>
      <c r="N848" t="s">
        <v>40</v>
      </c>
      <c r="O848" t="s">
        <v>1282</v>
      </c>
      <c r="P848" t="s">
        <v>42</v>
      </c>
      <c r="Q848" t="s">
        <v>566</v>
      </c>
      <c r="R848" t="s">
        <v>1283</v>
      </c>
      <c r="S848">
        <v>7.36</v>
      </c>
    </row>
    <row r="849" spans="1:19" x14ac:dyDescent="0.35">
      <c r="A849">
        <v>862</v>
      </c>
      <c r="B849" t="s">
        <v>2632</v>
      </c>
      <c r="C849" s="1">
        <v>42164</v>
      </c>
      <c r="D849" s="1">
        <v>42171</v>
      </c>
      <c r="E849" s="1" t="str">
        <f t="shared" si="13"/>
        <v>FAST</v>
      </c>
      <c r="F849" t="s">
        <v>46</v>
      </c>
      <c r="G849" t="s">
        <v>2633</v>
      </c>
      <c r="H849" t="s">
        <v>2634</v>
      </c>
      <c r="I849" t="s">
        <v>22</v>
      </c>
      <c r="J849" t="s">
        <v>23</v>
      </c>
      <c r="K849" t="s">
        <v>123</v>
      </c>
      <c r="L849" t="s">
        <v>39</v>
      </c>
      <c r="M849">
        <v>94122</v>
      </c>
      <c r="N849" t="s">
        <v>40</v>
      </c>
      <c r="O849" t="s">
        <v>2635</v>
      </c>
      <c r="P849" t="s">
        <v>42</v>
      </c>
      <c r="Q849" t="s">
        <v>64</v>
      </c>
      <c r="R849" t="s">
        <v>2636</v>
      </c>
      <c r="S849">
        <v>23.1</v>
      </c>
    </row>
    <row r="850" spans="1:19" x14ac:dyDescent="0.35">
      <c r="A850">
        <v>863</v>
      </c>
      <c r="B850" t="s">
        <v>2637</v>
      </c>
      <c r="C850" s="1">
        <v>42740</v>
      </c>
      <c r="D850" s="1">
        <v>42742</v>
      </c>
      <c r="E850" s="1" t="str">
        <f t="shared" si="13"/>
        <v>SLOW</v>
      </c>
      <c r="F850" t="s">
        <v>19</v>
      </c>
      <c r="G850" t="s">
        <v>2403</v>
      </c>
      <c r="H850" t="s">
        <v>2404</v>
      </c>
      <c r="I850" t="s">
        <v>37</v>
      </c>
      <c r="J850" t="s">
        <v>23</v>
      </c>
      <c r="K850" t="s">
        <v>1505</v>
      </c>
      <c r="L850" t="s">
        <v>50</v>
      </c>
      <c r="M850">
        <v>32216</v>
      </c>
      <c r="N850" t="s">
        <v>26</v>
      </c>
      <c r="O850" t="s">
        <v>2638</v>
      </c>
      <c r="P850" t="s">
        <v>67</v>
      </c>
      <c r="Q850" t="s">
        <v>157</v>
      </c>
      <c r="R850" t="s">
        <v>2639</v>
      </c>
      <c r="S850">
        <v>191.47200000000001</v>
      </c>
    </row>
    <row r="851" spans="1:19" x14ac:dyDescent="0.35">
      <c r="A851">
        <v>864</v>
      </c>
      <c r="B851" t="s">
        <v>2637</v>
      </c>
      <c r="C851" s="1">
        <v>42740</v>
      </c>
      <c r="D851" s="1">
        <v>42742</v>
      </c>
      <c r="E851" s="1" t="str">
        <f t="shared" si="13"/>
        <v>SLOW</v>
      </c>
      <c r="F851" t="s">
        <v>19</v>
      </c>
      <c r="G851" t="s">
        <v>2403</v>
      </c>
      <c r="H851" t="s">
        <v>2404</v>
      </c>
      <c r="I851" t="s">
        <v>37</v>
      </c>
      <c r="J851" t="s">
        <v>23</v>
      </c>
      <c r="K851" t="s">
        <v>1505</v>
      </c>
      <c r="L851" t="s">
        <v>50</v>
      </c>
      <c r="M851">
        <v>32216</v>
      </c>
      <c r="N851" t="s">
        <v>26</v>
      </c>
      <c r="O851" t="s">
        <v>2640</v>
      </c>
      <c r="P851" t="s">
        <v>42</v>
      </c>
      <c r="Q851" t="s">
        <v>64</v>
      </c>
      <c r="R851" t="s">
        <v>2641</v>
      </c>
      <c r="S851">
        <v>5.2480000000000002</v>
      </c>
    </row>
    <row r="852" spans="1:19" x14ac:dyDescent="0.35">
      <c r="A852">
        <v>865</v>
      </c>
      <c r="B852" t="s">
        <v>2637</v>
      </c>
      <c r="C852" s="1">
        <v>42740</v>
      </c>
      <c r="D852" s="1">
        <v>42742</v>
      </c>
      <c r="E852" s="1" t="str">
        <f t="shared" si="13"/>
        <v>SLOW</v>
      </c>
      <c r="F852" t="s">
        <v>19</v>
      </c>
      <c r="G852" t="s">
        <v>2403</v>
      </c>
      <c r="H852" t="s">
        <v>2404</v>
      </c>
      <c r="I852" t="s">
        <v>37</v>
      </c>
      <c r="J852" t="s">
        <v>23</v>
      </c>
      <c r="K852" t="s">
        <v>1505</v>
      </c>
      <c r="L852" t="s">
        <v>50</v>
      </c>
      <c r="M852">
        <v>32216</v>
      </c>
      <c r="N852" t="s">
        <v>26</v>
      </c>
      <c r="O852" t="s">
        <v>2642</v>
      </c>
      <c r="P852" t="s">
        <v>67</v>
      </c>
      <c r="Q852" t="s">
        <v>68</v>
      </c>
      <c r="R852" t="s">
        <v>2643</v>
      </c>
      <c r="S852">
        <v>59.183999999999997</v>
      </c>
    </row>
    <row r="853" spans="1:19" x14ac:dyDescent="0.35">
      <c r="A853">
        <v>866</v>
      </c>
      <c r="B853" t="s">
        <v>2644</v>
      </c>
      <c r="C853" s="1">
        <v>42014</v>
      </c>
      <c r="D853" s="1">
        <v>42019</v>
      </c>
      <c r="E853" s="1" t="str">
        <f t="shared" si="13"/>
        <v>FAST</v>
      </c>
      <c r="F853" t="s">
        <v>46</v>
      </c>
      <c r="G853" t="s">
        <v>2645</v>
      </c>
      <c r="H853" t="s">
        <v>2646</v>
      </c>
      <c r="I853" t="s">
        <v>37</v>
      </c>
      <c r="J853" t="s">
        <v>23</v>
      </c>
      <c r="K853" t="s">
        <v>312</v>
      </c>
      <c r="L853" t="s">
        <v>313</v>
      </c>
      <c r="M853">
        <v>22153</v>
      </c>
      <c r="N853" t="s">
        <v>26</v>
      </c>
      <c r="O853" t="s">
        <v>2647</v>
      </c>
      <c r="P853" t="s">
        <v>42</v>
      </c>
      <c r="Q853" t="s">
        <v>43</v>
      </c>
      <c r="R853" t="s">
        <v>2648</v>
      </c>
      <c r="S853">
        <v>2.89</v>
      </c>
    </row>
    <row r="854" spans="1:19" x14ac:dyDescent="0.35">
      <c r="A854">
        <v>867</v>
      </c>
      <c r="B854" t="s">
        <v>2644</v>
      </c>
      <c r="C854" s="1">
        <v>42014</v>
      </c>
      <c r="D854" s="1">
        <v>42019</v>
      </c>
      <c r="E854" s="1" t="str">
        <f t="shared" si="13"/>
        <v>FAST</v>
      </c>
      <c r="F854" t="s">
        <v>46</v>
      </c>
      <c r="G854" t="s">
        <v>2645</v>
      </c>
      <c r="H854" t="s">
        <v>2646</v>
      </c>
      <c r="I854" t="s">
        <v>37</v>
      </c>
      <c r="J854" t="s">
        <v>23</v>
      </c>
      <c r="K854" t="s">
        <v>312</v>
      </c>
      <c r="L854" t="s">
        <v>313</v>
      </c>
      <c r="M854">
        <v>22153</v>
      </c>
      <c r="N854" t="s">
        <v>26</v>
      </c>
      <c r="O854" t="s">
        <v>2649</v>
      </c>
      <c r="P854" t="s">
        <v>28</v>
      </c>
      <c r="Q854" t="s">
        <v>61</v>
      </c>
      <c r="R854" t="s">
        <v>2650</v>
      </c>
      <c r="S854">
        <v>51.94</v>
      </c>
    </row>
    <row r="855" spans="1:19" x14ac:dyDescent="0.35">
      <c r="A855">
        <v>868</v>
      </c>
      <c r="B855" t="s">
        <v>2651</v>
      </c>
      <c r="C855" s="1">
        <v>43007</v>
      </c>
      <c r="D855" s="1">
        <v>43010</v>
      </c>
      <c r="E855" s="1" t="str">
        <f t="shared" si="13"/>
        <v>MODERATE</v>
      </c>
      <c r="F855" t="s">
        <v>184</v>
      </c>
      <c r="G855" t="s">
        <v>2652</v>
      </c>
      <c r="H855" t="s">
        <v>2653</v>
      </c>
      <c r="I855" t="s">
        <v>37</v>
      </c>
      <c r="J855" t="s">
        <v>23</v>
      </c>
      <c r="K855" t="s">
        <v>142</v>
      </c>
      <c r="L855" t="s">
        <v>143</v>
      </c>
      <c r="M855">
        <v>19140</v>
      </c>
      <c r="N855" t="s">
        <v>144</v>
      </c>
      <c r="O855" t="s">
        <v>2654</v>
      </c>
      <c r="P855" t="s">
        <v>42</v>
      </c>
      <c r="Q855" t="s">
        <v>43</v>
      </c>
      <c r="R855" t="s">
        <v>2655</v>
      </c>
      <c r="S855">
        <v>15.936</v>
      </c>
    </row>
    <row r="856" spans="1:19" x14ac:dyDescent="0.35">
      <c r="A856">
        <v>869</v>
      </c>
      <c r="B856" t="s">
        <v>2656</v>
      </c>
      <c r="C856" s="1">
        <v>42100</v>
      </c>
      <c r="D856" s="1">
        <v>42104</v>
      </c>
      <c r="E856" s="1" t="str">
        <f t="shared" si="13"/>
        <v>FAST</v>
      </c>
      <c r="F856" t="s">
        <v>46</v>
      </c>
      <c r="G856" t="s">
        <v>2657</v>
      </c>
      <c r="H856" t="s">
        <v>2658</v>
      </c>
      <c r="I856" t="s">
        <v>37</v>
      </c>
      <c r="J856" t="s">
        <v>23</v>
      </c>
      <c r="K856" t="s">
        <v>2442</v>
      </c>
      <c r="L856" t="s">
        <v>143</v>
      </c>
      <c r="M856">
        <v>17602</v>
      </c>
      <c r="N856" t="s">
        <v>144</v>
      </c>
      <c r="O856" t="s">
        <v>2659</v>
      </c>
      <c r="P856" t="s">
        <v>42</v>
      </c>
      <c r="Q856" t="s">
        <v>71</v>
      </c>
      <c r="R856" t="s">
        <v>2660</v>
      </c>
      <c r="S856">
        <v>44.91</v>
      </c>
    </row>
    <row r="857" spans="1:19" x14ac:dyDescent="0.35">
      <c r="A857">
        <v>870</v>
      </c>
      <c r="B857" t="s">
        <v>2661</v>
      </c>
      <c r="C857" s="1">
        <v>42981</v>
      </c>
      <c r="D857" s="1">
        <v>42983</v>
      </c>
      <c r="E857" s="1" t="str">
        <f t="shared" si="13"/>
        <v>MODERATE</v>
      </c>
      <c r="F857" t="s">
        <v>184</v>
      </c>
      <c r="G857" t="s">
        <v>2662</v>
      </c>
      <c r="H857" t="s">
        <v>2663</v>
      </c>
      <c r="I857" t="s">
        <v>98</v>
      </c>
      <c r="J857" t="s">
        <v>23</v>
      </c>
      <c r="K857" t="s">
        <v>142</v>
      </c>
      <c r="L857" t="s">
        <v>143</v>
      </c>
      <c r="M857">
        <v>19143</v>
      </c>
      <c r="N857" t="s">
        <v>144</v>
      </c>
      <c r="O857" t="s">
        <v>2664</v>
      </c>
      <c r="P857" t="s">
        <v>42</v>
      </c>
      <c r="Q857" t="s">
        <v>71</v>
      </c>
      <c r="R857" t="s">
        <v>2665</v>
      </c>
      <c r="S857">
        <v>1141.47</v>
      </c>
    </row>
    <row r="858" spans="1:19" x14ac:dyDescent="0.35">
      <c r="A858">
        <v>871</v>
      </c>
      <c r="B858" t="s">
        <v>2661</v>
      </c>
      <c r="C858" s="1">
        <v>42981</v>
      </c>
      <c r="D858" s="1">
        <v>42983</v>
      </c>
      <c r="E858" s="1" t="str">
        <f t="shared" si="13"/>
        <v>MODERATE</v>
      </c>
      <c r="F858" t="s">
        <v>184</v>
      </c>
      <c r="G858" t="s">
        <v>2662</v>
      </c>
      <c r="H858" t="s">
        <v>2663</v>
      </c>
      <c r="I858" t="s">
        <v>98</v>
      </c>
      <c r="J858" t="s">
        <v>23</v>
      </c>
      <c r="K858" t="s">
        <v>142</v>
      </c>
      <c r="L858" t="s">
        <v>143</v>
      </c>
      <c r="M858">
        <v>19143</v>
      </c>
      <c r="N858" t="s">
        <v>144</v>
      </c>
      <c r="O858" t="s">
        <v>1900</v>
      </c>
      <c r="P858" t="s">
        <v>67</v>
      </c>
      <c r="Q858" t="s">
        <v>68</v>
      </c>
      <c r="R858" t="s">
        <v>1901</v>
      </c>
      <c r="S858">
        <v>280.78199999999998</v>
      </c>
    </row>
    <row r="859" spans="1:19" x14ac:dyDescent="0.35">
      <c r="A859">
        <v>872</v>
      </c>
      <c r="B859" t="s">
        <v>2666</v>
      </c>
      <c r="C859" s="1">
        <v>42662</v>
      </c>
      <c r="D859" s="1">
        <v>42663</v>
      </c>
      <c r="E859" s="1" t="str">
        <f t="shared" si="13"/>
        <v>MODERATE</v>
      </c>
      <c r="F859" t="s">
        <v>184</v>
      </c>
      <c r="G859" t="s">
        <v>160</v>
      </c>
      <c r="H859" t="s">
        <v>161</v>
      </c>
      <c r="I859" t="s">
        <v>22</v>
      </c>
      <c r="J859" t="s">
        <v>23</v>
      </c>
      <c r="K859" t="s">
        <v>83</v>
      </c>
      <c r="L859" t="s">
        <v>2667</v>
      </c>
      <c r="M859">
        <v>3301</v>
      </c>
      <c r="N859" t="s">
        <v>144</v>
      </c>
      <c r="O859" t="s">
        <v>2668</v>
      </c>
      <c r="P859" t="s">
        <v>42</v>
      </c>
      <c r="Q859" t="s">
        <v>86</v>
      </c>
      <c r="R859" t="s">
        <v>2669</v>
      </c>
      <c r="S859">
        <v>34.44</v>
      </c>
    </row>
    <row r="860" spans="1:19" x14ac:dyDescent="0.35">
      <c r="A860">
        <v>873</v>
      </c>
      <c r="B860" t="s">
        <v>2670</v>
      </c>
      <c r="C860" s="1">
        <v>42348</v>
      </c>
      <c r="D860" s="1">
        <v>42353</v>
      </c>
      <c r="E860" s="1" t="str">
        <f t="shared" si="13"/>
        <v>FAST</v>
      </c>
      <c r="F860" t="s">
        <v>46</v>
      </c>
      <c r="G860" t="s">
        <v>2671</v>
      </c>
      <c r="H860" t="s">
        <v>2672</v>
      </c>
      <c r="I860" t="s">
        <v>22</v>
      </c>
      <c r="J860" t="s">
        <v>23</v>
      </c>
      <c r="K860" t="s">
        <v>260</v>
      </c>
      <c r="L860" t="s">
        <v>261</v>
      </c>
      <c r="M860">
        <v>10009</v>
      </c>
      <c r="N860" t="s">
        <v>144</v>
      </c>
      <c r="O860" t="s">
        <v>1025</v>
      </c>
      <c r="P860" t="s">
        <v>42</v>
      </c>
      <c r="Q860" t="s">
        <v>86</v>
      </c>
      <c r="R860" t="s">
        <v>1026</v>
      </c>
      <c r="S860">
        <v>11.36</v>
      </c>
    </row>
    <row r="861" spans="1:19" x14ac:dyDescent="0.35">
      <c r="A861">
        <v>874</v>
      </c>
      <c r="B861" t="s">
        <v>2670</v>
      </c>
      <c r="C861" s="1">
        <v>42348</v>
      </c>
      <c r="D861" s="1">
        <v>42353</v>
      </c>
      <c r="E861" s="1" t="str">
        <f t="shared" si="13"/>
        <v>FAST</v>
      </c>
      <c r="F861" t="s">
        <v>46</v>
      </c>
      <c r="G861" t="s">
        <v>2671</v>
      </c>
      <c r="H861" t="s">
        <v>2672</v>
      </c>
      <c r="I861" t="s">
        <v>22</v>
      </c>
      <c r="J861" t="s">
        <v>23</v>
      </c>
      <c r="K861" t="s">
        <v>260</v>
      </c>
      <c r="L861" t="s">
        <v>261</v>
      </c>
      <c r="M861">
        <v>10009</v>
      </c>
      <c r="N861" t="s">
        <v>144</v>
      </c>
      <c r="O861" t="s">
        <v>1583</v>
      </c>
      <c r="P861" t="s">
        <v>42</v>
      </c>
      <c r="Q861" t="s">
        <v>71</v>
      </c>
      <c r="R861" t="s">
        <v>1584</v>
      </c>
      <c r="S861">
        <v>106.34399999999999</v>
      </c>
    </row>
    <row r="862" spans="1:19" x14ac:dyDescent="0.35">
      <c r="A862">
        <v>875</v>
      </c>
      <c r="B862" t="s">
        <v>2673</v>
      </c>
      <c r="C862" s="1">
        <v>43337</v>
      </c>
      <c r="D862" s="1">
        <v>43341</v>
      </c>
      <c r="E862" s="1" t="str">
        <f t="shared" si="13"/>
        <v>FAST</v>
      </c>
      <c r="F862" t="s">
        <v>46</v>
      </c>
      <c r="G862" t="s">
        <v>2598</v>
      </c>
      <c r="H862" t="s">
        <v>2599</v>
      </c>
      <c r="I862" t="s">
        <v>22</v>
      </c>
      <c r="J862" t="s">
        <v>23</v>
      </c>
      <c r="K862" t="s">
        <v>454</v>
      </c>
      <c r="L862" t="s">
        <v>84</v>
      </c>
      <c r="M862">
        <v>28205</v>
      </c>
      <c r="N862" t="s">
        <v>26</v>
      </c>
      <c r="O862" t="s">
        <v>2674</v>
      </c>
      <c r="P862" t="s">
        <v>42</v>
      </c>
      <c r="Q862" t="s">
        <v>86</v>
      </c>
      <c r="R862" t="s">
        <v>2675</v>
      </c>
      <c r="S862">
        <v>192.16</v>
      </c>
    </row>
    <row r="863" spans="1:19" x14ac:dyDescent="0.35">
      <c r="A863">
        <v>876</v>
      </c>
      <c r="B863" t="s">
        <v>2676</v>
      </c>
      <c r="C863" s="1">
        <v>42752</v>
      </c>
      <c r="D863" s="1">
        <v>42756</v>
      </c>
      <c r="E863" s="1" t="str">
        <f t="shared" si="13"/>
        <v>FAST</v>
      </c>
      <c r="F863" t="s">
        <v>46</v>
      </c>
      <c r="G863" t="s">
        <v>2110</v>
      </c>
      <c r="H863" t="s">
        <v>2111</v>
      </c>
      <c r="I863" t="s">
        <v>98</v>
      </c>
      <c r="J863" t="s">
        <v>23</v>
      </c>
      <c r="K863" t="s">
        <v>83</v>
      </c>
      <c r="L863" t="s">
        <v>2667</v>
      </c>
      <c r="M863">
        <v>3301</v>
      </c>
      <c r="N863" t="s">
        <v>144</v>
      </c>
      <c r="O863" t="s">
        <v>892</v>
      </c>
      <c r="P863" t="s">
        <v>28</v>
      </c>
      <c r="Q863" t="s">
        <v>61</v>
      </c>
      <c r="R863" t="s">
        <v>893</v>
      </c>
      <c r="S863">
        <v>322.58999999999997</v>
      </c>
    </row>
    <row r="864" spans="1:19" x14ac:dyDescent="0.35">
      <c r="A864">
        <v>877</v>
      </c>
      <c r="B864" t="s">
        <v>2676</v>
      </c>
      <c r="C864" s="1">
        <v>42752</v>
      </c>
      <c r="D864" s="1">
        <v>42756</v>
      </c>
      <c r="E864" s="1" t="str">
        <f t="shared" si="13"/>
        <v>FAST</v>
      </c>
      <c r="F864" t="s">
        <v>46</v>
      </c>
      <c r="G864" t="s">
        <v>2110</v>
      </c>
      <c r="H864" t="s">
        <v>2111</v>
      </c>
      <c r="I864" t="s">
        <v>98</v>
      </c>
      <c r="J864" t="s">
        <v>23</v>
      </c>
      <c r="K864" t="s">
        <v>83</v>
      </c>
      <c r="L864" t="s">
        <v>2667</v>
      </c>
      <c r="M864">
        <v>3301</v>
      </c>
      <c r="N864" t="s">
        <v>144</v>
      </c>
      <c r="O864" t="s">
        <v>1006</v>
      </c>
      <c r="P864" t="s">
        <v>67</v>
      </c>
      <c r="Q864" t="s">
        <v>157</v>
      </c>
      <c r="R864" t="s">
        <v>1007</v>
      </c>
      <c r="S864">
        <v>29.99</v>
      </c>
    </row>
    <row r="865" spans="1:19" x14ac:dyDescent="0.35">
      <c r="A865">
        <v>878</v>
      </c>
      <c r="B865" t="s">
        <v>2676</v>
      </c>
      <c r="C865" s="1">
        <v>42752</v>
      </c>
      <c r="D865" s="1">
        <v>42756</v>
      </c>
      <c r="E865" s="1" t="str">
        <f t="shared" si="13"/>
        <v>FAST</v>
      </c>
      <c r="F865" t="s">
        <v>46</v>
      </c>
      <c r="G865" t="s">
        <v>2110</v>
      </c>
      <c r="H865" t="s">
        <v>2111</v>
      </c>
      <c r="I865" t="s">
        <v>98</v>
      </c>
      <c r="J865" t="s">
        <v>23</v>
      </c>
      <c r="K865" t="s">
        <v>83</v>
      </c>
      <c r="L865" t="s">
        <v>2667</v>
      </c>
      <c r="M865">
        <v>3301</v>
      </c>
      <c r="N865" t="s">
        <v>144</v>
      </c>
      <c r="O865" t="s">
        <v>2677</v>
      </c>
      <c r="P865" t="s">
        <v>67</v>
      </c>
      <c r="Q865" t="s">
        <v>157</v>
      </c>
      <c r="R865" t="s">
        <v>2678</v>
      </c>
      <c r="S865">
        <v>371.97</v>
      </c>
    </row>
    <row r="866" spans="1:19" x14ac:dyDescent="0.35">
      <c r="A866">
        <v>879</v>
      </c>
      <c r="B866" t="s">
        <v>2679</v>
      </c>
      <c r="C866" s="1">
        <v>42264</v>
      </c>
      <c r="D866" s="1">
        <v>42268</v>
      </c>
      <c r="E866" s="1" t="str">
        <f t="shared" si="13"/>
        <v>FAST</v>
      </c>
      <c r="F866" t="s">
        <v>46</v>
      </c>
      <c r="G866" t="s">
        <v>2680</v>
      </c>
      <c r="H866" t="s">
        <v>2681</v>
      </c>
      <c r="I866" t="s">
        <v>98</v>
      </c>
      <c r="J866" t="s">
        <v>23</v>
      </c>
      <c r="K866" t="s">
        <v>142</v>
      </c>
      <c r="L866" t="s">
        <v>143</v>
      </c>
      <c r="M866">
        <v>19120</v>
      </c>
      <c r="N866" t="s">
        <v>144</v>
      </c>
      <c r="O866" t="s">
        <v>2682</v>
      </c>
      <c r="P866" t="s">
        <v>42</v>
      </c>
      <c r="Q866" t="s">
        <v>71</v>
      </c>
      <c r="R866" t="s">
        <v>2683</v>
      </c>
      <c r="S866">
        <v>5.8920000000000003</v>
      </c>
    </row>
    <row r="867" spans="1:19" x14ac:dyDescent="0.35">
      <c r="A867">
        <v>880</v>
      </c>
      <c r="B867" t="s">
        <v>2684</v>
      </c>
      <c r="C867" s="1">
        <v>43434</v>
      </c>
      <c r="D867" s="1">
        <v>43436</v>
      </c>
      <c r="E867" s="1" t="str">
        <f t="shared" si="13"/>
        <v>SLOW</v>
      </c>
      <c r="F867" t="s">
        <v>19</v>
      </c>
      <c r="G867" t="s">
        <v>96</v>
      </c>
      <c r="H867" t="s">
        <v>97</v>
      </c>
      <c r="I867" t="s">
        <v>98</v>
      </c>
      <c r="J867" t="s">
        <v>23</v>
      </c>
      <c r="K867" t="s">
        <v>260</v>
      </c>
      <c r="L867" t="s">
        <v>261</v>
      </c>
      <c r="M867">
        <v>10024</v>
      </c>
      <c r="N867" t="s">
        <v>144</v>
      </c>
      <c r="O867" t="s">
        <v>2685</v>
      </c>
      <c r="P867" t="s">
        <v>42</v>
      </c>
      <c r="Q867" t="s">
        <v>71</v>
      </c>
      <c r="R867" t="s">
        <v>2686</v>
      </c>
      <c r="S867">
        <v>68.471999999999994</v>
      </c>
    </row>
    <row r="868" spans="1:19" x14ac:dyDescent="0.35">
      <c r="A868">
        <v>881</v>
      </c>
      <c r="B868" t="s">
        <v>2684</v>
      </c>
      <c r="C868" s="1">
        <v>43434</v>
      </c>
      <c r="D868" s="1">
        <v>43436</v>
      </c>
      <c r="E868" s="1" t="str">
        <f t="shared" si="13"/>
        <v>SLOW</v>
      </c>
      <c r="F868" t="s">
        <v>19</v>
      </c>
      <c r="G868" t="s">
        <v>96</v>
      </c>
      <c r="H868" t="s">
        <v>97</v>
      </c>
      <c r="I868" t="s">
        <v>98</v>
      </c>
      <c r="J868" t="s">
        <v>23</v>
      </c>
      <c r="K868" t="s">
        <v>260</v>
      </c>
      <c r="L868" t="s">
        <v>261</v>
      </c>
      <c r="M868">
        <v>10024</v>
      </c>
      <c r="N868" t="s">
        <v>144</v>
      </c>
      <c r="O868" t="s">
        <v>675</v>
      </c>
      <c r="P868" t="s">
        <v>28</v>
      </c>
      <c r="Q868" t="s">
        <v>32</v>
      </c>
      <c r="R868" t="s">
        <v>676</v>
      </c>
      <c r="S868">
        <v>1242.9000000000001</v>
      </c>
    </row>
    <row r="869" spans="1:19" x14ac:dyDescent="0.35">
      <c r="A869">
        <v>882</v>
      </c>
      <c r="B869" t="s">
        <v>2687</v>
      </c>
      <c r="C869" s="1">
        <v>42652</v>
      </c>
      <c r="D869" s="1">
        <v>42656</v>
      </c>
      <c r="E869" s="1" t="str">
        <f t="shared" si="13"/>
        <v>FAST</v>
      </c>
      <c r="F869" t="s">
        <v>46</v>
      </c>
      <c r="G869" t="s">
        <v>495</v>
      </c>
      <c r="H869" t="s">
        <v>496</v>
      </c>
      <c r="I869" t="s">
        <v>22</v>
      </c>
      <c r="J869" t="s">
        <v>23</v>
      </c>
      <c r="K869" t="s">
        <v>312</v>
      </c>
      <c r="L869" t="s">
        <v>313</v>
      </c>
      <c r="M869">
        <v>22153</v>
      </c>
      <c r="N869" t="s">
        <v>26</v>
      </c>
      <c r="O869" t="s">
        <v>1615</v>
      </c>
      <c r="P869" t="s">
        <v>42</v>
      </c>
      <c r="Q869" t="s">
        <v>55</v>
      </c>
      <c r="R869" t="s">
        <v>1616</v>
      </c>
      <c r="S869">
        <v>30.84</v>
      </c>
    </row>
    <row r="870" spans="1:19" x14ac:dyDescent="0.35">
      <c r="A870">
        <v>883</v>
      </c>
      <c r="B870" t="s">
        <v>2688</v>
      </c>
      <c r="C870" s="1">
        <v>43457</v>
      </c>
      <c r="D870" s="1">
        <v>43457</v>
      </c>
      <c r="E870" s="1" t="str">
        <f t="shared" si="13"/>
        <v>MODERATE</v>
      </c>
      <c r="F870" t="s">
        <v>1276</v>
      </c>
      <c r="G870" t="s">
        <v>436</v>
      </c>
      <c r="H870" t="s">
        <v>437</v>
      </c>
      <c r="I870" t="s">
        <v>22</v>
      </c>
      <c r="J870" t="s">
        <v>23</v>
      </c>
      <c r="K870" t="s">
        <v>123</v>
      </c>
      <c r="L870" t="s">
        <v>39</v>
      </c>
      <c r="M870">
        <v>94109</v>
      </c>
      <c r="N870" t="s">
        <v>40</v>
      </c>
      <c r="O870" t="s">
        <v>2235</v>
      </c>
      <c r="P870" t="s">
        <v>42</v>
      </c>
      <c r="Q870" t="s">
        <v>64</v>
      </c>
      <c r="R870" t="s">
        <v>2236</v>
      </c>
      <c r="S870">
        <v>13.48</v>
      </c>
    </row>
    <row r="871" spans="1:19" x14ac:dyDescent="0.35">
      <c r="A871">
        <v>884</v>
      </c>
      <c r="B871" t="s">
        <v>2689</v>
      </c>
      <c r="C871" s="1">
        <v>43030</v>
      </c>
      <c r="D871" s="1">
        <v>43032</v>
      </c>
      <c r="E871" s="1" t="str">
        <f t="shared" si="13"/>
        <v>MODERATE</v>
      </c>
      <c r="F871" t="s">
        <v>184</v>
      </c>
      <c r="G871" t="s">
        <v>2690</v>
      </c>
      <c r="H871" t="s">
        <v>2691</v>
      </c>
      <c r="I871" t="s">
        <v>98</v>
      </c>
      <c r="J871" t="s">
        <v>23</v>
      </c>
      <c r="K871" t="s">
        <v>867</v>
      </c>
      <c r="L871" t="s">
        <v>232</v>
      </c>
      <c r="M871">
        <v>48227</v>
      </c>
      <c r="N871" t="s">
        <v>101</v>
      </c>
      <c r="O871" t="s">
        <v>2091</v>
      </c>
      <c r="P871" t="s">
        <v>28</v>
      </c>
      <c r="Q871" t="s">
        <v>61</v>
      </c>
      <c r="R871" t="s">
        <v>2092</v>
      </c>
      <c r="S871">
        <v>31.4</v>
      </c>
    </row>
    <row r="872" spans="1:19" x14ac:dyDescent="0.35">
      <c r="A872">
        <v>885</v>
      </c>
      <c r="B872" t="s">
        <v>2692</v>
      </c>
      <c r="C872" s="1">
        <v>42123</v>
      </c>
      <c r="D872" s="1">
        <v>42128</v>
      </c>
      <c r="E872" s="1" t="str">
        <f t="shared" si="13"/>
        <v>FAST</v>
      </c>
      <c r="F872" t="s">
        <v>46</v>
      </c>
      <c r="G872" t="s">
        <v>2693</v>
      </c>
      <c r="H872" t="s">
        <v>2694</v>
      </c>
      <c r="I872" t="s">
        <v>22</v>
      </c>
      <c r="J872" t="s">
        <v>23</v>
      </c>
      <c r="K872" t="s">
        <v>379</v>
      </c>
      <c r="L872" t="s">
        <v>261</v>
      </c>
      <c r="M872">
        <v>14609</v>
      </c>
      <c r="N872" t="s">
        <v>144</v>
      </c>
      <c r="O872" t="s">
        <v>2695</v>
      </c>
      <c r="P872" t="s">
        <v>28</v>
      </c>
      <c r="Q872" t="s">
        <v>61</v>
      </c>
      <c r="R872" t="s">
        <v>2696</v>
      </c>
      <c r="S872">
        <v>17.46</v>
      </c>
    </row>
    <row r="873" spans="1:19" x14ac:dyDescent="0.35">
      <c r="A873">
        <v>886</v>
      </c>
      <c r="B873" t="s">
        <v>2697</v>
      </c>
      <c r="C873" s="1">
        <v>42485</v>
      </c>
      <c r="D873" s="1">
        <v>42488</v>
      </c>
      <c r="E873" s="1" t="str">
        <f t="shared" si="13"/>
        <v>SLOW</v>
      </c>
      <c r="F873" t="s">
        <v>19</v>
      </c>
      <c r="G873" t="s">
        <v>2698</v>
      </c>
      <c r="H873" t="s">
        <v>2699</v>
      </c>
      <c r="I873" t="s">
        <v>37</v>
      </c>
      <c r="J873" t="s">
        <v>23</v>
      </c>
      <c r="K873" t="s">
        <v>38</v>
      </c>
      <c r="L873" t="s">
        <v>39</v>
      </c>
      <c r="M873">
        <v>90045</v>
      </c>
      <c r="N873" t="s">
        <v>40</v>
      </c>
      <c r="O873" t="s">
        <v>2700</v>
      </c>
      <c r="P873" t="s">
        <v>42</v>
      </c>
      <c r="Q873" t="s">
        <v>71</v>
      </c>
      <c r="R873" t="s">
        <v>2701</v>
      </c>
      <c r="S873">
        <v>13.944000000000001</v>
      </c>
    </row>
    <row r="874" spans="1:19" x14ac:dyDescent="0.35">
      <c r="A874">
        <v>887</v>
      </c>
      <c r="B874" t="s">
        <v>2702</v>
      </c>
      <c r="C874" s="1">
        <v>43277</v>
      </c>
      <c r="D874" s="1">
        <v>43283</v>
      </c>
      <c r="E874" s="1" t="str">
        <f t="shared" si="13"/>
        <v>FAST</v>
      </c>
      <c r="F874" t="s">
        <v>46</v>
      </c>
      <c r="G874" t="s">
        <v>1872</v>
      </c>
      <c r="H874" t="s">
        <v>1873</v>
      </c>
      <c r="I874" t="s">
        <v>22</v>
      </c>
      <c r="J874" t="s">
        <v>23</v>
      </c>
      <c r="K874" t="s">
        <v>935</v>
      </c>
      <c r="L874" t="s">
        <v>39</v>
      </c>
      <c r="M874">
        <v>92105</v>
      </c>
      <c r="N874" t="s">
        <v>40</v>
      </c>
      <c r="O874" t="s">
        <v>2703</v>
      </c>
      <c r="P874" t="s">
        <v>42</v>
      </c>
      <c r="Q874" t="s">
        <v>55</v>
      </c>
      <c r="R874" t="s">
        <v>2704</v>
      </c>
      <c r="S874">
        <v>83.76</v>
      </c>
    </row>
    <row r="875" spans="1:19" x14ac:dyDescent="0.35">
      <c r="A875">
        <v>888</v>
      </c>
      <c r="B875" t="s">
        <v>2705</v>
      </c>
      <c r="C875" s="1">
        <v>43387</v>
      </c>
      <c r="D875" s="1">
        <v>43392</v>
      </c>
      <c r="E875" s="1" t="str">
        <f t="shared" si="13"/>
        <v>FAST</v>
      </c>
      <c r="F875" t="s">
        <v>46</v>
      </c>
      <c r="G875" t="s">
        <v>2706</v>
      </c>
      <c r="H875" t="s">
        <v>2707</v>
      </c>
      <c r="I875" t="s">
        <v>98</v>
      </c>
      <c r="J875" t="s">
        <v>23</v>
      </c>
      <c r="K875" t="s">
        <v>372</v>
      </c>
      <c r="L875" t="s">
        <v>2708</v>
      </c>
      <c r="M875">
        <v>21044</v>
      </c>
      <c r="N875" t="s">
        <v>144</v>
      </c>
      <c r="O875" t="s">
        <v>288</v>
      </c>
      <c r="P875" t="s">
        <v>42</v>
      </c>
      <c r="Q875" t="s">
        <v>71</v>
      </c>
      <c r="R875" t="s">
        <v>289</v>
      </c>
      <c r="S875">
        <v>37.659999999999997</v>
      </c>
    </row>
    <row r="876" spans="1:19" x14ac:dyDescent="0.35">
      <c r="A876">
        <v>889</v>
      </c>
      <c r="B876" t="s">
        <v>2709</v>
      </c>
      <c r="C876" s="1">
        <v>42347</v>
      </c>
      <c r="D876" s="1">
        <v>42354</v>
      </c>
      <c r="E876" s="1" t="str">
        <f t="shared" si="13"/>
        <v>FAST</v>
      </c>
      <c r="F876" t="s">
        <v>46</v>
      </c>
      <c r="G876" t="s">
        <v>2604</v>
      </c>
      <c r="H876" t="s">
        <v>2605</v>
      </c>
      <c r="I876" t="s">
        <v>37</v>
      </c>
      <c r="J876" t="s">
        <v>23</v>
      </c>
      <c r="K876" t="s">
        <v>123</v>
      </c>
      <c r="L876" t="s">
        <v>39</v>
      </c>
      <c r="M876">
        <v>94122</v>
      </c>
      <c r="N876" t="s">
        <v>40</v>
      </c>
      <c r="O876" t="s">
        <v>1449</v>
      </c>
      <c r="P876" t="s">
        <v>42</v>
      </c>
      <c r="Q876" t="s">
        <v>86</v>
      </c>
      <c r="R876" t="s">
        <v>1450</v>
      </c>
      <c r="S876">
        <v>34.68</v>
      </c>
    </row>
    <row r="877" spans="1:19" x14ac:dyDescent="0.35">
      <c r="A877">
        <v>890</v>
      </c>
      <c r="B877" t="s">
        <v>2710</v>
      </c>
      <c r="C877" s="1">
        <v>43271</v>
      </c>
      <c r="D877" s="1">
        <v>43277</v>
      </c>
      <c r="E877" s="1" t="str">
        <f t="shared" si="13"/>
        <v>FAST</v>
      </c>
      <c r="F877" t="s">
        <v>46</v>
      </c>
      <c r="G877" t="s">
        <v>1625</v>
      </c>
      <c r="H877" t="s">
        <v>1626</v>
      </c>
      <c r="I877" t="s">
        <v>22</v>
      </c>
      <c r="J877" t="s">
        <v>23</v>
      </c>
      <c r="K877" t="s">
        <v>1483</v>
      </c>
      <c r="L877" t="s">
        <v>261</v>
      </c>
      <c r="M877">
        <v>10801</v>
      </c>
      <c r="N877" t="s">
        <v>144</v>
      </c>
      <c r="O877" t="s">
        <v>2711</v>
      </c>
      <c r="P877" t="s">
        <v>67</v>
      </c>
      <c r="Q877" t="s">
        <v>157</v>
      </c>
      <c r="R877" t="s">
        <v>2712</v>
      </c>
      <c r="S877">
        <v>149.94999999999999</v>
      </c>
    </row>
    <row r="878" spans="1:19" x14ac:dyDescent="0.35">
      <c r="A878">
        <v>891</v>
      </c>
      <c r="B878" t="s">
        <v>2710</v>
      </c>
      <c r="C878" s="1">
        <v>43271</v>
      </c>
      <c r="D878" s="1">
        <v>43277</v>
      </c>
      <c r="E878" s="1" t="str">
        <f t="shared" si="13"/>
        <v>FAST</v>
      </c>
      <c r="F878" t="s">
        <v>46</v>
      </c>
      <c r="G878" t="s">
        <v>1625</v>
      </c>
      <c r="H878" t="s">
        <v>1626</v>
      </c>
      <c r="I878" t="s">
        <v>22</v>
      </c>
      <c r="J878" t="s">
        <v>23</v>
      </c>
      <c r="K878" t="s">
        <v>1483</v>
      </c>
      <c r="L878" t="s">
        <v>261</v>
      </c>
      <c r="M878">
        <v>10801</v>
      </c>
      <c r="N878" t="s">
        <v>144</v>
      </c>
      <c r="O878" t="s">
        <v>1576</v>
      </c>
      <c r="P878" t="s">
        <v>42</v>
      </c>
      <c r="Q878" t="s">
        <v>71</v>
      </c>
      <c r="R878" t="s">
        <v>1577</v>
      </c>
      <c r="S878">
        <v>51.311999999999998</v>
      </c>
    </row>
    <row r="879" spans="1:19" x14ac:dyDescent="0.35">
      <c r="A879">
        <v>892</v>
      </c>
      <c r="B879" t="s">
        <v>2713</v>
      </c>
      <c r="C879" s="1">
        <v>43277</v>
      </c>
      <c r="D879" s="1">
        <v>43278</v>
      </c>
      <c r="E879" s="1" t="str">
        <f t="shared" si="13"/>
        <v>MODERATE</v>
      </c>
      <c r="F879" t="s">
        <v>184</v>
      </c>
      <c r="G879" t="s">
        <v>2262</v>
      </c>
      <c r="H879" t="s">
        <v>2263</v>
      </c>
      <c r="I879" t="s">
        <v>98</v>
      </c>
      <c r="J879" t="s">
        <v>23</v>
      </c>
      <c r="K879" t="s">
        <v>867</v>
      </c>
      <c r="L879" t="s">
        <v>232</v>
      </c>
      <c r="M879">
        <v>48227</v>
      </c>
      <c r="N879" t="s">
        <v>101</v>
      </c>
      <c r="O879" t="s">
        <v>2714</v>
      </c>
      <c r="P879" t="s">
        <v>42</v>
      </c>
      <c r="Q879" t="s">
        <v>86</v>
      </c>
      <c r="R879" t="s">
        <v>2715</v>
      </c>
      <c r="S879">
        <v>4.54</v>
      </c>
    </row>
    <row r="880" spans="1:19" x14ac:dyDescent="0.35">
      <c r="A880">
        <v>893</v>
      </c>
      <c r="B880" t="s">
        <v>2713</v>
      </c>
      <c r="C880" s="1">
        <v>43277</v>
      </c>
      <c r="D880" s="1">
        <v>43278</v>
      </c>
      <c r="E880" s="1" t="str">
        <f t="shared" si="13"/>
        <v>MODERATE</v>
      </c>
      <c r="F880" t="s">
        <v>184</v>
      </c>
      <c r="G880" t="s">
        <v>2262</v>
      </c>
      <c r="H880" t="s">
        <v>2263</v>
      </c>
      <c r="I880" t="s">
        <v>98</v>
      </c>
      <c r="J880" t="s">
        <v>23</v>
      </c>
      <c r="K880" t="s">
        <v>867</v>
      </c>
      <c r="L880" t="s">
        <v>232</v>
      </c>
      <c r="M880">
        <v>48227</v>
      </c>
      <c r="N880" t="s">
        <v>101</v>
      </c>
      <c r="O880" t="s">
        <v>2716</v>
      </c>
      <c r="P880" t="s">
        <v>42</v>
      </c>
      <c r="Q880" t="s">
        <v>64</v>
      </c>
      <c r="R880" t="s">
        <v>2717</v>
      </c>
      <c r="S880">
        <v>15.92</v>
      </c>
    </row>
    <row r="881" spans="1:19" x14ac:dyDescent="0.35">
      <c r="A881">
        <v>894</v>
      </c>
      <c r="B881" t="s">
        <v>2713</v>
      </c>
      <c r="C881" s="1">
        <v>43277</v>
      </c>
      <c r="D881" s="1">
        <v>43278</v>
      </c>
      <c r="E881" s="1" t="str">
        <f t="shared" si="13"/>
        <v>MODERATE</v>
      </c>
      <c r="F881" t="s">
        <v>184</v>
      </c>
      <c r="G881" t="s">
        <v>2262</v>
      </c>
      <c r="H881" t="s">
        <v>2263</v>
      </c>
      <c r="I881" t="s">
        <v>98</v>
      </c>
      <c r="J881" t="s">
        <v>23</v>
      </c>
      <c r="K881" t="s">
        <v>867</v>
      </c>
      <c r="L881" t="s">
        <v>232</v>
      </c>
      <c r="M881">
        <v>48227</v>
      </c>
      <c r="N881" t="s">
        <v>101</v>
      </c>
      <c r="O881" t="s">
        <v>2718</v>
      </c>
      <c r="P881" t="s">
        <v>67</v>
      </c>
      <c r="Q881" t="s">
        <v>68</v>
      </c>
      <c r="R881" t="s">
        <v>2719</v>
      </c>
      <c r="S881">
        <v>543.91999999999996</v>
      </c>
    </row>
    <row r="882" spans="1:19" x14ac:dyDescent="0.35">
      <c r="A882">
        <v>895</v>
      </c>
      <c r="B882" t="s">
        <v>2720</v>
      </c>
      <c r="C882" s="1">
        <v>43049</v>
      </c>
      <c r="D882" s="1">
        <v>43051</v>
      </c>
      <c r="E882" s="1" t="str">
        <f t="shared" si="13"/>
        <v>MODERATE</v>
      </c>
      <c r="F882" t="s">
        <v>184</v>
      </c>
      <c r="G882" t="s">
        <v>2721</v>
      </c>
      <c r="H882" t="s">
        <v>2722</v>
      </c>
      <c r="I882" t="s">
        <v>37</v>
      </c>
      <c r="J882" t="s">
        <v>23</v>
      </c>
      <c r="K882" t="s">
        <v>123</v>
      </c>
      <c r="L882" t="s">
        <v>39</v>
      </c>
      <c r="M882">
        <v>94122</v>
      </c>
      <c r="N882" t="s">
        <v>40</v>
      </c>
      <c r="O882" t="s">
        <v>1292</v>
      </c>
      <c r="P882" t="s">
        <v>42</v>
      </c>
      <c r="Q882" t="s">
        <v>55</v>
      </c>
      <c r="R882" t="s">
        <v>1293</v>
      </c>
      <c r="S882">
        <v>155.82</v>
      </c>
    </row>
    <row r="883" spans="1:19" x14ac:dyDescent="0.35">
      <c r="A883">
        <v>896</v>
      </c>
      <c r="B883" t="s">
        <v>2720</v>
      </c>
      <c r="C883" s="1">
        <v>43049</v>
      </c>
      <c r="D883" s="1">
        <v>43051</v>
      </c>
      <c r="E883" s="1" t="str">
        <f t="shared" si="13"/>
        <v>MODERATE</v>
      </c>
      <c r="F883" t="s">
        <v>184</v>
      </c>
      <c r="G883" t="s">
        <v>2721</v>
      </c>
      <c r="H883" t="s">
        <v>2722</v>
      </c>
      <c r="I883" t="s">
        <v>37</v>
      </c>
      <c r="J883" t="s">
        <v>23</v>
      </c>
      <c r="K883" t="s">
        <v>123</v>
      </c>
      <c r="L883" t="s">
        <v>39</v>
      </c>
      <c r="M883">
        <v>94122</v>
      </c>
      <c r="N883" t="s">
        <v>40</v>
      </c>
      <c r="O883" t="s">
        <v>2723</v>
      </c>
      <c r="P883" t="s">
        <v>42</v>
      </c>
      <c r="Q883" t="s">
        <v>71</v>
      </c>
      <c r="R883" t="s">
        <v>2724</v>
      </c>
      <c r="S883">
        <v>70.007999999999996</v>
      </c>
    </row>
    <row r="884" spans="1:19" x14ac:dyDescent="0.35">
      <c r="A884">
        <v>897</v>
      </c>
      <c r="B884" t="s">
        <v>2725</v>
      </c>
      <c r="C884" s="1">
        <v>43011</v>
      </c>
      <c r="D884" s="1">
        <v>43014</v>
      </c>
      <c r="E884" s="1" t="str">
        <f t="shared" si="13"/>
        <v>SLOW</v>
      </c>
      <c r="F884" t="s">
        <v>19</v>
      </c>
      <c r="G884" t="s">
        <v>2726</v>
      </c>
      <c r="H884" t="s">
        <v>2727</v>
      </c>
      <c r="I884" t="s">
        <v>22</v>
      </c>
      <c r="J884" t="s">
        <v>23</v>
      </c>
      <c r="K884" t="s">
        <v>180</v>
      </c>
      <c r="L884" t="s">
        <v>100</v>
      </c>
      <c r="M884">
        <v>77095</v>
      </c>
      <c r="N884" t="s">
        <v>101</v>
      </c>
      <c r="O884" t="s">
        <v>2728</v>
      </c>
      <c r="P884" t="s">
        <v>42</v>
      </c>
      <c r="Q884" t="s">
        <v>169</v>
      </c>
      <c r="R884" t="s">
        <v>658</v>
      </c>
      <c r="S884">
        <v>15.648</v>
      </c>
    </row>
    <row r="885" spans="1:19" x14ac:dyDescent="0.35">
      <c r="A885">
        <v>898</v>
      </c>
      <c r="B885" t="s">
        <v>2729</v>
      </c>
      <c r="C885" s="1">
        <v>42256</v>
      </c>
      <c r="D885" s="1">
        <v>42262</v>
      </c>
      <c r="E885" s="1" t="str">
        <f t="shared" si="13"/>
        <v>FAST</v>
      </c>
      <c r="F885" t="s">
        <v>46</v>
      </c>
      <c r="G885" t="s">
        <v>2730</v>
      </c>
      <c r="H885" t="s">
        <v>2731</v>
      </c>
      <c r="I885" t="s">
        <v>22</v>
      </c>
      <c r="J885" t="s">
        <v>23</v>
      </c>
      <c r="K885" t="s">
        <v>867</v>
      </c>
      <c r="L885" t="s">
        <v>232</v>
      </c>
      <c r="M885">
        <v>48227</v>
      </c>
      <c r="N885" t="s">
        <v>101</v>
      </c>
      <c r="O885" t="s">
        <v>1647</v>
      </c>
      <c r="P885" t="s">
        <v>42</v>
      </c>
      <c r="Q885" t="s">
        <v>43</v>
      </c>
      <c r="R885" t="s">
        <v>1648</v>
      </c>
      <c r="S885">
        <v>103.6</v>
      </c>
    </row>
    <row r="886" spans="1:19" x14ac:dyDescent="0.35">
      <c r="A886">
        <v>899</v>
      </c>
      <c r="B886" t="s">
        <v>2732</v>
      </c>
      <c r="C886" s="1">
        <v>43402</v>
      </c>
      <c r="D886" s="1">
        <v>43404</v>
      </c>
      <c r="E886" s="1" t="str">
        <f t="shared" si="13"/>
        <v>SLOW</v>
      </c>
      <c r="F886" t="s">
        <v>19</v>
      </c>
      <c r="G886" t="s">
        <v>2733</v>
      </c>
      <c r="H886" t="s">
        <v>2734</v>
      </c>
      <c r="I886" t="s">
        <v>37</v>
      </c>
      <c r="J886" t="s">
        <v>23</v>
      </c>
      <c r="K886" t="s">
        <v>1544</v>
      </c>
      <c r="L886" t="s">
        <v>261</v>
      </c>
      <c r="M886">
        <v>13021</v>
      </c>
      <c r="N886" t="s">
        <v>144</v>
      </c>
      <c r="O886" t="s">
        <v>2735</v>
      </c>
      <c r="P886" t="s">
        <v>42</v>
      </c>
      <c r="Q886" t="s">
        <v>86</v>
      </c>
      <c r="R886" t="s">
        <v>2736</v>
      </c>
      <c r="S886">
        <v>46.96</v>
      </c>
    </row>
    <row r="887" spans="1:19" x14ac:dyDescent="0.35">
      <c r="A887">
        <v>900</v>
      </c>
      <c r="B887" t="s">
        <v>2737</v>
      </c>
      <c r="C887" s="1">
        <v>42835</v>
      </c>
      <c r="D887" s="1">
        <v>42837</v>
      </c>
      <c r="E887" s="1" t="str">
        <f t="shared" si="13"/>
        <v>MODERATE</v>
      </c>
      <c r="F887" t="s">
        <v>184</v>
      </c>
      <c r="G887" t="s">
        <v>2738</v>
      </c>
      <c r="H887" t="s">
        <v>2739</v>
      </c>
      <c r="I887" t="s">
        <v>37</v>
      </c>
      <c r="J887" t="s">
        <v>23</v>
      </c>
      <c r="K887" t="s">
        <v>312</v>
      </c>
      <c r="L887" t="s">
        <v>485</v>
      </c>
      <c r="M887">
        <v>45503</v>
      </c>
      <c r="N887" t="s">
        <v>144</v>
      </c>
      <c r="O887" t="s">
        <v>2740</v>
      </c>
      <c r="P887" t="s">
        <v>42</v>
      </c>
      <c r="Q887" t="s">
        <v>71</v>
      </c>
      <c r="R887" t="s">
        <v>2741</v>
      </c>
      <c r="S887">
        <v>8.9039999999999999</v>
      </c>
    </row>
    <row r="888" spans="1:19" x14ac:dyDescent="0.35">
      <c r="A888">
        <v>901</v>
      </c>
      <c r="B888" t="s">
        <v>2742</v>
      </c>
      <c r="C888" s="1">
        <v>43415</v>
      </c>
      <c r="D888" s="1">
        <v>43417</v>
      </c>
      <c r="E888" s="1" t="str">
        <f t="shared" si="13"/>
        <v>MODERATE</v>
      </c>
      <c r="F888" t="s">
        <v>184</v>
      </c>
      <c r="G888" t="s">
        <v>1230</v>
      </c>
      <c r="H888" t="s">
        <v>1231</v>
      </c>
      <c r="I888" t="s">
        <v>22</v>
      </c>
      <c r="J888" t="s">
        <v>23</v>
      </c>
      <c r="K888" t="s">
        <v>2743</v>
      </c>
      <c r="L888" t="s">
        <v>100</v>
      </c>
      <c r="M888">
        <v>75043</v>
      </c>
      <c r="N888" t="s">
        <v>101</v>
      </c>
      <c r="O888" t="s">
        <v>2744</v>
      </c>
      <c r="P888" t="s">
        <v>42</v>
      </c>
      <c r="Q888" t="s">
        <v>43</v>
      </c>
      <c r="R888" t="s">
        <v>2745</v>
      </c>
      <c r="S888">
        <v>10.44</v>
      </c>
    </row>
    <row r="889" spans="1:19" x14ac:dyDescent="0.35">
      <c r="A889">
        <v>902</v>
      </c>
      <c r="B889" t="s">
        <v>2742</v>
      </c>
      <c r="C889" s="1">
        <v>43415</v>
      </c>
      <c r="D889" s="1">
        <v>43417</v>
      </c>
      <c r="E889" s="1" t="str">
        <f t="shared" si="13"/>
        <v>MODERATE</v>
      </c>
      <c r="F889" t="s">
        <v>184</v>
      </c>
      <c r="G889" t="s">
        <v>1230</v>
      </c>
      <c r="H889" t="s">
        <v>1231</v>
      </c>
      <c r="I889" t="s">
        <v>22</v>
      </c>
      <c r="J889" t="s">
        <v>23</v>
      </c>
      <c r="K889" t="s">
        <v>2743</v>
      </c>
      <c r="L889" t="s">
        <v>100</v>
      </c>
      <c r="M889">
        <v>75043</v>
      </c>
      <c r="N889" t="s">
        <v>101</v>
      </c>
      <c r="O889" t="s">
        <v>2746</v>
      </c>
      <c r="P889" t="s">
        <v>42</v>
      </c>
      <c r="Q889" t="s">
        <v>71</v>
      </c>
      <c r="R889" t="s">
        <v>2747</v>
      </c>
      <c r="S889">
        <v>18.335999999999999</v>
      </c>
    </row>
    <row r="890" spans="1:19" x14ac:dyDescent="0.35">
      <c r="A890">
        <v>903</v>
      </c>
      <c r="B890" t="s">
        <v>2748</v>
      </c>
      <c r="C890" s="1">
        <v>43358</v>
      </c>
      <c r="D890" s="1">
        <v>43360</v>
      </c>
      <c r="E890" s="1" t="str">
        <f t="shared" si="13"/>
        <v>MODERATE</v>
      </c>
      <c r="F890" t="s">
        <v>184</v>
      </c>
      <c r="G890" t="s">
        <v>631</v>
      </c>
      <c r="H890" t="s">
        <v>632</v>
      </c>
      <c r="I890" t="s">
        <v>22</v>
      </c>
      <c r="J890" t="s">
        <v>23</v>
      </c>
      <c r="K890" t="s">
        <v>297</v>
      </c>
      <c r="L890" t="s">
        <v>205</v>
      </c>
      <c r="M890">
        <v>60653</v>
      </c>
      <c r="N890" t="s">
        <v>101</v>
      </c>
      <c r="O890" t="s">
        <v>640</v>
      </c>
      <c r="P890" t="s">
        <v>67</v>
      </c>
      <c r="Q890" t="s">
        <v>68</v>
      </c>
      <c r="R890" t="s">
        <v>641</v>
      </c>
      <c r="S890">
        <v>323.976</v>
      </c>
    </row>
    <row r="891" spans="1:19" x14ac:dyDescent="0.35">
      <c r="A891">
        <v>904</v>
      </c>
      <c r="B891" t="s">
        <v>2749</v>
      </c>
      <c r="C891" s="1">
        <v>42833</v>
      </c>
      <c r="D891" s="1">
        <v>42837</v>
      </c>
      <c r="E891" s="1" t="str">
        <f t="shared" si="13"/>
        <v>FAST</v>
      </c>
      <c r="F891" t="s">
        <v>46</v>
      </c>
      <c r="G891" t="s">
        <v>800</v>
      </c>
      <c r="H891" t="s">
        <v>801</v>
      </c>
      <c r="I891" t="s">
        <v>22</v>
      </c>
      <c r="J891" t="s">
        <v>23</v>
      </c>
      <c r="K891" t="s">
        <v>38</v>
      </c>
      <c r="L891" t="s">
        <v>39</v>
      </c>
      <c r="M891">
        <v>90032</v>
      </c>
      <c r="N891" t="s">
        <v>40</v>
      </c>
      <c r="O891" t="s">
        <v>2750</v>
      </c>
      <c r="P891" t="s">
        <v>42</v>
      </c>
      <c r="Q891" t="s">
        <v>86</v>
      </c>
      <c r="R891" t="s">
        <v>2751</v>
      </c>
      <c r="S891">
        <v>20.04</v>
      </c>
    </row>
    <row r="892" spans="1:19" x14ac:dyDescent="0.35">
      <c r="A892">
        <v>905</v>
      </c>
      <c r="B892" t="s">
        <v>2749</v>
      </c>
      <c r="C892" s="1">
        <v>42833</v>
      </c>
      <c r="D892" s="1">
        <v>42837</v>
      </c>
      <c r="E892" s="1" t="str">
        <f t="shared" si="13"/>
        <v>FAST</v>
      </c>
      <c r="F892" t="s">
        <v>46</v>
      </c>
      <c r="G892" t="s">
        <v>800</v>
      </c>
      <c r="H892" t="s">
        <v>801</v>
      </c>
      <c r="I892" t="s">
        <v>22</v>
      </c>
      <c r="J892" t="s">
        <v>23</v>
      </c>
      <c r="K892" t="s">
        <v>38</v>
      </c>
      <c r="L892" t="s">
        <v>39</v>
      </c>
      <c r="M892">
        <v>90032</v>
      </c>
      <c r="N892" t="s">
        <v>40</v>
      </c>
      <c r="O892" t="s">
        <v>2194</v>
      </c>
      <c r="P892" t="s">
        <v>42</v>
      </c>
      <c r="Q892" t="s">
        <v>55</v>
      </c>
      <c r="R892" t="s">
        <v>2195</v>
      </c>
      <c r="S892">
        <v>64.959999999999994</v>
      </c>
    </row>
    <row r="893" spans="1:19" x14ac:dyDescent="0.35">
      <c r="A893">
        <v>906</v>
      </c>
      <c r="B893" t="s">
        <v>2749</v>
      </c>
      <c r="C893" s="1">
        <v>42833</v>
      </c>
      <c r="D893" s="1">
        <v>42837</v>
      </c>
      <c r="E893" s="1" t="str">
        <f t="shared" si="13"/>
        <v>FAST</v>
      </c>
      <c r="F893" t="s">
        <v>46</v>
      </c>
      <c r="G893" t="s">
        <v>800</v>
      </c>
      <c r="H893" t="s">
        <v>801</v>
      </c>
      <c r="I893" t="s">
        <v>22</v>
      </c>
      <c r="J893" t="s">
        <v>23</v>
      </c>
      <c r="K893" t="s">
        <v>38</v>
      </c>
      <c r="L893" t="s">
        <v>39</v>
      </c>
      <c r="M893">
        <v>90032</v>
      </c>
      <c r="N893" t="s">
        <v>40</v>
      </c>
      <c r="O893" t="s">
        <v>2752</v>
      </c>
      <c r="P893" t="s">
        <v>42</v>
      </c>
      <c r="Q893" t="s">
        <v>86</v>
      </c>
      <c r="R893" t="s">
        <v>2753</v>
      </c>
      <c r="S893">
        <v>12.96</v>
      </c>
    </row>
    <row r="894" spans="1:19" x14ac:dyDescent="0.35">
      <c r="A894">
        <v>907</v>
      </c>
      <c r="B894" t="s">
        <v>2754</v>
      </c>
      <c r="C894" s="1">
        <v>43464</v>
      </c>
      <c r="D894" s="1">
        <v>43468</v>
      </c>
      <c r="E894" s="1" t="str">
        <f t="shared" si="13"/>
        <v>FAST</v>
      </c>
      <c r="F894" t="s">
        <v>46</v>
      </c>
      <c r="G894" t="s">
        <v>229</v>
      </c>
      <c r="H894" t="s">
        <v>230</v>
      </c>
      <c r="I894" t="s">
        <v>22</v>
      </c>
      <c r="J894" t="s">
        <v>23</v>
      </c>
      <c r="K894" t="s">
        <v>260</v>
      </c>
      <c r="L894" t="s">
        <v>261</v>
      </c>
      <c r="M894">
        <v>10009</v>
      </c>
      <c r="N894" t="s">
        <v>144</v>
      </c>
      <c r="O894" t="s">
        <v>2755</v>
      </c>
      <c r="P894" t="s">
        <v>28</v>
      </c>
      <c r="Q894" t="s">
        <v>29</v>
      </c>
      <c r="R894" t="s">
        <v>2756</v>
      </c>
      <c r="S894">
        <v>323.13600000000002</v>
      </c>
    </row>
    <row r="895" spans="1:19" x14ac:dyDescent="0.35">
      <c r="A895">
        <v>908</v>
      </c>
      <c r="B895" t="s">
        <v>2754</v>
      </c>
      <c r="C895" s="1">
        <v>43464</v>
      </c>
      <c r="D895" s="1">
        <v>43468</v>
      </c>
      <c r="E895" s="1" t="str">
        <f t="shared" si="13"/>
        <v>FAST</v>
      </c>
      <c r="F895" t="s">
        <v>46</v>
      </c>
      <c r="G895" t="s">
        <v>229</v>
      </c>
      <c r="H895" t="s">
        <v>230</v>
      </c>
      <c r="I895" t="s">
        <v>22</v>
      </c>
      <c r="J895" t="s">
        <v>23</v>
      </c>
      <c r="K895" t="s">
        <v>260</v>
      </c>
      <c r="L895" t="s">
        <v>261</v>
      </c>
      <c r="M895">
        <v>10009</v>
      </c>
      <c r="N895" t="s">
        <v>144</v>
      </c>
      <c r="O895" t="s">
        <v>2757</v>
      </c>
      <c r="P895" t="s">
        <v>67</v>
      </c>
      <c r="Q895" t="s">
        <v>68</v>
      </c>
      <c r="R895" t="s">
        <v>2758</v>
      </c>
      <c r="S895">
        <v>90.93</v>
      </c>
    </row>
    <row r="896" spans="1:19" x14ac:dyDescent="0.35">
      <c r="A896">
        <v>909</v>
      </c>
      <c r="B896" t="s">
        <v>2754</v>
      </c>
      <c r="C896" s="1">
        <v>43464</v>
      </c>
      <c r="D896" s="1">
        <v>43468</v>
      </c>
      <c r="E896" s="1" t="str">
        <f t="shared" si="13"/>
        <v>FAST</v>
      </c>
      <c r="F896" t="s">
        <v>46</v>
      </c>
      <c r="G896" t="s">
        <v>229</v>
      </c>
      <c r="H896" t="s">
        <v>230</v>
      </c>
      <c r="I896" t="s">
        <v>22</v>
      </c>
      <c r="J896" t="s">
        <v>23</v>
      </c>
      <c r="K896" t="s">
        <v>260</v>
      </c>
      <c r="L896" t="s">
        <v>261</v>
      </c>
      <c r="M896">
        <v>10009</v>
      </c>
      <c r="N896" t="s">
        <v>144</v>
      </c>
      <c r="O896" t="s">
        <v>2759</v>
      </c>
      <c r="P896" t="s">
        <v>42</v>
      </c>
      <c r="Q896" t="s">
        <v>71</v>
      </c>
      <c r="R896" t="s">
        <v>2760</v>
      </c>
      <c r="S896">
        <v>52.776000000000003</v>
      </c>
    </row>
    <row r="897" spans="1:19" x14ac:dyDescent="0.35">
      <c r="A897">
        <v>910</v>
      </c>
      <c r="B897" t="s">
        <v>2761</v>
      </c>
      <c r="C897" s="1">
        <v>43345</v>
      </c>
      <c r="D897" s="1">
        <v>43350</v>
      </c>
      <c r="E897" s="1" t="str">
        <f t="shared" si="13"/>
        <v>FAST</v>
      </c>
      <c r="F897" t="s">
        <v>46</v>
      </c>
      <c r="G897" t="s">
        <v>2762</v>
      </c>
      <c r="H897" t="s">
        <v>2763</v>
      </c>
      <c r="I897" t="s">
        <v>98</v>
      </c>
      <c r="J897" t="s">
        <v>23</v>
      </c>
      <c r="K897" t="s">
        <v>322</v>
      </c>
      <c r="L897" t="s">
        <v>232</v>
      </c>
      <c r="M897">
        <v>49201</v>
      </c>
      <c r="N897" t="s">
        <v>101</v>
      </c>
      <c r="O897" t="s">
        <v>2764</v>
      </c>
      <c r="P897" t="s">
        <v>67</v>
      </c>
      <c r="Q897" t="s">
        <v>68</v>
      </c>
      <c r="R897" t="s">
        <v>2765</v>
      </c>
      <c r="S897">
        <v>1199.8</v>
      </c>
    </row>
    <row r="898" spans="1:19" x14ac:dyDescent="0.35">
      <c r="A898">
        <v>911</v>
      </c>
      <c r="B898" t="s">
        <v>2761</v>
      </c>
      <c r="C898" s="1">
        <v>43345</v>
      </c>
      <c r="D898" s="1">
        <v>43350</v>
      </c>
      <c r="E898" s="1" t="str">
        <f t="shared" si="13"/>
        <v>FAST</v>
      </c>
      <c r="F898" t="s">
        <v>46</v>
      </c>
      <c r="G898" t="s">
        <v>2762</v>
      </c>
      <c r="H898" t="s">
        <v>2763</v>
      </c>
      <c r="I898" t="s">
        <v>98</v>
      </c>
      <c r="J898" t="s">
        <v>23</v>
      </c>
      <c r="K898" t="s">
        <v>322</v>
      </c>
      <c r="L898" t="s">
        <v>232</v>
      </c>
      <c r="M898">
        <v>49201</v>
      </c>
      <c r="N898" t="s">
        <v>101</v>
      </c>
      <c r="O898" t="s">
        <v>2766</v>
      </c>
      <c r="P898" t="s">
        <v>67</v>
      </c>
      <c r="Q898" t="s">
        <v>157</v>
      </c>
      <c r="R898" t="s">
        <v>2767</v>
      </c>
      <c r="S898">
        <v>1928.78</v>
      </c>
    </row>
    <row r="899" spans="1:19" x14ac:dyDescent="0.35">
      <c r="A899">
        <v>912</v>
      </c>
      <c r="B899" t="s">
        <v>2761</v>
      </c>
      <c r="C899" s="1">
        <v>43345</v>
      </c>
      <c r="D899" s="1">
        <v>43350</v>
      </c>
      <c r="E899" s="1" t="str">
        <f t="shared" ref="E899:E962" si="14">IF(F899="STANDARD CLASS","FAST",IF(F899="SECOND CLASS","SLOW","MODERATE"))</f>
        <v>FAST</v>
      </c>
      <c r="F899" t="s">
        <v>46</v>
      </c>
      <c r="G899" t="s">
        <v>2762</v>
      </c>
      <c r="H899" t="s">
        <v>2763</v>
      </c>
      <c r="I899" t="s">
        <v>98</v>
      </c>
      <c r="J899" t="s">
        <v>23</v>
      </c>
      <c r="K899" t="s">
        <v>322</v>
      </c>
      <c r="L899" t="s">
        <v>232</v>
      </c>
      <c r="M899">
        <v>49201</v>
      </c>
      <c r="N899" t="s">
        <v>101</v>
      </c>
      <c r="O899" t="s">
        <v>2768</v>
      </c>
      <c r="P899" t="s">
        <v>42</v>
      </c>
      <c r="Q899" t="s">
        <v>55</v>
      </c>
      <c r="R899" t="s">
        <v>2769</v>
      </c>
      <c r="S899">
        <v>352.38</v>
      </c>
    </row>
    <row r="900" spans="1:19" x14ac:dyDescent="0.35">
      <c r="A900">
        <v>914</v>
      </c>
      <c r="B900" t="s">
        <v>2773</v>
      </c>
      <c r="C900" s="1">
        <v>43431</v>
      </c>
      <c r="D900" s="1">
        <v>43433</v>
      </c>
      <c r="E900" s="1" t="str">
        <f t="shared" si="14"/>
        <v>MODERATE</v>
      </c>
      <c r="F900" t="s">
        <v>184</v>
      </c>
      <c r="G900" t="s">
        <v>2577</v>
      </c>
      <c r="H900" t="s">
        <v>2578</v>
      </c>
      <c r="I900" t="s">
        <v>37</v>
      </c>
      <c r="J900" t="s">
        <v>23</v>
      </c>
      <c r="K900" t="s">
        <v>2520</v>
      </c>
      <c r="L900" t="s">
        <v>110</v>
      </c>
      <c r="M900">
        <v>53209</v>
      </c>
      <c r="N900" t="s">
        <v>101</v>
      </c>
      <c r="O900" t="s">
        <v>1070</v>
      </c>
      <c r="P900" t="s">
        <v>28</v>
      </c>
      <c r="Q900" t="s">
        <v>61</v>
      </c>
      <c r="R900" t="s">
        <v>1071</v>
      </c>
      <c r="S900">
        <v>46.94</v>
      </c>
    </row>
    <row r="901" spans="1:19" x14ac:dyDescent="0.35">
      <c r="A901">
        <v>915</v>
      </c>
      <c r="B901" t="s">
        <v>2773</v>
      </c>
      <c r="C901" s="1">
        <v>43431</v>
      </c>
      <c r="D901" s="1">
        <v>43433</v>
      </c>
      <c r="E901" s="1" t="str">
        <f t="shared" si="14"/>
        <v>MODERATE</v>
      </c>
      <c r="F901" t="s">
        <v>184</v>
      </c>
      <c r="G901" t="s">
        <v>2577</v>
      </c>
      <c r="H901" t="s">
        <v>2578</v>
      </c>
      <c r="I901" t="s">
        <v>37</v>
      </c>
      <c r="J901" t="s">
        <v>23</v>
      </c>
      <c r="K901" t="s">
        <v>2520</v>
      </c>
      <c r="L901" t="s">
        <v>110</v>
      </c>
      <c r="M901">
        <v>53209</v>
      </c>
      <c r="N901" t="s">
        <v>101</v>
      </c>
      <c r="O901" t="s">
        <v>1562</v>
      </c>
      <c r="P901" t="s">
        <v>67</v>
      </c>
      <c r="Q901" t="s">
        <v>157</v>
      </c>
      <c r="R901" t="s">
        <v>1563</v>
      </c>
      <c r="S901">
        <v>143.72999999999999</v>
      </c>
    </row>
    <row r="902" spans="1:19" x14ac:dyDescent="0.35">
      <c r="A902">
        <v>916</v>
      </c>
      <c r="B902" t="s">
        <v>2774</v>
      </c>
      <c r="C902" s="1">
        <v>42170</v>
      </c>
      <c r="D902" s="1">
        <v>42176</v>
      </c>
      <c r="E902" s="1" t="str">
        <f t="shared" si="14"/>
        <v>FAST</v>
      </c>
      <c r="F902" t="s">
        <v>46</v>
      </c>
      <c r="G902" t="s">
        <v>1067</v>
      </c>
      <c r="H902" t="s">
        <v>1068</v>
      </c>
      <c r="I902" t="s">
        <v>37</v>
      </c>
      <c r="J902" t="s">
        <v>23</v>
      </c>
      <c r="K902" t="s">
        <v>667</v>
      </c>
      <c r="L902" t="s">
        <v>100</v>
      </c>
      <c r="M902">
        <v>78207</v>
      </c>
      <c r="N902" t="s">
        <v>101</v>
      </c>
      <c r="O902" t="s">
        <v>2775</v>
      </c>
      <c r="P902" t="s">
        <v>28</v>
      </c>
      <c r="Q902" t="s">
        <v>52</v>
      </c>
      <c r="R902" t="s">
        <v>2776</v>
      </c>
      <c r="S902">
        <v>99.918000000000006</v>
      </c>
    </row>
    <row r="903" spans="1:19" x14ac:dyDescent="0.35">
      <c r="A903">
        <v>917</v>
      </c>
      <c r="B903" t="s">
        <v>2774</v>
      </c>
      <c r="C903" s="1">
        <v>42170</v>
      </c>
      <c r="D903" s="1">
        <v>42176</v>
      </c>
      <c r="E903" s="1" t="str">
        <f t="shared" si="14"/>
        <v>FAST</v>
      </c>
      <c r="F903" t="s">
        <v>46</v>
      </c>
      <c r="G903" t="s">
        <v>1067</v>
      </c>
      <c r="H903" t="s">
        <v>1068</v>
      </c>
      <c r="I903" t="s">
        <v>37</v>
      </c>
      <c r="J903" t="s">
        <v>23</v>
      </c>
      <c r="K903" t="s">
        <v>667</v>
      </c>
      <c r="L903" t="s">
        <v>100</v>
      </c>
      <c r="M903">
        <v>78207</v>
      </c>
      <c r="N903" t="s">
        <v>101</v>
      </c>
      <c r="O903" t="s">
        <v>1773</v>
      </c>
      <c r="P903" t="s">
        <v>28</v>
      </c>
      <c r="Q903" t="s">
        <v>32</v>
      </c>
      <c r="R903" t="s">
        <v>1774</v>
      </c>
      <c r="S903">
        <v>797.94399999999996</v>
      </c>
    </row>
    <row r="904" spans="1:19" x14ac:dyDescent="0.35">
      <c r="A904">
        <v>918</v>
      </c>
      <c r="B904" t="s">
        <v>2774</v>
      </c>
      <c r="C904" s="1">
        <v>42170</v>
      </c>
      <c r="D904" s="1">
        <v>42176</v>
      </c>
      <c r="E904" s="1" t="str">
        <f t="shared" si="14"/>
        <v>FAST</v>
      </c>
      <c r="F904" t="s">
        <v>46</v>
      </c>
      <c r="G904" t="s">
        <v>1067</v>
      </c>
      <c r="H904" t="s">
        <v>1068</v>
      </c>
      <c r="I904" t="s">
        <v>37</v>
      </c>
      <c r="J904" t="s">
        <v>23</v>
      </c>
      <c r="K904" t="s">
        <v>667</v>
      </c>
      <c r="L904" t="s">
        <v>100</v>
      </c>
      <c r="M904">
        <v>78207</v>
      </c>
      <c r="N904" t="s">
        <v>101</v>
      </c>
      <c r="O904" t="s">
        <v>1090</v>
      </c>
      <c r="P904" t="s">
        <v>42</v>
      </c>
      <c r="Q904" t="s">
        <v>71</v>
      </c>
      <c r="R904" t="s">
        <v>1091</v>
      </c>
      <c r="S904">
        <v>8.5679999999999996</v>
      </c>
    </row>
    <row r="905" spans="1:19" x14ac:dyDescent="0.35">
      <c r="A905">
        <v>919</v>
      </c>
      <c r="B905" t="s">
        <v>2777</v>
      </c>
      <c r="C905" s="1">
        <v>42799</v>
      </c>
      <c r="D905" s="1">
        <v>42805</v>
      </c>
      <c r="E905" s="1" t="str">
        <f t="shared" si="14"/>
        <v>FAST</v>
      </c>
      <c r="F905" t="s">
        <v>46</v>
      </c>
      <c r="G905" t="s">
        <v>2778</v>
      </c>
      <c r="H905" t="s">
        <v>2779</v>
      </c>
      <c r="I905" t="s">
        <v>37</v>
      </c>
      <c r="J905" t="s">
        <v>23</v>
      </c>
      <c r="K905" t="s">
        <v>802</v>
      </c>
      <c r="L905" t="s">
        <v>100</v>
      </c>
      <c r="M905">
        <v>75220</v>
      </c>
      <c r="N905" t="s">
        <v>101</v>
      </c>
      <c r="O905" t="s">
        <v>2439</v>
      </c>
      <c r="P905" t="s">
        <v>42</v>
      </c>
      <c r="Q905" t="s">
        <v>169</v>
      </c>
      <c r="R905" t="s">
        <v>2440</v>
      </c>
      <c r="S905">
        <v>149.352</v>
      </c>
    </row>
    <row r="906" spans="1:19" x14ac:dyDescent="0.35">
      <c r="A906">
        <v>920</v>
      </c>
      <c r="B906" t="s">
        <v>2777</v>
      </c>
      <c r="C906" s="1">
        <v>42799</v>
      </c>
      <c r="D906" s="1">
        <v>42805</v>
      </c>
      <c r="E906" s="1" t="str">
        <f t="shared" si="14"/>
        <v>FAST</v>
      </c>
      <c r="F906" t="s">
        <v>46</v>
      </c>
      <c r="G906" t="s">
        <v>2778</v>
      </c>
      <c r="H906" t="s">
        <v>2779</v>
      </c>
      <c r="I906" t="s">
        <v>37</v>
      </c>
      <c r="J906" t="s">
        <v>23</v>
      </c>
      <c r="K906" t="s">
        <v>802</v>
      </c>
      <c r="L906" t="s">
        <v>100</v>
      </c>
      <c r="M906">
        <v>75220</v>
      </c>
      <c r="N906" t="s">
        <v>101</v>
      </c>
      <c r="O906" t="s">
        <v>2780</v>
      </c>
      <c r="P906" t="s">
        <v>42</v>
      </c>
      <c r="Q906" t="s">
        <v>55</v>
      </c>
      <c r="R906" t="s">
        <v>2781</v>
      </c>
      <c r="S906">
        <v>12.992000000000001</v>
      </c>
    </row>
    <row r="907" spans="1:19" x14ac:dyDescent="0.35">
      <c r="A907">
        <v>921</v>
      </c>
      <c r="B907" t="s">
        <v>2782</v>
      </c>
      <c r="C907" s="1">
        <v>42343</v>
      </c>
      <c r="D907" s="1">
        <v>42350</v>
      </c>
      <c r="E907" s="1" t="str">
        <f t="shared" si="14"/>
        <v>FAST</v>
      </c>
      <c r="F907" t="s">
        <v>46</v>
      </c>
      <c r="G907" t="s">
        <v>972</v>
      </c>
      <c r="H907" t="s">
        <v>973</v>
      </c>
      <c r="I907" t="s">
        <v>22</v>
      </c>
      <c r="J907" t="s">
        <v>23</v>
      </c>
      <c r="K907" t="s">
        <v>2783</v>
      </c>
      <c r="L907" t="s">
        <v>313</v>
      </c>
      <c r="M907">
        <v>22304</v>
      </c>
      <c r="N907" t="s">
        <v>26</v>
      </c>
      <c r="O907" t="s">
        <v>2218</v>
      </c>
      <c r="P907" t="s">
        <v>42</v>
      </c>
      <c r="Q907" t="s">
        <v>55</v>
      </c>
      <c r="R907" t="s">
        <v>2219</v>
      </c>
      <c r="S907">
        <v>24.56</v>
      </c>
    </row>
    <row r="908" spans="1:19" x14ac:dyDescent="0.35">
      <c r="A908">
        <v>922</v>
      </c>
      <c r="B908" t="s">
        <v>2784</v>
      </c>
      <c r="C908" s="1">
        <v>42471</v>
      </c>
      <c r="D908" s="1">
        <v>42475</v>
      </c>
      <c r="E908" s="1" t="str">
        <f t="shared" si="14"/>
        <v>FAST</v>
      </c>
      <c r="F908" t="s">
        <v>46</v>
      </c>
      <c r="G908" t="s">
        <v>2785</v>
      </c>
      <c r="H908" t="s">
        <v>2786</v>
      </c>
      <c r="I908" t="s">
        <v>22</v>
      </c>
      <c r="J908" t="s">
        <v>23</v>
      </c>
      <c r="K908" t="s">
        <v>260</v>
      </c>
      <c r="L908" t="s">
        <v>261</v>
      </c>
      <c r="M908">
        <v>10009</v>
      </c>
      <c r="N908" t="s">
        <v>144</v>
      </c>
      <c r="O908" t="s">
        <v>2787</v>
      </c>
      <c r="P908" t="s">
        <v>67</v>
      </c>
      <c r="Q908" t="s">
        <v>157</v>
      </c>
      <c r="R908" t="s">
        <v>2788</v>
      </c>
      <c r="S908">
        <v>85.14</v>
      </c>
    </row>
    <row r="909" spans="1:19" x14ac:dyDescent="0.35">
      <c r="A909">
        <v>923</v>
      </c>
      <c r="B909" t="s">
        <v>2784</v>
      </c>
      <c r="C909" s="1">
        <v>42471</v>
      </c>
      <c r="D909" s="1">
        <v>42475</v>
      </c>
      <c r="E909" s="1" t="str">
        <f t="shared" si="14"/>
        <v>FAST</v>
      </c>
      <c r="F909" t="s">
        <v>46</v>
      </c>
      <c r="G909" t="s">
        <v>2785</v>
      </c>
      <c r="H909" t="s">
        <v>2786</v>
      </c>
      <c r="I909" t="s">
        <v>22</v>
      </c>
      <c r="J909" t="s">
        <v>23</v>
      </c>
      <c r="K909" t="s">
        <v>260</v>
      </c>
      <c r="L909" t="s">
        <v>261</v>
      </c>
      <c r="M909">
        <v>10009</v>
      </c>
      <c r="N909" t="s">
        <v>144</v>
      </c>
      <c r="O909" t="s">
        <v>2789</v>
      </c>
      <c r="P909" t="s">
        <v>67</v>
      </c>
      <c r="Q909" t="s">
        <v>68</v>
      </c>
      <c r="R909" t="s">
        <v>2790</v>
      </c>
      <c r="S909">
        <v>21.99</v>
      </c>
    </row>
    <row r="910" spans="1:19" x14ac:dyDescent="0.35">
      <c r="A910">
        <v>924</v>
      </c>
      <c r="B910" t="s">
        <v>2784</v>
      </c>
      <c r="C910" s="1">
        <v>42471</v>
      </c>
      <c r="D910" s="1">
        <v>42475</v>
      </c>
      <c r="E910" s="1" t="str">
        <f t="shared" si="14"/>
        <v>FAST</v>
      </c>
      <c r="F910" t="s">
        <v>46</v>
      </c>
      <c r="G910" t="s">
        <v>2785</v>
      </c>
      <c r="H910" t="s">
        <v>2786</v>
      </c>
      <c r="I910" t="s">
        <v>22</v>
      </c>
      <c r="J910" t="s">
        <v>23</v>
      </c>
      <c r="K910" t="s">
        <v>260</v>
      </c>
      <c r="L910" t="s">
        <v>261</v>
      </c>
      <c r="M910">
        <v>10009</v>
      </c>
      <c r="N910" t="s">
        <v>144</v>
      </c>
      <c r="O910" t="s">
        <v>2791</v>
      </c>
      <c r="P910" t="s">
        <v>42</v>
      </c>
      <c r="Q910" t="s">
        <v>74</v>
      </c>
      <c r="R910" t="s">
        <v>2792</v>
      </c>
      <c r="S910">
        <v>406.6</v>
      </c>
    </row>
    <row r="911" spans="1:19" x14ac:dyDescent="0.35">
      <c r="A911">
        <v>925</v>
      </c>
      <c r="B911" t="s">
        <v>2793</v>
      </c>
      <c r="C911" s="1">
        <v>42993</v>
      </c>
      <c r="D911" s="1">
        <v>42998</v>
      </c>
      <c r="E911" s="1" t="str">
        <f t="shared" si="14"/>
        <v>FAST</v>
      </c>
      <c r="F911" t="s">
        <v>46</v>
      </c>
      <c r="G911" t="s">
        <v>2794</v>
      </c>
      <c r="H911" t="s">
        <v>2795</v>
      </c>
      <c r="I911" t="s">
        <v>37</v>
      </c>
      <c r="J911" t="s">
        <v>23</v>
      </c>
      <c r="K911" t="s">
        <v>260</v>
      </c>
      <c r="L911" t="s">
        <v>261</v>
      </c>
      <c r="M911">
        <v>10011</v>
      </c>
      <c r="N911" t="s">
        <v>144</v>
      </c>
      <c r="O911" t="s">
        <v>503</v>
      </c>
      <c r="P911" t="s">
        <v>42</v>
      </c>
      <c r="Q911" t="s">
        <v>71</v>
      </c>
      <c r="R911" t="s">
        <v>504</v>
      </c>
      <c r="S911">
        <v>841.56799999999998</v>
      </c>
    </row>
    <row r="912" spans="1:19" x14ac:dyDescent="0.35">
      <c r="A912">
        <v>926</v>
      </c>
      <c r="B912" t="s">
        <v>2796</v>
      </c>
      <c r="C912" s="1">
        <v>42260</v>
      </c>
      <c r="D912" s="1">
        <v>42263</v>
      </c>
      <c r="E912" s="1" t="str">
        <f t="shared" si="14"/>
        <v>MODERATE</v>
      </c>
      <c r="F912" t="s">
        <v>184</v>
      </c>
      <c r="G912" t="s">
        <v>2797</v>
      </c>
      <c r="H912" t="s">
        <v>2798</v>
      </c>
      <c r="I912" t="s">
        <v>22</v>
      </c>
      <c r="J912" t="s">
        <v>23</v>
      </c>
      <c r="K912" t="s">
        <v>142</v>
      </c>
      <c r="L912" t="s">
        <v>143</v>
      </c>
      <c r="M912">
        <v>19143</v>
      </c>
      <c r="N912" t="s">
        <v>144</v>
      </c>
      <c r="O912" t="s">
        <v>2799</v>
      </c>
      <c r="P912" t="s">
        <v>42</v>
      </c>
      <c r="Q912" t="s">
        <v>86</v>
      </c>
      <c r="R912" t="s">
        <v>2800</v>
      </c>
      <c r="S912">
        <v>15.552</v>
      </c>
    </row>
    <row r="913" spans="1:19" x14ac:dyDescent="0.35">
      <c r="A913">
        <v>927</v>
      </c>
      <c r="B913" t="s">
        <v>2796</v>
      </c>
      <c r="C913" s="1">
        <v>42260</v>
      </c>
      <c r="D913" s="1">
        <v>42263</v>
      </c>
      <c r="E913" s="1" t="str">
        <f t="shared" si="14"/>
        <v>MODERATE</v>
      </c>
      <c r="F913" t="s">
        <v>184</v>
      </c>
      <c r="G913" t="s">
        <v>2797</v>
      </c>
      <c r="H913" t="s">
        <v>2798</v>
      </c>
      <c r="I913" t="s">
        <v>22</v>
      </c>
      <c r="J913" t="s">
        <v>23</v>
      </c>
      <c r="K913" t="s">
        <v>142</v>
      </c>
      <c r="L913" t="s">
        <v>143</v>
      </c>
      <c r="M913">
        <v>19143</v>
      </c>
      <c r="N913" t="s">
        <v>144</v>
      </c>
      <c r="O913" t="s">
        <v>2801</v>
      </c>
      <c r="P913" t="s">
        <v>67</v>
      </c>
      <c r="Q913" t="s">
        <v>157</v>
      </c>
      <c r="R913" t="s">
        <v>2802</v>
      </c>
      <c r="S913">
        <v>252</v>
      </c>
    </row>
    <row r="914" spans="1:19" x14ac:dyDescent="0.35">
      <c r="A914">
        <v>928</v>
      </c>
      <c r="B914" t="s">
        <v>2803</v>
      </c>
      <c r="C914" s="1">
        <v>42648</v>
      </c>
      <c r="D914" s="1">
        <v>42652</v>
      </c>
      <c r="E914" s="1" t="str">
        <f t="shared" si="14"/>
        <v>FAST</v>
      </c>
      <c r="F914" t="s">
        <v>46</v>
      </c>
      <c r="G914" t="s">
        <v>2804</v>
      </c>
      <c r="H914" t="s">
        <v>2805</v>
      </c>
      <c r="I914" t="s">
        <v>98</v>
      </c>
      <c r="J914" t="s">
        <v>23</v>
      </c>
      <c r="K914" t="s">
        <v>312</v>
      </c>
      <c r="L914" t="s">
        <v>313</v>
      </c>
      <c r="M914">
        <v>22153</v>
      </c>
      <c r="N914" t="s">
        <v>26</v>
      </c>
      <c r="O914" t="s">
        <v>1300</v>
      </c>
      <c r="P914" t="s">
        <v>42</v>
      </c>
      <c r="Q914" t="s">
        <v>64</v>
      </c>
      <c r="R914" t="s">
        <v>1301</v>
      </c>
      <c r="S914">
        <v>46.2</v>
      </c>
    </row>
    <row r="915" spans="1:19" x14ac:dyDescent="0.35">
      <c r="A915">
        <v>929</v>
      </c>
      <c r="B915" t="s">
        <v>2803</v>
      </c>
      <c r="C915" s="1">
        <v>42648</v>
      </c>
      <c r="D915" s="1">
        <v>42652</v>
      </c>
      <c r="E915" s="1" t="str">
        <f t="shared" si="14"/>
        <v>FAST</v>
      </c>
      <c r="F915" t="s">
        <v>46</v>
      </c>
      <c r="G915" t="s">
        <v>2804</v>
      </c>
      <c r="H915" t="s">
        <v>2805</v>
      </c>
      <c r="I915" t="s">
        <v>98</v>
      </c>
      <c r="J915" t="s">
        <v>23</v>
      </c>
      <c r="K915" t="s">
        <v>312</v>
      </c>
      <c r="L915" t="s">
        <v>313</v>
      </c>
      <c r="M915">
        <v>22153</v>
      </c>
      <c r="N915" t="s">
        <v>26</v>
      </c>
      <c r="O915" t="s">
        <v>1318</v>
      </c>
      <c r="P915" t="s">
        <v>42</v>
      </c>
      <c r="Q915" t="s">
        <v>74</v>
      </c>
      <c r="R915" t="s">
        <v>1319</v>
      </c>
      <c r="S915">
        <v>28.84</v>
      </c>
    </row>
    <row r="916" spans="1:19" x14ac:dyDescent="0.35">
      <c r="A916">
        <v>930</v>
      </c>
      <c r="B916" t="s">
        <v>2806</v>
      </c>
      <c r="C916" s="1">
        <v>43204</v>
      </c>
      <c r="D916" s="1">
        <v>43207</v>
      </c>
      <c r="E916" s="1" t="str">
        <f t="shared" si="14"/>
        <v>MODERATE</v>
      </c>
      <c r="F916" t="s">
        <v>184</v>
      </c>
      <c r="G916" t="s">
        <v>2221</v>
      </c>
      <c r="H916" t="s">
        <v>2222</v>
      </c>
      <c r="I916" t="s">
        <v>22</v>
      </c>
      <c r="J916" t="s">
        <v>23</v>
      </c>
      <c r="K916" t="s">
        <v>2807</v>
      </c>
      <c r="L916" t="s">
        <v>485</v>
      </c>
      <c r="M916">
        <v>43615</v>
      </c>
      <c r="N916" t="s">
        <v>144</v>
      </c>
      <c r="O916" t="s">
        <v>1869</v>
      </c>
      <c r="P916" t="s">
        <v>42</v>
      </c>
      <c r="Q916" t="s">
        <v>64</v>
      </c>
      <c r="R916" t="s">
        <v>1870</v>
      </c>
      <c r="S916">
        <v>14.592000000000001</v>
      </c>
    </row>
    <row r="917" spans="1:19" x14ac:dyDescent="0.35">
      <c r="A917">
        <v>931</v>
      </c>
      <c r="B917" t="s">
        <v>2806</v>
      </c>
      <c r="C917" s="1">
        <v>43204</v>
      </c>
      <c r="D917" s="1">
        <v>43207</v>
      </c>
      <c r="E917" s="1" t="str">
        <f t="shared" si="14"/>
        <v>MODERATE</v>
      </c>
      <c r="F917" t="s">
        <v>184</v>
      </c>
      <c r="G917" t="s">
        <v>2221</v>
      </c>
      <c r="H917" t="s">
        <v>2222</v>
      </c>
      <c r="I917" t="s">
        <v>22</v>
      </c>
      <c r="J917" t="s">
        <v>23</v>
      </c>
      <c r="K917" t="s">
        <v>2807</v>
      </c>
      <c r="L917" t="s">
        <v>485</v>
      </c>
      <c r="M917">
        <v>43615</v>
      </c>
      <c r="N917" t="s">
        <v>144</v>
      </c>
      <c r="O917" t="s">
        <v>2808</v>
      </c>
      <c r="P917" t="s">
        <v>42</v>
      </c>
      <c r="Q917" t="s">
        <v>64</v>
      </c>
      <c r="R917" t="s">
        <v>2809</v>
      </c>
      <c r="S917">
        <v>89.855999999999995</v>
      </c>
    </row>
    <row r="918" spans="1:19" x14ac:dyDescent="0.35">
      <c r="A918">
        <v>932</v>
      </c>
      <c r="B918" t="s">
        <v>2806</v>
      </c>
      <c r="C918" s="1">
        <v>43204</v>
      </c>
      <c r="D918" s="1">
        <v>43207</v>
      </c>
      <c r="E918" s="1" t="str">
        <f t="shared" si="14"/>
        <v>MODERATE</v>
      </c>
      <c r="F918" t="s">
        <v>184</v>
      </c>
      <c r="G918" t="s">
        <v>2221</v>
      </c>
      <c r="H918" t="s">
        <v>2222</v>
      </c>
      <c r="I918" t="s">
        <v>22</v>
      </c>
      <c r="J918" t="s">
        <v>23</v>
      </c>
      <c r="K918" t="s">
        <v>2807</v>
      </c>
      <c r="L918" t="s">
        <v>485</v>
      </c>
      <c r="M918">
        <v>43615</v>
      </c>
      <c r="N918" t="s">
        <v>144</v>
      </c>
      <c r="O918" t="s">
        <v>2346</v>
      </c>
      <c r="P918" t="s">
        <v>42</v>
      </c>
      <c r="Q918" t="s">
        <v>86</v>
      </c>
      <c r="R918" t="s">
        <v>2347</v>
      </c>
      <c r="S918">
        <v>13.872</v>
      </c>
    </row>
    <row r="919" spans="1:19" x14ac:dyDescent="0.35">
      <c r="A919">
        <v>933</v>
      </c>
      <c r="B919" t="s">
        <v>2810</v>
      </c>
      <c r="C919" s="1">
        <v>43345</v>
      </c>
      <c r="D919" s="1">
        <v>43349</v>
      </c>
      <c r="E919" s="1" t="str">
        <f t="shared" si="14"/>
        <v>FAST</v>
      </c>
      <c r="F919" t="s">
        <v>46</v>
      </c>
      <c r="G919" t="s">
        <v>2811</v>
      </c>
      <c r="H919" t="s">
        <v>2812</v>
      </c>
      <c r="I919" t="s">
        <v>22</v>
      </c>
      <c r="J919" t="s">
        <v>23</v>
      </c>
      <c r="K919" t="s">
        <v>142</v>
      </c>
      <c r="L919" t="s">
        <v>143</v>
      </c>
      <c r="M919">
        <v>19140</v>
      </c>
      <c r="N919" t="s">
        <v>144</v>
      </c>
      <c r="O919" t="s">
        <v>2813</v>
      </c>
      <c r="P919" t="s">
        <v>42</v>
      </c>
      <c r="Q919" t="s">
        <v>86</v>
      </c>
      <c r="R919" t="s">
        <v>2814</v>
      </c>
      <c r="S919">
        <v>12.192</v>
      </c>
    </row>
    <row r="920" spans="1:19" x14ac:dyDescent="0.35">
      <c r="A920">
        <v>934</v>
      </c>
      <c r="B920" t="s">
        <v>2815</v>
      </c>
      <c r="C920" s="1">
        <v>42906</v>
      </c>
      <c r="D920" s="1">
        <v>42910</v>
      </c>
      <c r="E920" s="1" t="str">
        <f t="shared" si="14"/>
        <v>FAST</v>
      </c>
      <c r="F920" t="s">
        <v>46</v>
      </c>
      <c r="G920" t="s">
        <v>2816</v>
      </c>
      <c r="H920" t="s">
        <v>2817</v>
      </c>
      <c r="I920" t="s">
        <v>98</v>
      </c>
      <c r="J920" t="s">
        <v>23</v>
      </c>
      <c r="K920" t="s">
        <v>142</v>
      </c>
      <c r="L920" t="s">
        <v>143</v>
      </c>
      <c r="M920">
        <v>19120</v>
      </c>
      <c r="N920" t="s">
        <v>144</v>
      </c>
      <c r="O920" t="s">
        <v>2818</v>
      </c>
      <c r="P920" t="s">
        <v>42</v>
      </c>
      <c r="Q920" t="s">
        <v>86</v>
      </c>
      <c r="R920" t="s">
        <v>2819</v>
      </c>
      <c r="S920">
        <v>45.055999999999997</v>
      </c>
    </row>
    <row r="921" spans="1:19" x14ac:dyDescent="0.35">
      <c r="A921">
        <v>935</v>
      </c>
      <c r="B921" t="s">
        <v>2815</v>
      </c>
      <c r="C921" s="1">
        <v>42906</v>
      </c>
      <c r="D921" s="1">
        <v>42910</v>
      </c>
      <c r="E921" s="1" t="str">
        <f t="shared" si="14"/>
        <v>FAST</v>
      </c>
      <c r="F921" t="s">
        <v>46</v>
      </c>
      <c r="G921" t="s">
        <v>2816</v>
      </c>
      <c r="H921" t="s">
        <v>2817</v>
      </c>
      <c r="I921" t="s">
        <v>98</v>
      </c>
      <c r="J921" t="s">
        <v>23</v>
      </c>
      <c r="K921" t="s">
        <v>142</v>
      </c>
      <c r="L921" t="s">
        <v>143</v>
      </c>
      <c r="M921">
        <v>19120</v>
      </c>
      <c r="N921" t="s">
        <v>144</v>
      </c>
      <c r="O921" t="s">
        <v>2820</v>
      </c>
      <c r="P921" t="s">
        <v>42</v>
      </c>
      <c r="Q921" t="s">
        <v>71</v>
      </c>
      <c r="R921" t="s">
        <v>2821</v>
      </c>
      <c r="S921">
        <v>29.718</v>
      </c>
    </row>
    <row r="922" spans="1:19" x14ac:dyDescent="0.35">
      <c r="A922">
        <v>936</v>
      </c>
      <c r="B922" t="s">
        <v>2815</v>
      </c>
      <c r="C922" s="1">
        <v>42906</v>
      </c>
      <c r="D922" s="1">
        <v>42910</v>
      </c>
      <c r="E922" s="1" t="str">
        <f t="shared" si="14"/>
        <v>FAST</v>
      </c>
      <c r="F922" t="s">
        <v>46</v>
      </c>
      <c r="G922" t="s">
        <v>2816</v>
      </c>
      <c r="H922" t="s">
        <v>2817</v>
      </c>
      <c r="I922" t="s">
        <v>98</v>
      </c>
      <c r="J922" t="s">
        <v>23</v>
      </c>
      <c r="K922" t="s">
        <v>142</v>
      </c>
      <c r="L922" t="s">
        <v>143</v>
      </c>
      <c r="M922">
        <v>19120</v>
      </c>
      <c r="N922" t="s">
        <v>144</v>
      </c>
      <c r="O922" t="s">
        <v>2615</v>
      </c>
      <c r="P922" t="s">
        <v>42</v>
      </c>
      <c r="Q922" t="s">
        <v>86</v>
      </c>
      <c r="R922" t="s">
        <v>2616</v>
      </c>
      <c r="S922">
        <v>15.552</v>
      </c>
    </row>
    <row r="923" spans="1:19" x14ac:dyDescent="0.35">
      <c r="A923">
        <v>937</v>
      </c>
      <c r="B923" t="s">
        <v>2815</v>
      </c>
      <c r="C923" s="1">
        <v>42906</v>
      </c>
      <c r="D923" s="1">
        <v>42910</v>
      </c>
      <c r="E923" s="1" t="str">
        <f t="shared" si="14"/>
        <v>FAST</v>
      </c>
      <c r="F923" t="s">
        <v>46</v>
      </c>
      <c r="G923" t="s">
        <v>2816</v>
      </c>
      <c r="H923" t="s">
        <v>2817</v>
      </c>
      <c r="I923" t="s">
        <v>98</v>
      </c>
      <c r="J923" t="s">
        <v>23</v>
      </c>
      <c r="K923" t="s">
        <v>142</v>
      </c>
      <c r="L923" t="s">
        <v>143</v>
      </c>
      <c r="M923">
        <v>19120</v>
      </c>
      <c r="N923" t="s">
        <v>144</v>
      </c>
      <c r="O923" t="s">
        <v>585</v>
      </c>
      <c r="P923" t="s">
        <v>42</v>
      </c>
      <c r="Q923" t="s">
        <v>74</v>
      </c>
      <c r="R923" t="s">
        <v>586</v>
      </c>
      <c r="S923">
        <v>447.69600000000003</v>
      </c>
    </row>
    <row r="924" spans="1:19" x14ac:dyDescent="0.35">
      <c r="A924">
        <v>938</v>
      </c>
      <c r="B924" t="s">
        <v>2822</v>
      </c>
      <c r="C924" s="1">
        <v>43409</v>
      </c>
      <c r="D924" s="1">
        <v>43410</v>
      </c>
      <c r="E924" s="1" t="str">
        <f t="shared" si="14"/>
        <v>MODERATE</v>
      </c>
      <c r="F924" t="s">
        <v>184</v>
      </c>
      <c r="G924" t="s">
        <v>209</v>
      </c>
      <c r="H924" t="s">
        <v>210</v>
      </c>
      <c r="I924" t="s">
        <v>37</v>
      </c>
      <c r="J924" t="s">
        <v>23</v>
      </c>
      <c r="K924" t="s">
        <v>2823</v>
      </c>
      <c r="L924" t="s">
        <v>656</v>
      </c>
      <c r="M924">
        <v>87401</v>
      </c>
      <c r="N924" t="s">
        <v>40</v>
      </c>
      <c r="O924" t="s">
        <v>1298</v>
      </c>
      <c r="P924" t="s">
        <v>67</v>
      </c>
      <c r="Q924" t="s">
        <v>157</v>
      </c>
      <c r="R924" t="s">
        <v>1299</v>
      </c>
      <c r="S924">
        <v>159.99</v>
      </c>
    </row>
    <row r="925" spans="1:19" x14ac:dyDescent="0.35">
      <c r="A925">
        <v>939</v>
      </c>
      <c r="B925" t="s">
        <v>2824</v>
      </c>
      <c r="C925" s="1">
        <v>42717</v>
      </c>
      <c r="D925" s="1">
        <v>42721</v>
      </c>
      <c r="E925" s="1" t="str">
        <f t="shared" si="14"/>
        <v>FAST</v>
      </c>
      <c r="F925" t="s">
        <v>46</v>
      </c>
      <c r="G925" t="s">
        <v>2825</v>
      </c>
      <c r="H925" t="s">
        <v>2826</v>
      </c>
      <c r="I925" t="s">
        <v>37</v>
      </c>
      <c r="J925" t="s">
        <v>23</v>
      </c>
      <c r="K925" t="s">
        <v>2827</v>
      </c>
      <c r="L925" t="s">
        <v>39</v>
      </c>
      <c r="M925">
        <v>92503</v>
      </c>
      <c r="N925" t="s">
        <v>40</v>
      </c>
      <c r="O925" t="s">
        <v>2828</v>
      </c>
      <c r="P925" t="s">
        <v>42</v>
      </c>
      <c r="Q925" t="s">
        <v>86</v>
      </c>
      <c r="R925" t="s">
        <v>2829</v>
      </c>
      <c r="S925">
        <v>12.96</v>
      </c>
    </row>
    <row r="926" spans="1:19" x14ac:dyDescent="0.35">
      <c r="A926">
        <v>940</v>
      </c>
      <c r="B926" t="s">
        <v>2824</v>
      </c>
      <c r="C926" s="1">
        <v>42717</v>
      </c>
      <c r="D926" s="1">
        <v>42721</v>
      </c>
      <c r="E926" s="1" t="str">
        <f t="shared" si="14"/>
        <v>FAST</v>
      </c>
      <c r="F926" t="s">
        <v>46</v>
      </c>
      <c r="G926" t="s">
        <v>2825</v>
      </c>
      <c r="H926" t="s">
        <v>2826</v>
      </c>
      <c r="I926" t="s">
        <v>37</v>
      </c>
      <c r="J926" t="s">
        <v>23</v>
      </c>
      <c r="K926" t="s">
        <v>2827</v>
      </c>
      <c r="L926" t="s">
        <v>39</v>
      </c>
      <c r="M926">
        <v>92503</v>
      </c>
      <c r="N926" t="s">
        <v>40</v>
      </c>
      <c r="O926" t="s">
        <v>2830</v>
      </c>
      <c r="P926" t="s">
        <v>42</v>
      </c>
      <c r="Q926" t="s">
        <v>74</v>
      </c>
      <c r="R926" t="s">
        <v>2831</v>
      </c>
      <c r="S926">
        <v>134.47999999999999</v>
      </c>
    </row>
    <row r="927" spans="1:19" x14ac:dyDescent="0.35">
      <c r="A927">
        <v>941</v>
      </c>
      <c r="B927" t="s">
        <v>2832</v>
      </c>
      <c r="C927" s="1">
        <v>42905</v>
      </c>
      <c r="D927" s="1">
        <v>42906</v>
      </c>
      <c r="E927" s="1" t="str">
        <f t="shared" si="14"/>
        <v>MODERATE</v>
      </c>
      <c r="F927" t="s">
        <v>184</v>
      </c>
      <c r="G927" t="s">
        <v>2833</v>
      </c>
      <c r="H927" t="s">
        <v>2834</v>
      </c>
      <c r="I927" t="s">
        <v>37</v>
      </c>
      <c r="J927" t="s">
        <v>23</v>
      </c>
      <c r="K927" t="s">
        <v>123</v>
      </c>
      <c r="L927" t="s">
        <v>39</v>
      </c>
      <c r="M927">
        <v>94110</v>
      </c>
      <c r="N927" t="s">
        <v>40</v>
      </c>
      <c r="O927" t="s">
        <v>2835</v>
      </c>
      <c r="P927" t="s">
        <v>42</v>
      </c>
      <c r="Q927" t="s">
        <v>86</v>
      </c>
      <c r="R927" t="s">
        <v>2836</v>
      </c>
      <c r="S927">
        <v>17.12</v>
      </c>
    </row>
    <row r="928" spans="1:19" x14ac:dyDescent="0.35">
      <c r="A928">
        <v>942</v>
      </c>
      <c r="B928" t="s">
        <v>2837</v>
      </c>
      <c r="C928" s="1">
        <v>43082</v>
      </c>
      <c r="D928" s="1">
        <v>43089</v>
      </c>
      <c r="E928" s="1" t="str">
        <f t="shared" si="14"/>
        <v>FAST</v>
      </c>
      <c r="F928" t="s">
        <v>46</v>
      </c>
      <c r="G928" t="s">
        <v>2778</v>
      </c>
      <c r="H928" t="s">
        <v>2779</v>
      </c>
      <c r="I928" t="s">
        <v>37</v>
      </c>
      <c r="J928" t="s">
        <v>23</v>
      </c>
      <c r="K928" t="s">
        <v>2838</v>
      </c>
      <c r="L928" t="s">
        <v>39</v>
      </c>
      <c r="M928">
        <v>90503</v>
      </c>
      <c r="N928" t="s">
        <v>40</v>
      </c>
      <c r="O928" t="s">
        <v>2839</v>
      </c>
      <c r="P928" t="s">
        <v>42</v>
      </c>
      <c r="Q928" t="s">
        <v>71</v>
      </c>
      <c r="R928" t="s">
        <v>2840</v>
      </c>
      <c r="S928">
        <v>6.0960000000000001</v>
      </c>
    </row>
    <row r="929" spans="1:19" x14ac:dyDescent="0.35">
      <c r="A929">
        <v>943</v>
      </c>
      <c r="B929" t="s">
        <v>2837</v>
      </c>
      <c r="C929" s="1">
        <v>43082</v>
      </c>
      <c r="D929" s="1">
        <v>43089</v>
      </c>
      <c r="E929" s="1" t="str">
        <f t="shared" si="14"/>
        <v>FAST</v>
      </c>
      <c r="F929" t="s">
        <v>46</v>
      </c>
      <c r="G929" t="s">
        <v>2778</v>
      </c>
      <c r="H929" t="s">
        <v>2779</v>
      </c>
      <c r="I929" t="s">
        <v>37</v>
      </c>
      <c r="J929" t="s">
        <v>23</v>
      </c>
      <c r="K929" t="s">
        <v>2838</v>
      </c>
      <c r="L929" t="s">
        <v>39</v>
      </c>
      <c r="M929">
        <v>90503</v>
      </c>
      <c r="N929" t="s">
        <v>40</v>
      </c>
      <c r="O929" t="s">
        <v>51</v>
      </c>
      <c r="P929" t="s">
        <v>28</v>
      </c>
      <c r="Q929" t="s">
        <v>52</v>
      </c>
      <c r="R929" t="s">
        <v>53</v>
      </c>
      <c r="S929">
        <v>1114.2719999999999</v>
      </c>
    </row>
    <row r="930" spans="1:19" x14ac:dyDescent="0.35">
      <c r="A930">
        <v>944</v>
      </c>
      <c r="B930" t="s">
        <v>2841</v>
      </c>
      <c r="C930" s="1">
        <v>42519</v>
      </c>
      <c r="D930" s="1">
        <v>42524</v>
      </c>
      <c r="E930" s="1" t="str">
        <f t="shared" si="14"/>
        <v>FAST</v>
      </c>
      <c r="F930" t="s">
        <v>46</v>
      </c>
      <c r="G930" t="s">
        <v>1190</v>
      </c>
      <c r="H930" t="s">
        <v>1191</v>
      </c>
      <c r="I930" t="s">
        <v>22</v>
      </c>
      <c r="J930" t="s">
        <v>23</v>
      </c>
      <c r="K930" t="s">
        <v>91</v>
      </c>
      <c r="L930" t="s">
        <v>92</v>
      </c>
      <c r="M930">
        <v>98105</v>
      </c>
      <c r="N930" t="s">
        <v>40</v>
      </c>
      <c r="O930" t="s">
        <v>1961</v>
      </c>
      <c r="P930" t="s">
        <v>42</v>
      </c>
      <c r="Q930" t="s">
        <v>86</v>
      </c>
      <c r="R930" t="s">
        <v>1962</v>
      </c>
      <c r="S930">
        <v>32.4</v>
      </c>
    </row>
    <row r="931" spans="1:19" x14ac:dyDescent="0.35">
      <c r="A931">
        <v>945</v>
      </c>
      <c r="B931" t="s">
        <v>2841</v>
      </c>
      <c r="C931" s="1">
        <v>42519</v>
      </c>
      <c r="D931" s="1">
        <v>42524</v>
      </c>
      <c r="E931" s="1" t="str">
        <f t="shared" si="14"/>
        <v>FAST</v>
      </c>
      <c r="F931" t="s">
        <v>46</v>
      </c>
      <c r="G931" t="s">
        <v>1190</v>
      </c>
      <c r="H931" t="s">
        <v>1191</v>
      </c>
      <c r="I931" t="s">
        <v>22</v>
      </c>
      <c r="J931" t="s">
        <v>23</v>
      </c>
      <c r="K931" t="s">
        <v>91</v>
      </c>
      <c r="L931" t="s">
        <v>92</v>
      </c>
      <c r="M931">
        <v>98105</v>
      </c>
      <c r="N931" t="s">
        <v>40</v>
      </c>
      <c r="O931" t="s">
        <v>2842</v>
      </c>
      <c r="P931" t="s">
        <v>42</v>
      </c>
      <c r="Q931" t="s">
        <v>55</v>
      </c>
      <c r="R931" t="s">
        <v>2843</v>
      </c>
      <c r="S931">
        <v>540.57000000000005</v>
      </c>
    </row>
    <row r="932" spans="1:19" x14ac:dyDescent="0.35">
      <c r="A932">
        <v>946</v>
      </c>
      <c r="B932" t="s">
        <v>2841</v>
      </c>
      <c r="C932" s="1">
        <v>42519</v>
      </c>
      <c r="D932" s="1">
        <v>42524</v>
      </c>
      <c r="E932" s="1" t="str">
        <f t="shared" si="14"/>
        <v>FAST</v>
      </c>
      <c r="F932" t="s">
        <v>46</v>
      </c>
      <c r="G932" t="s">
        <v>1190</v>
      </c>
      <c r="H932" t="s">
        <v>1191</v>
      </c>
      <c r="I932" t="s">
        <v>22</v>
      </c>
      <c r="J932" t="s">
        <v>23</v>
      </c>
      <c r="K932" t="s">
        <v>91</v>
      </c>
      <c r="L932" t="s">
        <v>92</v>
      </c>
      <c r="M932">
        <v>98105</v>
      </c>
      <c r="N932" t="s">
        <v>40</v>
      </c>
      <c r="O932" t="s">
        <v>2844</v>
      </c>
      <c r="P932" t="s">
        <v>42</v>
      </c>
      <c r="Q932" t="s">
        <v>71</v>
      </c>
      <c r="R932" t="s">
        <v>2845</v>
      </c>
      <c r="S932">
        <v>167.76</v>
      </c>
    </row>
    <row r="933" spans="1:19" x14ac:dyDescent="0.35">
      <c r="A933">
        <v>947</v>
      </c>
      <c r="B933" t="s">
        <v>2846</v>
      </c>
      <c r="C933" s="1">
        <v>42577</v>
      </c>
      <c r="D933" s="1">
        <v>42579</v>
      </c>
      <c r="E933" s="1" t="str">
        <f t="shared" si="14"/>
        <v>MODERATE</v>
      </c>
      <c r="F933" t="s">
        <v>184</v>
      </c>
      <c r="G933" t="s">
        <v>1886</v>
      </c>
      <c r="H933" t="s">
        <v>1887</v>
      </c>
      <c r="I933" t="s">
        <v>22</v>
      </c>
      <c r="J933" t="s">
        <v>23</v>
      </c>
      <c r="K933" t="s">
        <v>1803</v>
      </c>
      <c r="L933" t="s">
        <v>304</v>
      </c>
      <c r="M933">
        <v>85204</v>
      </c>
      <c r="N933" t="s">
        <v>40</v>
      </c>
      <c r="O933" t="s">
        <v>2847</v>
      </c>
      <c r="P933" t="s">
        <v>28</v>
      </c>
      <c r="Q933" t="s">
        <v>52</v>
      </c>
      <c r="R933" t="s">
        <v>2848</v>
      </c>
      <c r="S933">
        <v>393.16500000000002</v>
      </c>
    </row>
    <row r="934" spans="1:19" x14ac:dyDescent="0.35">
      <c r="A934">
        <v>948</v>
      </c>
      <c r="B934" t="s">
        <v>2849</v>
      </c>
      <c r="C934" s="1">
        <v>43432</v>
      </c>
      <c r="D934" s="1">
        <v>43436</v>
      </c>
      <c r="E934" s="1" t="str">
        <f t="shared" si="14"/>
        <v>FAST</v>
      </c>
      <c r="F934" t="s">
        <v>46</v>
      </c>
      <c r="G934" t="s">
        <v>1492</v>
      </c>
      <c r="H934" t="s">
        <v>1493</v>
      </c>
      <c r="I934" t="s">
        <v>98</v>
      </c>
      <c r="J934" t="s">
        <v>23</v>
      </c>
      <c r="K934" t="s">
        <v>142</v>
      </c>
      <c r="L934" t="s">
        <v>143</v>
      </c>
      <c r="M934">
        <v>19120</v>
      </c>
      <c r="N934" t="s">
        <v>144</v>
      </c>
      <c r="O934" t="s">
        <v>2850</v>
      </c>
      <c r="P934" t="s">
        <v>28</v>
      </c>
      <c r="Q934" t="s">
        <v>61</v>
      </c>
      <c r="R934" t="s">
        <v>2851</v>
      </c>
      <c r="S934">
        <v>516.48800000000006</v>
      </c>
    </row>
    <row r="935" spans="1:19" x14ac:dyDescent="0.35">
      <c r="A935">
        <v>949</v>
      </c>
      <c r="B935" t="s">
        <v>2849</v>
      </c>
      <c r="C935" s="1">
        <v>43432</v>
      </c>
      <c r="D935" s="1">
        <v>43436</v>
      </c>
      <c r="E935" s="1" t="str">
        <f t="shared" si="14"/>
        <v>FAST</v>
      </c>
      <c r="F935" t="s">
        <v>46</v>
      </c>
      <c r="G935" t="s">
        <v>1492</v>
      </c>
      <c r="H935" t="s">
        <v>1493</v>
      </c>
      <c r="I935" t="s">
        <v>98</v>
      </c>
      <c r="J935" t="s">
        <v>23</v>
      </c>
      <c r="K935" t="s">
        <v>142</v>
      </c>
      <c r="L935" t="s">
        <v>143</v>
      </c>
      <c r="M935">
        <v>19120</v>
      </c>
      <c r="N935" t="s">
        <v>144</v>
      </c>
      <c r="O935" t="s">
        <v>907</v>
      </c>
      <c r="P935" t="s">
        <v>28</v>
      </c>
      <c r="Q935" t="s">
        <v>61</v>
      </c>
      <c r="R935" t="s">
        <v>908</v>
      </c>
      <c r="S935">
        <v>1007.232</v>
      </c>
    </row>
    <row r="936" spans="1:19" x14ac:dyDescent="0.35">
      <c r="A936">
        <v>950</v>
      </c>
      <c r="B936" t="s">
        <v>2849</v>
      </c>
      <c r="C936" s="1">
        <v>43432</v>
      </c>
      <c r="D936" s="1">
        <v>43436</v>
      </c>
      <c r="E936" s="1" t="str">
        <f t="shared" si="14"/>
        <v>FAST</v>
      </c>
      <c r="F936" t="s">
        <v>46</v>
      </c>
      <c r="G936" t="s">
        <v>1492</v>
      </c>
      <c r="H936" t="s">
        <v>1493</v>
      </c>
      <c r="I936" t="s">
        <v>98</v>
      </c>
      <c r="J936" t="s">
        <v>23</v>
      </c>
      <c r="K936" t="s">
        <v>142</v>
      </c>
      <c r="L936" t="s">
        <v>143</v>
      </c>
      <c r="M936">
        <v>19120</v>
      </c>
      <c r="N936" t="s">
        <v>144</v>
      </c>
      <c r="O936" t="s">
        <v>2852</v>
      </c>
      <c r="P936" t="s">
        <v>28</v>
      </c>
      <c r="Q936" t="s">
        <v>52</v>
      </c>
      <c r="R936" t="s">
        <v>2853</v>
      </c>
      <c r="S936">
        <v>2065.3200000000002</v>
      </c>
    </row>
    <row r="937" spans="1:19" x14ac:dyDescent="0.35">
      <c r="A937">
        <v>951</v>
      </c>
      <c r="B937" t="s">
        <v>2849</v>
      </c>
      <c r="C937" s="1">
        <v>43432</v>
      </c>
      <c r="D937" s="1">
        <v>43436</v>
      </c>
      <c r="E937" s="1" t="str">
        <f t="shared" si="14"/>
        <v>FAST</v>
      </c>
      <c r="F937" t="s">
        <v>46</v>
      </c>
      <c r="G937" t="s">
        <v>1492</v>
      </c>
      <c r="H937" t="s">
        <v>1493</v>
      </c>
      <c r="I937" t="s">
        <v>98</v>
      </c>
      <c r="J937" t="s">
        <v>23</v>
      </c>
      <c r="K937" t="s">
        <v>142</v>
      </c>
      <c r="L937" t="s">
        <v>143</v>
      </c>
      <c r="M937">
        <v>19120</v>
      </c>
      <c r="N937" t="s">
        <v>144</v>
      </c>
      <c r="O937" t="s">
        <v>2854</v>
      </c>
      <c r="P937" t="s">
        <v>42</v>
      </c>
      <c r="Q937" t="s">
        <v>86</v>
      </c>
      <c r="R937" t="s">
        <v>2855</v>
      </c>
      <c r="S937">
        <v>15.552</v>
      </c>
    </row>
    <row r="938" spans="1:19" x14ac:dyDescent="0.35">
      <c r="A938">
        <v>952</v>
      </c>
      <c r="B938" t="s">
        <v>2849</v>
      </c>
      <c r="C938" s="1">
        <v>43432</v>
      </c>
      <c r="D938" s="1">
        <v>43436</v>
      </c>
      <c r="E938" s="1" t="str">
        <f t="shared" si="14"/>
        <v>FAST</v>
      </c>
      <c r="F938" t="s">
        <v>46</v>
      </c>
      <c r="G938" t="s">
        <v>1492</v>
      </c>
      <c r="H938" t="s">
        <v>1493</v>
      </c>
      <c r="I938" t="s">
        <v>98</v>
      </c>
      <c r="J938" t="s">
        <v>23</v>
      </c>
      <c r="K938" t="s">
        <v>142</v>
      </c>
      <c r="L938" t="s">
        <v>143</v>
      </c>
      <c r="M938">
        <v>19120</v>
      </c>
      <c r="N938" t="s">
        <v>144</v>
      </c>
      <c r="O938" t="s">
        <v>900</v>
      </c>
      <c r="P938" t="s">
        <v>42</v>
      </c>
      <c r="Q938" t="s">
        <v>86</v>
      </c>
      <c r="R938" t="s">
        <v>901</v>
      </c>
      <c r="S938">
        <v>25.344000000000001</v>
      </c>
    </row>
    <row r="939" spans="1:19" x14ac:dyDescent="0.35">
      <c r="A939">
        <v>953</v>
      </c>
      <c r="B939" t="s">
        <v>2856</v>
      </c>
      <c r="C939" s="1">
        <v>43193</v>
      </c>
      <c r="D939" s="1">
        <v>43197</v>
      </c>
      <c r="E939" s="1" t="str">
        <f t="shared" si="14"/>
        <v>FAST</v>
      </c>
      <c r="F939" t="s">
        <v>46</v>
      </c>
      <c r="G939" t="s">
        <v>2857</v>
      </c>
      <c r="H939" t="s">
        <v>2858</v>
      </c>
      <c r="I939" t="s">
        <v>22</v>
      </c>
      <c r="J939" t="s">
        <v>23</v>
      </c>
      <c r="K939" t="s">
        <v>142</v>
      </c>
      <c r="L939" t="s">
        <v>143</v>
      </c>
      <c r="M939">
        <v>19143</v>
      </c>
      <c r="N939" t="s">
        <v>144</v>
      </c>
      <c r="O939" t="s">
        <v>2859</v>
      </c>
      <c r="P939" t="s">
        <v>28</v>
      </c>
      <c r="Q939" t="s">
        <v>61</v>
      </c>
      <c r="R939" t="s">
        <v>910</v>
      </c>
      <c r="S939">
        <v>25.472000000000001</v>
      </c>
    </row>
    <row r="940" spans="1:19" x14ac:dyDescent="0.35">
      <c r="A940">
        <v>954</v>
      </c>
      <c r="B940" t="s">
        <v>2860</v>
      </c>
      <c r="C940" s="1">
        <v>43462</v>
      </c>
      <c r="D940" s="1">
        <v>43466</v>
      </c>
      <c r="E940" s="1" t="str">
        <f t="shared" si="14"/>
        <v>FAST</v>
      </c>
      <c r="F940" t="s">
        <v>46</v>
      </c>
      <c r="G940" t="s">
        <v>2861</v>
      </c>
      <c r="H940" t="s">
        <v>2862</v>
      </c>
      <c r="I940" t="s">
        <v>22</v>
      </c>
      <c r="J940" t="s">
        <v>23</v>
      </c>
      <c r="K940" t="s">
        <v>2863</v>
      </c>
      <c r="L940" t="s">
        <v>100</v>
      </c>
      <c r="M940">
        <v>78664</v>
      </c>
      <c r="N940" t="s">
        <v>101</v>
      </c>
      <c r="O940" t="s">
        <v>862</v>
      </c>
      <c r="P940" t="s">
        <v>42</v>
      </c>
      <c r="Q940" t="s">
        <v>64</v>
      </c>
      <c r="R940" t="s">
        <v>863</v>
      </c>
      <c r="S940">
        <v>27.167999999999999</v>
      </c>
    </row>
    <row r="941" spans="1:19" x14ac:dyDescent="0.35">
      <c r="A941">
        <v>955</v>
      </c>
      <c r="B941" t="s">
        <v>2860</v>
      </c>
      <c r="C941" s="1">
        <v>43462</v>
      </c>
      <c r="D941" s="1">
        <v>43466</v>
      </c>
      <c r="E941" s="1" t="str">
        <f t="shared" si="14"/>
        <v>FAST</v>
      </c>
      <c r="F941" t="s">
        <v>46</v>
      </c>
      <c r="G941" t="s">
        <v>2861</v>
      </c>
      <c r="H941" t="s">
        <v>2862</v>
      </c>
      <c r="I941" t="s">
        <v>22</v>
      </c>
      <c r="J941" t="s">
        <v>23</v>
      </c>
      <c r="K941" t="s">
        <v>2863</v>
      </c>
      <c r="L941" t="s">
        <v>100</v>
      </c>
      <c r="M941">
        <v>78664</v>
      </c>
      <c r="N941" t="s">
        <v>101</v>
      </c>
      <c r="O941" t="s">
        <v>1064</v>
      </c>
      <c r="P941" t="s">
        <v>28</v>
      </c>
      <c r="Q941" t="s">
        <v>29</v>
      </c>
      <c r="R941" t="s">
        <v>1065</v>
      </c>
      <c r="S941">
        <v>78.852800000000002</v>
      </c>
    </row>
    <row r="942" spans="1:19" x14ac:dyDescent="0.35">
      <c r="A942">
        <v>956</v>
      </c>
      <c r="B942" t="s">
        <v>2864</v>
      </c>
      <c r="C942" s="1">
        <v>43434</v>
      </c>
      <c r="D942" s="1">
        <v>43438</v>
      </c>
      <c r="E942" s="1" t="str">
        <f t="shared" si="14"/>
        <v>FAST</v>
      </c>
      <c r="F942" t="s">
        <v>46</v>
      </c>
      <c r="G942" t="s">
        <v>2865</v>
      </c>
      <c r="H942" t="s">
        <v>2866</v>
      </c>
      <c r="I942" t="s">
        <v>22</v>
      </c>
      <c r="J942" t="s">
        <v>23</v>
      </c>
      <c r="K942" t="s">
        <v>322</v>
      </c>
      <c r="L942" t="s">
        <v>1471</v>
      </c>
      <c r="M942">
        <v>39212</v>
      </c>
      <c r="N942" t="s">
        <v>26</v>
      </c>
      <c r="O942" t="s">
        <v>271</v>
      </c>
      <c r="P942" t="s">
        <v>42</v>
      </c>
      <c r="Q942" t="s">
        <v>55</v>
      </c>
      <c r="R942" t="s">
        <v>272</v>
      </c>
      <c r="S942">
        <v>173.8</v>
      </c>
    </row>
    <row r="943" spans="1:19" x14ac:dyDescent="0.35">
      <c r="A943">
        <v>957</v>
      </c>
      <c r="B943" t="s">
        <v>2867</v>
      </c>
      <c r="C943" s="1">
        <v>43235</v>
      </c>
      <c r="D943" s="1">
        <v>43238</v>
      </c>
      <c r="E943" s="1" t="str">
        <f t="shared" si="14"/>
        <v>SLOW</v>
      </c>
      <c r="F943" t="s">
        <v>19</v>
      </c>
      <c r="G943" t="s">
        <v>2868</v>
      </c>
      <c r="H943" t="s">
        <v>2869</v>
      </c>
      <c r="I943" t="s">
        <v>22</v>
      </c>
      <c r="J943" t="s">
        <v>23</v>
      </c>
      <c r="K943" t="s">
        <v>531</v>
      </c>
      <c r="L943" t="s">
        <v>304</v>
      </c>
      <c r="M943">
        <v>85023</v>
      </c>
      <c r="N943" t="s">
        <v>40</v>
      </c>
      <c r="O943" t="s">
        <v>2642</v>
      </c>
      <c r="P943" t="s">
        <v>67</v>
      </c>
      <c r="Q943" t="s">
        <v>68</v>
      </c>
      <c r="R943" t="s">
        <v>2643</v>
      </c>
      <c r="S943">
        <v>29.591999999999999</v>
      </c>
    </row>
    <row r="944" spans="1:19" x14ac:dyDescent="0.35">
      <c r="A944">
        <v>958</v>
      </c>
      <c r="B944" t="s">
        <v>2867</v>
      </c>
      <c r="C944" s="1">
        <v>43235</v>
      </c>
      <c r="D944" s="1">
        <v>43238</v>
      </c>
      <c r="E944" s="1" t="str">
        <f t="shared" si="14"/>
        <v>SLOW</v>
      </c>
      <c r="F944" t="s">
        <v>19</v>
      </c>
      <c r="G944" t="s">
        <v>2868</v>
      </c>
      <c r="H944" t="s">
        <v>2869</v>
      </c>
      <c r="I944" t="s">
        <v>22</v>
      </c>
      <c r="J944" t="s">
        <v>23</v>
      </c>
      <c r="K944" t="s">
        <v>531</v>
      </c>
      <c r="L944" t="s">
        <v>304</v>
      </c>
      <c r="M944">
        <v>85023</v>
      </c>
      <c r="N944" t="s">
        <v>40</v>
      </c>
      <c r="O944" t="s">
        <v>2870</v>
      </c>
      <c r="P944" t="s">
        <v>42</v>
      </c>
      <c r="Q944" t="s">
        <v>71</v>
      </c>
      <c r="R944" t="s">
        <v>2871</v>
      </c>
      <c r="S944">
        <v>4.7519999999999998</v>
      </c>
    </row>
    <row r="945" spans="1:19" x14ac:dyDescent="0.35">
      <c r="A945">
        <v>959</v>
      </c>
      <c r="B945" t="s">
        <v>2867</v>
      </c>
      <c r="C945" s="1">
        <v>43235</v>
      </c>
      <c r="D945" s="1">
        <v>43238</v>
      </c>
      <c r="E945" s="1" t="str">
        <f t="shared" si="14"/>
        <v>SLOW</v>
      </c>
      <c r="F945" t="s">
        <v>19</v>
      </c>
      <c r="G945" t="s">
        <v>2868</v>
      </c>
      <c r="H945" t="s">
        <v>2869</v>
      </c>
      <c r="I945" t="s">
        <v>22</v>
      </c>
      <c r="J945" t="s">
        <v>23</v>
      </c>
      <c r="K945" t="s">
        <v>531</v>
      </c>
      <c r="L945" t="s">
        <v>304</v>
      </c>
      <c r="M945">
        <v>85023</v>
      </c>
      <c r="N945" t="s">
        <v>40</v>
      </c>
      <c r="O945" t="s">
        <v>2872</v>
      </c>
      <c r="P945" t="s">
        <v>42</v>
      </c>
      <c r="Q945" t="s">
        <v>86</v>
      </c>
      <c r="R945" t="s">
        <v>2873</v>
      </c>
      <c r="S945">
        <v>15.552</v>
      </c>
    </row>
    <row r="946" spans="1:19" x14ac:dyDescent="0.35">
      <c r="A946">
        <v>960</v>
      </c>
      <c r="B946" t="s">
        <v>2874</v>
      </c>
      <c r="C946" s="1">
        <v>42635</v>
      </c>
      <c r="D946" s="1">
        <v>42635</v>
      </c>
      <c r="E946" s="1" t="str">
        <f t="shared" si="14"/>
        <v>MODERATE</v>
      </c>
      <c r="F946" t="s">
        <v>1276</v>
      </c>
      <c r="G946" t="s">
        <v>2875</v>
      </c>
      <c r="H946" t="s">
        <v>2876</v>
      </c>
      <c r="I946" t="s">
        <v>22</v>
      </c>
      <c r="J946" t="s">
        <v>23</v>
      </c>
      <c r="K946" t="s">
        <v>2317</v>
      </c>
      <c r="L946" t="s">
        <v>39</v>
      </c>
      <c r="M946">
        <v>92054</v>
      </c>
      <c r="N946" t="s">
        <v>40</v>
      </c>
      <c r="O946" t="s">
        <v>2877</v>
      </c>
      <c r="P946" t="s">
        <v>28</v>
      </c>
      <c r="Q946" t="s">
        <v>61</v>
      </c>
      <c r="R946" t="s">
        <v>2878</v>
      </c>
      <c r="S946">
        <v>204.6</v>
      </c>
    </row>
    <row r="947" spans="1:19" x14ac:dyDescent="0.35">
      <c r="A947">
        <v>961</v>
      </c>
      <c r="B947" t="s">
        <v>2879</v>
      </c>
      <c r="C947" s="1">
        <v>43418</v>
      </c>
      <c r="D947" s="1">
        <v>43423</v>
      </c>
      <c r="E947" s="1" t="str">
        <f t="shared" si="14"/>
        <v>FAST</v>
      </c>
      <c r="F947" t="s">
        <v>46</v>
      </c>
      <c r="G947" t="s">
        <v>2880</v>
      </c>
      <c r="H947" t="s">
        <v>2881</v>
      </c>
      <c r="I947" t="s">
        <v>37</v>
      </c>
      <c r="J947" t="s">
        <v>23</v>
      </c>
      <c r="K947" t="s">
        <v>123</v>
      </c>
      <c r="L947" t="s">
        <v>39</v>
      </c>
      <c r="M947">
        <v>94110</v>
      </c>
      <c r="N947" t="s">
        <v>40</v>
      </c>
      <c r="O947" t="s">
        <v>930</v>
      </c>
      <c r="P947" t="s">
        <v>28</v>
      </c>
      <c r="Q947" t="s">
        <v>32</v>
      </c>
      <c r="R947" t="s">
        <v>931</v>
      </c>
      <c r="S947">
        <v>321.56799999999998</v>
      </c>
    </row>
    <row r="948" spans="1:19" x14ac:dyDescent="0.35">
      <c r="A948">
        <v>962</v>
      </c>
      <c r="B948" t="s">
        <v>2882</v>
      </c>
      <c r="C948" s="1">
        <v>42701</v>
      </c>
      <c r="D948" s="1">
        <v>42705</v>
      </c>
      <c r="E948" s="1" t="str">
        <f t="shared" si="14"/>
        <v>FAST</v>
      </c>
      <c r="F948" t="s">
        <v>46</v>
      </c>
      <c r="G948" t="s">
        <v>2883</v>
      </c>
      <c r="H948" t="s">
        <v>2884</v>
      </c>
      <c r="I948" t="s">
        <v>98</v>
      </c>
      <c r="J948" t="s">
        <v>23</v>
      </c>
      <c r="K948" t="s">
        <v>1686</v>
      </c>
      <c r="L948" t="s">
        <v>1687</v>
      </c>
      <c r="M948">
        <v>72701</v>
      </c>
      <c r="N948" t="s">
        <v>26</v>
      </c>
      <c r="O948" t="s">
        <v>2885</v>
      </c>
      <c r="P948" t="s">
        <v>42</v>
      </c>
      <c r="Q948" t="s">
        <v>71</v>
      </c>
      <c r="R948" t="s">
        <v>2886</v>
      </c>
      <c r="S948">
        <v>6.24</v>
      </c>
    </row>
    <row r="949" spans="1:19" x14ac:dyDescent="0.35">
      <c r="A949">
        <v>963</v>
      </c>
      <c r="B949" t="s">
        <v>2887</v>
      </c>
      <c r="C949" s="1">
        <v>42979</v>
      </c>
      <c r="D949" s="1">
        <v>42982</v>
      </c>
      <c r="E949" s="1" t="str">
        <f t="shared" si="14"/>
        <v>MODERATE</v>
      </c>
      <c r="F949" t="s">
        <v>184</v>
      </c>
      <c r="G949" t="s">
        <v>468</v>
      </c>
      <c r="H949" t="s">
        <v>469</v>
      </c>
      <c r="I949" t="s">
        <v>37</v>
      </c>
      <c r="J949" t="s">
        <v>23</v>
      </c>
      <c r="K949" t="s">
        <v>123</v>
      </c>
      <c r="L949" t="s">
        <v>39</v>
      </c>
      <c r="M949">
        <v>94110</v>
      </c>
      <c r="N949" t="s">
        <v>40</v>
      </c>
      <c r="O949" t="s">
        <v>1782</v>
      </c>
      <c r="P949" t="s">
        <v>42</v>
      </c>
      <c r="Q949" t="s">
        <v>169</v>
      </c>
      <c r="R949" t="s">
        <v>1783</v>
      </c>
      <c r="S949">
        <v>21.88</v>
      </c>
    </row>
    <row r="950" spans="1:19" x14ac:dyDescent="0.35">
      <c r="A950">
        <v>964</v>
      </c>
      <c r="B950" t="s">
        <v>2888</v>
      </c>
      <c r="C950" s="1">
        <v>42269</v>
      </c>
      <c r="D950" s="1">
        <v>42271</v>
      </c>
      <c r="E950" s="1" t="str">
        <f t="shared" si="14"/>
        <v>SLOW</v>
      </c>
      <c r="F950" t="s">
        <v>19</v>
      </c>
      <c r="G950" t="s">
        <v>2730</v>
      </c>
      <c r="H950" t="s">
        <v>2731</v>
      </c>
      <c r="I950" t="s">
        <v>22</v>
      </c>
      <c r="J950" t="s">
        <v>23</v>
      </c>
      <c r="K950" t="s">
        <v>2889</v>
      </c>
      <c r="L950" t="s">
        <v>50</v>
      </c>
      <c r="M950">
        <v>33433</v>
      </c>
      <c r="N950" t="s">
        <v>26</v>
      </c>
      <c r="O950" t="s">
        <v>2890</v>
      </c>
      <c r="P950" t="s">
        <v>42</v>
      </c>
      <c r="Q950" t="s">
        <v>43</v>
      </c>
      <c r="R950" t="s">
        <v>2891</v>
      </c>
      <c r="S950">
        <v>4.6079999999999997</v>
      </c>
    </row>
    <row r="951" spans="1:19" x14ac:dyDescent="0.35">
      <c r="A951">
        <v>965</v>
      </c>
      <c r="B951" t="s">
        <v>2892</v>
      </c>
      <c r="C951" s="1">
        <v>43199</v>
      </c>
      <c r="D951" s="1">
        <v>43201</v>
      </c>
      <c r="E951" s="1" t="str">
        <f t="shared" si="14"/>
        <v>MODERATE</v>
      </c>
      <c r="F951" t="s">
        <v>184</v>
      </c>
      <c r="G951" t="s">
        <v>2893</v>
      </c>
      <c r="H951" t="s">
        <v>2894</v>
      </c>
      <c r="I951" t="s">
        <v>98</v>
      </c>
      <c r="J951" t="s">
        <v>23</v>
      </c>
      <c r="K951" t="s">
        <v>260</v>
      </c>
      <c r="L951" t="s">
        <v>261</v>
      </c>
      <c r="M951">
        <v>10011</v>
      </c>
      <c r="N951" t="s">
        <v>144</v>
      </c>
      <c r="O951" t="s">
        <v>2895</v>
      </c>
      <c r="P951" t="s">
        <v>42</v>
      </c>
      <c r="Q951" t="s">
        <v>43</v>
      </c>
      <c r="R951" t="s">
        <v>2896</v>
      </c>
      <c r="S951">
        <v>9.82</v>
      </c>
    </row>
    <row r="952" spans="1:19" x14ac:dyDescent="0.35">
      <c r="A952">
        <v>966</v>
      </c>
      <c r="B952" t="s">
        <v>2892</v>
      </c>
      <c r="C952" s="1">
        <v>43199</v>
      </c>
      <c r="D952" s="1">
        <v>43201</v>
      </c>
      <c r="E952" s="1" t="str">
        <f t="shared" si="14"/>
        <v>MODERATE</v>
      </c>
      <c r="F952" t="s">
        <v>184</v>
      </c>
      <c r="G952" t="s">
        <v>2893</v>
      </c>
      <c r="H952" t="s">
        <v>2894</v>
      </c>
      <c r="I952" t="s">
        <v>98</v>
      </c>
      <c r="J952" t="s">
        <v>23</v>
      </c>
      <c r="K952" t="s">
        <v>260</v>
      </c>
      <c r="L952" t="s">
        <v>261</v>
      </c>
      <c r="M952">
        <v>10011</v>
      </c>
      <c r="N952" t="s">
        <v>144</v>
      </c>
      <c r="O952" t="s">
        <v>1440</v>
      </c>
      <c r="P952" t="s">
        <v>42</v>
      </c>
      <c r="Q952" t="s">
        <v>64</v>
      </c>
      <c r="R952" t="s">
        <v>1441</v>
      </c>
      <c r="S952">
        <v>35.97</v>
      </c>
    </row>
    <row r="953" spans="1:19" x14ac:dyDescent="0.35">
      <c r="A953">
        <v>967</v>
      </c>
      <c r="B953" t="s">
        <v>2892</v>
      </c>
      <c r="C953" s="1">
        <v>43199</v>
      </c>
      <c r="D953" s="1">
        <v>43201</v>
      </c>
      <c r="E953" s="1" t="str">
        <f t="shared" si="14"/>
        <v>MODERATE</v>
      </c>
      <c r="F953" t="s">
        <v>184</v>
      </c>
      <c r="G953" t="s">
        <v>2893</v>
      </c>
      <c r="H953" t="s">
        <v>2894</v>
      </c>
      <c r="I953" t="s">
        <v>98</v>
      </c>
      <c r="J953" t="s">
        <v>23</v>
      </c>
      <c r="K953" t="s">
        <v>260</v>
      </c>
      <c r="L953" t="s">
        <v>261</v>
      </c>
      <c r="M953">
        <v>10011</v>
      </c>
      <c r="N953" t="s">
        <v>144</v>
      </c>
      <c r="O953" t="s">
        <v>2897</v>
      </c>
      <c r="P953" t="s">
        <v>42</v>
      </c>
      <c r="Q953" t="s">
        <v>86</v>
      </c>
      <c r="R953" t="s">
        <v>2898</v>
      </c>
      <c r="S953">
        <v>12.96</v>
      </c>
    </row>
    <row r="954" spans="1:19" x14ac:dyDescent="0.35">
      <c r="A954">
        <v>968</v>
      </c>
      <c r="B954" t="s">
        <v>2892</v>
      </c>
      <c r="C954" s="1">
        <v>43199</v>
      </c>
      <c r="D954" s="1">
        <v>43201</v>
      </c>
      <c r="E954" s="1" t="str">
        <f t="shared" si="14"/>
        <v>MODERATE</v>
      </c>
      <c r="F954" t="s">
        <v>184</v>
      </c>
      <c r="G954" t="s">
        <v>2893</v>
      </c>
      <c r="H954" t="s">
        <v>2894</v>
      </c>
      <c r="I954" t="s">
        <v>98</v>
      </c>
      <c r="J954" t="s">
        <v>23</v>
      </c>
      <c r="K954" t="s">
        <v>260</v>
      </c>
      <c r="L954" t="s">
        <v>261</v>
      </c>
      <c r="M954">
        <v>10011</v>
      </c>
      <c r="N954" t="s">
        <v>144</v>
      </c>
      <c r="O954" t="s">
        <v>2899</v>
      </c>
      <c r="P954" t="s">
        <v>42</v>
      </c>
      <c r="Q954" t="s">
        <v>86</v>
      </c>
      <c r="R954" t="s">
        <v>2900</v>
      </c>
      <c r="S954">
        <v>191.6</v>
      </c>
    </row>
    <row r="955" spans="1:19" x14ac:dyDescent="0.35">
      <c r="A955">
        <v>969</v>
      </c>
      <c r="B955" t="s">
        <v>2892</v>
      </c>
      <c r="C955" s="1">
        <v>43199</v>
      </c>
      <c r="D955" s="1">
        <v>43201</v>
      </c>
      <c r="E955" s="1" t="str">
        <f t="shared" si="14"/>
        <v>MODERATE</v>
      </c>
      <c r="F955" t="s">
        <v>184</v>
      </c>
      <c r="G955" t="s">
        <v>2893</v>
      </c>
      <c r="H955" t="s">
        <v>2894</v>
      </c>
      <c r="I955" t="s">
        <v>98</v>
      </c>
      <c r="J955" t="s">
        <v>23</v>
      </c>
      <c r="K955" t="s">
        <v>260</v>
      </c>
      <c r="L955" t="s">
        <v>261</v>
      </c>
      <c r="M955">
        <v>10011</v>
      </c>
      <c r="N955" t="s">
        <v>144</v>
      </c>
      <c r="O955" t="s">
        <v>2890</v>
      </c>
      <c r="P955" t="s">
        <v>42</v>
      </c>
      <c r="Q955" t="s">
        <v>43</v>
      </c>
      <c r="R955" t="s">
        <v>2891</v>
      </c>
      <c r="S955">
        <v>8.64</v>
      </c>
    </row>
    <row r="956" spans="1:19" x14ac:dyDescent="0.35">
      <c r="A956">
        <v>970</v>
      </c>
      <c r="B956" t="s">
        <v>2892</v>
      </c>
      <c r="C956" s="1">
        <v>43199</v>
      </c>
      <c r="D956" s="1">
        <v>43201</v>
      </c>
      <c r="E956" s="1" t="str">
        <f t="shared" si="14"/>
        <v>MODERATE</v>
      </c>
      <c r="F956" t="s">
        <v>184</v>
      </c>
      <c r="G956" t="s">
        <v>2893</v>
      </c>
      <c r="H956" t="s">
        <v>2894</v>
      </c>
      <c r="I956" t="s">
        <v>98</v>
      </c>
      <c r="J956" t="s">
        <v>23</v>
      </c>
      <c r="K956" t="s">
        <v>260</v>
      </c>
      <c r="L956" t="s">
        <v>261</v>
      </c>
      <c r="M956">
        <v>10011</v>
      </c>
      <c r="N956" t="s">
        <v>144</v>
      </c>
      <c r="O956" t="s">
        <v>2901</v>
      </c>
      <c r="P956" t="s">
        <v>42</v>
      </c>
      <c r="Q956" t="s">
        <v>55</v>
      </c>
      <c r="R956" t="s">
        <v>2902</v>
      </c>
      <c r="S956">
        <v>501.81</v>
      </c>
    </row>
    <row r="957" spans="1:19" x14ac:dyDescent="0.35">
      <c r="A957">
        <v>971</v>
      </c>
      <c r="B957" t="s">
        <v>2903</v>
      </c>
      <c r="C957" s="1">
        <v>42020</v>
      </c>
      <c r="D957" s="1">
        <v>42022</v>
      </c>
      <c r="E957" s="1" t="str">
        <f t="shared" si="14"/>
        <v>SLOW</v>
      </c>
      <c r="F957" t="s">
        <v>19</v>
      </c>
      <c r="G957" t="s">
        <v>939</v>
      </c>
      <c r="H957" t="s">
        <v>940</v>
      </c>
      <c r="I957" t="s">
        <v>22</v>
      </c>
      <c r="J957" t="s">
        <v>23</v>
      </c>
      <c r="K957" t="s">
        <v>142</v>
      </c>
      <c r="L957" t="s">
        <v>143</v>
      </c>
      <c r="M957">
        <v>19134</v>
      </c>
      <c r="N957" t="s">
        <v>144</v>
      </c>
      <c r="O957" t="s">
        <v>2904</v>
      </c>
      <c r="P957" t="s">
        <v>28</v>
      </c>
      <c r="Q957" t="s">
        <v>61</v>
      </c>
      <c r="R957" t="s">
        <v>2905</v>
      </c>
      <c r="S957">
        <v>127.104</v>
      </c>
    </row>
    <row r="958" spans="1:19" x14ac:dyDescent="0.35">
      <c r="A958">
        <v>972</v>
      </c>
      <c r="B958" t="s">
        <v>2903</v>
      </c>
      <c r="C958" s="1">
        <v>42020</v>
      </c>
      <c r="D958" s="1">
        <v>42022</v>
      </c>
      <c r="E958" s="1" t="str">
        <f t="shared" si="14"/>
        <v>SLOW</v>
      </c>
      <c r="F958" t="s">
        <v>19</v>
      </c>
      <c r="G958" t="s">
        <v>939</v>
      </c>
      <c r="H958" t="s">
        <v>940</v>
      </c>
      <c r="I958" t="s">
        <v>22</v>
      </c>
      <c r="J958" t="s">
        <v>23</v>
      </c>
      <c r="K958" t="s">
        <v>142</v>
      </c>
      <c r="L958" t="s">
        <v>143</v>
      </c>
      <c r="M958">
        <v>19134</v>
      </c>
      <c r="N958" t="s">
        <v>144</v>
      </c>
      <c r="O958" t="s">
        <v>1192</v>
      </c>
      <c r="P958" t="s">
        <v>67</v>
      </c>
      <c r="Q958" t="s">
        <v>68</v>
      </c>
      <c r="R958" t="s">
        <v>1193</v>
      </c>
      <c r="S958">
        <v>124.2</v>
      </c>
    </row>
    <row r="959" spans="1:19" x14ac:dyDescent="0.35">
      <c r="A959">
        <v>973</v>
      </c>
      <c r="B959" t="s">
        <v>2903</v>
      </c>
      <c r="C959" s="1">
        <v>42020</v>
      </c>
      <c r="D959" s="1">
        <v>42022</v>
      </c>
      <c r="E959" s="1" t="str">
        <f t="shared" si="14"/>
        <v>SLOW</v>
      </c>
      <c r="F959" t="s">
        <v>19</v>
      </c>
      <c r="G959" t="s">
        <v>939</v>
      </c>
      <c r="H959" t="s">
        <v>940</v>
      </c>
      <c r="I959" t="s">
        <v>22</v>
      </c>
      <c r="J959" t="s">
        <v>23</v>
      </c>
      <c r="K959" t="s">
        <v>142</v>
      </c>
      <c r="L959" t="s">
        <v>143</v>
      </c>
      <c r="M959">
        <v>19134</v>
      </c>
      <c r="N959" t="s">
        <v>144</v>
      </c>
      <c r="O959" t="s">
        <v>2237</v>
      </c>
      <c r="P959" t="s">
        <v>42</v>
      </c>
      <c r="Q959" t="s">
        <v>71</v>
      </c>
      <c r="R959" t="s">
        <v>2238</v>
      </c>
      <c r="S959">
        <v>18.588000000000001</v>
      </c>
    </row>
    <row r="960" spans="1:19" x14ac:dyDescent="0.35">
      <c r="A960">
        <v>974</v>
      </c>
      <c r="B960" t="s">
        <v>2903</v>
      </c>
      <c r="C960" s="1">
        <v>42020</v>
      </c>
      <c r="D960" s="1">
        <v>42022</v>
      </c>
      <c r="E960" s="1" t="str">
        <f t="shared" si="14"/>
        <v>SLOW</v>
      </c>
      <c r="F960" t="s">
        <v>19</v>
      </c>
      <c r="G960" t="s">
        <v>939</v>
      </c>
      <c r="H960" t="s">
        <v>940</v>
      </c>
      <c r="I960" t="s">
        <v>22</v>
      </c>
      <c r="J960" t="s">
        <v>23</v>
      </c>
      <c r="K960" t="s">
        <v>142</v>
      </c>
      <c r="L960" t="s">
        <v>143</v>
      </c>
      <c r="M960">
        <v>19134</v>
      </c>
      <c r="N960" t="s">
        <v>144</v>
      </c>
      <c r="O960" t="s">
        <v>1185</v>
      </c>
      <c r="P960" t="s">
        <v>42</v>
      </c>
      <c r="Q960" t="s">
        <v>43</v>
      </c>
      <c r="R960" t="s">
        <v>1186</v>
      </c>
      <c r="S960">
        <v>30.071999999999999</v>
      </c>
    </row>
    <row r="961" spans="1:19" x14ac:dyDescent="0.35">
      <c r="A961">
        <v>975</v>
      </c>
      <c r="B961" t="s">
        <v>2906</v>
      </c>
      <c r="C961" s="1">
        <v>43378</v>
      </c>
      <c r="D961" s="1">
        <v>43381</v>
      </c>
      <c r="E961" s="1" t="str">
        <f t="shared" si="14"/>
        <v>SLOW</v>
      </c>
      <c r="F961" t="s">
        <v>19</v>
      </c>
      <c r="G961" t="s">
        <v>2337</v>
      </c>
      <c r="H961" t="s">
        <v>2338</v>
      </c>
      <c r="I961" t="s">
        <v>98</v>
      </c>
      <c r="J961" t="s">
        <v>23</v>
      </c>
      <c r="K961" t="s">
        <v>260</v>
      </c>
      <c r="L961" t="s">
        <v>261</v>
      </c>
      <c r="M961">
        <v>10011</v>
      </c>
      <c r="N961" t="s">
        <v>144</v>
      </c>
      <c r="O961" t="s">
        <v>1762</v>
      </c>
      <c r="P961" t="s">
        <v>67</v>
      </c>
      <c r="Q961" t="s">
        <v>68</v>
      </c>
      <c r="R961" t="s">
        <v>1763</v>
      </c>
      <c r="S961">
        <v>160.93</v>
      </c>
    </row>
    <row r="962" spans="1:19" x14ac:dyDescent="0.35">
      <c r="A962">
        <v>976</v>
      </c>
      <c r="B962" t="s">
        <v>2906</v>
      </c>
      <c r="C962" s="1">
        <v>43378</v>
      </c>
      <c r="D962" s="1">
        <v>43381</v>
      </c>
      <c r="E962" s="1" t="str">
        <f t="shared" si="14"/>
        <v>SLOW</v>
      </c>
      <c r="F962" t="s">
        <v>19</v>
      </c>
      <c r="G962" t="s">
        <v>2337</v>
      </c>
      <c r="H962" t="s">
        <v>2338</v>
      </c>
      <c r="I962" t="s">
        <v>98</v>
      </c>
      <c r="J962" t="s">
        <v>23</v>
      </c>
      <c r="K962" t="s">
        <v>260</v>
      </c>
      <c r="L962" t="s">
        <v>261</v>
      </c>
      <c r="M962">
        <v>10011</v>
      </c>
      <c r="N962" t="s">
        <v>144</v>
      </c>
      <c r="O962" t="s">
        <v>1378</v>
      </c>
      <c r="P962" t="s">
        <v>42</v>
      </c>
      <c r="Q962" t="s">
        <v>71</v>
      </c>
      <c r="R962" t="s">
        <v>1379</v>
      </c>
      <c r="S962">
        <v>75.792000000000002</v>
      </c>
    </row>
    <row r="963" spans="1:19" x14ac:dyDescent="0.35">
      <c r="A963">
        <v>977</v>
      </c>
      <c r="B963" t="s">
        <v>2907</v>
      </c>
      <c r="C963" s="1">
        <v>43290</v>
      </c>
      <c r="D963" s="1">
        <v>43296</v>
      </c>
      <c r="E963" s="1" t="str">
        <f t="shared" ref="E963:E1026" si="15">IF(F963="STANDARD CLASS","FAST",IF(F963="SECOND CLASS","SLOW","MODERATE"))</f>
        <v>FAST</v>
      </c>
      <c r="F963" t="s">
        <v>46</v>
      </c>
      <c r="G963" t="s">
        <v>1230</v>
      </c>
      <c r="H963" t="s">
        <v>1231</v>
      </c>
      <c r="I963" t="s">
        <v>22</v>
      </c>
      <c r="J963" t="s">
        <v>23</v>
      </c>
      <c r="K963" t="s">
        <v>409</v>
      </c>
      <c r="L963" t="s">
        <v>410</v>
      </c>
      <c r="M963">
        <v>97206</v>
      </c>
      <c r="N963" t="s">
        <v>40</v>
      </c>
      <c r="O963" t="s">
        <v>2908</v>
      </c>
      <c r="P963" t="s">
        <v>42</v>
      </c>
      <c r="Q963" t="s">
        <v>71</v>
      </c>
      <c r="R963" t="s">
        <v>2909</v>
      </c>
      <c r="S963">
        <v>1.08</v>
      </c>
    </row>
    <row r="964" spans="1:19" x14ac:dyDescent="0.35">
      <c r="A964">
        <v>978</v>
      </c>
      <c r="B964" t="s">
        <v>2910</v>
      </c>
      <c r="C964" s="1">
        <v>43107</v>
      </c>
      <c r="D964" s="1">
        <v>43110</v>
      </c>
      <c r="E964" s="1" t="str">
        <f t="shared" si="15"/>
        <v>MODERATE</v>
      </c>
      <c r="F964" t="s">
        <v>184</v>
      </c>
      <c r="G964" t="s">
        <v>2518</v>
      </c>
      <c r="H964" t="s">
        <v>2519</v>
      </c>
      <c r="I964" t="s">
        <v>37</v>
      </c>
      <c r="J964" t="s">
        <v>23</v>
      </c>
      <c r="K964" t="s">
        <v>867</v>
      </c>
      <c r="L964" t="s">
        <v>232</v>
      </c>
      <c r="M964">
        <v>48205</v>
      </c>
      <c r="N964" t="s">
        <v>101</v>
      </c>
      <c r="O964" t="s">
        <v>670</v>
      </c>
      <c r="P964" t="s">
        <v>67</v>
      </c>
      <c r="Q964" t="s">
        <v>671</v>
      </c>
      <c r="R964" t="s">
        <v>672</v>
      </c>
      <c r="S964">
        <v>3059.982</v>
      </c>
    </row>
    <row r="965" spans="1:19" x14ac:dyDescent="0.35">
      <c r="A965">
        <v>979</v>
      </c>
      <c r="B965" t="s">
        <v>2911</v>
      </c>
      <c r="C965" s="1">
        <v>42885</v>
      </c>
      <c r="D965" s="1">
        <v>42886</v>
      </c>
      <c r="E965" s="1" t="str">
        <f t="shared" si="15"/>
        <v>MODERATE</v>
      </c>
      <c r="F965" t="s">
        <v>184</v>
      </c>
      <c r="G965" t="s">
        <v>2912</v>
      </c>
      <c r="H965" t="s">
        <v>2913</v>
      </c>
      <c r="I965" t="s">
        <v>22</v>
      </c>
      <c r="J965" t="s">
        <v>23</v>
      </c>
      <c r="K965" t="s">
        <v>508</v>
      </c>
      <c r="L965" t="s">
        <v>84</v>
      </c>
      <c r="M965">
        <v>28403</v>
      </c>
      <c r="N965" t="s">
        <v>26</v>
      </c>
      <c r="O965" t="s">
        <v>1998</v>
      </c>
      <c r="P965" t="s">
        <v>42</v>
      </c>
      <c r="Q965" t="s">
        <v>71</v>
      </c>
      <c r="R965" t="s">
        <v>1999</v>
      </c>
      <c r="S965">
        <v>3.282</v>
      </c>
    </row>
    <row r="966" spans="1:19" x14ac:dyDescent="0.35">
      <c r="A966">
        <v>980</v>
      </c>
      <c r="B966" t="s">
        <v>2914</v>
      </c>
      <c r="C966" s="1">
        <v>42713</v>
      </c>
      <c r="D966" s="1">
        <v>42716</v>
      </c>
      <c r="E966" s="1" t="str">
        <f t="shared" si="15"/>
        <v>MODERATE</v>
      </c>
      <c r="F966" t="s">
        <v>184</v>
      </c>
      <c r="G966" t="s">
        <v>337</v>
      </c>
      <c r="H966" t="s">
        <v>338</v>
      </c>
      <c r="I966" t="s">
        <v>37</v>
      </c>
      <c r="J966" t="s">
        <v>23</v>
      </c>
      <c r="K966" t="s">
        <v>484</v>
      </c>
      <c r="L966" t="s">
        <v>248</v>
      </c>
      <c r="M966">
        <v>47201</v>
      </c>
      <c r="N966" t="s">
        <v>101</v>
      </c>
      <c r="O966" t="s">
        <v>2915</v>
      </c>
      <c r="P966" t="s">
        <v>42</v>
      </c>
      <c r="Q966" t="s">
        <v>86</v>
      </c>
      <c r="R966" t="s">
        <v>2916</v>
      </c>
      <c r="S966">
        <v>34.020000000000003</v>
      </c>
    </row>
    <row r="967" spans="1:19" x14ac:dyDescent="0.35">
      <c r="A967">
        <v>981</v>
      </c>
      <c r="B967" t="s">
        <v>2917</v>
      </c>
      <c r="C967" s="1">
        <v>43011</v>
      </c>
      <c r="D967" s="1">
        <v>43016</v>
      </c>
      <c r="E967" s="1" t="str">
        <f t="shared" si="15"/>
        <v>FAST</v>
      </c>
      <c r="F967" t="s">
        <v>46</v>
      </c>
      <c r="G967" t="s">
        <v>148</v>
      </c>
      <c r="H967" t="s">
        <v>149</v>
      </c>
      <c r="I967" t="s">
        <v>22</v>
      </c>
      <c r="J967" t="s">
        <v>23</v>
      </c>
      <c r="K967" t="s">
        <v>260</v>
      </c>
      <c r="L967" t="s">
        <v>261</v>
      </c>
      <c r="M967">
        <v>10035</v>
      </c>
      <c r="N967" t="s">
        <v>144</v>
      </c>
      <c r="O967" t="s">
        <v>2453</v>
      </c>
      <c r="P967" t="s">
        <v>28</v>
      </c>
      <c r="Q967" t="s">
        <v>32</v>
      </c>
      <c r="R967" t="s">
        <v>2454</v>
      </c>
      <c r="S967">
        <v>599.29200000000003</v>
      </c>
    </row>
    <row r="968" spans="1:19" x14ac:dyDescent="0.35">
      <c r="A968">
        <v>982</v>
      </c>
      <c r="B968" t="s">
        <v>2918</v>
      </c>
      <c r="C968" s="1">
        <v>42319</v>
      </c>
      <c r="D968" s="1">
        <v>42322</v>
      </c>
      <c r="E968" s="1" t="str">
        <f t="shared" si="15"/>
        <v>SLOW</v>
      </c>
      <c r="F968" t="s">
        <v>19</v>
      </c>
      <c r="G968" t="s">
        <v>2919</v>
      </c>
      <c r="H968" t="s">
        <v>2920</v>
      </c>
      <c r="I968" t="s">
        <v>22</v>
      </c>
      <c r="J968" t="s">
        <v>23</v>
      </c>
      <c r="K968" t="s">
        <v>1457</v>
      </c>
      <c r="L968" t="s">
        <v>444</v>
      </c>
      <c r="M968">
        <v>80027</v>
      </c>
      <c r="N968" t="s">
        <v>40</v>
      </c>
      <c r="O968" t="s">
        <v>2921</v>
      </c>
      <c r="P968" t="s">
        <v>42</v>
      </c>
      <c r="Q968" t="s">
        <v>64</v>
      </c>
      <c r="R968" t="s">
        <v>2922</v>
      </c>
      <c r="S968">
        <v>3.3919999999999999</v>
      </c>
    </row>
    <row r="969" spans="1:19" x14ac:dyDescent="0.35">
      <c r="A969">
        <v>983</v>
      </c>
      <c r="B969" t="s">
        <v>2918</v>
      </c>
      <c r="C969" s="1">
        <v>42319</v>
      </c>
      <c r="D969" s="1">
        <v>42322</v>
      </c>
      <c r="E969" s="1" t="str">
        <f t="shared" si="15"/>
        <v>SLOW</v>
      </c>
      <c r="F969" t="s">
        <v>19</v>
      </c>
      <c r="G969" t="s">
        <v>2919</v>
      </c>
      <c r="H969" t="s">
        <v>2920</v>
      </c>
      <c r="I969" t="s">
        <v>22</v>
      </c>
      <c r="J969" t="s">
        <v>23</v>
      </c>
      <c r="K969" t="s">
        <v>1457</v>
      </c>
      <c r="L969" t="s">
        <v>444</v>
      </c>
      <c r="M969">
        <v>80027</v>
      </c>
      <c r="N969" t="s">
        <v>40</v>
      </c>
      <c r="O969" t="s">
        <v>2923</v>
      </c>
      <c r="P969" t="s">
        <v>67</v>
      </c>
      <c r="Q969" t="s">
        <v>68</v>
      </c>
      <c r="R969" t="s">
        <v>2924</v>
      </c>
      <c r="S969">
        <v>559.98400000000004</v>
      </c>
    </row>
    <row r="970" spans="1:19" x14ac:dyDescent="0.35">
      <c r="A970">
        <v>984</v>
      </c>
      <c r="B970" t="s">
        <v>2918</v>
      </c>
      <c r="C970" s="1">
        <v>42319</v>
      </c>
      <c r="D970" s="1">
        <v>42322</v>
      </c>
      <c r="E970" s="1" t="str">
        <f t="shared" si="15"/>
        <v>SLOW</v>
      </c>
      <c r="F970" t="s">
        <v>19</v>
      </c>
      <c r="G970" t="s">
        <v>2919</v>
      </c>
      <c r="H970" t="s">
        <v>2920</v>
      </c>
      <c r="I970" t="s">
        <v>22</v>
      </c>
      <c r="J970" t="s">
        <v>23</v>
      </c>
      <c r="K970" t="s">
        <v>1457</v>
      </c>
      <c r="L970" t="s">
        <v>444</v>
      </c>
      <c r="M970">
        <v>80027</v>
      </c>
      <c r="N970" t="s">
        <v>40</v>
      </c>
      <c r="O970" t="s">
        <v>2552</v>
      </c>
      <c r="P970" t="s">
        <v>28</v>
      </c>
      <c r="Q970" t="s">
        <v>32</v>
      </c>
      <c r="R970" t="s">
        <v>2553</v>
      </c>
      <c r="S970">
        <v>603.91999999999996</v>
      </c>
    </row>
    <row r="971" spans="1:19" x14ac:dyDescent="0.35">
      <c r="A971">
        <v>985</v>
      </c>
      <c r="B971" t="s">
        <v>2925</v>
      </c>
      <c r="C971" s="1">
        <v>43372</v>
      </c>
      <c r="D971" s="1">
        <v>43378</v>
      </c>
      <c r="E971" s="1" t="str">
        <f t="shared" si="15"/>
        <v>FAST</v>
      </c>
      <c r="F971" t="s">
        <v>46</v>
      </c>
      <c r="G971" t="s">
        <v>2926</v>
      </c>
      <c r="H971" t="s">
        <v>2927</v>
      </c>
      <c r="I971" t="s">
        <v>98</v>
      </c>
      <c r="J971" t="s">
        <v>23</v>
      </c>
      <c r="K971" t="s">
        <v>590</v>
      </c>
      <c r="L971" t="s">
        <v>100</v>
      </c>
      <c r="M971">
        <v>77506</v>
      </c>
      <c r="N971" t="s">
        <v>101</v>
      </c>
      <c r="O971" t="s">
        <v>2464</v>
      </c>
      <c r="P971" t="s">
        <v>42</v>
      </c>
      <c r="Q971" t="s">
        <v>43</v>
      </c>
      <c r="R971" t="s">
        <v>2465</v>
      </c>
      <c r="S971">
        <v>7.968</v>
      </c>
    </row>
    <row r="972" spans="1:19" x14ac:dyDescent="0.35">
      <c r="A972">
        <v>987</v>
      </c>
      <c r="B972" t="s">
        <v>2925</v>
      </c>
      <c r="C972" s="1">
        <v>43372</v>
      </c>
      <c r="D972" s="1">
        <v>43378</v>
      </c>
      <c r="E972" s="1" t="str">
        <f t="shared" si="15"/>
        <v>FAST</v>
      </c>
      <c r="F972" t="s">
        <v>46</v>
      </c>
      <c r="G972" t="s">
        <v>2926</v>
      </c>
      <c r="H972" t="s">
        <v>2927</v>
      </c>
      <c r="I972" t="s">
        <v>98</v>
      </c>
      <c r="J972" t="s">
        <v>23</v>
      </c>
      <c r="K972" t="s">
        <v>590</v>
      </c>
      <c r="L972" t="s">
        <v>100</v>
      </c>
      <c r="M972">
        <v>77506</v>
      </c>
      <c r="N972" t="s">
        <v>101</v>
      </c>
      <c r="O972" t="s">
        <v>2928</v>
      </c>
      <c r="P972" t="s">
        <v>67</v>
      </c>
      <c r="Q972" t="s">
        <v>671</v>
      </c>
      <c r="R972" t="s">
        <v>2929</v>
      </c>
      <c r="S972">
        <v>336.51</v>
      </c>
    </row>
    <row r="973" spans="1:19" x14ac:dyDescent="0.35">
      <c r="A973">
        <v>988</v>
      </c>
      <c r="B973" t="s">
        <v>2930</v>
      </c>
      <c r="C973" s="1">
        <v>42439</v>
      </c>
      <c r="D973" s="1">
        <v>42439</v>
      </c>
      <c r="E973" s="1" t="str">
        <f t="shared" si="15"/>
        <v>MODERATE</v>
      </c>
      <c r="F973" t="s">
        <v>1276</v>
      </c>
      <c r="G973" t="s">
        <v>2931</v>
      </c>
      <c r="H973" t="s">
        <v>2932</v>
      </c>
      <c r="I973" t="s">
        <v>22</v>
      </c>
      <c r="J973" t="s">
        <v>23</v>
      </c>
      <c r="K973" t="s">
        <v>180</v>
      </c>
      <c r="L973" t="s">
        <v>100</v>
      </c>
      <c r="M973">
        <v>77041</v>
      </c>
      <c r="N973" t="s">
        <v>101</v>
      </c>
      <c r="O973" t="s">
        <v>2933</v>
      </c>
      <c r="P973" t="s">
        <v>42</v>
      </c>
      <c r="Q973" t="s">
        <v>71</v>
      </c>
      <c r="R973" t="s">
        <v>2934</v>
      </c>
      <c r="S973">
        <v>1.1120000000000001</v>
      </c>
    </row>
    <row r="974" spans="1:19" x14ac:dyDescent="0.35">
      <c r="A974">
        <v>989</v>
      </c>
      <c r="B974" t="s">
        <v>2935</v>
      </c>
      <c r="C974" s="1">
        <v>43241</v>
      </c>
      <c r="D974" s="1">
        <v>43246</v>
      </c>
      <c r="E974" s="1" t="str">
        <f t="shared" si="15"/>
        <v>FAST</v>
      </c>
      <c r="F974" t="s">
        <v>46</v>
      </c>
      <c r="G974" t="s">
        <v>1628</v>
      </c>
      <c r="H974" t="s">
        <v>1629</v>
      </c>
      <c r="I974" t="s">
        <v>37</v>
      </c>
      <c r="J974" t="s">
        <v>23</v>
      </c>
      <c r="K974" t="s">
        <v>1544</v>
      </c>
      <c r="L974" t="s">
        <v>261</v>
      </c>
      <c r="M974">
        <v>13021</v>
      </c>
      <c r="N974" t="s">
        <v>144</v>
      </c>
      <c r="O974" t="s">
        <v>2216</v>
      </c>
      <c r="P974" t="s">
        <v>28</v>
      </c>
      <c r="Q974" t="s">
        <v>61</v>
      </c>
      <c r="R974" t="s">
        <v>2217</v>
      </c>
      <c r="S974">
        <v>520.04999999999995</v>
      </c>
    </row>
    <row r="975" spans="1:19" x14ac:dyDescent="0.35">
      <c r="A975">
        <v>990</v>
      </c>
      <c r="B975" t="s">
        <v>2935</v>
      </c>
      <c r="C975" s="1">
        <v>43241</v>
      </c>
      <c r="D975" s="1">
        <v>43246</v>
      </c>
      <c r="E975" s="1" t="str">
        <f t="shared" si="15"/>
        <v>FAST</v>
      </c>
      <c r="F975" t="s">
        <v>46</v>
      </c>
      <c r="G975" t="s">
        <v>1628</v>
      </c>
      <c r="H975" t="s">
        <v>1629</v>
      </c>
      <c r="I975" t="s">
        <v>37</v>
      </c>
      <c r="J975" t="s">
        <v>23</v>
      </c>
      <c r="K975" t="s">
        <v>1544</v>
      </c>
      <c r="L975" t="s">
        <v>261</v>
      </c>
      <c r="M975">
        <v>13021</v>
      </c>
      <c r="N975" t="s">
        <v>144</v>
      </c>
      <c r="O975" t="s">
        <v>2936</v>
      </c>
      <c r="P975" t="s">
        <v>42</v>
      </c>
      <c r="Q975" t="s">
        <v>64</v>
      </c>
      <c r="R975" t="s">
        <v>2937</v>
      </c>
      <c r="S975">
        <v>17.97</v>
      </c>
    </row>
    <row r="976" spans="1:19" x14ac:dyDescent="0.35">
      <c r="A976">
        <v>991</v>
      </c>
      <c r="B976" t="s">
        <v>2938</v>
      </c>
      <c r="C976" s="1">
        <v>42458</v>
      </c>
      <c r="D976" s="1">
        <v>42460</v>
      </c>
      <c r="E976" s="1" t="str">
        <f t="shared" si="15"/>
        <v>SLOW</v>
      </c>
      <c r="F976" t="s">
        <v>19</v>
      </c>
      <c r="G976" t="s">
        <v>2939</v>
      </c>
      <c r="H976" t="s">
        <v>2940</v>
      </c>
      <c r="I976" t="s">
        <v>98</v>
      </c>
      <c r="J976" t="s">
        <v>23</v>
      </c>
      <c r="K976" t="s">
        <v>1505</v>
      </c>
      <c r="L976" t="s">
        <v>50</v>
      </c>
      <c r="M976">
        <v>32216</v>
      </c>
      <c r="N976" t="s">
        <v>26</v>
      </c>
      <c r="O976" t="s">
        <v>1124</v>
      </c>
      <c r="P976" t="s">
        <v>28</v>
      </c>
      <c r="Q976" t="s">
        <v>32</v>
      </c>
      <c r="R976" t="s">
        <v>1125</v>
      </c>
      <c r="S976">
        <v>1166.92</v>
      </c>
    </row>
    <row r="977" spans="1:19" x14ac:dyDescent="0.35">
      <c r="A977">
        <v>992</v>
      </c>
      <c r="B977" t="s">
        <v>2941</v>
      </c>
      <c r="C977" s="1">
        <v>42987</v>
      </c>
      <c r="D977" s="1">
        <v>42989</v>
      </c>
      <c r="E977" s="1" t="str">
        <f t="shared" si="15"/>
        <v>MODERATE</v>
      </c>
      <c r="F977" t="s">
        <v>184</v>
      </c>
      <c r="G977" t="s">
        <v>529</v>
      </c>
      <c r="H977" t="s">
        <v>530</v>
      </c>
      <c r="I977" t="s">
        <v>22</v>
      </c>
      <c r="J977" t="s">
        <v>23</v>
      </c>
      <c r="K977" t="s">
        <v>260</v>
      </c>
      <c r="L977" t="s">
        <v>261</v>
      </c>
      <c r="M977">
        <v>10024</v>
      </c>
      <c r="N977" t="s">
        <v>144</v>
      </c>
      <c r="O977" t="s">
        <v>2413</v>
      </c>
      <c r="P977" t="s">
        <v>42</v>
      </c>
      <c r="Q977" t="s">
        <v>71</v>
      </c>
      <c r="R977" t="s">
        <v>2414</v>
      </c>
      <c r="S977">
        <v>14.624000000000001</v>
      </c>
    </row>
    <row r="978" spans="1:19" x14ac:dyDescent="0.35">
      <c r="A978">
        <v>993</v>
      </c>
      <c r="B978" t="s">
        <v>2942</v>
      </c>
      <c r="C978" s="1">
        <v>42973</v>
      </c>
      <c r="D978" s="1">
        <v>42974</v>
      </c>
      <c r="E978" s="1" t="str">
        <f t="shared" si="15"/>
        <v>MODERATE</v>
      </c>
      <c r="F978" t="s">
        <v>184</v>
      </c>
      <c r="G978" t="s">
        <v>2358</v>
      </c>
      <c r="H978" t="s">
        <v>2359</v>
      </c>
      <c r="I978" t="s">
        <v>22</v>
      </c>
      <c r="J978" t="s">
        <v>23</v>
      </c>
      <c r="K978" t="s">
        <v>618</v>
      </c>
      <c r="L978" t="s">
        <v>39</v>
      </c>
      <c r="M978">
        <v>95123</v>
      </c>
      <c r="N978" t="s">
        <v>40</v>
      </c>
      <c r="O978" t="s">
        <v>1058</v>
      </c>
      <c r="P978" t="s">
        <v>42</v>
      </c>
      <c r="Q978" t="s">
        <v>263</v>
      </c>
      <c r="R978" t="s">
        <v>1059</v>
      </c>
      <c r="S978">
        <v>10.23</v>
      </c>
    </row>
    <row r="979" spans="1:19" x14ac:dyDescent="0.35">
      <c r="A979">
        <v>994</v>
      </c>
      <c r="B979" t="s">
        <v>2942</v>
      </c>
      <c r="C979" s="1">
        <v>42973</v>
      </c>
      <c r="D979" s="1">
        <v>42974</v>
      </c>
      <c r="E979" s="1" t="str">
        <f t="shared" si="15"/>
        <v>MODERATE</v>
      </c>
      <c r="F979" t="s">
        <v>184</v>
      </c>
      <c r="G979" t="s">
        <v>2358</v>
      </c>
      <c r="H979" t="s">
        <v>2359</v>
      </c>
      <c r="I979" t="s">
        <v>22</v>
      </c>
      <c r="J979" t="s">
        <v>23</v>
      </c>
      <c r="K979" t="s">
        <v>618</v>
      </c>
      <c r="L979" t="s">
        <v>39</v>
      </c>
      <c r="M979">
        <v>95123</v>
      </c>
      <c r="N979" t="s">
        <v>40</v>
      </c>
      <c r="O979" t="s">
        <v>2943</v>
      </c>
      <c r="P979" t="s">
        <v>42</v>
      </c>
      <c r="Q979" t="s">
        <v>86</v>
      </c>
      <c r="R979" t="s">
        <v>2944</v>
      </c>
      <c r="S979">
        <v>154.9</v>
      </c>
    </row>
    <row r="980" spans="1:19" x14ac:dyDescent="0.35">
      <c r="A980">
        <v>995</v>
      </c>
      <c r="B980" t="s">
        <v>2945</v>
      </c>
      <c r="C980" s="1">
        <v>42145</v>
      </c>
      <c r="D980" s="1">
        <v>42149</v>
      </c>
      <c r="E980" s="1" t="str">
        <f t="shared" si="15"/>
        <v>FAST</v>
      </c>
      <c r="F980" t="s">
        <v>46</v>
      </c>
      <c r="G980" t="s">
        <v>2946</v>
      </c>
      <c r="H980" t="s">
        <v>2947</v>
      </c>
      <c r="I980" t="s">
        <v>37</v>
      </c>
      <c r="J980" t="s">
        <v>23</v>
      </c>
      <c r="K980" t="s">
        <v>2948</v>
      </c>
      <c r="L980" t="s">
        <v>313</v>
      </c>
      <c r="M980">
        <v>23464</v>
      </c>
      <c r="N980" t="s">
        <v>26</v>
      </c>
      <c r="O980" t="s">
        <v>2949</v>
      </c>
      <c r="P980" t="s">
        <v>42</v>
      </c>
      <c r="Q980" t="s">
        <v>71</v>
      </c>
      <c r="R980" t="s">
        <v>2950</v>
      </c>
      <c r="S980">
        <v>2715.93</v>
      </c>
    </row>
    <row r="981" spans="1:19" x14ac:dyDescent="0.35">
      <c r="A981">
        <v>996</v>
      </c>
      <c r="B981" t="s">
        <v>2945</v>
      </c>
      <c r="C981" s="1">
        <v>42145</v>
      </c>
      <c r="D981" s="1">
        <v>42149</v>
      </c>
      <c r="E981" s="1" t="str">
        <f t="shared" si="15"/>
        <v>FAST</v>
      </c>
      <c r="F981" t="s">
        <v>46</v>
      </c>
      <c r="G981" t="s">
        <v>2946</v>
      </c>
      <c r="H981" t="s">
        <v>2947</v>
      </c>
      <c r="I981" t="s">
        <v>37</v>
      </c>
      <c r="J981" t="s">
        <v>23</v>
      </c>
      <c r="K981" t="s">
        <v>2948</v>
      </c>
      <c r="L981" t="s">
        <v>313</v>
      </c>
      <c r="M981">
        <v>23464</v>
      </c>
      <c r="N981" t="s">
        <v>26</v>
      </c>
      <c r="O981" t="s">
        <v>2459</v>
      </c>
      <c r="P981" t="s">
        <v>67</v>
      </c>
      <c r="Q981" t="s">
        <v>68</v>
      </c>
      <c r="R981" t="s">
        <v>2951</v>
      </c>
      <c r="S981">
        <v>617.97</v>
      </c>
    </row>
    <row r="982" spans="1:19" x14ac:dyDescent="0.35">
      <c r="A982">
        <v>997</v>
      </c>
      <c r="B982" t="s">
        <v>2952</v>
      </c>
      <c r="C982" s="1">
        <v>42671</v>
      </c>
      <c r="D982" s="1">
        <v>42677</v>
      </c>
      <c r="E982" s="1" t="str">
        <f t="shared" si="15"/>
        <v>FAST</v>
      </c>
      <c r="F982" t="s">
        <v>46</v>
      </c>
      <c r="G982" t="s">
        <v>2953</v>
      </c>
      <c r="H982" t="s">
        <v>2954</v>
      </c>
      <c r="I982" t="s">
        <v>22</v>
      </c>
      <c r="J982" t="s">
        <v>23</v>
      </c>
      <c r="K982" t="s">
        <v>24</v>
      </c>
      <c r="L982" t="s">
        <v>25</v>
      </c>
      <c r="M982">
        <v>42420</v>
      </c>
      <c r="N982" t="s">
        <v>26</v>
      </c>
      <c r="O982" t="s">
        <v>2955</v>
      </c>
      <c r="P982" t="s">
        <v>42</v>
      </c>
      <c r="Q982" t="s">
        <v>169</v>
      </c>
      <c r="R982" t="s">
        <v>2956</v>
      </c>
      <c r="S982">
        <v>10.67</v>
      </c>
    </row>
    <row r="983" spans="1:19" x14ac:dyDescent="0.35">
      <c r="A983">
        <v>998</v>
      </c>
      <c r="B983" t="s">
        <v>2952</v>
      </c>
      <c r="C983" s="1">
        <v>42671</v>
      </c>
      <c r="D983" s="1">
        <v>42677</v>
      </c>
      <c r="E983" s="1" t="str">
        <f t="shared" si="15"/>
        <v>FAST</v>
      </c>
      <c r="F983" t="s">
        <v>46</v>
      </c>
      <c r="G983" t="s">
        <v>2953</v>
      </c>
      <c r="H983" t="s">
        <v>2954</v>
      </c>
      <c r="I983" t="s">
        <v>22</v>
      </c>
      <c r="J983" t="s">
        <v>23</v>
      </c>
      <c r="K983" t="s">
        <v>24</v>
      </c>
      <c r="L983" t="s">
        <v>25</v>
      </c>
      <c r="M983">
        <v>42420</v>
      </c>
      <c r="N983" t="s">
        <v>26</v>
      </c>
      <c r="O983" t="s">
        <v>2957</v>
      </c>
      <c r="P983" t="s">
        <v>42</v>
      </c>
      <c r="Q983" t="s">
        <v>55</v>
      </c>
      <c r="R983" t="s">
        <v>2958</v>
      </c>
      <c r="S983">
        <v>36.630000000000003</v>
      </c>
    </row>
    <row r="984" spans="1:19" x14ac:dyDescent="0.35">
      <c r="A984">
        <v>999</v>
      </c>
      <c r="B984" t="s">
        <v>2952</v>
      </c>
      <c r="C984" s="1">
        <v>42671</v>
      </c>
      <c r="D984" s="1">
        <v>42677</v>
      </c>
      <c r="E984" s="1" t="str">
        <f t="shared" si="15"/>
        <v>FAST</v>
      </c>
      <c r="F984" t="s">
        <v>46</v>
      </c>
      <c r="G984" t="s">
        <v>2953</v>
      </c>
      <c r="H984" t="s">
        <v>2954</v>
      </c>
      <c r="I984" t="s">
        <v>22</v>
      </c>
      <c r="J984" t="s">
        <v>23</v>
      </c>
      <c r="K984" t="s">
        <v>24</v>
      </c>
      <c r="L984" t="s">
        <v>25</v>
      </c>
      <c r="M984">
        <v>42420</v>
      </c>
      <c r="N984" t="s">
        <v>26</v>
      </c>
      <c r="O984" t="s">
        <v>2959</v>
      </c>
      <c r="P984" t="s">
        <v>28</v>
      </c>
      <c r="Q984" t="s">
        <v>61</v>
      </c>
      <c r="R984" t="s">
        <v>2960</v>
      </c>
      <c r="S984">
        <v>24.1</v>
      </c>
    </row>
    <row r="985" spans="1:19" x14ac:dyDescent="0.35">
      <c r="A985">
        <v>1000</v>
      </c>
      <c r="B985" t="s">
        <v>2952</v>
      </c>
      <c r="C985" s="1">
        <v>42671</v>
      </c>
      <c r="D985" s="1">
        <v>42677</v>
      </c>
      <c r="E985" s="1" t="str">
        <f t="shared" si="15"/>
        <v>FAST</v>
      </c>
      <c r="F985" t="s">
        <v>46</v>
      </c>
      <c r="G985" t="s">
        <v>2953</v>
      </c>
      <c r="H985" t="s">
        <v>2954</v>
      </c>
      <c r="I985" t="s">
        <v>22</v>
      </c>
      <c r="J985" t="s">
        <v>23</v>
      </c>
      <c r="K985" t="s">
        <v>24</v>
      </c>
      <c r="L985" t="s">
        <v>25</v>
      </c>
      <c r="M985">
        <v>42420</v>
      </c>
      <c r="N985" t="s">
        <v>26</v>
      </c>
      <c r="O985" t="s">
        <v>1122</v>
      </c>
      <c r="P985" t="s">
        <v>28</v>
      </c>
      <c r="Q985" t="s">
        <v>61</v>
      </c>
      <c r="R985" t="s">
        <v>1123</v>
      </c>
      <c r="S985">
        <v>33.11</v>
      </c>
    </row>
    <row r="986" spans="1:19" x14ac:dyDescent="0.35">
      <c r="A986">
        <v>1001</v>
      </c>
      <c r="B986" t="s">
        <v>2961</v>
      </c>
      <c r="C986" s="1">
        <v>43052</v>
      </c>
      <c r="D986" s="1">
        <v>43056</v>
      </c>
      <c r="E986" s="1" t="str">
        <f t="shared" si="15"/>
        <v>FAST</v>
      </c>
      <c r="F986" t="s">
        <v>46</v>
      </c>
      <c r="G986" t="s">
        <v>740</v>
      </c>
      <c r="H986" t="s">
        <v>741</v>
      </c>
      <c r="I986" t="s">
        <v>98</v>
      </c>
      <c r="J986" t="s">
        <v>23</v>
      </c>
      <c r="K986" t="s">
        <v>2122</v>
      </c>
      <c r="L986" t="s">
        <v>92</v>
      </c>
      <c r="M986">
        <v>98661</v>
      </c>
      <c r="N986" t="s">
        <v>40</v>
      </c>
      <c r="O986" t="s">
        <v>2561</v>
      </c>
      <c r="P986" t="s">
        <v>42</v>
      </c>
      <c r="Q986" t="s">
        <v>64</v>
      </c>
      <c r="R986" t="s">
        <v>2562</v>
      </c>
      <c r="S986">
        <v>44.02</v>
      </c>
    </row>
    <row r="987" spans="1:19" x14ac:dyDescent="0.35">
      <c r="A987">
        <v>1002</v>
      </c>
      <c r="B987" t="s">
        <v>2962</v>
      </c>
      <c r="C987" s="1">
        <v>42582</v>
      </c>
      <c r="D987" s="1">
        <v>42582</v>
      </c>
      <c r="E987" s="1" t="str">
        <f t="shared" si="15"/>
        <v>MODERATE</v>
      </c>
      <c r="F987" t="s">
        <v>1276</v>
      </c>
      <c r="G987" t="s">
        <v>2467</v>
      </c>
      <c r="H987" t="s">
        <v>2468</v>
      </c>
      <c r="I987" t="s">
        <v>22</v>
      </c>
      <c r="J987" t="s">
        <v>23</v>
      </c>
      <c r="K987" t="s">
        <v>260</v>
      </c>
      <c r="L987" t="s">
        <v>261</v>
      </c>
      <c r="M987">
        <v>10024</v>
      </c>
      <c r="N987" t="s">
        <v>144</v>
      </c>
      <c r="O987" t="s">
        <v>2963</v>
      </c>
      <c r="P987" t="s">
        <v>67</v>
      </c>
      <c r="Q987" t="s">
        <v>157</v>
      </c>
      <c r="R987" t="s">
        <v>2964</v>
      </c>
      <c r="S987">
        <v>2309.65</v>
      </c>
    </row>
    <row r="988" spans="1:19" x14ac:dyDescent="0.35">
      <c r="A988">
        <v>1003</v>
      </c>
      <c r="B988" t="s">
        <v>2962</v>
      </c>
      <c r="C988" s="1">
        <v>42582</v>
      </c>
      <c r="D988" s="1">
        <v>42582</v>
      </c>
      <c r="E988" s="1" t="str">
        <f t="shared" si="15"/>
        <v>MODERATE</v>
      </c>
      <c r="F988" t="s">
        <v>1276</v>
      </c>
      <c r="G988" t="s">
        <v>2467</v>
      </c>
      <c r="H988" t="s">
        <v>2468</v>
      </c>
      <c r="I988" t="s">
        <v>22</v>
      </c>
      <c r="J988" t="s">
        <v>23</v>
      </c>
      <c r="K988" t="s">
        <v>260</v>
      </c>
      <c r="L988" t="s">
        <v>261</v>
      </c>
      <c r="M988">
        <v>10024</v>
      </c>
      <c r="N988" t="s">
        <v>144</v>
      </c>
      <c r="O988" t="s">
        <v>1039</v>
      </c>
      <c r="P988" t="s">
        <v>28</v>
      </c>
      <c r="Q988" t="s">
        <v>52</v>
      </c>
      <c r="R988" t="s">
        <v>1040</v>
      </c>
      <c r="S988">
        <v>1090.7819999999999</v>
      </c>
    </row>
    <row r="989" spans="1:19" x14ac:dyDescent="0.35">
      <c r="A989">
        <v>1004</v>
      </c>
      <c r="B989" t="s">
        <v>2962</v>
      </c>
      <c r="C989" s="1">
        <v>42582</v>
      </c>
      <c r="D989" s="1">
        <v>42582</v>
      </c>
      <c r="E989" s="1" t="str">
        <f t="shared" si="15"/>
        <v>MODERATE</v>
      </c>
      <c r="F989" t="s">
        <v>1276</v>
      </c>
      <c r="G989" t="s">
        <v>2467</v>
      </c>
      <c r="H989" t="s">
        <v>2468</v>
      </c>
      <c r="I989" t="s">
        <v>22</v>
      </c>
      <c r="J989" t="s">
        <v>23</v>
      </c>
      <c r="K989" t="s">
        <v>260</v>
      </c>
      <c r="L989" t="s">
        <v>261</v>
      </c>
      <c r="M989">
        <v>10024</v>
      </c>
      <c r="N989" t="s">
        <v>144</v>
      </c>
      <c r="O989" t="s">
        <v>2897</v>
      </c>
      <c r="P989" t="s">
        <v>42</v>
      </c>
      <c r="Q989" t="s">
        <v>86</v>
      </c>
      <c r="R989" t="s">
        <v>2898</v>
      </c>
      <c r="S989">
        <v>19.440000000000001</v>
      </c>
    </row>
    <row r="990" spans="1:19" x14ac:dyDescent="0.35">
      <c r="A990">
        <v>1005</v>
      </c>
      <c r="B990" t="s">
        <v>2965</v>
      </c>
      <c r="C990" s="1">
        <v>42609</v>
      </c>
      <c r="D990" s="1">
        <v>42613</v>
      </c>
      <c r="E990" s="1" t="str">
        <f t="shared" si="15"/>
        <v>FAST</v>
      </c>
      <c r="F990" t="s">
        <v>46</v>
      </c>
      <c r="G990" t="s">
        <v>2966</v>
      </c>
      <c r="H990" t="s">
        <v>2967</v>
      </c>
      <c r="I990" t="s">
        <v>22</v>
      </c>
      <c r="J990" t="s">
        <v>23</v>
      </c>
      <c r="K990" t="s">
        <v>2968</v>
      </c>
      <c r="L990" t="s">
        <v>39</v>
      </c>
      <c r="M990">
        <v>92563</v>
      </c>
      <c r="N990" t="s">
        <v>40</v>
      </c>
      <c r="O990" t="s">
        <v>2969</v>
      </c>
      <c r="P990" t="s">
        <v>42</v>
      </c>
      <c r="Q990" t="s">
        <v>55</v>
      </c>
      <c r="R990" t="s">
        <v>2970</v>
      </c>
      <c r="S990">
        <v>484.65</v>
      </c>
    </row>
    <row r="991" spans="1:19" x14ac:dyDescent="0.35">
      <c r="A991">
        <v>1006</v>
      </c>
      <c r="B991" t="s">
        <v>2971</v>
      </c>
      <c r="C991" s="1">
        <v>42687</v>
      </c>
      <c r="D991" s="1">
        <v>42691</v>
      </c>
      <c r="E991" s="1" t="str">
        <f t="shared" si="15"/>
        <v>FAST</v>
      </c>
      <c r="F991" t="s">
        <v>46</v>
      </c>
      <c r="G991" t="s">
        <v>2456</v>
      </c>
      <c r="H991" t="s">
        <v>2457</v>
      </c>
      <c r="I991" t="s">
        <v>22</v>
      </c>
      <c r="J991" t="s">
        <v>23</v>
      </c>
      <c r="K991" t="s">
        <v>1505</v>
      </c>
      <c r="L991" t="s">
        <v>84</v>
      </c>
      <c r="M991">
        <v>28540</v>
      </c>
      <c r="N991" t="s">
        <v>26</v>
      </c>
      <c r="O991" t="s">
        <v>2674</v>
      </c>
      <c r="P991" t="s">
        <v>42</v>
      </c>
      <c r="Q991" t="s">
        <v>86</v>
      </c>
      <c r="R991" t="s">
        <v>2675</v>
      </c>
      <c r="S991">
        <v>115.29600000000001</v>
      </c>
    </row>
    <row r="992" spans="1:19" x14ac:dyDescent="0.35">
      <c r="A992">
        <v>1007</v>
      </c>
      <c r="B992" t="s">
        <v>2972</v>
      </c>
      <c r="C992" s="1">
        <v>42680</v>
      </c>
      <c r="D992" s="1">
        <v>42683</v>
      </c>
      <c r="E992" s="1" t="str">
        <f t="shared" si="15"/>
        <v>MODERATE</v>
      </c>
      <c r="F992" t="s">
        <v>184</v>
      </c>
      <c r="G992" t="s">
        <v>2973</v>
      </c>
      <c r="H992" t="s">
        <v>2974</v>
      </c>
      <c r="I992" t="s">
        <v>22</v>
      </c>
      <c r="J992" t="s">
        <v>23</v>
      </c>
      <c r="K992" t="s">
        <v>610</v>
      </c>
      <c r="L992" t="s">
        <v>304</v>
      </c>
      <c r="M992">
        <v>85254</v>
      </c>
      <c r="N992" t="s">
        <v>40</v>
      </c>
      <c r="O992" t="s">
        <v>488</v>
      </c>
      <c r="P992" t="s">
        <v>42</v>
      </c>
      <c r="Q992" t="s">
        <v>169</v>
      </c>
      <c r="R992" t="s">
        <v>489</v>
      </c>
      <c r="S992">
        <v>7.08</v>
      </c>
    </row>
    <row r="993" spans="1:19" x14ac:dyDescent="0.35">
      <c r="A993">
        <v>1008</v>
      </c>
      <c r="B993" t="s">
        <v>2972</v>
      </c>
      <c r="C993" s="1">
        <v>42680</v>
      </c>
      <c r="D993" s="1">
        <v>42683</v>
      </c>
      <c r="E993" s="1" t="str">
        <f t="shared" si="15"/>
        <v>MODERATE</v>
      </c>
      <c r="F993" t="s">
        <v>184</v>
      </c>
      <c r="G993" t="s">
        <v>2973</v>
      </c>
      <c r="H993" t="s">
        <v>2974</v>
      </c>
      <c r="I993" t="s">
        <v>22</v>
      </c>
      <c r="J993" t="s">
        <v>23</v>
      </c>
      <c r="K993" t="s">
        <v>610</v>
      </c>
      <c r="L993" t="s">
        <v>304</v>
      </c>
      <c r="M993">
        <v>85254</v>
      </c>
      <c r="N993" t="s">
        <v>40</v>
      </c>
      <c r="O993" t="s">
        <v>2975</v>
      </c>
      <c r="P993" t="s">
        <v>42</v>
      </c>
      <c r="Q993" t="s">
        <v>71</v>
      </c>
      <c r="R993" t="s">
        <v>2976</v>
      </c>
      <c r="S993">
        <v>4.4009999999999998</v>
      </c>
    </row>
    <row r="994" spans="1:19" x14ac:dyDescent="0.35">
      <c r="A994">
        <v>1009</v>
      </c>
      <c r="B994" t="s">
        <v>2977</v>
      </c>
      <c r="C994" s="1">
        <v>43460</v>
      </c>
      <c r="D994" s="1">
        <v>43466</v>
      </c>
      <c r="E994" s="1" t="str">
        <f t="shared" si="15"/>
        <v>FAST</v>
      </c>
      <c r="F994" t="s">
        <v>46</v>
      </c>
      <c r="G994" t="s">
        <v>1177</v>
      </c>
      <c r="H994" t="s">
        <v>1178</v>
      </c>
      <c r="I994" t="s">
        <v>22</v>
      </c>
      <c r="J994" t="s">
        <v>23</v>
      </c>
      <c r="K994" t="s">
        <v>2199</v>
      </c>
      <c r="L994" t="s">
        <v>476</v>
      </c>
      <c r="M994">
        <v>52601</v>
      </c>
      <c r="N994" t="s">
        <v>101</v>
      </c>
      <c r="O994" t="s">
        <v>1617</v>
      </c>
      <c r="P994" t="s">
        <v>42</v>
      </c>
      <c r="Q994" t="s">
        <v>86</v>
      </c>
      <c r="R994" t="s">
        <v>1618</v>
      </c>
      <c r="S994">
        <v>44.75</v>
      </c>
    </row>
    <row r="995" spans="1:19" x14ac:dyDescent="0.35">
      <c r="A995">
        <v>1010</v>
      </c>
      <c r="B995" t="s">
        <v>2978</v>
      </c>
      <c r="C995" s="1">
        <v>43313</v>
      </c>
      <c r="D995" s="1">
        <v>43315</v>
      </c>
      <c r="E995" s="1" t="str">
        <f t="shared" si="15"/>
        <v>MODERATE</v>
      </c>
      <c r="F995" t="s">
        <v>184</v>
      </c>
      <c r="G995" t="s">
        <v>2052</v>
      </c>
      <c r="H995" t="s">
        <v>2053</v>
      </c>
      <c r="I995" t="s">
        <v>22</v>
      </c>
      <c r="J995" t="s">
        <v>23</v>
      </c>
      <c r="K995" t="s">
        <v>297</v>
      </c>
      <c r="L995" t="s">
        <v>205</v>
      </c>
      <c r="M995">
        <v>60653</v>
      </c>
      <c r="N995" t="s">
        <v>101</v>
      </c>
      <c r="O995" t="s">
        <v>681</v>
      </c>
      <c r="P995" t="s">
        <v>67</v>
      </c>
      <c r="Q995" t="s">
        <v>68</v>
      </c>
      <c r="R995" t="s">
        <v>682</v>
      </c>
      <c r="S995">
        <v>95.983999999999995</v>
      </c>
    </row>
    <row r="996" spans="1:19" x14ac:dyDescent="0.35">
      <c r="A996">
        <v>1011</v>
      </c>
      <c r="B996" t="s">
        <v>2979</v>
      </c>
      <c r="C996" s="1">
        <v>42332</v>
      </c>
      <c r="D996" s="1">
        <v>42334</v>
      </c>
      <c r="E996" s="1" t="str">
        <f t="shared" si="15"/>
        <v>MODERATE</v>
      </c>
      <c r="F996" t="s">
        <v>184</v>
      </c>
      <c r="G996" t="s">
        <v>2980</v>
      </c>
      <c r="H996" t="s">
        <v>2981</v>
      </c>
      <c r="I996" t="s">
        <v>22</v>
      </c>
      <c r="J996" t="s">
        <v>23</v>
      </c>
      <c r="K996" t="s">
        <v>935</v>
      </c>
      <c r="L996" t="s">
        <v>39</v>
      </c>
      <c r="M996">
        <v>92037</v>
      </c>
      <c r="N996" t="s">
        <v>40</v>
      </c>
      <c r="O996" t="s">
        <v>2982</v>
      </c>
      <c r="P996" t="s">
        <v>28</v>
      </c>
      <c r="Q996" t="s">
        <v>61</v>
      </c>
      <c r="R996" t="s">
        <v>2983</v>
      </c>
      <c r="S996">
        <v>151.72</v>
      </c>
    </row>
    <row r="997" spans="1:19" x14ac:dyDescent="0.35">
      <c r="A997">
        <v>1012</v>
      </c>
      <c r="B997" t="s">
        <v>2984</v>
      </c>
      <c r="C997" s="1">
        <v>43268</v>
      </c>
      <c r="D997" s="1">
        <v>43272</v>
      </c>
      <c r="E997" s="1" t="str">
        <f t="shared" si="15"/>
        <v>SLOW</v>
      </c>
      <c r="F997" t="s">
        <v>19</v>
      </c>
      <c r="G997" t="s">
        <v>523</v>
      </c>
      <c r="H997" t="s">
        <v>524</v>
      </c>
      <c r="I997" t="s">
        <v>22</v>
      </c>
      <c r="J997" t="s">
        <v>23</v>
      </c>
      <c r="K997" t="s">
        <v>2985</v>
      </c>
      <c r="L997" t="s">
        <v>92</v>
      </c>
      <c r="M997">
        <v>98502</v>
      </c>
      <c r="N997" t="s">
        <v>40</v>
      </c>
      <c r="O997" t="s">
        <v>166</v>
      </c>
      <c r="P997" t="s">
        <v>28</v>
      </c>
      <c r="Q997" t="s">
        <v>61</v>
      </c>
      <c r="R997" t="s">
        <v>167</v>
      </c>
      <c r="S997">
        <v>155.25</v>
      </c>
    </row>
    <row r="998" spans="1:19" x14ac:dyDescent="0.35">
      <c r="A998">
        <v>1013</v>
      </c>
      <c r="B998" t="s">
        <v>2984</v>
      </c>
      <c r="C998" s="1">
        <v>43268</v>
      </c>
      <c r="D998" s="1">
        <v>43272</v>
      </c>
      <c r="E998" s="1" t="str">
        <f t="shared" si="15"/>
        <v>SLOW</v>
      </c>
      <c r="F998" t="s">
        <v>19</v>
      </c>
      <c r="G998" t="s">
        <v>523</v>
      </c>
      <c r="H998" t="s">
        <v>524</v>
      </c>
      <c r="I998" t="s">
        <v>22</v>
      </c>
      <c r="J998" t="s">
        <v>23</v>
      </c>
      <c r="K998" t="s">
        <v>2985</v>
      </c>
      <c r="L998" t="s">
        <v>92</v>
      </c>
      <c r="M998">
        <v>98502</v>
      </c>
      <c r="N998" t="s">
        <v>40</v>
      </c>
      <c r="O998" t="s">
        <v>2986</v>
      </c>
      <c r="P998" t="s">
        <v>42</v>
      </c>
      <c r="Q998" t="s">
        <v>55</v>
      </c>
      <c r="R998" t="s">
        <v>2987</v>
      </c>
      <c r="S998">
        <v>14.03</v>
      </c>
    </row>
    <row r="999" spans="1:19" x14ac:dyDescent="0.35">
      <c r="A999">
        <v>1014</v>
      </c>
      <c r="B999" t="s">
        <v>2988</v>
      </c>
      <c r="C999" s="1">
        <v>42725</v>
      </c>
      <c r="D999" s="1">
        <v>42728</v>
      </c>
      <c r="E999" s="1" t="str">
        <f t="shared" si="15"/>
        <v>SLOW</v>
      </c>
      <c r="F999" t="s">
        <v>19</v>
      </c>
      <c r="G999" t="s">
        <v>2989</v>
      </c>
      <c r="H999" t="s">
        <v>2990</v>
      </c>
      <c r="I999" t="s">
        <v>22</v>
      </c>
      <c r="J999" t="s">
        <v>23</v>
      </c>
      <c r="K999" t="s">
        <v>91</v>
      </c>
      <c r="L999" t="s">
        <v>92</v>
      </c>
      <c r="M999">
        <v>98103</v>
      </c>
      <c r="N999" t="s">
        <v>40</v>
      </c>
      <c r="O999" t="s">
        <v>870</v>
      </c>
      <c r="P999" t="s">
        <v>28</v>
      </c>
      <c r="Q999" t="s">
        <v>52</v>
      </c>
      <c r="R999" t="s">
        <v>871</v>
      </c>
      <c r="S999">
        <v>1618.37</v>
      </c>
    </row>
    <row r="1000" spans="1:19" x14ac:dyDescent="0.35">
      <c r="A1000">
        <v>1015</v>
      </c>
      <c r="B1000" t="s">
        <v>2988</v>
      </c>
      <c r="C1000" s="1">
        <v>42725</v>
      </c>
      <c r="D1000" s="1">
        <v>42728</v>
      </c>
      <c r="E1000" s="1" t="str">
        <f t="shared" si="15"/>
        <v>SLOW</v>
      </c>
      <c r="F1000" t="s">
        <v>19</v>
      </c>
      <c r="G1000" t="s">
        <v>2989</v>
      </c>
      <c r="H1000" t="s">
        <v>2990</v>
      </c>
      <c r="I1000" t="s">
        <v>22</v>
      </c>
      <c r="J1000" t="s">
        <v>23</v>
      </c>
      <c r="K1000" t="s">
        <v>91</v>
      </c>
      <c r="L1000" t="s">
        <v>92</v>
      </c>
      <c r="M1000">
        <v>98103</v>
      </c>
      <c r="N1000" t="s">
        <v>40</v>
      </c>
      <c r="O1000" t="s">
        <v>2991</v>
      </c>
      <c r="P1000" t="s">
        <v>67</v>
      </c>
      <c r="Q1000" t="s">
        <v>157</v>
      </c>
      <c r="R1000" t="s">
        <v>2992</v>
      </c>
      <c r="S1000">
        <v>99.6</v>
      </c>
    </row>
    <row r="1001" spans="1:19" x14ac:dyDescent="0.35">
      <c r="A1001">
        <v>1016</v>
      </c>
      <c r="B1001" t="s">
        <v>2993</v>
      </c>
      <c r="C1001" s="1">
        <v>42630</v>
      </c>
      <c r="D1001" s="1">
        <v>42632</v>
      </c>
      <c r="E1001" s="1" t="str">
        <f t="shared" si="15"/>
        <v>SLOW</v>
      </c>
      <c r="F1001" t="s">
        <v>19</v>
      </c>
      <c r="G1001" t="s">
        <v>2047</v>
      </c>
      <c r="H1001" t="s">
        <v>2048</v>
      </c>
      <c r="I1001" t="s">
        <v>98</v>
      </c>
      <c r="J1001" t="s">
        <v>23</v>
      </c>
      <c r="K1001" t="s">
        <v>38</v>
      </c>
      <c r="L1001" t="s">
        <v>39</v>
      </c>
      <c r="M1001">
        <v>90036</v>
      </c>
      <c r="N1001" t="s">
        <v>40</v>
      </c>
      <c r="O1001" t="s">
        <v>1045</v>
      </c>
      <c r="P1001" t="s">
        <v>42</v>
      </c>
      <c r="Q1001" t="s">
        <v>86</v>
      </c>
      <c r="R1001" t="s">
        <v>1046</v>
      </c>
      <c r="S1001">
        <v>32.4</v>
      </c>
    </row>
    <row r="1002" spans="1:19" x14ac:dyDescent="0.35">
      <c r="A1002">
        <v>1017</v>
      </c>
      <c r="B1002" t="s">
        <v>2994</v>
      </c>
      <c r="C1002" s="1">
        <v>42557</v>
      </c>
      <c r="D1002" s="1">
        <v>42561</v>
      </c>
      <c r="E1002" s="1" t="str">
        <f t="shared" si="15"/>
        <v>FAST</v>
      </c>
      <c r="F1002" t="s">
        <v>46</v>
      </c>
      <c r="G1002" t="s">
        <v>2995</v>
      </c>
      <c r="H1002" t="s">
        <v>2996</v>
      </c>
      <c r="I1002" t="s">
        <v>37</v>
      </c>
      <c r="J1002" t="s">
        <v>23</v>
      </c>
      <c r="K1002" t="s">
        <v>260</v>
      </c>
      <c r="L1002" t="s">
        <v>261</v>
      </c>
      <c r="M1002">
        <v>10011</v>
      </c>
      <c r="N1002" t="s">
        <v>144</v>
      </c>
      <c r="O1002" t="s">
        <v>2997</v>
      </c>
      <c r="P1002" t="s">
        <v>28</v>
      </c>
      <c r="Q1002" t="s">
        <v>61</v>
      </c>
      <c r="R1002" t="s">
        <v>2998</v>
      </c>
      <c r="S1002">
        <v>13.96</v>
      </c>
    </row>
    <row r="1003" spans="1:19" x14ac:dyDescent="0.35">
      <c r="A1003">
        <v>1018</v>
      </c>
      <c r="B1003" t="s">
        <v>2994</v>
      </c>
      <c r="C1003" s="1">
        <v>42557</v>
      </c>
      <c r="D1003" s="1">
        <v>42561</v>
      </c>
      <c r="E1003" s="1" t="str">
        <f t="shared" si="15"/>
        <v>FAST</v>
      </c>
      <c r="F1003" t="s">
        <v>46</v>
      </c>
      <c r="G1003" t="s">
        <v>2995</v>
      </c>
      <c r="H1003" t="s">
        <v>2996</v>
      </c>
      <c r="I1003" t="s">
        <v>37</v>
      </c>
      <c r="J1003" t="s">
        <v>23</v>
      </c>
      <c r="K1003" t="s">
        <v>260</v>
      </c>
      <c r="L1003" t="s">
        <v>261</v>
      </c>
      <c r="M1003">
        <v>10011</v>
      </c>
      <c r="N1003" t="s">
        <v>144</v>
      </c>
      <c r="O1003" t="s">
        <v>2649</v>
      </c>
      <c r="P1003" t="s">
        <v>28</v>
      </c>
      <c r="Q1003" t="s">
        <v>61</v>
      </c>
      <c r="R1003" t="s">
        <v>2650</v>
      </c>
      <c r="S1003">
        <v>155.82</v>
      </c>
    </row>
    <row r="1004" spans="1:19" x14ac:dyDescent="0.35">
      <c r="A1004">
        <v>1019</v>
      </c>
      <c r="B1004" t="s">
        <v>2994</v>
      </c>
      <c r="C1004" s="1">
        <v>42557</v>
      </c>
      <c r="D1004" s="1">
        <v>42561</v>
      </c>
      <c r="E1004" s="1" t="str">
        <f t="shared" si="15"/>
        <v>FAST</v>
      </c>
      <c r="F1004" t="s">
        <v>46</v>
      </c>
      <c r="G1004" t="s">
        <v>2995</v>
      </c>
      <c r="H1004" t="s">
        <v>2996</v>
      </c>
      <c r="I1004" t="s">
        <v>37</v>
      </c>
      <c r="J1004" t="s">
        <v>23</v>
      </c>
      <c r="K1004" t="s">
        <v>260</v>
      </c>
      <c r="L1004" t="s">
        <v>261</v>
      </c>
      <c r="M1004">
        <v>10011</v>
      </c>
      <c r="N1004" t="s">
        <v>144</v>
      </c>
      <c r="O1004" t="s">
        <v>2999</v>
      </c>
      <c r="P1004" t="s">
        <v>67</v>
      </c>
      <c r="Q1004" t="s">
        <v>68</v>
      </c>
      <c r="R1004" t="s">
        <v>3000</v>
      </c>
      <c r="S1004">
        <v>124.95</v>
      </c>
    </row>
    <row r="1005" spans="1:19" x14ac:dyDescent="0.35">
      <c r="A1005">
        <v>1020</v>
      </c>
      <c r="B1005" t="s">
        <v>2994</v>
      </c>
      <c r="C1005" s="1">
        <v>42557</v>
      </c>
      <c r="D1005" s="1">
        <v>42561</v>
      </c>
      <c r="E1005" s="1" t="str">
        <f t="shared" si="15"/>
        <v>FAST</v>
      </c>
      <c r="F1005" t="s">
        <v>46</v>
      </c>
      <c r="G1005" t="s">
        <v>2995</v>
      </c>
      <c r="H1005" t="s">
        <v>2996</v>
      </c>
      <c r="I1005" t="s">
        <v>37</v>
      </c>
      <c r="J1005" t="s">
        <v>23</v>
      </c>
      <c r="K1005" t="s">
        <v>260</v>
      </c>
      <c r="L1005" t="s">
        <v>261</v>
      </c>
      <c r="M1005">
        <v>10011</v>
      </c>
      <c r="N1005" t="s">
        <v>144</v>
      </c>
      <c r="O1005" t="s">
        <v>3001</v>
      </c>
      <c r="P1005" t="s">
        <v>42</v>
      </c>
      <c r="Q1005" t="s">
        <v>55</v>
      </c>
      <c r="R1005" t="s">
        <v>3002</v>
      </c>
      <c r="S1005">
        <v>601.65</v>
      </c>
    </row>
    <row r="1006" spans="1:19" x14ac:dyDescent="0.35">
      <c r="A1006">
        <v>1021</v>
      </c>
      <c r="B1006" t="s">
        <v>3003</v>
      </c>
      <c r="C1006" s="1">
        <v>42487</v>
      </c>
      <c r="D1006" s="1">
        <v>42493</v>
      </c>
      <c r="E1006" s="1" t="str">
        <f t="shared" si="15"/>
        <v>FAST</v>
      </c>
      <c r="F1006" t="s">
        <v>46</v>
      </c>
      <c r="G1006" t="s">
        <v>1858</v>
      </c>
      <c r="H1006" t="s">
        <v>1859</v>
      </c>
      <c r="I1006" t="s">
        <v>22</v>
      </c>
      <c r="J1006" t="s">
        <v>23</v>
      </c>
      <c r="K1006" t="s">
        <v>92</v>
      </c>
      <c r="L1006" t="s">
        <v>3004</v>
      </c>
      <c r="M1006">
        <v>20016</v>
      </c>
      <c r="N1006" t="s">
        <v>144</v>
      </c>
      <c r="O1006" t="s">
        <v>3005</v>
      </c>
      <c r="P1006" t="s">
        <v>42</v>
      </c>
      <c r="Q1006" t="s">
        <v>64</v>
      </c>
      <c r="R1006" t="s">
        <v>3006</v>
      </c>
      <c r="S1006">
        <v>22.74</v>
      </c>
    </row>
    <row r="1007" spans="1:19" x14ac:dyDescent="0.35">
      <c r="A1007">
        <v>1022</v>
      </c>
      <c r="B1007" t="s">
        <v>3003</v>
      </c>
      <c r="C1007" s="1">
        <v>42487</v>
      </c>
      <c r="D1007" s="1">
        <v>42493</v>
      </c>
      <c r="E1007" s="1" t="str">
        <f t="shared" si="15"/>
        <v>FAST</v>
      </c>
      <c r="F1007" t="s">
        <v>46</v>
      </c>
      <c r="G1007" t="s">
        <v>1858</v>
      </c>
      <c r="H1007" t="s">
        <v>1859</v>
      </c>
      <c r="I1007" t="s">
        <v>22</v>
      </c>
      <c r="J1007" t="s">
        <v>23</v>
      </c>
      <c r="K1007" t="s">
        <v>92</v>
      </c>
      <c r="L1007" t="s">
        <v>3004</v>
      </c>
      <c r="M1007">
        <v>20016</v>
      </c>
      <c r="N1007" t="s">
        <v>144</v>
      </c>
      <c r="O1007" t="s">
        <v>3007</v>
      </c>
      <c r="P1007" t="s">
        <v>28</v>
      </c>
      <c r="Q1007" t="s">
        <v>32</v>
      </c>
      <c r="R1007" t="s">
        <v>3008</v>
      </c>
      <c r="S1007">
        <v>1267.53</v>
      </c>
    </row>
    <row r="1008" spans="1:19" x14ac:dyDescent="0.35">
      <c r="A1008">
        <v>1023</v>
      </c>
      <c r="B1008" t="s">
        <v>3003</v>
      </c>
      <c r="C1008" s="1">
        <v>42487</v>
      </c>
      <c r="D1008" s="1">
        <v>42493</v>
      </c>
      <c r="E1008" s="1" t="str">
        <f t="shared" si="15"/>
        <v>FAST</v>
      </c>
      <c r="F1008" t="s">
        <v>46</v>
      </c>
      <c r="G1008" t="s">
        <v>1858</v>
      </c>
      <c r="H1008" t="s">
        <v>1859</v>
      </c>
      <c r="I1008" t="s">
        <v>22</v>
      </c>
      <c r="J1008" t="s">
        <v>23</v>
      </c>
      <c r="K1008" t="s">
        <v>92</v>
      </c>
      <c r="L1008" t="s">
        <v>3004</v>
      </c>
      <c r="M1008">
        <v>20016</v>
      </c>
      <c r="N1008" t="s">
        <v>144</v>
      </c>
      <c r="O1008" t="s">
        <v>3009</v>
      </c>
      <c r="P1008" t="s">
        <v>67</v>
      </c>
      <c r="Q1008" t="s">
        <v>671</v>
      </c>
      <c r="R1008" t="s">
        <v>3010</v>
      </c>
      <c r="S1008">
        <v>1379.92</v>
      </c>
    </row>
    <row r="1009" spans="1:19" x14ac:dyDescent="0.35">
      <c r="A1009">
        <v>1024</v>
      </c>
      <c r="B1009" t="s">
        <v>3011</v>
      </c>
      <c r="C1009" s="1">
        <v>42537</v>
      </c>
      <c r="D1009" s="1">
        <v>42541</v>
      </c>
      <c r="E1009" s="1" t="str">
        <f t="shared" si="15"/>
        <v>FAST</v>
      </c>
      <c r="F1009" t="s">
        <v>46</v>
      </c>
      <c r="G1009" t="s">
        <v>1443</v>
      </c>
      <c r="H1009" t="s">
        <v>1444</v>
      </c>
      <c r="I1009" t="s">
        <v>22</v>
      </c>
      <c r="J1009" t="s">
        <v>23</v>
      </c>
      <c r="K1009" t="s">
        <v>142</v>
      </c>
      <c r="L1009" t="s">
        <v>143</v>
      </c>
      <c r="M1009">
        <v>19134</v>
      </c>
      <c r="N1009" t="s">
        <v>144</v>
      </c>
      <c r="O1009" t="s">
        <v>3012</v>
      </c>
      <c r="P1009" t="s">
        <v>42</v>
      </c>
      <c r="Q1009" t="s">
        <v>169</v>
      </c>
      <c r="R1009" t="s">
        <v>3013</v>
      </c>
      <c r="S1009">
        <v>6.2080000000000002</v>
      </c>
    </row>
    <row r="1010" spans="1:19" x14ac:dyDescent="0.35">
      <c r="A1010">
        <v>1025</v>
      </c>
      <c r="B1010" t="s">
        <v>3014</v>
      </c>
      <c r="C1010" s="1">
        <v>43451</v>
      </c>
      <c r="D1010" s="1">
        <v>43454</v>
      </c>
      <c r="E1010" s="1" t="str">
        <f t="shared" si="15"/>
        <v>MODERATE</v>
      </c>
      <c r="F1010" t="s">
        <v>184</v>
      </c>
      <c r="G1010" t="s">
        <v>3015</v>
      </c>
      <c r="H1010" t="s">
        <v>3016</v>
      </c>
      <c r="I1010" t="s">
        <v>98</v>
      </c>
      <c r="J1010" t="s">
        <v>23</v>
      </c>
      <c r="K1010" t="s">
        <v>38</v>
      </c>
      <c r="L1010" t="s">
        <v>39</v>
      </c>
      <c r="M1010">
        <v>90045</v>
      </c>
      <c r="N1010" t="s">
        <v>40</v>
      </c>
      <c r="O1010" t="s">
        <v>3017</v>
      </c>
      <c r="P1010" t="s">
        <v>42</v>
      </c>
      <c r="Q1010" t="s">
        <v>71</v>
      </c>
      <c r="R1010" t="s">
        <v>3018</v>
      </c>
      <c r="S1010">
        <v>11.808</v>
      </c>
    </row>
    <row r="1011" spans="1:19" x14ac:dyDescent="0.35">
      <c r="A1011">
        <v>1026</v>
      </c>
      <c r="B1011" t="s">
        <v>3019</v>
      </c>
      <c r="C1011" s="1">
        <v>42746</v>
      </c>
      <c r="D1011" s="1">
        <v>42748</v>
      </c>
      <c r="E1011" s="1" t="str">
        <f t="shared" si="15"/>
        <v>SLOW</v>
      </c>
      <c r="F1011" t="s">
        <v>19</v>
      </c>
      <c r="G1011" t="s">
        <v>3020</v>
      </c>
      <c r="H1011" t="s">
        <v>3021</v>
      </c>
      <c r="I1011" t="s">
        <v>98</v>
      </c>
      <c r="J1011" t="s">
        <v>23</v>
      </c>
      <c r="K1011" t="s">
        <v>312</v>
      </c>
      <c r="L1011" t="s">
        <v>485</v>
      </c>
      <c r="M1011">
        <v>45503</v>
      </c>
      <c r="N1011" t="s">
        <v>144</v>
      </c>
      <c r="O1011" t="s">
        <v>3022</v>
      </c>
      <c r="P1011" t="s">
        <v>42</v>
      </c>
      <c r="Q1011" t="s">
        <v>86</v>
      </c>
      <c r="R1011" t="s">
        <v>3023</v>
      </c>
      <c r="S1011">
        <v>15.552</v>
      </c>
    </row>
    <row r="1012" spans="1:19" x14ac:dyDescent="0.35">
      <c r="A1012">
        <v>1027</v>
      </c>
      <c r="B1012" t="s">
        <v>3019</v>
      </c>
      <c r="C1012" s="1">
        <v>42746</v>
      </c>
      <c r="D1012" s="1">
        <v>42748</v>
      </c>
      <c r="E1012" s="1" t="str">
        <f t="shared" si="15"/>
        <v>SLOW</v>
      </c>
      <c r="F1012" t="s">
        <v>19</v>
      </c>
      <c r="G1012" t="s">
        <v>3020</v>
      </c>
      <c r="H1012" t="s">
        <v>3021</v>
      </c>
      <c r="I1012" t="s">
        <v>98</v>
      </c>
      <c r="J1012" t="s">
        <v>23</v>
      </c>
      <c r="K1012" t="s">
        <v>312</v>
      </c>
      <c r="L1012" t="s">
        <v>485</v>
      </c>
      <c r="M1012">
        <v>45503</v>
      </c>
      <c r="N1012" t="s">
        <v>144</v>
      </c>
      <c r="O1012" t="s">
        <v>3024</v>
      </c>
      <c r="P1012" t="s">
        <v>42</v>
      </c>
      <c r="Q1012" t="s">
        <v>86</v>
      </c>
      <c r="R1012" t="s">
        <v>3025</v>
      </c>
      <c r="S1012">
        <v>63.311999999999998</v>
      </c>
    </row>
    <row r="1013" spans="1:19" x14ac:dyDescent="0.35">
      <c r="A1013">
        <v>1028</v>
      </c>
      <c r="B1013" t="s">
        <v>3019</v>
      </c>
      <c r="C1013" s="1">
        <v>42746</v>
      </c>
      <c r="D1013" s="1">
        <v>42748</v>
      </c>
      <c r="E1013" s="1" t="str">
        <f t="shared" si="15"/>
        <v>SLOW</v>
      </c>
      <c r="F1013" t="s">
        <v>19</v>
      </c>
      <c r="G1013" t="s">
        <v>3020</v>
      </c>
      <c r="H1013" t="s">
        <v>3021</v>
      </c>
      <c r="I1013" t="s">
        <v>98</v>
      </c>
      <c r="J1013" t="s">
        <v>23</v>
      </c>
      <c r="K1013" t="s">
        <v>312</v>
      </c>
      <c r="L1013" t="s">
        <v>485</v>
      </c>
      <c r="M1013">
        <v>45503</v>
      </c>
      <c r="N1013" t="s">
        <v>144</v>
      </c>
      <c r="O1013" t="s">
        <v>3026</v>
      </c>
      <c r="P1013" t="s">
        <v>67</v>
      </c>
      <c r="Q1013" t="s">
        <v>68</v>
      </c>
      <c r="R1013" t="s">
        <v>3027</v>
      </c>
      <c r="S1013">
        <v>15.587999999999999</v>
      </c>
    </row>
    <row r="1014" spans="1:19" x14ac:dyDescent="0.35">
      <c r="A1014">
        <v>1029</v>
      </c>
      <c r="B1014" t="s">
        <v>3028</v>
      </c>
      <c r="C1014" s="1">
        <v>42196</v>
      </c>
      <c r="D1014" s="1">
        <v>42200</v>
      </c>
      <c r="E1014" s="1" t="str">
        <f t="shared" si="15"/>
        <v>FAST</v>
      </c>
      <c r="F1014" t="s">
        <v>46</v>
      </c>
      <c r="G1014" t="s">
        <v>1332</v>
      </c>
      <c r="H1014" t="s">
        <v>1333</v>
      </c>
      <c r="I1014" t="s">
        <v>37</v>
      </c>
      <c r="J1014" t="s">
        <v>23</v>
      </c>
      <c r="K1014" t="s">
        <v>1133</v>
      </c>
      <c r="L1014" t="s">
        <v>775</v>
      </c>
      <c r="M1014">
        <v>7601</v>
      </c>
      <c r="N1014" t="s">
        <v>144</v>
      </c>
      <c r="O1014" t="s">
        <v>1042</v>
      </c>
      <c r="P1014" t="s">
        <v>42</v>
      </c>
      <c r="Q1014" t="s">
        <v>86</v>
      </c>
      <c r="R1014" t="s">
        <v>182</v>
      </c>
      <c r="S1014">
        <v>177.2</v>
      </c>
    </row>
    <row r="1015" spans="1:19" x14ac:dyDescent="0.35">
      <c r="A1015">
        <v>1030</v>
      </c>
      <c r="B1015" t="s">
        <v>3028</v>
      </c>
      <c r="C1015" s="1">
        <v>42196</v>
      </c>
      <c r="D1015" s="1">
        <v>42200</v>
      </c>
      <c r="E1015" s="1" t="str">
        <f t="shared" si="15"/>
        <v>FAST</v>
      </c>
      <c r="F1015" t="s">
        <v>46</v>
      </c>
      <c r="G1015" t="s">
        <v>1332</v>
      </c>
      <c r="H1015" t="s">
        <v>1333</v>
      </c>
      <c r="I1015" t="s">
        <v>37</v>
      </c>
      <c r="J1015" t="s">
        <v>23</v>
      </c>
      <c r="K1015" t="s">
        <v>1133</v>
      </c>
      <c r="L1015" t="s">
        <v>775</v>
      </c>
      <c r="M1015">
        <v>7601</v>
      </c>
      <c r="N1015" t="s">
        <v>144</v>
      </c>
      <c r="O1015" t="s">
        <v>3029</v>
      </c>
      <c r="P1015" t="s">
        <v>67</v>
      </c>
      <c r="Q1015" t="s">
        <v>68</v>
      </c>
      <c r="R1015" t="s">
        <v>3030</v>
      </c>
      <c r="S1015">
        <v>197.97</v>
      </c>
    </row>
    <row r="1016" spans="1:19" x14ac:dyDescent="0.35">
      <c r="A1016">
        <v>1031</v>
      </c>
      <c r="B1016" t="s">
        <v>3028</v>
      </c>
      <c r="C1016" s="1">
        <v>42196</v>
      </c>
      <c r="D1016" s="1">
        <v>42200</v>
      </c>
      <c r="E1016" s="1" t="str">
        <f t="shared" si="15"/>
        <v>FAST</v>
      </c>
      <c r="F1016" t="s">
        <v>46</v>
      </c>
      <c r="G1016" t="s">
        <v>1332</v>
      </c>
      <c r="H1016" t="s">
        <v>1333</v>
      </c>
      <c r="I1016" t="s">
        <v>37</v>
      </c>
      <c r="J1016" t="s">
        <v>23</v>
      </c>
      <c r="K1016" t="s">
        <v>1133</v>
      </c>
      <c r="L1016" t="s">
        <v>775</v>
      </c>
      <c r="M1016">
        <v>7601</v>
      </c>
      <c r="N1016" t="s">
        <v>144</v>
      </c>
      <c r="O1016" t="s">
        <v>1773</v>
      </c>
      <c r="P1016" t="s">
        <v>28</v>
      </c>
      <c r="Q1016" t="s">
        <v>32</v>
      </c>
      <c r="R1016" t="s">
        <v>1774</v>
      </c>
      <c r="S1016">
        <v>854.94</v>
      </c>
    </row>
    <row r="1017" spans="1:19" x14ac:dyDescent="0.35">
      <c r="A1017">
        <v>1033</v>
      </c>
      <c r="B1017" t="s">
        <v>3028</v>
      </c>
      <c r="C1017" s="1">
        <v>42196</v>
      </c>
      <c r="D1017" s="1">
        <v>42200</v>
      </c>
      <c r="E1017" s="1" t="str">
        <f t="shared" si="15"/>
        <v>FAST</v>
      </c>
      <c r="F1017" t="s">
        <v>46</v>
      </c>
      <c r="G1017" t="s">
        <v>1332</v>
      </c>
      <c r="H1017" t="s">
        <v>1333</v>
      </c>
      <c r="I1017" t="s">
        <v>37</v>
      </c>
      <c r="J1017" t="s">
        <v>23</v>
      </c>
      <c r="K1017" t="s">
        <v>1133</v>
      </c>
      <c r="L1017" t="s">
        <v>775</v>
      </c>
      <c r="M1017">
        <v>7601</v>
      </c>
      <c r="N1017" t="s">
        <v>144</v>
      </c>
      <c r="O1017" t="s">
        <v>3031</v>
      </c>
      <c r="P1017" t="s">
        <v>42</v>
      </c>
      <c r="Q1017" t="s">
        <v>43</v>
      </c>
      <c r="R1017" t="s">
        <v>3032</v>
      </c>
      <c r="S1017">
        <v>14.4</v>
      </c>
    </row>
    <row r="1018" spans="1:19" x14ac:dyDescent="0.35">
      <c r="A1018">
        <v>1034</v>
      </c>
      <c r="B1018" t="s">
        <v>3033</v>
      </c>
      <c r="C1018" s="1">
        <v>43059</v>
      </c>
      <c r="D1018" s="1">
        <v>43061</v>
      </c>
      <c r="E1018" s="1" t="str">
        <f t="shared" si="15"/>
        <v>MODERATE</v>
      </c>
      <c r="F1018" t="s">
        <v>184</v>
      </c>
      <c r="G1018" t="s">
        <v>3034</v>
      </c>
      <c r="H1018" t="s">
        <v>3035</v>
      </c>
      <c r="I1018" t="s">
        <v>22</v>
      </c>
      <c r="J1018" t="s">
        <v>23</v>
      </c>
      <c r="K1018" t="s">
        <v>995</v>
      </c>
      <c r="L1018" t="s">
        <v>485</v>
      </c>
      <c r="M1018">
        <v>45231</v>
      </c>
      <c r="N1018" t="s">
        <v>144</v>
      </c>
      <c r="O1018" t="s">
        <v>3036</v>
      </c>
      <c r="P1018" t="s">
        <v>42</v>
      </c>
      <c r="Q1018" t="s">
        <v>86</v>
      </c>
      <c r="R1018" t="s">
        <v>3037</v>
      </c>
      <c r="S1018">
        <v>15.696</v>
      </c>
    </row>
    <row r="1019" spans="1:19" x14ac:dyDescent="0.35">
      <c r="A1019">
        <v>1035</v>
      </c>
      <c r="B1019" t="s">
        <v>3033</v>
      </c>
      <c r="C1019" s="1">
        <v>43059</v>
      </c>
      <c r="D1019" s="1">
        <v>43061</v>
      </c>
      <c r="E1019" s="1" t="str">
        <f t="shared" si="15"/>
        <v>MODERATE</v>
      </c>
      <c r="F1019" t="s">
        <v>184</v>
      </c>
      <c r="G1019" t="s">
        <v>3034</v>
      </c>
      <c r="H1019" t="s">
        <v>3035</v>
      </c>
      <c r="I1019" t="s">
        <v>22</v>
      </c>
      <c r="J1019" t="s">
        <v>23</v>
      </c>
      <c r="K1019" t="s">
        <v>995</v>
      </c>
      <c r="L1019" t="s">
        <v>485</v>
      </c>
      <c r="M1019">
        <v>45231</v>
      </c>
      <c r="N1019" t="s">
        <v>144</v>
      </c>
      <c r="O1019" t="s">
        <v>959</v>
      </c>
      <c r="P1019" t="s">
        <v>42</v>
      </c>
      <c r="Q1019" t="s">
        <v>71</v>
      </c>
      <c r="R1019" t="s">
        <v>960</v>
      </c>
      <c r="S1019">
        <v>2.6280000000000001</v>
      </c>
    </row>
    <row r="1020" spans="1:19" x14ac:dyDescent="0.35">
      <c r="A1020">
        <v>1036</v>
      </c>
      <c r="B1020" t="s">
        <v>3033</v>
      </c>
      <c r="C1020" s="1">
        <v>43059</v>
      </c>
      <c r="D1020" s="1">
        <v>43061</v>
      </c>
      <c r="E1020" s="1" t="str">
        <f t="shared" si="15"/>
        <v>MODERATE</v>
      </c>
      <c r="F1020" t="s">
        <v>184</v>
      </c>
      <c r="G1020" t="s">
        <v>3034</v>
      </c>
      <c r="H1020" t="s">
        <v>3035</v>
      </c>
      <c r="I1020" t="s">
        <v>22</v>
      </c>
      <c r="J1020" t="s">
        <v>23</v>
      </c>
      <c r="K1020" t="s">
        <v>995</v>
      </c>
      <c r="L1020" t="s">
        <v>485</v>
      </c>
      <c r="M1020">
        <v>45231</v>
      </c>
      <c r="N1020" t="s">
        <v>144</v>
      </c>
      <c r="O1020" t="s">
        <v>164</v>
      </c>
      <c r="P1020" t="s">
        <v>42</v>
      </c>
      <c r="Q1020" t="s">
        <v>71</v>
      </c>
      <c r="R1020" t="s">
        <v>165</v>
      </c>
      <c r="S1020">
        <v>14.427</v>
      </c>
    </row>
    <row r="1021" spans="1:19" x14ac:dyDescent="0.35">
      <c r="A1021">
        <v>1037</v>
      </c>
      <c r="B1021" t="s">
        <v>3038</v>
      </c>
      <c r="C1021" s="1">
        <v>42847</v>
      </c>
      <c r="D1021" s="1">
        <v>42851</v>
      </c>
      <c r="E1021" s="1" t="str">
        <f t="shared" si="15"/>
        <v>FAST</v>
      </c>
      <c r="F1021" t="s">
        <v>46</v>
      </c>
      <c r="G1021" t="s">
        <v>2706</v>
      </c>
      <c r="H1021" t="s">
        <v>2707</v>
      </c>
      <c r="I1021" t="s">
        <v>98</v>
      </c>
      <c r="J1021" t="s">
        <v>23</v>
      </c>
      <c r="K1021" t="s">
        <v>3039</v>
      </c>
      <c r="L1021" t="s">
        <v>584</v>
      </c>
      <c r="M1021">
        <v>65109</v>
      </c>
      <c r="N1021" t="s">
        <v>101</v>
      </c>
      <c r="O1021" t="s">
        <v>3040</v>
      </c>
      <c r="P1021" t="s">
        <v>28</v>
      </c>
      <c r="Q1021" t="s">
        <v>61</v>
      </c>
      <c r="R1021" t="s">
        <v>3041</v>
      </c>
      <c r="S1021">
        <v>86.62</v>
      </c>
    </row>
    <row r="1022" spans="1:19" x14ac:dyDescent="0.35">
      <c r="A1022">
        <v>1038</v>
      </c>
      <c r="B1022" t="s">
        <v>3042</v>
      </c>
      <c r="C1022" s="1">
        <v>42534</v>
      </c>
      <c r="D1022" s="1">
        <v>42535</v>
      </c>
      <c r="E1022" s="1" t="str">
        <f t="shared" si="15"/>
        <v>MODERATE</v>
      </c>
      <c r="F1022" t="s">
        <v>184</v>
      </c>
      <c r="G1022" t="s">
        <v>3043</v>
      </c>
      <c r="H1022" t="s">
        <v>3044</v>
      </c>
      <c r="I1022" t="s">
        <v>22</v>
      </c>
      <c r="J1022" t="s">
        <v>23</v>
      </c>
      <c r="K1022" t="s">
        <v>38</v>
      </c>
      <c r="L1022" t="s">
        <v>39</v>
      </c>
      <c r="M1022">
        <v>90004</v>
      </c>
      <c r="N1022" t="s">
        <v>40</v>
      </c>
      <c r="O1022" t="s">
        <v>3045</v>
      </c>
      <c r="P1022" t="s">
        <v>42</v>
      </c>
      <c r="Q1022" t="s">
        <v>71</v>
      </c>
      <c r="R1022" t="s">
        <v>3046</v>
      </c>
      <c r="S1022">
        <v>36.624000000000002</v>
      </c>
    </row>
    <row r="1023" spans="1:19" x14ac:dyDescent="0.35">
      <c r="A1023">
        <v>1039</v>
      </c>
      <c r="B1023" t="s">
        <v>3047</v>
      </c>
      <c r="C1023" s="1">
        <v>43424</v>
      </c>
      <c r="D1023" s="1">
        <v>43425</v>
      </c>
      <c r="E1023" s="1" t="str">
        <f t="shared" si="15"/>
        <v>MODERATE</v>
      </c>
      <c r="F1023" t="s">
        <v>184</v>
      </c>
      <c r="G1023" t="s">
        <v>3048</v>
      </c>
      <c r="H1023" t="s">
        <v>3049</v>
      </c>
      <c r="I1023" t="s">
        <v>22</v>
      </c>
      <c r="J1023" t="s">
        <v>23</v>
      </c>
      <c r="K1023" t="s">
        <v>2199</v>
      </c>
      <c r="L1023" t="s">
        <v>84</v>
      </c>
      <c r="M1023">
        <v>27217</v>
      </c>
      <c r="N1023" t="s">
        <v>26</v>
      </c>
      <c r="O1023" t="s">
        <v>3050</v>
      </c>
      <c r="P1023" t="s">
        <v>42</v>
      </c>
      <c r="Q1023" t="s">
        <v>64</v>
      </c>
      <c r="R1023" t="s">
        <v>3051</v>
      </c>
      <c r="S1023">
        <v>23.968</v>
      </c>
    </row>
    <row r="1024" spans="1:19" x14ac:dyDescent="0.35">
      <c r="A1024">
        <v>1040</v>
      </c>
      <c r="B1024" t="s">
        <v>3047</v>
      </c>
      <c r="C1024" s="1">
        <v>43424</v>
      </c>
      <c r="D1024" s="1">
        <v>43425</v>
      </c>
      <c r="E1024" s="1" t="str">
        <f t="shared" si="15"/>
        <v>MODERATE</v>
      </c>
      <c r="F1024" t="s">
        <v>184</v>
      </c>
      <c r="G1024" t="s">
        <v>3048</v>
      </c>
      <c r="H1024" t="s">
        <v>3049</v>
      </c>
      <c r="I1024" t="s">
        <v>22</v>
      </c>
      <c r="J1024" t="s">
        <v>23</v>
      </c>
      <c r="K1024" t="s">
        <v>2199</v>
      </c>
      <c r="L1024" t="s">
        <v>84</v>
      </c>
      <c r="M1024">
        <v>27217</v>
      </c>
      <c r="N1024" t="s">
        <v>26</v>
      </c>
      <c r="O1024" t="s">
        <v>3052</v>
      </c>
      <c r="P1024" t="s">
        <v>42</v>
      </c>
      <c r="Q1024" t="s">
        <v>64</v>
      </c>
      <c r="R1024" t="s">
        <v>3006</v>
      </c>
      <c r="S1024">
        <v>28.728000000000002</v>
      </c>
    </row>
    <row r="1025" spans="1:19" x14ac:dyDescent="0.35">
      <c r="A1025">
        <v>1041</v>
      </c>
      <c r="B1025" t="s">
        <v>3053</v>
      </c>
      <c r="C1025" s="1">
        <v>42814</v>
      </c>
      <c r="D1025" s="1">
        <v>42818</v>
      </c>
      <c r="E1025" s="1" t="str">
        <f t="shared" si="15"/>
        <v>FAST</v>
      </c>
      <c r="F1025" t="s">
        <v>46</v>
      </c>
      <c r="G1025" t="s">
        <v>3054</v>
      </c>
      <c r="H1025" t="s">
        <v>3055</v>
      </c>
      <c r="I1025" t="s">
        <v>98</v>
      </c>
      <c r="J1025" t="s">
        <v>23</v>
      </c>
      <c r="K1025" t="s">
        <v>3056</v>
      </c>
      <c r="L1025" t="s">
        <v>584</v>
      </c>
      <c r="M1025">
        <v>63376</v>
      </c>
      <c r="N1025" t="s">
        <v>101</v>
      </c>
      <c r="O1025" t="s">
        <v>2373</v>
      </c>
      <c r="P1025" t="s">
        <v>28</v>
      </c>
      <c r="Q1025" t="s">
        <v>52</v>
      </c>
      <c r="R1025" t="s">
        <v>2374</v>
      </c>
      <c r="S1025">
        <v>697.16</v>
      </c>
    </row>
    <row r="1026" spans="1:19" x14ac:dyDescent="0.35">
      <c r="A1026">
        <v>1042</v>
      </c>
      <c r="B1026" t="s">
        <v>3057</v>
      </c>
      <c r="C1026" s="1">
        <v>42984</v>
      </c>
      <c r="D1026" s="1">
        <v>42987</v>
      </c>
      <c r="E1026" s="1" t="str">
        <f t="shared" si="15"/>
        <v>SLOW</v>
      </c>
      <c r="F1026" t="s">
        <v>19</v>
      </c>
      <c r="G1026" t="s">
        <v>3058</v>
      </c>
      <c r="H1026" t="s">
        <v>3059</v>
      </c>
      <c r="I1026" t="s">
        <v>22</v>
      </c>
      <c r="J1026" t="s">
        <v>23</v>
      </c>
      <c r="K1026" t="s">
        <v>260</v>
      </c>
      <c r="L1026" t="s">
        <v>261</v>
      </c>
      <c r="M1026">
        <v>10035</v>
      </c>
      <c r="N1026" t="s">
        <v>144</v>
      </c>
      <c r="O1026" t="s">
        <v>3060</v>
      </c>
      <c r="P1026" t="s">
        <v>67</v>
      </c>
      <c r="Q1026" t="s">
        <v>157</v>
      </c>
      <c r="R1026" t="s">
        <v>3061</v>
      </c>
      <c r="S1026">
        <v>31.86</v>
      </c>
    </row>
    <row r="1027" spans="1:19" x14ac:dyDescent="0.35">
      <c r="A1027">
        <v>1043</v>
      </c>
      <c r="B1027" t="s">
        <v>3057</v>
      </c>
      <c r="C1027" s="1">
        <v>42984</v>
      </c>
      <c r="D1027" s="1">
        <v>42987</v>
      </c>
      <c r="E1027" s="1" t="str">
        <f t="shared" ref="E1027:E1090" si="16">IF(F1027="STANDARD CLASS","FAST",IF(F1027="SECOND CLASS","SLOW","MODERATE"))</f>
        <v>SLOW</v>
      </c>
      <c r="F1027" t="s">
        <v>19</v>
      </c>
      <c r="G1027" t="s">
        <v>3058</v>
      </c>
      <c r="H1027" t="s">
        <v>3059</v>
      </c>
      <c r="I1027" t="s">
        <v>22</v>
      </c>
      <c r="J1027" t="s">
        <v>23</v>
      </c>
      <c r="K1027" t="s">
        <v>260</v>
      </c>
      <c r="L1027" t="s">
        <v>261</v>
      </c>
      <c r="M1027">
        <v>10035</v>
      </c>
      <c r="N1027" t="s">
        <v>144</v>
      </c>
      <c r="O1027" t="s">
        <v>3062</v>
      </c>
      <c r="P1027" t="s">
        <v>28</v>
      </c>
      <c r="Q1027" t="s">
        <v>29</v>
      </c>
      <c r="R1027" t="s">
        <v>3063</v>
      </c>
      <c r="S1027">
        <v>722.35199999999998</v>
      </c>
    </row>
    <row r="1028" spans="1:19" x14ac:dyDescent="0.35">
      <c r="A1028">
        <v>1044</v>
      </c>
      <c r="B1028" t="s">
        <v>3064</v>
      </c>
      <c r="C1028" s="1">
        <v>43290</v>
      </c>
      <c r="D1028" s="1">
        <v>43293</v>
      </c>
      <c r="E1028" s="1" t="str">
        <f t="shared" si="16"/>
        <v>MODERATE</v>
      </c>
      <c r="F1028" t="s">
        <v>184</v>
      </c>
      <c r="G1028" t="s">
        <v>3065</v>
      </c>
      <c r="H1028" t="s">
        <v>3066</v>
      </c>
      <c r="I1028" t="s">
        <v>37</v>
      </c>
      <c r="J1028" t="s">
        <v>23</v>
      </c>
      <c r="K1028" t="s">
        <v>297</v>
      </c>
      <c r="L1028" t="s">
        <v>205</v>
      </c>
      <c r="M1028">
        <v>60610</v>
      </c>
      <c r="N1028" t="s">
        <v>101</v>
      </c>
      <c r="O1028" t="s">
        <v>3067</v>
      </c>
      <c r="P1028" t="s">
        <v>42</v>
      </c>
      <c r="Q1028" t="s">
        <v>64</v>
      </c>
      <c r="R1028" t="s">
        <v>3068</v>
      </c>
      <c r="S1028">
        <v>8.84</v>
      </c>
    </row>
    <row r="1029" spans="1:19" x14ac:dyDescent="0.35">
      <c r="A1029">
        <v>1045</v>
      </c>
      <c r="B1029" t="s">
        <v>3064</v>
      </c>
      <c r="C1029" s="1">
        <v>43290</v>
      </c>
      <c r="D1029" s="1">
        <v>43293</v>
      </c>
      <c r="E1029" s="1" t="str">
        <f t="shared" si="16"/>
        <v>MODERATE</v>
      </c>
      <c r="F1029" t="s">
        <v>184</v>
      </c>
      <c r="G1029" t="s">
        <v>3065</v>
      </c>
      <c r="H1029" t="s">
        <v>3066</v>
      </c>
      <c r="I1029" t="s">
        <v>37</v>
      </c>
      <c r="J1029" t="s">
        <v>23</v>
      </c>
      <c r="K1029" t="s">
        <v>297</v>
      </c>
      <c r="L1029" t="s">
        <v>205</v>
      </c>
      <c r="M1029">
        <v>60610</v>
      </c>
      <c r="N1029" t="s">
        <v>101</v>
      </c>
      <c r="O1029" t="s">
        <v>3069</v>
      </c>
      <c r="P1029" t="s">
        <v>42</v>
      </c>
      <c r="Q1029" t="s">
        <v>74</v>
      </c>
      <c r="R1029" t="s">
        <v>3070</v>
      </c>
      <c r="S1029">
        <v>58.463999999999999</v>
      </c>
    </row>
    <row r="1030" spans="1:19" x14ac:dyDescent="0.35">
      <c r="A1030">
        <v>1046</v>
      </c>
      <c r="B1030" t="s">
        <v>3071</v>
      </c>
      <c r="C1030" s="1">
        <v>43385</v>
      </c>
      <c r="D1030" s="1">
        <v>43389</v>
      </c>
      <c r="E1030" s="1" t="str">
        <f t="shared" si="16"/>
        <v>FAST</v>
      </c>
      <c r="F1030" t="s">
        <v>46</v>
      </c>
      <c r="G1030" t="s">
        <v>193</v>
      </c>
      <c r="H1030" t="s">
        <v>194</v>
      </c>
      <c r="I1030" t="s">
        <v>98</v>
      </c>
      <c r="J1030" t="s">
        <v>23</v>
      </c>
      <c r="K1030" t="s">
        <v>3072</v>
      </c>
      <c r="L1030" t="s">
        <v>205</v>
      </c>
      <c r="M1030">
        <v>61107</v>
      </c>
      <c r="N1030" t="s">
        <v>101</v>
      </c>
      <c r="O1030" t="s">
        <v>3073</v>
      </c>
      <c r="P1030" t="s">
        <v>28</v>
      </c>
      <c r="Q1030" t="s">
        <v>32</v>
      </c>
      <c r="R1030" t="s">
        <v>3074</v>
      </c>
      <c r="S1030">
        <v>254.60400000000001</v>
      </c>
    </row>
    <row r="1031" spans="1:19" x14ac:dyDescent="0.35">
      <c r="A1031">
        <v>1047</v>
      </c>
      <c r="B1031" t="s">
        <v>3075</v>
      </c>
      <c r="C1031" s="1">
        <v>42802</v>
      </c>
      <c r="D1031" s="1">
        <v>42807</v>
      </c>
      <c r="E1031" s="1" t="str">
        <f t="shared" si="16"/>
        <v>FAST</v>
      </c>
      <c r="F1031" t="s">
        <v>46</v>
      </c>
      <c r="G1031" t="s">
        <v>1954</v>
      </c>
      <c r="H1031" t="s">
        <v>1955</v>
      </c>
      <c r="I1031" t="s">
        <v>22</v>
      </c>
      <c r="J1031" t="s">
        <v>23</v>
      </c>
      <c r="K1031" t="s">
        <v>1402</v>
      </c>
      <c r="L1031" t="s">
        <v>50</v>
      </c>
      <c r="M1031">
        <v>33142</v>
      </c>
      <c r="N1031" t="s">
        <v>26</v>
      </c>
      <c r="O1031" t="s">
        <v>2459</v>
      </c>
      <c r="P1031" t="s">
        <v>67</v>
      </c>
      <c r="Q1031" t="s">
        <v>68</v>
      </c>
      <c r="R1031" t="s">
        <v>2460</v>
      </c>
      <c r="S1031">
        <v>1363.96</v>
      </c>
    </row>
    <row r="1032" spans="1:19" x14ac:dyDescent="0.35">
      <c r="A1032">
        <v>1048</v>
      </c>
      <c r="B1032" t="s">
        <v>3075</v>
      </c>
      <c r="C1032" s="1">
        <v>42802</v>
      </c>
      <c r="D1032" s="1">
        <v>42807</v>
      </c>
      <c r="E1032" s="1" t="str">
        <f t="shared" si="16"/>
        <v>FAST</v>
      </c>
      <c r="F1032" t="s">
        <v>46</v>
      </c>
      <c r="G1032" t="s">
        <v>1954</v>
      </c>
      <c r="H1032" t="s">
        <v>1955</v>
      </c>
      <c r="I1032" t="s">
        <v>22</v>
      </c>
      <c r="J1032" t="s">
        <v>23</v>
      </c>
      <c r="K1032" t="s">
        <v>1402</v>
      </c>
      <c r="L1032" t="s">
        <v>50</v>
      </c>
      <c r="M1032">
        <v>33142</v>
      </c>
      <c r="N1032" t="s">
        <v>26</v>
      </c>
      <c r="O1032" t="s">
        <v>447</v>
      </c>
      <c r="P1032" t="s">
        <v>28</v>
      </c>
      <c r="Q1032" t="s">
        <v>61</v>
      </c>
      <c r="R1032" t="s">
        <v>448</v>
      </c>
      <c r="S1032">
        <v>102.36</v>
      </c>
    </row>
    <row r="1033" spans="1:19" x14ac:dyDescent="0.35">
      <c r="A1033">
        <v>1049</v>
      </c>
      <c r="B1033" t="s">
        <v>3076</v>
      </c>
      <c r="C1033" s="1">
        <v>42151</v>
      </c>
      <c r="D1033" s="1">
        <v>42156</v>
      </c>
      <c r="E1033" s="1" t="str">
        <f t="shared" si="16"/>
        <v>SLOW</v>
      </c>
      <c r="F1033" t="s">
        <v>19</v>
      </c>
      <c r="G1033" t="s">
        <v>552</v>
      </c>
      <c r="H1033" t="s">
        <v>553</v>
      </c>
      <c r="I1033" t="s">
        <v>22</v>
      </c>
      <c r="J1033" t="s">
        <v>23</v>
      </c>
      <c r="K1033" t="s">
        <v>123</v>
      </c>
      <c r="L1033" t="s">
        <v>39</v>
      </c>
      <c r="M1033">
        <v>94109</v>
      </c>
      <c r="N1033" t="s">
        <v>40</v>
      </c>
      <c r="O1033" t="s">
        <v>199</v>
      </c>
      <c r="P1033" t="s">
        <v>67</v>
      </c>
      <c r="Q1033" t="s">
        <v>68</v>
      </c>
      <c r="R1033" t="s">
        <v>200</v>
      </c>
      <c r="S1033">
        <v>1113.5039999999999</v>
      </c>
    </row>
    <row r="1034" spans="1:19" x14ac:dyDescent="0.35">
      <c r="A1034">
        <v>1050</v>
      </c>
      <c r="B1034" t="s">
        <v>3076</v>
      </c>
      <c r="C1034" s="1">
        <v>42151</v>
      </c>
      <c r="D1034" s="1">
        <v>42156</v>
      </c>
      <c r="E1034" s="1" t="str">
        <f t="shared" si="16"/>
        <v>SLOW</v>
      </c>
      <c r="F1034" t="s">
        <v>19</v>
      </c>
      <c r="G1034" t="s">
        <v>552</v>
      </c>
      <c r="H1034" t="s">
        <v>553</v>
      </c>
      <c r="I1034" t="s">
        <v>22</v>
      </c>
      <c r="J1034" t="s">
        <v>23</v>
      </c>
      <c r="K1034" t="s">
        <v>123</v>
      </c>
      <c r="L1034" t="s">
        <v>39</v>
      </c>
      <c r="M1034">
        <v>94109</v>
      </c>
      <c r="N1034" t="s">
        <v>40</v>
      </c>
      <c r="O1034" t="s">
        <v>2272</v>
      </c>
      <c r="P1034" t="s">
        <v>67</v>
      </c>
      <c r="Q1034" t="s">
        <v>157</v>
      </c>
      <c r="R1034" t="s">
        <v>2273</v>
      </c>
      <c r="S1034">
        <v>99.99</v>
      </c>
    </row>
    <row r="1035" spans="1:19" x14ac:dyDescent="0.35">
      <c r="A1035">
        <v>1051</v>
      </c>
      <c r="B1035" t="s">
        <v>3077</v>
      </c>
      <c r="C1035" s="1">
        <v>42554</v>
      </c>
      <c r="D1035" s="1">
        <v>42556</v>
      </c>
      <c r="E1035" s="1" t="str">
        <f t="shared" si="16"/>
        <v>MODERATE</v>
      </c>
      <c r="F1035" t="s">
        <v>184</v>
      </c>
      <c r="G1035" t="s">
        <v>3078</v>
      </c>
      <c r="H1035" t="s">
        <v>3079</v>
      </c>
      <c r="I1035" t="s">
        <v>37</v>
      </c>
      <c r="J1035" t="s">
        <v>23</v>
      </c>
      <c r="K1035" t="s">
        <v>142</v>
      </c>
      <c r="L1035" t="s">
        <v>143</v>
      </c>
      <c r="M1035">
        <v>19134</v>
      </c>
      <c r="N1035" t="s">
        <v>144</v>
      </c>
      <c r="O1035" t="s">
        <v>3080</v>
      </c>
      <c r="P1035" t="s">
        <v>28</v>
      </c>
      <c r="Q1035" t="s">
        <v>61</v>
      </c>
      <c r="R1035" t="s">
        <v>3081</v>
      </c>
      <c r="S1035">
        <v>168.464</v>
      </c>
    </row>
    <row r="1036" spans="1:19" x14ac:dyDescent="0.35">
      <c r="A1036">
        <v>1052</v>
      </c>
      <c r="B1036" t="s">
        <v>3077</v>
      </c>
      <c r="C1036" s="1">
        <v>42554</v>
      </c>
      <c r="D1036" s="1">
        <v>42556</v>
      </c>
      <c r="E1036" s="1" t="str">
        <f t="shared" si="16"/>
        <v>MODERATE</v>
      </c>
      <c r="F1036" t="s">
        <v>184</v>
      </c>
      <c r="G1036" t="s">
        <v>3078</v>
      </c>
      <c r="H1036" t="s">
        <v>3079</v>
      </c>
      <c r="I1036" t="s">
        <v>37</v>
      </c>
      <c r="J1036" t="s">
        <v>23</v>
      </c>
      <c r="K1036" t="s">
        <v>142</v>
      </c>
      <c r="L1036" t="s">
        <v>143</v>
      </c>
      <c r="M1036">
        <v>19134</v>
      </c>
      <c r="N1036" t="s">
        <v>144</v>
      </c>
      <c r="O1036" t="s">
        <v>3082</v>
      </c>
      <c r="P1036" t="s">
        <v>42</v>
      </c>
      <c r="Q1036" t="s">
        <v>86</v>
      </c>
      <c r="R1036" t="s">
        <v>3083</v>
      </c>
      <c r="S1036">
        <v>6.72</v>
      </c>
    </row>
    <row r="1037" spans="1:19" x14ac:dyDescent="0.35">
      <c r="A1037">
        <v>1053</v>
      </c>
      <c r="B1037" t="s">
        <v>3077</v>
      </c>
      <c r="C1037" s="1">
        <v>42554</v>
      </c>
      <c r="D1037" s="1">
        <v>42556</v>
      </c>
      <c r="E1037" s="1" t="str">
        <f t="shared" si="16"/>
        <v>MODERATE</v>
      </c>
      <c r="F1037" t="s">
        <v>184</v>
      </c>
      <c r="G1037" t="s">
        <v>3078</v>
      </c>
      <c r="H1037" t="s">
        <v>3079</v>
      </c>
      <c r="I1037" t="s">
        <v>37</v>
      </c>
      <c r="J1037" t="s">
        <v>23</v>
      </c>
      <c r="K1037" t="s">
        <v>142</v>
      </c>
      <c r="L1037" t="s">
        <v>143</v>
      </c>
      <c r="M1037">
        <v>19134</v>
      </c>
      <c r="N1037" t="s">
        <v>144</v>
      </c>
      <c r="O1037" t="s">
        <v>3084</v>
      </c>
      <c r="P1037" t="s">
        <v>28</v>
      </c>
      <c r="Q1037" t="s">
        <v>61</v>
      </c>
      <c r="R1037" t="s">
        <v>3085</v>
      </c>
      <c r="S1037">
        <v>282.88799999999998</v>
      </c>
    </row>
    <row r="1038" spans="1:19" x14ac:dyDescent="0.35">
      <c r="A1038">
        <v>1054</v>
      </c>
      <c r="B1038" t="s">
        <v>3086</v>
      </c>
      <c r="C1038" s="1">
        <v>42464</v>
      </c>
      <c r="D1038" s="1">
        <v>42468</v>
      </c>
      <c r="E1038" s="1" t="str">
        <f t="shared" si="16"/>
        <v>FAST</v>
      </c>
      <c r="F1038" t="s">
        <v>46</v>
      </c>
      <c r="G1038" t="s">
        <v>3087</v>
      </c>
      <c r="H1038" t="s">
        <v>3088</v>
      </c>
      <c r="I1038" t="s">
        <v>98</v>
      </c>
      <c r="J1038" t="s">
        <v>23</v>
      </c>
      <c r="K1038" t="s">
        <v>260</v>
      </c>
      <c r="L1038" t="s">
        <v>261</v>
      </c>
      <c r="M1038">
        <v>10009</v>
      </c>
      <c r="N1038" t="s">
        <v>144</v>
      </c>
      <c r="O1038" t="s">
        <v>3089</v>
      </c>
      <c r="P1038" t="s">
        <v>42</v>
      </c>
      <c r="Q1038" t="s">
        <v>64</v>
      </c>
      <c r="R1038" t="s">
        <v>3090</v>
      </c>
      <c r="S1038">
        <v>11.16</v>
      </c>
    </row>
    <row r="1039" spans="1:19" x14ac:dyDescent="0.35">
      <c r="A1039">
        <v>1055</v>
      </c>
      <c r="B1039" t="s">
        <v>3086</v>
      </c>
      <c r="C1039" s="1">
        <v>42464</v>
      </c>
      <c r="D1039" s="1">
        <v>42468</v>
      </c>
      <c r="E1039" s="1" t="str">
        <f t="shared" si="16"/>
        <v>FAST</v>
      </c>
      <c r="F1039" t="s">
        <v>46</v>
      </c>
      <c r="G1039" t="s">
        <v>3087</v>
      </c>
      <c r="H1039" t="s">
        <v>3088</v>
      </c>
      <c r="I1039" t="s">
        <v>98</v>
      </c>
      <c r="J1039" t="s">
        <v>23</v>
      </c>
      <c r="K1039" t="s">
        <v>260</v>
      </c>
      <c r="L1039" t="s">
        <v>261</v>
      </c>
      <c r="M1039">
        <v>10009</v>
      </c>
      <c r="N1039" t="s">
        <v>144</v>
      </c>
      <c r="O1039" t="s">
        <v>3091</v>
      </c>
      <c r="P1039" t="s">
        <v>28</v>
      </c>
      <c r="Q1039" t="s">
        <v>61</v>
      </c>
      <c r="R1039" t="s">
        <v>3092</v>
      </c>
      <c r="S1039">
        <v>108.4</v>
      </c>
    </row>
    <row r="1040" spans="1:19" x14ac:dyDescent="0.35">
      <c r="A1040">
        <v>1056</v>
      </c>
      <c r="B1040" t="s">
        <v>3086</v>
      </c>
      <c r="C1040" s="1">
        <v>42464</v>
      </c>
      <c r="D1040" s="1">
        <v>42468</v>
      </c>
      <c r="E1040" s="1" t="str">
        <f t="shared" si="16"/>
        <v>FAST</v>
      </c>
      <c r="F1040" t="s">
        <v>46</v>
      </c>
      <c r="G1040" t="s">
        <v>3087</v>
      </c>
      <c r="H1040" t="s">
        <v>3088</v>
      </c>
      <c r="I1040" t="s">
        <v>98</v>
      </c>
      <c r="J1040" t="s">
        <v>23</v>
      </c>
      <c r="K1040" t="s">
        <v>260</v>
      </c>
      <c r="L1040" t="s">
        <v>261</v>
      </c>
      <c r="M1040">
        <v>10009</v>
      </c>
      <c r="N1040" t="s">
        <v>144</v>
      </c>
      <c r="O1040" t="s">
        <v>605</v>
      </c>
      <c r="P1040" t="s">
        <v>42</v>
      </c>
      <c r="Q1040" t="s">
        <v>71</v>
      </c>
      <c r="R1040" t="s">
        <v>606</v>
      </c>
      <c r="S1040">
        <v>82.343999999999994</v>
      </c>
    </row>
    <row r="1041" spans="1:19" x14ac:dyDescent="0.35">
      <c r="A1041">
        <v>1057</v>
      </c>
      <c r="B1041" t="s">
        <v>3086</v>
      </c>
      <c r="C1041" s="1">
        <v>42464</v>
      </c>
      <c r="D1041" s="1">
        <v>42468</v>
      </c>
      <c r="E1041" s="1" t="str">
        <f t="shared" si="16"/>
        <v>FAST</v>
      </c>
      <c r="F1041" t="s">
        <v>46</v>
      </c>
      <c r="G1041" t="s">
        <v>3087</v>
      </c>
      <c r="H1041" t="s">
        <v>3088</v>
      </c>
      <c r="I1041" t="s">
        <v>98</v>
      </c>
      <c r="J1041" t="s">
        <v>23</v>
      </c>
      <c r="K1041" t="s">
        <v>260</v>
      </c>
      <c r="L1041" t="s">
        <v>261</v>
      </c>
      <c r="M1041">
        <v>10009</v>
      </c>
      <c r="N1041" t="s">
        <v>144</v>
      </c>
      <c r="O1041" t="s">
        <v>3093</v>
      </c>
      <c r="P1041" t="s">
        <v>42</v>
      </c>
      <c r="Q1041" t="s">
        <v>71</v>
      </c>
      <c r="R1041" t="s">
        <v>3094</v>
      </c>
      <c r="S1041">
        <v>9.0879999999999992</v>
      </c>
    </row>
    <row r="1042" spans="1:19" x14ac:dyDescent="0.35">
      <c r="A1042">
        <v>1058</v>
      </c>
      <c r="B1042" t="s">
        <v>3095</v>
      </c>
      <c r="C1042" s="1">
        <v>43444</v>
      </c>
      <c r="D1042" s="1">
        <v>43451</v>
      </c>
      <c r="E1042" s="1" t="str">
        <f t="shared" si="16"/>
        <v>FAST</v>
      </c>
      <c r="F1042" t="s">
        <v>46</v>
      </c>
      <c r="G1042" t="s">
        <v>1119</v>
      </c>
      <c r="H1042" t="s">
        <v>1120</v>
      </c>
      <c r="I1042" t="s">
        <v>37</v>
      </c>
      <c r="J1042" t="s">
        <v>23</v>
      </c>
      <c r="K1042" t="s">
        <v>935</v>
      </c>
      <c r="L1042" t="s">
        <v>39</v>
      </c>
      <c r="M1042">
        <v>92037</v>
      </c>
      <c r="N1042" t="s">
        <v>40</v>
      </c>
      <c r="O1042" t="s">
        <v>3096</v>
      </c>
      <c r="P1042" t="s">
        <v>42</v>
      </c>
      <c r="Q1042" t="s">
        <v>71</v>
      </c>
      <c r="R1042" t="s">
        <v>3097</v>
      </c>
      <c r="S1042">
        <v>19.936</v>
      </c>
    </row>
    <row r="1043" spans="1:19" x14ac:dyDescent="0.35">
      <c r="A1043">
        <v>1059</v>
      </c>
      <c r="B1043" t="s">
        <v>3095</v>
      </c>
      <c r="C1043" s="1">
        <v>43444</v>
      </c>
      <c r="D1043" s="1">
        <v>43451</v>
      </c>
      <c r="E1043" s="1" t="str">
        <f t="shared" si="16"/>
        <v>FAST</v>
      </c>
      <c r="F1043" t="s">
        <v>46</v>
      </c>
      <c r="G1043" t="s">
        <v>1119</v>
      </c>
      <c r="H1043" t="s">
        <v>1120</v>
      </c>
      <c r="I1043" t="s">
        <v>37</v>
      </c>
      <c r="J1043" t="s">
        <v>23</v>
      </c>
      <c r="K1043" t="s">
        <v>935</v>
      </c>
      <c r="L1043" t="s">
        <v>39</v>
      </c>
      <c r="M1043">
        <v>92037</v>
      </c>
      <c r="N1043" t="s">
        <v>40</v>
      </c>
      <c r="O1043" t="s">
        <v>3098</v>
      </c>
      <c r="P1043" t="s">
        <v>42</v>
      </c>
      <c r="Q1043" t="s">
        <v>71</v>
      </c>
      <c r="R1043" t="s">
        <v>3099</v>
      </c>
      <c r="S1043">
        <v>65.567999999999998</v>
      </c>
    </row>
    <row r="1044" spans="1:19" x14ac:dyDescent="0.35">
      <c r="A1044">
        <v>1060</v>
      </c>
      <c r="B1044" t="s">
        <v>3100</v>
      </c>
      <c r="C1044" s="1">
        <v>43063</v>
      </c>
      <c r="D1044" s="1">
        <v>43070</v>
      </c>
      <c r="E1044" s="1" t="str">
        <f t="shared" si="16"/>
        <v>FAST</v>
      </c>
      <c r="F1044" t="s">
        <v>46</v>
      </c>
      <c r="G1044" t="s">
        <v>3101</v>
      </c>
      <c r="H1044" t="s">
        <v>3102</v>
      </c>
      <c r="I1044" t="s">
        <v>98</v>
      </c>
      <c r="J1044" t="s">
        <v>23</v>
      </c>
      <c r="K1044" t="s">
        <v>142</v>
      </c>
      <c r="L1044" t="s">
        <v>143</v>
      </c>
      <c r="M1044">
        <v>19143</v>
      </c>
      <c r="N1044" t="s">
        <v>144</v>
      </c>
      <c r="O1044" t="s">
        <v>3103</v>
      </c>
      <c r="P1044" t="s">
        <v>42</v>
      </c>
      <c r="Q1044" t="s">
        <v>263</v>
      </c>
      <c r="R1044" t="s">
        <v>3104</v>
      </c>
      <c r="S1044">
        <v>4.4160000000000004</v>
      </c>
    </row>
    <row r="1045" spans="1:19" x14ac:dyDescent="0.35">
      <c r="A1045">
        <v>1061</v>
      </c>
      <c r="B1045" t="s">
        <v>3105</v>
      </c>
      <c r="C1045" s="1">
        <v>42452</v>
      </c>
      <c r="D1045" s="1">
        <v>42458</v>
      </c>
      <c r="E1045" s="1" t="str">
        <f t="shared" si="16"/>
        <v>FAST</v>
      </c>
      <c r="F1045" t="s">
        <v>46</v>
      </c>
      <c r="G1045" t="s">
        <v>1273</v>
      </c>
      <c r="H1045" t="s">
        <v>1274</v>
      </c>
      <c r="I1045" t="s">
        <v>22</v>
      </c>
      <c r="J1045" t="s">
        <v>23</v>
      </c>
      <c r="K1045" t="s">
        <v>180</v>
      </c>
      <c r="L1045" t="s">
        <v>100</v>
      </c>
      <c r="M1045">
        <v>77095</v>
      </c>
      <c r="N1045" t="s">
        <v>101</v>
      </c>
      <c r="O1045" t="s">
        <v>1521</v>
      </c>
      <c r="P1045" t="s">
        <v>28</v>
      </c>
      <c r="Q1045" t="s">
        <v>32</v>
      </c>
      <c r="R1045" t="s">
        <v>1522</v>
      </c>
      <c r="S1045">
        <v>107.77200000000001</v>
      </c>
    </row>
    <row r="1046" spans="1:19" x14ac:dyDescent="0.35">
      <c r="A1046">
        <v>1062</v>
      </c>
      <c r="B1046" t="s">
        <v>3106</v>
      </c>
      <c r="C1046" s="1">
        <v>42476</v>
      </c>
      <c r="D1046" s="1">
        <v>42481</v>
      </c>
      <c r="E1046" s="1" t="str">
        <f t="shared" si="16"/>
        <v>FAST</v>
      </c>
      <c r="F1046" t="s">
        <v>46</v>
      </c>
      <c r="G1046" t="s">
        <v>3107</v>
      </c>
      <c r="H1046" t="s">
        <v>3108</v>
      </c>
      <c r="I1046" t="s">
        <v>37</v>
      </c>
      <c r="J1046" t="s">
        <v>23</v>
      </c>
      <c r="K1046" t="s">
        <v>2807</v>
      </c>
      <c r="L1046" t="s">
        <v>485</v>
      </c>
      <c r="M1046">
        <v>43615</v>
      </c>
      <c r="N1046" t="s">
        <v>144</v>
      </c>
      <c r="O1046" t="s">
        <v>2117</v>
      </c>
      <c r="P1046" t="s">
        <v>42</v>
      </c>
      <c r="Q1046" t="s">
        <v>74</v>
      </c>
      <c r="R1046" t="s">
        <v>2118</v>
      </c>
      <c r="S1046">
        <v>45.216000000000001</v>
      </c>
    </row>
    <row r="1047" spans="1:19" x14ac:dyDescent="0.35">
      <c r="A1047">
        <v>1063</v>
      </c>
      <c r="B1047" t="s">
        <v>3106</v>
      </c>
      <c r="C1047" s="1">
        <v>42476</v>
      </c>
      <c r="D1047" s="1">
        <v>42481</v>
      </c>
      <c r="E1047" s="1" t="str">
        <f t="shared" si="16"/>
        <v>FAST</v>
      </c>
      <c r="F1047" t="s">
        <v>46</v>
      </c>
      <c r="G1047" t="s">
        <v>3107</v>
      </c>
      <c r="H1047" t="s">
        <v>3108</v>
      </c>
      <c r="I1047" t="s">
        <v>37</v>
      </c>
      <c r="J1047" t="s">
        <v>23</v>
      </c>
      <c r="K1047" t="s">
        <v>2807</v>
      </c>
      <c r="L1047" t="s">
        <v>485</v>
      </c>
      <c r="M1047">
        <v>43615</v>
      </c>
      <c r="N1047" t="s">
        <v>144</v>
      </c>
      <c r="O1047" t="s">
        <v>3109</v>
      </c>
      <c r="P1047" t="s">
        <v>42</v>
      </c>
      <c r="Q1047" t="s">
        <v>263</v>
      </c>
      <c r="R1047" t="s">
        <v>3110</v>
      </c>
      <c r="S1047">
        <v>10.416</v>
      </c>
    </row>
    <row r="1048" spans="1:19" x14ac:dyDescent="0.35">
      <c r="A1048">
        <v>1064</v>
      </c>
      <c r="B1048" t="s">
        <v>3106</v>
      </c>
      <c r="C1048" s="1">
        <v>42476</v>
      </c>
      <c r="D1048" s="1">
        <v>42481</v>
      </c>
      <c r="E1048" s="1" t="str">
        <f t="shared" si="16"/>
        <v>FAST</v>
      </c>
      <c r="F1048" t="s">
        <v>46</v>
      </c>
      <c r="G1048" t="s">
        <v>3107</v>
      </c>
      <c r="H1048" t="s">
        <v>3108</v>
      </c>
      <c r="I1048" t="s">
        <v>37</v>
      </c>
      <c r="J1048" t="s">
        <v>23</v>
      </c>
      <c r="K1048" t="s">
        <v>2807</v>
      </c>
      <c r="L1048" t="s">
        <v>485</v>
      </c>
      <c r="M1048">
        <v>43615</v>
      </c>
      <c r="N1048" t="s">
        <v>144</v>
      </c>
      <c r="O1048" t="s">
        <v>1352</v>
      </c>
      <c r="P1048" t="s">
        <v>42</v>
      </c>
      <c r="Q1048" t="s">
        <v>64</v>
      </c>
      <c r="R1048" t="s">
        <v>1353</v>
      </c>
      <c r="S1048">
        <v>7.8719999999999999</v>
      </c>
    </row>
    <row r="1049" spans="1:19" x14ac:dyDescent="0.35">
      <c r="A1049">
        <v>1065</v>
      </c>
      <c r="B1049" t="s">
        <v>3106</v>
      </c>
      <c r="C1049" s="1">
        <v>42476</v>
      </c>
      <c r="D1049" s="1">
        <v>42481</v>
      </c>
      <c r="E1049" s="1" t="str">
        <f t="shared" si="16"/>
        <v>FAST</v>
      </c>
      <c r="F1049" t="s">
        <v>46</v>
      </c>
      <c r="G1049" t="s">
        <v>3107</v>
      </c>
      <c r="H1049" t="s">
        <v>3108</v>
      </c>
      <c r="I1049" t="s">
        <v>37</v>
      </c>
      <c r="J1049" t="s">
        <v>23</v>
      </c>
      <c r="K1049" t="s">
        <v>2807</v>
      </c>
      <c r="L1049" t="s">
        <v>485</v>
      </c>
      <c r="M1049">
        <v>43615</v>
      </c>
      <c r="N1049" t="s">
        <v>144</v>
      </c>
      <c r="O1049" t="s">
        <v>3111</v>
      </c>
      <c r="P1049" t="s">
        <v>67</v>
      </c>
      <c r="Q1049" t="s">
        <v>68</v>
      </c>
      <c r="R1049" t="s">
        <v>3112</v>
      </c>
      <c r="S1049">
        <v>118.782</v>
      </c>
    </row>
    <row r="1050" spans="1:19" x14ac:dyDescent="0.35">
      <c r="A1050">
        <v>1066</v>
      </c>
      <c r="B1050" t="s">
        <v>3106</v>
      </c>
      <c r="C1050" s="1">
        <v>42476</v>
      </c>
      <c r="D1050" s="1">
        <v>42481</v>
      </c>
      <c r="E1050" s="1" t="str">
        <f t="shared" si="16"/>
        <v>FAST</v>
      </c>
      <c r="F1050" t="s">
        <v>46</v>
      </c>
      <c r="G1050" t="s">
        <v>3107</v>
      </c>
      <c r="H1050" t="s">
        <v>3108</v>
      </c>
      <c r="I1050" t="s">
        <v>37</v>
      </c>
      <c r="J1050" t="s">
        <v>23</v>
      </c>
      <c r="K1050" t="s">
        <v>2807</v>
      </c>
      <c r="L1050" t="s">
        <v>485</v>
      </c>
      <c r="M1050">
        <v>43615</v>
      </c>
      <c r="N1050" t="s">
        <v>144</v>
      </c>
      <c r="O1050" t="s">
        <v>3113</v>
      </c>
      <c r="P1050" t="s">
        <v>42</v>
      </c>
      <c r="Q1050" t="s">
        <v>263</v>
      </c>
      <c r="R1050" t="s">
        <v>3114</v>
      </c>
      <c r="S1050">
        <v>1.448</v>
      </c>
    </row>
    <row r="1051" spans="1:19" x14ac:dyDescent="0.35">
      <c r="A1051">
        <v>1067</v>
      </c>
      <c r="B1051" t="s">
        <v>3106</v>
      </c>
      <c r="C1051" s="1">
        <v>42476</v>
      </c>
      <c r="D1051" s="1">
        <v>42481</v>
      </c>
      <c r="E1051" s="1" t="str">
        <f t="shared" si="16"/>
        <v>FAST</v>
      </c>
      <c r="F1051" t="s">
        <v>46</v>
      </c>
      <c r="G1051" t="s">
        <v>3107</v>
      </c>
      <c r="H1051" t="s">
        <v>3108</v>
      </c>
      <c r="I1051" t="s">
        <v>37</v>
      </c>
      <c r="J1051" t="s">
        <v>23</v>
      </c>
      <c r="K1051" t="s">
        <v>2807</v>
      </c>
      <c r="L1051" t="s">
        <v>485</v>
      </c>
      <c r="M1051">
        <v>43615</v>
      </c>
      <c r="N1051" t="s">
        <v>144</v>
      </c>
      <c r="O1051" t="s">
        <v>3115</v>
      </c>
      <c r="P1051" t="s">
        <v>42</v>
      </c>
      <c r="Q1051" t="s">
        <v>71</v>
      </c>
      <c r="R1051" t="s">
        <v>3116</v>
      </c>
      <c r="S1051">
        <v>55.47</v>
      </c>
    </row>
    <row r="1052" spans="1:19" x14ac:dyDescent="0.35">
      <c r="A1052">
        <v>1068</v>
      </c>
      <c r="B1052" t="s">
        <v>3117</v>
      </c>
      <c r="C1052" s="1">
        <v>43009</v>
      </c>
      <c r="D1052" s="1">
        <v>43010</v>
      </c>
      <c r="E1052" s="1" t="str">
        <f t="shared" si="16"/>
        <v>MODERATE</v>
      </c>
      <c r="F1052" t="s">
        <v>184</v>
      </c>
      <c r="G1052" t="s">
        <v>3118</v>
      </c>
      <c r="H1052" t="s">
        <v>3119</v>
      </c>
      <c r="I1052" t="s">
        <v>22</v>
      </c>
      <c r="J1052" t="s">
        <v>23</v>
      </c>
      <c r="K1052" t="s">
        <v>123</v>
      </c>
      <c r="L1052" t="s">
        <v>39</v>
      </c>
      <c r="M1052">
        <v>94122</v>
      </c>
      <c r="N1052" t="s">
        <v>40</v>
      </c>
      <c r="O1052" t="s">
        <v>298</v>
      </c>
      <c r="P1052" t="s">
        <v>28</v>
      </c>
      <c r="Q1052" t="s">
        <v>32</v>
      </c>
      <c r="R1052" t="s">
        <v>299</v>
      </c>
      <c r="S1052">
        <v>194.84800000000001</v>
      </c>
    </row>
    <row r="1053" spans="1:19" x14ac:dyDescent="0.35">
      <c r="A1053">
        <v>1069</v>
      </c>
      <c r="B1053" t="s">
        <v>3120</v>
      </c>
      <c r="C1053" s="1">
        <v>43371</v>
      </c>
      <c r="D1053" s="1">
        <v>43373</v>
      </c>
      <c r="E1053" s="1" t="str">
        <f t="shared" si="16"/>
        <v>SLOW</v>
      </c>
      <c r="F1053" t="s">
        <v>19</v>
      </c>
      <c r="G1053" t="s">
        <v>3121</v>
      </c>
      <c r="H1053" t="s">
        <v>3122</v>
      </c>
      <c r="I1053" t="s">
        <v>22</v>
      </c>
      <c r="J1053" t="s">
        <v>23</v>
      </c>
      <c r="K1053" t="s">
        <v>3123</v>
      </c>
      <c r="L1053" t="s">
        <v>100</v>
      </c>
      <c r="M1053">
        <v>78521</v>
      </c>
      <c r="N1053" t="s">
        <v>101</v>
      </c>
      <c r="O1053" t="s">
        <v>1848</v>
      </c>
      <c r="P1053" t="s">
        <v>42</v>
      </c>
      <c r="Q1053" t="s">
        <v>566</v>
      </c>
      <c r="R1053" t="s">
        <v>1283</v>
      </c>
      <c r="S1053">
        <v>1.744</v>
      </c>
    </row>
    <row r="1054" spans="1:19" x14ac:dyDescent="0.35">
      <c r="A1054">
        <v>1070</v>
      </c>
      <c r="B1054" t="s">
        <v>3124</v>
      </c>
      <c r="C1054" s="1">
        <v>42576</v>
      </c>
      <c r="D1054" s="1">
        <v>42580</v>
      </c>
      <c r="E1054" s="1" t="str">
        <f t="shared" si="16"/>
        <v>FAST</v>
      </c>
      <c r="F1054" t="s">
        <v>46</v>
      </c>
      <c r="G1054" t="s">
        <v>1492</v>
      </c>
      <c r="H1054" t="s">
        <v>1493</v>
      </c>
      <c r="I1054" t="s">
        <v>98</v>
      </c>
      <c r="J1054" t="s">
        <v>23</v>
      </c>
      <c r="K1054" t="s">
        <v>142</v>
      </c>
      <c r="L1054" t="s">
        <v>143</v>
      </c>
      <c r="M1054">
        <v>19143</v>
      </c>
      <c r="N1054" t="s">
        <v>144</v>
      </c>
      <c r="O1054" t="s">
        <v>1187</v>
      </c>
      <c r="P1054" t="s">
        <v>42</v>
      </c>
      <c r="Q1054" t="s">
        <v>71</v>
      </c>
      <c r="R1054" t="s">
        <v>1188</v>
      </c>
      <c r="S1054">
        <v>25.175999999999998</v>
      </c>
    </row>
    <row r="1055" spans="1:19" x14ac:dyDescent="0.35">
      <c r="A1055">
        <v>1071</v>
      </c>
      <c r="B1055" t="s">
        <v>3125</v>
      </c>
      <c r="C1055" s="1">
        <v>42694</v>
      </c>
      <c r="D1055" s="1">
        <v>42700</v>
      </c>
      <c r="E1055" s="1" t="str">
        <f t="shared" si="16"/>
        <v>FAST</v>
      </c>
      <c r="F1055" t="s">
        <v>46</v>
      </c>
      <c r="G1055" t="s">
        <v>3126</v>
      </c>
      <c r="H1055" t="s">
        <v>3127</v>
      </c>
      <c r="I1055" t="s">
        <v>98</v>
      </c>
      <c r="J1055" t="s">
        <v>23</v>
      </c>
      <c r="K1055" t="s">
        <v>38</v>
      </c>
      <c r="L1055" t="s">
        <v>39</v>
      </c>
      <c r="M1055">
        <v>90008</v>
      </c>
      <c r="N1055" t="s">
        <v>40</v>
      </c>
      <c r="O1055" t="s">
        <v>1268</v>
      </c>
      <c r="P1055" t="s">
        <v>42</v>
      </c>
      <c r="Q1055" t="s">
        <v>64</v>
      </c>
      <c r="R1055" t="s">
        <v>1269</v>
      </c>
      <c r="S1055">
        <v>19.46</v>
      </c>
    </row>
    <row r="1056" spans="1:19" x14ac:dyDescent="0.35">
      <c r="A1056">
        <v>1072</v>
      </c>
      <c r="B1056" t="s">
        <v>3128</v>
      </c>
      <c r="C1056" s="1">
        <v>42853</v>
      </c>
      <c r="D1056" s="1">
        <v>42857</v>
      </c>
      <c r="E1056" s="1" t="str">
        <f t="shared" si="16"/>
        <v>FAST</v>
      </c>
      <c r="F1056" t="s">
        <v>46</v>
      </c>
      <c r="G1056" t="s">
        <v>3129</v>
      </c>
      <c r="H1056" t="s">
        <v>3130</v>
      </c>
      <c r="I1056" t="s">
        <v>98</v>
      </c>
      <c r="J1056" t="s">
        <v>23</v>
      </c>
      <c r="K1056" t="s">
        <v>794</v>
      </c>
      <c r="L1056" t="s">
        <v>444</v>
      </c>
      <c r="M1056">
        <v>80219</v>
      </c>
      <c r="N1056" t="s">
        <v>40</v>
      </c>
      <c r="O1056" t="s">
        <v>1239</v>
      </c>
      <c r="P1056" t="s">
        <v>42</v>
      </c>
      <c r="Q1056" t="s">
        <v>86</v>
      </c>
      <c r="R1056" t="s">
        <v>1240</v>
      </c>
      <c r="S1056">
        <v>29.472000000000001</v>
      </c>
    </row>
    <row r="1057" spans="1:19" x14ac:dyDescent="0.35">
      <c r="A1057">
        <v>1074</v>
      </c>
      <c r="B1057" t="s">
        <v>3133</v>
      </c>
      <c r="C1057" s="1">
        <v>43051</v>
      </c>
      <c r="D1057" s="1">
        <v>43058</v>
      </c>
      <c r="E1057" s="1" t="str">
        <f t="shared" si="16"/>
        <v>FAST</v>
      </c>
      <c r="F1057" t="s">
        <v>46</v>
      </c>
      <c r="G1057" t="s">
        <v>3134</v>
      </c>
      <c r="H1057" t="s">
        <v>3135</v>
      </c>
      <c r="I1057" t="s">
        <v>22</v>
      </c>
      <c r="J1057" t="s">
        <v>23</v>
      </c>
      <c r="K1057" t="s">
        <v>1803</v>
      </c>
      <c r="L1057" t="s">
        <v>304</v>
      </c>
      <c r="M1057">
        <v>85204</v>
      </c>
      <c r="N1057" t="s">
        <v>40</v>
      </c>
      <c r="O1057" t="s">
        <v>3136</v>
      </c>
      <c r="P1057" t="s">
        <v>42</v>
      </c>
      <c r="Q1057" t="s">
        <v>71</v>
      </c>
      <c r="R1057" t="s">
        <v>3137</v>
      </c>
      <c r="S1057">
        <v>6.27</v>
      </c>
    </row>
    <row r="1058" spans="1:19" x14ac:dyDescent="0.35">
      <c r="A1058">
        <v>1075</v>
      </c>
      <c r="B1058" t="s">
        <v>3133</v>
      </c>
      <c r="C1058" s="1">
        <v>43051</v>
      </c>
      <c r="D1058" s="1">
        <v>43058</v>
      </c>
      <c r="E1058" s="1" t="str">
        <f t="shared" si="16"/>
        <v>FAST</v>
      </c>
      <c r="F1058" t="s">
        <v>46</v>
      </c>
      <c r="G1058" t="s">
        <v>3134</v>
      </c>
      <c r="H1058" t="s">
        <v>3135</v>
      </c>
      <c r="I1058" t="s">
        <v>22</v>
      </c>
      <c r="J1058" t="s">
        <v>23</v>
      </c>
      <c r="K1058" t="s">
        <v>1803</v>
      </c>
      <c r="L1058" t="s">
        <v>304</v>
      </c>
      <c r="M1058">
        <v>85204</v>
      </c>
      <c r="N1058" t="s">
        <v>40</v>
      </c>
      <c r="O1058" t="s">
        <v>1032</v>
      </c>
      <c r="P1058" t="s">
        <v>42</v>
      </c>
      <c r="Q1058" t="s">
        <v>71</v>
      </c>
      <c r="R1058" t="s">
        <v>1033</v>
      </c>
      <c r="S1058">
        <v>4.3680000000000003</v>
      </c>
    </row>
    <row r="1059" spans="1:19" x14ac:dyDescent="0.35">
      <c r="A1059">
        <v>1076</v>
      </c>
      <c r="B1059" t="s">
        <v>3133</v>
      </c>
      <c r="C1059" s="1">
        <v>43051</v>
      </c>
      <c r="D1059" s="1">
        <v>43058</v>
      </c>
      <c r="E1059" s="1" t="str">
        <f t="shared" si="16"/>
        <v>FAST</v>
      </c>
      <c r="F1059" t="s">
        <v>46</v>
      </c>
      <c r="G1059" t="s">
        <v>3134</v>
      </c>
      <c r="H1059" t="s">
        <v>3135</v>
      </c>
      <c r="I1059" t="s">
        <v>22</v>
      </c>
      <c r="J1059" t="s">
        <v>23</v>
      </c>
      <c r="K1059" t="s">
        <v>1803</v>
      </c>
      <c r="L1059" t="s">
        <v>304</v>
      </c>
      <c r="M1059">
        <v>85204</v>
      </c>
      <c r="N1059" t="s">
        <v>40</v>
      </c>
      <c r="O1059" t="s">
        <v>3138</v>
      </c>
      <c r="P1059" t="s">
        <v>67</v>
      </c>
      <c r="Q1059" t="s">
        <v>157</v>
      </c>
      <c r="R1059" t="s">
        <v>3139</v>
      </c>
      <c r="S1059">
        <v>31.984000000000002</v>
      </c>
    </row>
    <row r="1060" spans="1:19" x14ac:dyDescent="0.35">
      <c r="A1060">
        <v>1077</v>
      </c>
      <c r="B1060" t="s">
        <v>3140</v>
      </c>
      <c r="C1060" s="1">
        <v>43007</v>
      </c>
      <c r="D1060" s="1">
        <v>43008</v>
      </c>
      <c r="E1060" s="1" t="str">
        <f t="shared" si="16"/>
        <v>MODERATE</v>
      </c>
      <c r="F1060" t="s">
        <v>184</v>
      </c>
      <c r="G1060" t="s">
        <v>3141</v>
      </c>
      <c r="H1060" t="s">
        <v>3142</v>
      </c>
      <c r="I1060" t="s">
        <v>98</v>
      </c>
      <c r="J1060" t="s">
        <v>23</v>
      </c>
      <c r="K1060" t="s">
        <v>484</v>
      </c>
      <c r="L1060" t="s">
        <v>248</v>
      </c>
      <c r="M1060">
        <v>47201</v>
      </c>
      <c r="N1060" t="s">
        <v>101</v>
      </c>
      <c r="O1060" t="s">
        <v>3143</v>
      </c>
      <c r="P1060" t="s">
        <v>42</v>
      </c>
      <c r="Q1060" t="s">
        <v>64</v>
      </c>
      <c r="R1060" t="s">
        <v>3144</v>
      </c>
      <c r="S1060">
        <v>40.880000000000003</v>
      </c>
    </row>
    <row r="1061" spans="1:19" x14ac:dyDescent="0.35">
      <c r="A1061">
        <v>1078</v>
      </c>
      <c r="B1061" t="s">
        <v>3145</v>
      </c>
      <c r="C1061" s="1">
        <v>43366</v>
      </c>
      <c r="D1061" s="1">
        <v>43368</v>
      </c>
      <c r="E1061" s="1" t="str">
        <f t="shared" si="16"/>
        <v>SLOW</v>
      </c>
      <c r="F1061" t="s">
        <v>19</v>
      </c>
      <c r="G1061" t="s">
        <v>3146</v>
      </c>
      <c r="H1061" t="s">
        <v>3147</v>
      </c>
      <c r="I1061" t="s">
        <v>22</v>
      </c>
      <c r="J1061" t="s">
        <v>23</v>
      </c>
      <c r="K1061" t="s">
        <v>91</v>
      </c>
      <c r="L1061" t="s">
        <v>92</v>
      </c>
      <c r="M1061">
        <v>98105</v>
      </c>
      <c r="N1061" t="s">
        <v>40</v>
      </c>
      <c r="O1061" t="s">
        <v>3148</v>
      </c>
      <c r="P1061" t="s">
        <v>42</v>
      </c>
      <c r="Q1061" t="s">
        <v>74</v>
      </c>
      <c r="R1061" t="s">
        <v>3149</v>
      </c>
      <c r="S1061">
        <v>119.96</v>
      </c>
    </row>
    <row r="1062" spans="1:19" x14ac:dyDescent="0.35">
      <c r="A1062">
        <v>1079</v>
      </c>
      <c r="B1062" t="s">
        <v>3145</v>
      </c>
      <c r="C1062" s="1">
        <v>43366</v>
      </c>
      <c r="D1062" s="1">
        <v>43368</v>
      </c>
      <c r="E1062" s="1" t="str">
        <f t="shared" si="16"/>
        <v>SLOW</v>
      </c>
      <c r="F1062" t="s">
        <v>19</v>
      </c>
      <c r="G1062" t="s">
        <v>3146</v>
      </c>
      <c r="H1062" t="s">
        <v>3147</v>
      </c>
      <c r="I1062" t="s">
        <v>22</v>
      </c>
      <c r="J1062" t="s">
        <v>23</v>
      </c>
      <c r="K1062" t="s">
        <v>91</v>
      </c>
      <c r="L1062" t="s">
        <v>92</v>
      </c>
      <c r="M1062">
        <v>98105</v>
      </c>
      <c r="N1062" t="s">
        <v>40</v>
      </c>
      <c r="O1062" t="s">
        <v>1804</v>
      </c>
      <c r="P1062" t="s">
        <v>42</v>
      </c>
      <c r="Q1062" t="s">
        <v>55</v>
      </c>
      <c r="R1062" t="s">
        <v>1805</v>
      </c>
      <c r="S1062">
        <v>31.44</v>
      </c>
    </row>
    <row r="1063" spans="1:19" x14ac:dyDescent="0.35">
      <c r="A1063">
        <v>1080</v>
      </c>
      <c r="B1063" t="s">
        <v>3145</v>
      </c>
      <c r="C1063" s="1">
        <v>43366</v>
      </c>
      <c r="D1063" s="1">
        <v>43368</v>
      </c>
      <c r="E1063" s="1" t="str">
        <f t="shared" si="16"/>
        <v>SLOW</v>
      </c>
      <c r="F1063" t="s">
        <v>19</v>
      </c>
      <c r="G1063" t="s">
        <v>3146</v>
      </c>
      <c r="H1063" t="s">
        <v>3147</v>
      </c>
      <c r="I1063" t="s">
        <v>22</v>
      </c>
      <c r="J1063" t="s">
        <v>23</v>
      </c>
      <c r="K1063" t="s">
        <v>91</v>
      </c>
      <c r="L1063" t="s">
        <v>92</v>
      </c>
      <c r="M1063">
        <v>98105</v>
      </c>
      <c r="N1063" t="s">
        <v>40</v>
      </c>
      <c r="O1063" t="s">
        <v>1843</v>
      </c>
      <c r="P1063" t="s">
        <v>42</v>
      </c>
      <c r="Q1063" t="s">
        <v>71</v>
      </c>
      <c r="R1063" t="s">
        <v>1844</v>
      </c>
      <c r="S1063">
        <v>6.88</v>
      </c>
    </row>
    <row r="1064" spans="1:19" x14ac:dyDescent="0.35">
      <c r="A1064">
        <v>1081</v>
      </c>
      <c r="B1064" t="s">
        <v>3150</v>
      </c>
      <c r="C1064" s="1">
        <v>42703</v>
      </c>
      <c r="D1064" s="1">
        <v>42708</v>
      </c>
      <c r="E1064" s="1" t="str">
        <f t="shared" si="16"/>
        <v>FAST</v>
      </c>
      <c r="F1064" t="s">
        <v>46</v>
      </c>
      <c r="G1064" t="s">
        <v>3151</v>
      </c>
      <c r="H1064" t="s">
        <v>3152</v>
      </c>
      <c r="I1064" t="s">
        <v>37</v>
      </c>
      <c r="J1064" t="s">
        <v>23</v>
      </c>
      <c r="K1064" t="s">
        <v>867</v>
      </c>
      <c r="L1064" t="s">
        <v>232</v>
      </c>
      <c r="M1064">
        <v>48227</v>
      </c>
      <c r="N1064" t="s">
        <v>101</v>
      </c>
      <c r="O1064" t="s">
        <v>3153</v>
      </c>
      <c r="P1064" t="s">
        <v>42</v>
      </c>
      <c r="Q1064" t="s">
        <v>86</v>
      </c>
      <c r="R1064" t="s">
        <v>182</v>
      </c>
      <c r="S1064">
        <v>19.920000000000002</v>
      </c>
    </row>
    <row r="1065" spans="1:19" x14ac:dyDescent="0.35">
      <c r="A1065">
        <v>1082</v>
      </c>
      <c r="B1065" t="s">
        <v>3150</v>
      </c>
      <c r="C1065" s="1">
        <v>42703</v>
      </c>
      <c r="D1065" s="1">
        <v>42708</v>
      </c>
      <c r="E1065" s="1" t="str">
        <f t="shared" si="16"/>
        <v>FAST</v>
      </c>
      <c r="F1065" t="s">
        <v>46</v>
      </c>
      <c r="G1065" t="s">
        <v>3151</v>
      </c>
      <c r="H1065" t="s">
        <v>3152</v>
      </c>
      <c r="I1065" t="s">
        <v>37</v>
      </c>
      <c r="J1065" t="s">
        <v>23</v>
      </c>
      <c r="K1065" t="s">
        <v>867</v>
      </c>
      <c r="L1065" t="s">
        <v>232</v>
      </c>
      <c r="M1065">
        <v>48227</v>
      </c>
      <c r="N1065" t="s">
        <v>101</v>
      </c>
      <c r="O1065" t="s">
        <v>3154</v>
      </c>
      <c r="P1065" t="s">
        <v>28</v>
      </c>
      <c r="Q1065" t="s">
        <v>32</v>
      </c>
      <c r="R1065" t="s">
        <v>3155</v>
      </c>
      <c r="S1065">
        <v>1106.9100000000001</v>
      </c>
    </row>
    <row r="1066" spans="1:19" x14ac:dyDescent="0.35">
      <c r="A1066">
        <v>1083</v>
      </c>
      <c r="B1066" t="s">
        <v>3156</v>
      </c>
      <c r="C1066" s="1">
        <v>42795</v>
      </c>
      <c r="D1066" s="1">
        <v>42799</v>
      </c>
      <c r="E1066" s="1" t="str">
        <f t="shared" si="16"/>
        <v>FAST</v>
      </c>
      <c r="F1066" t="s">
        <v>46</v>
      </c>
      <c r="G1066" t="s">
        <v>310</v>
      </c>
      <c r="H1066" t="s">
        <v>311</v>
      </c>
      <c r="I1066" t="s">
        <v>22</v>
      </c>
      <c r="J1066" t="s">
        <v>23</v>
      </c>
      <c r="K1066" t="s">
        <v>3157</v>
      </c>
      <c r="L1066" t="s">
        <v>261</v>
      </c>
      <c r="M1066">
        <v>10701</v>
      </c>
      <c r="N1066" t="s">
        <v>144</v>
      </c>
      <c r="O1066" t="s">
        <v>2373</v>
      </c>
      <c r="P1066" t="s">
        <v>28</v>
      </c>
      <c r="Q1066" t="s">
        <v>52</v>
      </c>
      <c r="R1066" t="s">
        <v>2374</v>
      </c>
      <c r="S1066">
        <v>836.59199999999998</v>
      </c>
    </row>
    <row r="1067" spans="1:19" x14ac:dyDescent="0.35">
      <c r="A1067">
        <v>1084</v>
      </c>
      <c r="B1067" t="s">
        <v>3156</v>
      </c>
      <c r="C1067" s="1">
        <v>42795</v>
      </c>
      <c r="D1067" s="1">
        <v>42799</v>
      </c>
      <c r="E1067" s="1" t="str">
        <f t="shared" si="16"/>
        <v>FAST</v>
      </c>
      <c r="F1067" t="s">
        <v>46</v>
      </c>
      <c r="G1067" t="s">
        <v>310</v>
      </c>
      <c r="H1067" t="s">
        <v>311</v>
      </c>
      <c r="I1067" t="s">
        <v>22</v>
      </c>
      <c r="J1067" t="s">
        <v>23</v>
      </c>
      <c r="K1067" t="s">
        <v>3157</v>
      </c>
      <c r="L1067" t="s">
        <v>261</v>
      </c>
      <c r="M1067">
        <v>10701</v>
      </c>
      <c r="N1067" t="s">
        <v>144</v>
      </c>
      <c r="O1067" t="s">
        <v>3158</v>
      </c>
      <c r="P1067" t="s">
        <v>42</v>
      </c>
      <c r="Q1067" t="s">
        <v>86</v>
      </c>
      <c r="R1067" t="s">
        <v>182</v>
      </c>
      <c r="S1067">
        <v>26.38</v>
      </c>
    </row>
    <row r="1068" spans="1:19" x14ac:dyDescent="0.35">
      <c r="A1068">
        <v>1085</v>
      </c>
      <c r="B1068" t="s">
        <v>3156</v>
      </c>
      <c r="C1068" s="1">
        <v>42795</v>
      </c>
      <c r="D1068" s="1">
        <v>42799</v>
      </c>
      <c r="E1068" s="1" t="str">
        <f t="shared" si="16"/>
        <v>FAST</v>
      </c>
      <c r="F1068" t="s">
        <v>46</v>
      </c>
      <c r="G1068" t="s">
        <v>310</v>
      </c>
      <c r="H1068" t="s">
        <v>311</v>
      </c>
      <c r="I1068" t="s">
        <v>22</v>
      </c>
      <c r="J1068" t="s">
        <v>23</v>
      </c>
      <c r="K1068" t="s">
        <v>3157</v>
      </c>
      <c r="L1068" t="s">
        <v>261</v>
      </c>
      <c r="M1068">
        <v>10701</v>
      </c>
      <c r="N1068" t="s">
        <v>144</v>
      </c>
      <c r="O1068" t="s">
        <v>1003</v>
      </c>
      <c r="P1068" t="s">
        <v>42</v>
      </c>
      <c r="Q1068" t="s">
        <v>55</v>
      </c>
      <c r="R1068" t="s">
        <v>1004</v>
      </c>
      <c r="S1068">
        <v>362.92</v>
      </c>
    </row>
    <row r="1069" spans="1:19" x14ac:dyDescent="0.35">
      <c r="A1069">
        <v>1086</v>
      </c>
      <c r="B1069" t="s">
        <v>3156</v>
      </c>
      <c r="C1069" s="1">
        <v>42795</v>
      </c>
      <c r="D1069" s="1">
        <v>42799</v>
      </c>
      <c r="E1069" s="1" t="str">
        <f t="shared" si="16"/>
        <v>FAST</v>
      </c>
      <c r="F1069" t="s">
        <v>46</v>
      </c>
      <c r="G1069" t="s">
        <v>310</v>
      </c>
      <c r="H1069" t="s">
        <v>311</v>
      </c>
      <c r="I1069" t="s">
        <v>22</v>
      </c>
      <c r="J1069" t="s">
        <v>23</v>
      </c>
      <c r="K1069" t="s">
        <v>3157</v>
      </c>
      <c r="L1069" t="s">
        <v>261</v>
      </c>
      <c r="M1069">
        <v>10701</v>
      </c>
      <c r="N1069" t="s">
        <v>144</v>
      </c>
      <c r="O1069" t="s">
        <v>3159</v>
      </c>
      <c r="P1069" t="s">
        <v>67</v>
      </c>
      <c r="Q1069" t="s">
        <v>671</v>
      </c>
      <c r="R1069" t="s">
        <v>3160</v>
      </c>
      <c r="S1069">
        <v>4899.93</v>
      </c>
    </row>
    <row r="1070" spans="1:19" x14ac:dyDescent="0.35">
      <c r="A1070">
        <v>1087</v>
      </c>
      <c r="B1070" t="s">
        <v>3161</v>
      </c>
      <c r="C1070" s="1">
        <v>42959</v>
      </c>
      <c r="D1070" s="1">
        <v>42959</v>
      </c>
      <c r="E1070" s="1" t="str">
        <f t="shared" si="16"/>
        <v>MODERATE</v>
      </c>
      <c r="F1070" t="s">
        <v>1276</v>
      </c>
      <c r="G1070" t="s">
        <v>441</v>
      </c>
      <c r="H1070" t="s">
        <v>442</v>
      </c>
      <c r="I1070" t="s">
        <v>22</v>
      </c>
      <c r="J1070" t="s">
        <v>23</v>
      </c>
      <c r="K1070" t="s">
        <v>1362</v>
      </c>
      <c r="L1070" t="s">
        <v>476</v>
      </c>
      <c r="M1070">
        <v>50315</v>
      </c>
      <c r="N1070" t="s">
        <v>101</v>
      </c>
      <c r="O1070" t="s">
        <v>3162</v>
      </c>
      <c r="P1070" t="s">
        <v>42</v>
      </c>
      <c r="Q1070" t="s">
        <v>86</v>
      </c>
      <c r="R1070" t="s">
        <v>3163</v>
      </c>
      <c r="S1070">
        <v>6.48</v>
      </c>
    </row>
    <row r="1071" spans="1:19" x14ac:dyDescent="0.35">
      <c r="A1071">
        <v>1088</v>
      </c>
      <c r="B1071" t="s">
        <v>3164</v>
      </c>
      <c r="C1071" s="1">
        <v>42962</v>
      </c>
      <c r="D1071" s="1">
        <v>42967</v>
      </c>
      <c r="E1071" s="1" t="str">
        <f t="shared" si="16"/>
        <v>SLOW</v>
      </c>
      <c r="F1071" t="s">
        <v>19</v>
      </c>
      <c r="G1071" t="s">
        <v>3165</v>
      </c>
      <c r="H1071" t="s">
        <v>3166</v>
      </c>
      <c r="I1071" t="s">
        <v>37</v>
      </c>
      <c r="J1071" t="s">
        <v>23</v>
      </c>
      <c r="K1071" t="s">
        <v>3167</v>
      </c>
      <c r="L1071" t="s">
        <v>39</v>
      </c>
      <c r="M1071">
        <v>94601</v>
      </c>
      <c r="N1071" t="s">
        <v>40</v>
      </c>
      <c r="O1071" t="s">
        <v>728</v>
      </c>
      <c r="P1071" t="s">
        <v>67</v>
      </c>
      <c r="Q1071" t="s">
        <v>68</v>
      </c>
      <c r="R1071" t="s">
        <v>729</v>
      </c>
      <c r="S1071">
        <v>71.975999999999999</v>
      </c>
    </row>
    <row r="1072" spans="1:19" x14ac:dyDescent="0.35">
      <c r="A1072">
        <v>1089</v>
      </c>
      <c r="B1072" t="s">
        <v>3164</v>
      </c>
      <c r="C1072" s="1">
        <v>42962</v>
      </c>
      <c r="D1072" s="1">
        <v>42967</v>
      </c>
      <c r="E1072" s="1" t="str">
        <f t="shared" si="16"/>
        <v>SLOW</v>
      </c>
      <c r="F1072" t="s">
        <v>19</v>
      </c>
      <c r="G1072" t="s">
        <v>3165</v>
      </c>
      <c r="H1072" t="s">
        <v>3166</v>
      </c>
      <c r="I1072" t="s">
        <v>37</v>
      </c>
      <c r="J1072" t="s">
        <v>23</v>
      </c>
      <c r="K1072" t="s">
        <v>3167</v>
      </c>
      <c r="L1072" t="s">
        <v>39</v>
      </c>
      <c r="M1072">
        <v>94601</v>
      </c>
      <c r="N1072" t="s">
        <v>40</v>
      </c>
      <c r="O1072" t="s">
        <v>3168</v>
      </c>
      <c r="P1072" t="s">
        <v>42</v>
      </c>
      <c r="Q1072" t="s">
        <v>43</v>
      </c>
      <c r="R1072" t="s">
        <v>3169</v>
      </c>
      <c r="S1072">
        <v>3.15</v>
      </c>
    </row>
    <row r="1073" spans="1:19" x14ac:dyDescent="0.35">
      <c r="A1073">
        <v>1090</v>
      </c>
      <c r="B1073" t="s">
        <v>3170</v>
      </c>
      <c r="C1073" s="1">
        <v>43255</v>
      </c>
      <c r="D1073" s="1">
        <v>43261</v>
      </c>
      <c r="E1073" s="1" t="str">
        <f t="shared" si="16"/>
        <v>FAST</v>
      </c>
      <c r="F1073" t="s">
        <v>46</v>
      </c>
      <c r="G1073" t="s">
        <v>2880</v>
      </c>
      <c r="H1073" t="s">
        <v>2881</v>
      </c>
      <c r="I1073" t="s">
        <v>37</v>
      </c>
      <c r="J1073" t="s">
        <v>23</v>
      </c>
      <c r="K1073" t="s">
        <v>724</v>
      </c>
      <c r="L1073" t="s">
        <v>84</v>
      </c>
      <c r="M1073">
        <v>28110</v>
      </c>
      <c r="N1073" t="s">
        <v>26</v>
      </c>
      <c r="O1073" t="s">
        <v>1174</v>
      </c>
      <c r="P1073" t="s">
        <v>28</v>
      </c>
      <c r="Q1073" t="s">
        <v>61</v>
      </c>
      <c r="R1073" t="s">
        <v>1175</v>
      </c>
      <c r="S1073">
        <v>31.984000000000002</v>
      </c>
    </row>
    <row r="1074" spans="1:19" x14ac:dyDescent="0.35">
      <c r="A1074">
        <v>1091</v>
      </c>
      <c r="B1074" t="s">
        <v>3170</v>
      </c>
      <c r="C1074" s="1">
        <v>43255</v>
      </c>
      <c r="D1074" s="1">
        <v>43261</v>
      </c>
      <c r="E1074" s="1" t="str">
        <f t="shared" si="16"/>
        <v>FAST</v>
      </c>
      <c r="F1074" t="s">
        <v>46</v>
      </c>
      <c r="G1074" t="s">
        <v>2880</v>
      </c>
      <c r="H1074" t="s">
        <v>2881</v>
      </c>
      <c r="I1074" t="s">
        <v>37</v>
      </c>
      <c r="J1074" t="s">
        <v>23</v>
      </c>
      <c r="K1074" t="s">
        <v>724</v>
      </c>
      <c r="L1074" t="s">
        <v>84</v>
      </c>
      <c r="M1074">
        <v>28110</v>
      </c>
      <c r="N1074" t="s">
        <v>26</v>
      </c>
      <c r="O1074" t="s">
        <v>3171</v>
      </c>
      <c r="P1074" t="s">
        <v>67</v>
      </c>
      <c r="Q1074" t="s">
        <v>68</v>
      </c>
      <c r="R1074" t="s">
        <v>3172</v>
      </c>
      <c r="S1074">
        <v>71.983999999999995</v>
      </c>
    </row>
    <row r="1075" spans="1:19" x14ac:dyDescent="0.35">
      <c r="A1075">
        <v>1092</v>
      </c>
      <c r="B1075" t="s">
        <v>3173</v>
      </c>
      <c r="C1075" s="1">
        <v>42710</v>
      </c>
      <c r="D1075" s="1">
        <v>42717</v>
      </c>
      <c r="E1075" s="1" t="str">
        <f t="shared" si="16"/>
        <v>FAST</v>
      </c>
      <c r="F1075" t="s">
        <v>46</v>
      </c>
      <c r="G1075" t="s">
        <v>2213</v>
      </c>
      <c r="H1075" t="s">
        <v>2214</v>
      </c>
      <c r="I1075" t="s">
        <v>22</v>
      </c>
      <c r="J1075" t="s">
        <v>23</v>
      </c>
      <c r="K1075" t="s">
        <v>935</v>
      </c>
      <c r="L1075" t="s">
        <v>39</v>
      </c>
      <c r="M1075">
        <v>92105</v>
      </c>
      <c r="N1075" t="s">
        <v>40</v>
      </c>
      <c r="O1075" t="s">
        <v>3174</v>
      </c>
      <c r="P1075" t="s">
        <v>42</v>
      </c>
      <c r="Q1075" t="s">
        <v>64</v>
      </c>
      <c r="R1075" t="s">
        <v>3175</v>
      </c>
      <c r="S1075">
        <v>120.15</v>
      </c>
    </row>
    <row r="1076" spans="1:19" x14ac:dyDescent="0.35">
      <c r="A1076">
        <v>1093</v>
      </c>
      <c r="B1076" t="s">
        <v>3173</v>
      </c>
      <c r="C1076" s="1">
        <v>42710</v>
      </c>
      <c r="D1076" s="1">
        <v>42717</v>
      </c>
      <c r="E1076" s="1" t="str">
        <f t="shared" si="16"/>
        <v>FAST</v>
      </c>
      <c r="F1076" t="s">
        <v>46</v>
      </c>
      <c r="G1076" t="s">
        <v>2213</v>
      </c>
      <c r="H1076" t="s">
        <v>2214</v>
      </c>
      <c r="I1076" t="s">
        <v>22</v>
      </c>
      <c r="J1076" t="s">
        <v>23</v>
      </c>
      <c r="K1076" t="s">
        <v>935</v>
      </c>
      <c r="L1076" t="s">
        <v>39</v>
      </c>
      <c r="M1076">
        <v>92105</v>
      </c>
      <c r="N1076" t="s">
        <v>40</v>
      </c>
      <c r="O1076" t="s">
        <v>3176</v>
      </c>
      <c r="P1076" t="s">
        <v>67</v>
      </c>
      <c r="Q1076" t="s">
        <v>68</v>
      </c>
      <c r="R1076" t="s">
        <v>3177</v>
      </c>
      <c r="S1076">
        <v>219.184</v>
      </c>
    </row>
    <row r="1077" spans="1:19" x14ac:dyDescent="0.35">
      <c r="A1077">
        <v>1094</v>
      </c>
      <c r="B1077" t="s">
        <v>3178</v>
      </c>
      <c r="C1077" s="1">
        <v>42731</v>
      </c>
      <c r="D1077" s="1">
        <v>42735</v>
      </c>
      <c r="E1077" s="1" t="str">
        <f t="shared" si="16"/>
        <v>FAST</v>
      </c>
      <c r="F1077" t="s">
        <v>46</v>
      </c>
      <c r="G1077" t="s">
        <v>3179</v>
      </c>
      <c r="H1077" t="s">
        <v>3180</v>
      </c>
      <c r="I1077" t="s">
        <v>98</v>
      </c>
      <c r="J1077" t="s">
        <v>23</v>
      </c>
      <c r="K1077" t="s">
        <v>3181</v>
      </c>
      <c r="L1077" t="s">
        <v>2708</v>
      </c>
      <c r="M1077">
        <v>20735</v>
      </c>
      <c r="N1077" t="s">
        <v>144</v>
      </c>
      <c r="O1077" t="s">
        <v>3182</v>
      </c>
      <c r="P1077" t="s">
        <v>42</v>
      </c>
      <c r="Q1077" t="s">
        <v>86</v>
      </c>
      <c r="R1077" t="s">
        <v>3183</v>
      </c>
      <c r="S1077">
        <v>28.9</v>
      </c>
    </row>
    <row r="1078" spans="1:19" x14ac:dyDescent="0.35">
      <c r="A1078">
        <v>1095</v>
      </c>
      <c r="B1078" t="s">
        <v>3178</v>
      </c>
      <c r="C1078" s="1">
        <v>42731</v>
      </c>
      <c r="D1078" s="1">
        <v>42735</v>
      </c>
      <c r="E1078" s="1" t="str">
        <f t="shared" si="16"/>
        <v>FAST</v>
      </c>
      <c r="F1078" t="s">
        <v>46</v>
      </c>
      <c r="G1078" t="s">
        <v>3179</v>
      </c>
      <c r="H1078" t="s">
        <v>3180</v>
      </c>
      <c r="I1078" t="s">
        <v>98</v>
      </c>
      <c r="J1078" t="s">
        <v>23</v>
      </c>
      <c r="K1078" t="s">
        <v>3181</v>
      </c>
      <c r="L1078" t="s">
        <v>2708</v>
      </c>
      <c r="M1078">
        <v>20735</v>
      </c>
      <c r="N1078" t="s">
        <v>144</v>
      </c>
      <c r="O1078" t="s">
        <v>679</v>
      </c>
      <c r="P1078" t="s">
        <v>42</v>
      </c>
      <c r="Q1078" t="s">
        <v>74</v>
      </c>
      <c r="R1078" t="s">
        <v>680</v>
      </c>
      <c r="S1078">
        <v>355.96</v>
      </c>
    </row>
    <row r="1079" spans="1:19" x14ac:dyDescent="0.35">
      <c r="A1079">
        <v>1096</v>
      </c>
      <c r="B1079" t="s">
        <v>3184</v>
      </c>
      <c r="C1079" s="1">
        <v>43121</v>
      </c>
      <c r="D1079" s="1">
        <v>43126</v>
      </c>
      <c r="E1079" s="1" t="str">
        <f t="shared" si="16"/>
        <v>FAST</v>
      </c>
      <c r="F1079" t="s">
        <v>46</v>
      </c>
      <c r="G1079" t="s">
        <v>3185</v>
      </c>
      <c r="H1079" t="s">
        <v>3186</v>
      </c>
      <c r="I1079" t="s">
        <v>98</v>
      </c>
      <c r="J1079" t="s">
        <v>23</v>
      </c>
      <c r="K1079" t="s">
        <v>454</v>
      </c>
      <c r="L1079" t="s">
        <v>84</v>
      </c>
      <c r="M1079">
        <v>28205</v>
      </c>
      <c r="N1079" t="s">
        <v>26</v>
      </c>
      <c r="O1079" t="s">
        <v>3187</v>
      </c>
      <c r="P1079" t="s">
        <v>42</v>
      </c>
      <c r="Q1079" t="s">
        <v>55</v>
      </c>
      <c r="R1079" t="s">
        <v>3188</v>
      </c>
      <c r="S1079">
        <v>348.20800000000003</v>
      </c>
    </row>
    <row r="1080" spans="1:19" x14ac:dyDescent="0.35">
      <c r="A1080">
        <v>1097</v>
      </c>
      <c r="B1080" t="s">
        <v>3184</v>
      </c>
      <c r="C1080" s="1">
        <v>43121</v>
      </c>
      <c r="D1080" s="1">
        <v>43126</v>
      </c>
      <c r="E1080" s="1" t="str">
        <f t="shared" si="16"/>
        <v>FAST</v>
      </c>
      <c r="F1080" t="s">
        <v>46</v>
      </c>
      <c r="G1080" t="s">
        <v>3185</v>
      </c>
      <c r="H1080" t="s">
        <v>3186</v>
      </c>
      <c r="I1080" t="s">
        <v>98</v>
      </c>
      <c r="J1080" t="s">
        <v>23</v>
      </c>
      <c r="K1080" t="s">
        <v>454</v>
      </c>
      <c r="L1080" t="s">
        <v>84</v>
      </c>
      <c r="M1080">
        <v>28205</v>
      </c>
      <c r="N1080" t="s">
        <v>26</v>
      </c>
      <c r="O1080" t="s">
        <v>3189</v>
      </c>
      <c r="P1080" t="s">
        <v>42</v>
      </c>
      <c r="Q1080" t="s">
        <v>71</v>
      </c>
      <c r="R1080" t="s">
        <v>3190</v>
      </c>
      <c r="S1080">
        <v>35.783999999999999</v>
      </c>
    </row>
    <row r="1081" spans="1:19" x14ac:dyDescent="0.35">
      <c r="A1081">
        <v>1098</v>
      </c>
      <c r="B1081" t="s">
        <v>3191</v>
      </c>
      <c r="C1081" s="1">
        <v>42180</v>
      </c>
      <c r="D1081" s="1">
        <v>42183</v>
      </c>
      <c r="E1081" s="1" t="str">
        <f t="shared" si="16"/>
        <v>MODERATE</v>
      </c>
      <c r="F1081" t="s">
        <v>184</v>
      </c>
      <c r="G1081" t="s">
        <v>3065</v>
      </c>
      <c r="H1081" t="s">
        <v>3066</v>
      </c>
      <c r="I1081" t="s">
        <v>37</v>
      </c>
      <c r="J1081" t="s">
        <v>23</v>
      </c>
      <c r="K1081" t="s">
        <v>38</v>
      </c>
      <c r="L1081" t="s">
        <v>39</v>
      </c>
      <c r="M1081">
        <v>90049</v>
      </c>
      <c r="N1081" t="s">
        <v>40</v>
      </c>
      <c r="O1081" t="s">
        <v>3192</v>
      </c>
      <c r="P1081" t="s">
        <v>28</v>
      </c>
      <c r="Q1081" t="s">
        <v>52</v>
      </c>
      <c r="R1081" t="s">
        <v>3193</v>
      </c>
      <c r="S1081">
        <v>447.84</v>
      </c>
    </row>
    <row r="1082" spans="1:19" x14ac:dyDescent="0.35">
      <c r="A1082">
        <v>1099</v>
      </c>
      <c r="B1082" t="s">
        <v>3194</v>
      </c>
      <c r="C1082" s="1">
        <v>42900</v>
      </c>
      <c r="D1082" s="1">
        <v>42903</v>
      </c>
      <c r="E1082" s="1" t="str">
        <f t="shared" si="16"/>
        <v>MODERATE</v>
      </c>
      <c r="F1082" t="s">
        <v>184</v>
      </c>
      <c r="G1082" t="s">
        <v>3195</v>
      </c>
      <c r="H1082" t="s">
        <v>3196</v>
      </c>
      <c r="I1082" t="s">
        <v>98</v>
      </c>
      <c r="J1082" t="s">
        <v>23</v>
      </c>
      <c r="K1082" t="s">
        <v>123</v>
      </c>
      <c r="L1082" t="s">
        <v>39</v>
      </c>
      <c r="M1082">
        <v>94122</v>
      </c>
      <c r="N1082" t="s">
        <v>40</v>
      </c>
      <c r="O1082" t="s">
        <v>3197</v>
      </c>
      <c r="P1082" t="s">
        <v>42</v>
      </c>
      <c r="Q1082" t="s">
        <v>64</v>
      </c>
      <c r="R1082" t="s">
        <v>3198</v>
      </c>
      <c r="S1082">
        <v>7.04</v>
      </c>
    </row>
    <row r="1083" spans="1:19" x14ac:dyDescent="0.35">
      <c r="A1083">
        <v>1100</v>
      </c>
      <c r="B1083" t="s">
        <v>3194</v>
      </c>
      <c r="C1083" s="1">
        <v>42900</v>
      </c>
      <c r="D1083" s="1">
        <v>42903</v>
      </c>
      <c r="E1083" s="1" t="str">
        <f t="shared" si="16"/>
        <v>MODERATE</v>
      </c>
      <c r="F1083" t="s">
        <v>184</v>
      </c>
      <c r="G1083" t="s">
        <v>3195</v>
      </c>
      <c r="H1083" t="s">
        <v>3196</v>
      </c>
      <c r="I1083" t="s">
        <v>98</v>
      </c>
      <c r="J1083" t="s">
        <v>23</v>
      </c>
      <c r="K1083" t="s">
        <v>123</v>
      </c>
      <c r="L1083" t="s">
        <v>39</v>
      </c>
      <c r="M1083">
        <v>94122</v>
      </c>
      <c r="N1083" t="s">
        <v>40</v>
      </c>
      <c r="O1083" t="s">
        <v>1539</v>
      </c>
      <c r="P1083" t="s">
        <v>28</v>
      </c>
      <c r="Q1083" t="s">
        <v>61</v>
      </c>
      <c r="R1083" t="s">
        <v>1540</v>
      </c>
      <c r="S1083">
        <v>8.73</v>
      </c>
    </row>
    <row r="1084" spans="1:19" x14ac:dyDescent="0.35">
      <c r="A1084">
        <v>1101</v>
      </c>
      <c r="B1084" t="s">
        <v>3194</v>
      </c>
      <c r="C1084" s="1">
        <v>42900</v>
      </c>
      <c r="D1084" s="1">
        <v>42903</v>
      </c>
      <c r="E1084" s="1" t="str">
        <f t="shared" si="16"/>
        <v>MODERATE</v>
      </c>
      <c r="F1084" t="s">
        <v>184</v>
      </c>
      <c r="G1084" t="s">
        <v>3195</v>
      </c>
      <c r="H1084" t="s">
        <v>3196</v>
      </c>
      <c r="I1084" t="s">
        <v>98</v>
      </c>
      <c r="J1084" t="s">
        <v>23</v>
      </c>
      <c r="K1084" t="s">
        <v>123</v>
      </c>
      <c r="L1084" t="s">
        <v>39</v>
      </c>
      <c r="M1084">
        <v>94122</v>
      </c>
      <c r="N1084" t="s">
        <v>40</v>
      </c>
      <c r="O1084" t="s">
        <v>3199</v>
      </c>
      <c r="P1084" t="s">
        <v>67</v>
      </c>
      <c r="Q1084" t="s">
        <v>157</v>
      </c>
      <c r="R1084" t="s">
        <v>3200</v>
      </c>
      <c r="S1084">
        <v>29.29</v>
      </c>
    </row>
    <row r="1085" spans="1:19" x14ac:dyDescent="0.35">
      <c r="A1085">
        <v>1102</v>
      </c>
      <c r="B1085" t="s">
        <v>3194</v>
      </c>
      <c r="C1085" s="1">
        <v>42900</v>
      </c>
      <c r="D1085" s="1">
        <v>42903</v>
      </c>
      <c r="E1085" s="1" t="str">
        <f t="shared" si="16"/>
        <v>MODERATE</v>
      </c>
      <c r="F1085" t="s">
        <v>184</v>
      </c>
      <c r="G1085" t="s">
        <v>3195</v>
      </c>
      <c r="H1085" t="s">
        <v>3196</v>
      </c>
      <c r="I1085" t="s">
        <v>98</v>
      </c>
      <c r="J1085" t="s">
        <v>23</v>
      </c>
      <c r="K1085" t="s">
        <v>123</v>
      </c>
      <c r="L1085" t="s">
        <v>39</v>
      </c>
      <c r="M1085">
        <v>94122</v>
      </c>
      <c r="N1085" t="s">
        <v>40</v>
      </c>
      <c r="O1085" t="s">
        <v>3201</v>
      </c>
      <c r="P1085" t="s">
        <v>42</v>
      </c>
      <c r="Q1085" t="s">
        <v>64</v>
      </c>
      <c r="R1085" t="s">
        <v>3202</v>
      </c>
      <c r="S1085">
        <v>8.64</v>
      </c>
    </row>
    <row r="1086" spans="1:19" x14ac:dyDescent="0.35">
      <c r="A1086">
        <v>1103</v>
      </c>
      <c r="B1086" t="s">
        <v>3203</v>
      </c>
      <c r="C1086" s="1">
        <v>43211</v>
      </c>
      <c r="D1086" s="1">
        <v>43217</v>
      </c>
      <c r="E1086" s="1" t="str">
        <f t="shared" si="16"/>
        <v>FAST</v>
      </c>
      <c r="F1086" t="s">
        <v>46</v>
      </c>
      <c r="G1086" t="s">
        <v>2158</v>
      </c>
      <c r="H1086" t="s">
        <v>2159</v>
      </c>
      <c r="I1086" t="s">
        <v>22</v>
      </c>
      <c r="J1086" t="s">
        <v>23</v>
      </c>
      <c r="K1086" t="s">
        <v>180</v>
      </c>
      <c r="L1086" t="s">
        <v>100</v>
      </c>
      <c r="M1086">
        <v>77041</v>
      </c>
      <c r="N1086" t="s">
        <v>101</v>
      </c>
      <c r="O1086" t="s">
        <v>1206</v>
      </c>
      <c r="P1086" t="s">
        <v>42</v>
      </c>
      <c r="Q1086" t="s">
        <v>71</v>
      </c>
      <c r="R1086" t="s">
        <v>1207</v>
      </c>
      <c r="S1086">
        <v>2.694</v>
      </c>
    </row>
    <row r="1087" spans="1:19" x14ac:dyDescent="0.35">
      <c r="A1087">
        <v>1104</v>
      </c>
      <c r="B1087" t="s">
        <v>3203</v>
      </c>
      <c r="C1087" s="1">
        <v>43211</v>
      </c>
      <c r="D1087" s="1">
        <v>43217</v>
      </c>
      <c r="E1087" s="1" t="str">
        <f t="shared" si="16"/>
        <v>FAST</v>
      </c>
      <c r="F1087" t="s">
        <v>46</v>
      </c>
      <c r="G1087" t="s">
        <v>2158</v>
      </c>
      <c r="H1087" t="s">
        <v>2159</v>
      </c>
      <c r="I1087" t="s">
        <v>22</v>
      </c>
      <c r="J1087" t="s">
        <v>23</v>
      </c>
      <c r="K1087" t="s">
        <v>180</v>
      </c>
      <c r="L1087" t="s">
        <v>100</v>
      </c>
      <c r="M1087">
        <v>77041</v>
      </c>
      <c r="N1087" t="s">
        <v>101</v>
      </c>
      <c r="O1087" t="s">
        <v>2975</v>
      </c>
      <c r="P1087" t="s">
        <v>42</v>
      </c>
      <c r="Q1087" t="s">
        <v>71</v>
      </c>
      <c r="R1087" t="s">
        <v>2976</v>
      </c>
      <c r="S1087">
        <v>2.9340000000000002</v>
      </c>
    </row>
    <row r="1088" spans="1:19" x14ac:dyDescent="0.35">
      <c r="A1088">
        <v>1105</v>
      </c>
      <c r="B1088" t="s">
        <v>3204</v>
      </c>
      <c r="C1088" s="1">
        <v>43029</v>
      </c>
      <c r="D1088" s="1">
        <v>43035</v>
      </c>
      <c r="E1088" s="1" t="str">
        <f t="shared" si="16"/>
        <v>FAST</v>
      </c>
      <c r="F1088" t="s">
        <v>46</v>
      </c>
      <c r="G1088" t="s">
        <v>3205</v>
      </c>
      <c r="H1088" t="s">
        <v>3206</v>
      </c>
      <c r="I1088" t="s">
        <v>22</v>
      </c>
      <c r="J1088" t="s">
        <v>23</v>
      </c>
      <c r="K1088" t="s">
        <v>2827</v>
      </c>
      <c r="L1088" t="s">
        <v>39</v>
      </c>
      <c r="M1088">
        <v>92503</v>
      </c>
      <c r="N1088" t="s">
        <v>40</v>
      </c>
      <c r="O1088" t="s">
        <v>3207</v>
      </c>
      <c r="P1088" t="s">
        <v>42</v>
      </c>
      <c r="Q1088" t="s">
        <v>86</v>
      </c>
      <c r="R1088" t="s">
        <v>3208</v>
      </c>
      <c r="S1088">
        <v>22.92</v>
      </c>
    </row>
    <row r="1089" spans="1:19" x14ac:dyDescent="0.35">
      <c r="A1089">
        <v>1106</v>
      </c>
      <c r="B1089" t="s">
        <v>3209</v>
      </c>
      <c r="C1089" s="1">
        <v>43058</v>
      </c>
      <c r="D1089" s="1">
        <v>43063</v>
      </c>
      <c r="E1089" s="1" t="str">
        <f t="shared" si="16"/>
        <v>FAST</v>
      </c>
      <c r="F1089" t="s">
        <v>46</v>
      </c>
      <c r="G1089" t="s">
        <v>152</v>
      </c>
      <c r="H1089" t="s">
        <v>153</v>
      </c>
      <c r="I1089" t="s">
        <v>22</v>
      </c>
      <c r="J1089" t="s">
        <v>23</v>
      </c>
      <c r="K1089" t="s">
        <v>180</v>
      </c>
      <c r="L1089" t="s">
        <v>100</v>
      </c>
      <c r="M1089">
        <v>77041</v>
      </c>
      <c r="N1089" t="s">
        <v>101</v>
      </c>
      <c r="O1089" t="s">
        <v>820</v>
      </c>
      <c r="P1089" t="s">
        <v>42</v>
      </c>
      <c r="Q1089" t="s">
        <v>55</v>
      </c>
      <c r="R1089" t="s">
        <v>821</v>
      </c>
      <c r="S1089">
        <v>100.70399999999999</v>
      </c>
    </row>
    <row r="1090" spans="1:19" x14ac:dyDescent="0.35">
      <c r="A1090">
        <v>1107</v>
      </c>
      <c r="B1090" t="s">
        <v>3209</v>
      </c>
      <c r="C1090" s="1">
        <v>43058</v>
      </c>
      <c r="D1090" s="1">
        <v>43063</v>
      </c>
      <c r="E1090" s="1" t="str">
        <f t="shared" si="16"/>
        <v>FAST</v>
      </c>
      <c r="F1090" t="s">
        <v>46</v>
      </c>
      <c r="G1090" t="s">
        <v>152</v>
      </c>
      <c r="H1090" t="s">
        <v>153</v>
      </c>
      <c r="I1090" t="s">
        <v>22</v>
      </c>
      <c r="J1090" t="s">
        <v>23</v>
      </c>
      <c r="K1090" t="s">
        <v>180</v>
      </c>
      <c r="L1090" t="s">
        <v>100</v>
      </c>
      <c r="M1090">
        <v>77041</v>
      </c>
      <c r="N1090" t="s">
        <v>101</v>
      </c>
      <c r="O1090" t="s">
        <v>1539</v>
      </c>
      <c r="P1090" t="s">
        <v>28</v>
      </c>
      <c r="Q1090" t="s">
        <v>61</v>
      </c>
      <c r="R1090" t="s">
        <v>1540</v>
      </c>
      <c r="S1090">
        <v>2.3279999999999998</v>
      </c>
    </row>
    <row r="1091" spans="1:19" x14ac:dyDescent="0.35">
      <c r="A1091">
        <v>1108</v>
      </c>
      <c r="B1091" t="s">
        <v>3209</v>
      </c>
      <c r="C1091" s="1">
        <v>43058</v>
      </c>
      <c r="D1091" s="1">
        <v>43063</v>
      </c>
      <c r="E1091" s="1" t="str">
        <f t="shared" ref="E1091:E1154" si="17">IF(F1091="STANDARD CLASS","FAST",IF(F1091="SECOND CLASS","SLOW","MODERATE"))</f>
        <v>FAST</v>
      </c>
      <c r="F1091" t="s">
        <v>46</v>
      </c>
      <c r="G1091" t="s">
        <v>152</v>
      </c>
      <c r="H1091" t="s">
        <v>153</v>
      </c>
      <c r="I1091" t="s">
        <v>22</v>
      </c>
      <c r="J1091" t="s">
        <v>23</v>
      </c>
      <c r="K1091" t="s">
        <v>180</v>
      </c>
      <c r="L1091" t="s">
        <v>100</v>
      </c>
      <c r="M1091">
        <v>77041</v>
      </c>
      <c r="N1091" t="s">
        <v>101</v>
      </c>
      <c r="O1091" t="s">
        <v>3210</v>
      </c>
      <c r="P1091" t="s">
        <v>42</v>
      </c>
      <c r="Q1091" t="s">
        <v>71</v>
      </c>
      <c r="R1091" t="s">
        <v>3211</v>
      </c>
      <c r="S1091">
        <v>10.78</v>
      </c>
    </row>
    <row r="1092" spans="1:19" x14ac:dyDescent="0.35">
      <c r="A1092">
        <v>1109</v>
      </c>
      <c r="B1092" t="s">
        <v>3209</v>
      </c>
      <c r="C1092" s="1">
        <v>43058</v>
      </c>
      <c r="D1092" s="1">
        <v>43063</v>
      </c>
      <c r="E1092" s="1" t="str">
        <f t="shared" si="17"/>
        <v>FAST</v>
      </c>
      <c r="F1092" t="s">
        <v>46</v>
      </c>
      <c r="G1092" t="s">
        <v>152</v>
      </c>
      <c r="H1092" t="s">
        <v>153</v>
      </c>
      <c r="I1092" t="s">
        <v>22</v>
      </c>
      <c r="J1092" t="s">
        <v>23</v>
      </c>
      <c r="K1092" t="s">
        <v>180</v>
      </c>
      <c r="L1092" t="s">
        <v>100</v>
      </c>
      <c r="M1092">
        <v>77041</v>
      </c>
      <c r="N1092" t="s">
        <v>101</v>
      </c>
      <c r="O1092" t="s">
        <v>3212</v>
      </c>
      <c r="P1092" t="s">
        <v>42</v>
      </c>
      <c r="Q1092" t="s">
        <v>263</v>
      </c>
      <c r="R1092" t="s">
        <v>550</v>
      </c>
      <c r="S1092">
        <v>58.368000000000002</v>
      </c>
    </row>
    <row r="1093" spans="1:19" x14ac:dyDescent="0.35">
      <c r="A1093">
        <v>1110</v>
      </c>
      <c r="B1093" t="s">
        <v>3209</v>
      </c>
      <c r="C1093" s="1">
        <v>43058</v>
      </c>
      <c r="D1093" s="1">
        <v>43063</v>
      </c>
      <c r="E1093" s="1" t="str">
        <f t="shared" si="17"/>
        <v>FAST</v>
      </c>
      <c r="F1093" t="s">
        <v>46</v>
      </c>
      <c r="G1093" t="s">
        <v>152</v>
      </c>
      <c r="H1093" t="s">
        <v>153</v>
      </c>
      <c r="I1093" t="s">
        <v>22</v>
      </c>
      <c r="J1093" t="s">
        <v>23</v>
      </c>
      <c r="K1093" t="s">
        <v>180</v>
      </c>
      <c r="L1093" t="s">
        <v>100</v>
      </c>
      <c r="M1093">
        <v>77041</v>
      </c>
      <c r="N1093" t="s">
        <v>101</v>
      </c>
      <c r="O1093" t="s">
        <v>3213</v>
      </c>
      <c r="P1093" t="s">
        <v>42</v>
      </c>
      <c r="Q1093" t="s">
        <v>169</v>
      </c>
      <c r="R1093" t="s">
        <v>3214</v>
      </c>
      <c r="S1093">
        <v>40.968000000000004</v>
      </c>
    </row>
    <row r="1094" spans="1:19" x14ac:dyDescent="0.35">
      <c r="A1094">
        <v>1111</v>
      </c>
      <c r="B1094" t="s">
        <v>3209</v>
      </c>
      <c r="C1094" s="1">
        <v>43058</v>
      </c>
      <c r="D1094" s="1">
        <v>43063</v>
      </c>
      <c r="E1094" s="1" t="str">
        <f t="shared" si="17"/>
        <v>FAST</v>
      </c>
      <c r="F1094" t="s">
        <v>46</v>
      </c>
      <c r="G1094" t="s">
        <v>152</v>
      </c>
      <c r="H1094" t="s">
        <v>153</v>
      </c>
      <c r="I1094" t="s">
        <v>22</v>
      </c>
      <c r="J1094" t="s">
        <v>23</v>
      </c>
      <c r="K1094" t="s">
        <v>180</v>
      </c>
      <c r="L1094" t="s">
        <v>100</v>
      </c>
      <c r="M1094">
        <v>77041</v>
      </c>
      <c r="N1094" t="s">
        <v>101</v>
      </c>
      <c r="O1094" t="s">
        <v>3215</v>
      </c>
      <c r="P1094" t="s">
        <v>67</v>
      </c>
      <c r="Q1094" t="s">
        <v>68</v>
      </c>
      <c r="R1094" t="s">
        <v>3216</v>
      </c>
      <c r="S1094">
        <v>71.959999999999994</v>
      </c>
    </row>
    <row r="1095" spans="1:19" x14ac:dyDescent="0.35">
      <c r="A1095">
        <v>1112</v>
      </c>
      <c r="B1095" t="s">
        <v>3209</v>
      </c>
      <c r="C1095" s="1">
        <v>43058</v>
      </c>
      <c r="D1095" s="1">
        <v>43063</v>
      </c>
      <c r="E1095" s="1" t="str">
        <f t="shared" si="17"/>
        <v>FAST</v>
      </c>
      <c r="F1095" t="s">
        <v>46</v>
      </c>
      <c r="G1095" t="s">
        <v>152</v>
      </c>
      <c r="H1095" t="s">
        <v>153</v>
      </c>
      <c r="I1095" t="s">
        <v>22</v>
      </c>
      <c r="J1095" t="s">
        <v>23</v>
      </c>
      <c r="K1095" t="s">
        <v>180</v>
      </c>
      <c r="L1095" t="s">
        <v>100</v>
      </c>
      <c r="M1095">
        <v>77041</v>
      </c>
      <c r="N1095" t="s">
        <v>101</v>
      </c>
      <c r="O1095" t="s">
        <v>3217</v>
      </c>
      <c r="P1095" t="s">
        <v>42</v>
      </c>
      <c r="Q1095" t="s">
        <v>86</v>
      </c>
      <c r="R1095" t="s">
        <v>3218</v>
      </c>
      <c r="S1095">
        <v>10.368</v>
      </c>
    </row>
    <row r="1096" spans="1:19" x14ac:dyDescent="0.35">
      <c r="A1096">
        <v>1113</v>
      </c>
      <c r="B1096" t="s">
        <v>3209</v>
      </c>
      <c r="C1096" s="1">
        <v>43058</v>
      </c>
      <c r="D1096" s="1">
        <v>43063</v>
      </c>
      <c r="E1096" s="1" t="str">
        <f t="shared" si="17"/>
        <v>FAST</v>
      </c>
      <c r="F1096" t="s">
        <v>46</v>
      </c>
      <c r="G1096" t="s">
        <v>152</v>
      </c>
      <c r="H1096" t="s">
        <v>153</v>
      </c>
      <c r="I1096" t="s">
        <v>22</v>
      </c>
      <c r="J1096" t="s">
        <v>23</v>
      </c>
      <c r="K1096" t="s">
        <v>180</v>
      </c>
      <c r="L1096" t="s">
        <v>100</v>
      </c>
      <c r="M1096">
        <v>77041</v>
      </c>
      <c r="N1096" t="s">
        <v>101</v>
      </c>
      <c r="O1096" t="s">
        <v>433</v>
      </c>
      <c r="P1096" t="s">
        <v>42</v>
      </c>
      <c r="Q1096" t="s">
        <v>71</v>
      </c>
      <c r="R1096" t="s">
        <v>434</v>
      </c>
      <c r="S1096">
        <v>1.1919999999999999</v>
      </c>
    </row>
    <row r="1097" spans="1:19" x14ac:dyDescent="0.35">
      <c r="A1097">
        <v>1114</v>
      </c>
      <c r="B1097" t="s">
        <v>3219</v>
      </c>
      <c r="C1097" s="1">
        <v>43452</v>
      </c>
      <c r="D1097" s="1">
        <v>43457</v>
      </c>
      <c r="E1097" s="1" t="str">
        <f t="shared" si="17"/>
        <v>SLOW</v>
      </c>
      <c r="F1097" t="s">
        <v>19</v>
      </c>
      <c r="G1097" t="s">
        <v>1316</v>
      </c>
      <c r="H1097" t="s">
        <v>1317</v>
      </c>
      <c r="I1097" t="s">
        <v>22</v>
      </c>
      <c r="J1097" t="s">
        <v>23</v>
      </c>
      <c r="K1097" t="s">
        <v>3220</v>
      </c>
      <c r="L1097" t="s">
        <v>39</v>
      </c>
      <c r="M1097">
        <v>92024</v>
      </c>
      <c r="N1097" t="s">
        <v>40</v>
      </c>
      <c r="O1097" t="s">
        <v>2723</v>
      </c>
      <c r="P1097" t="s">
        <v>42</v>
      </c>
      <c r="Q1097" t="s">
        <v>71</v>
      </c>
      <c r="R1097" t="s">
        <v>2724</v>
      </c>
      <c r="S1097">
        <v>46.671999999999997</v>
      </c>
    </row>
    <row r="1098" spans="1:19" x14ac:dyDescent="0.35">
      <c r="A1098">
        <v>1115</v>
      </c>
      <c r="B1098" t="s">
        <v>3219</v>
      </c>
      <c r="C1098" s="1">
        <v>43452</v>
      </c>
      <c r="D1098" s="1">
        <v>43457</v>
      </c>
      <c r="E1098" s="1" t="str">
        <f t="shared" si="17"/>
        <v>SLOW</v>
      </c>
      <c r="F1098" t="s">
        <v>19</v>
      </c>
      <c r="G1098" t="s">
        <v>1316</v>
      </c>
      <c r="H1098" t="s">
        <v>1317</v>
      </c>
      <c r="I1098" t="s">
        <v>22</v>
      </c>
      <c r="J1098" t="s">
        <v>23</v>
      </c>
      <c r="K1098" t="s">
        <v>3220</v>
      </c>
      <c r="L1098" t="s">
        <v>39</v>
      </c>
      <c r="M1098">
        <v>92024</v>
      </c>
      <c r="N1098" t="s">
        <v>40</v>
      </c>
      <c r="O1098" t="s">
        <v>3221</v>
      </c>
      <c r="P1098" t="s">
        <v>28</v>
      </c>
      <c r="Q1098" t="s">
        <v>29</v>
      </c>
      <c r="R1098" t="s">
        <v>3222</v>
      </c>
      <c r="S1098">
        <v>119.833</v>
      </c>
    </row>
    <row r="1099" spans="1:19" x14ac:dyDescent="0.35">
      <c r="A1099">
        <v>1116</v>
      </c>
      <c r="B1099" t="s">
        <v>3219</v>
      </c>
      <c r="C1099" s="1">
        <v>43452</v>
      </c>
      <c r="D1099" s="1">
        <v>43457</v>
      </c>
      <c r="E1099" s="1" t="str">
        <f t="shared" si="17"/>
        <v>SLOW</v>
      </c>
      <c r="F1099" t="s">
        <v>19</v>
      </c>
      <c r="G1099" t="s">
        <v>1316</v>
      </c>
      <c r="H1099" t="s">
        <v>1317</v>
      </c>
      <c r="I1099" t="s">
        <v>22</v>
      </c>
      <c r="J1099" t="s">
        <v>23</v>
      </c>
      <c r="K1099" t="s">
        <v>3220</v>
      </c>
      <c r="L1099" t="s">
        <v>39</v>
      </c>
      <c r="M1099">
        <v>92024</v>
      </c>
      <c r="N1099" t="s">
        <v>40</v>
      </c>
      <c r="O1099" t="s">
        <v>2327</v>
      </c>
      <c r="P1099" t="s">
        <v>67</v>
      </c>
      <c r="Q1099" t="s">
        <v>157</v>
      </c>
      <c r="R1099" t="s">
        <v>2328</v>
      </c>
      <c r="S1099">
        <v>119.98</v>
      </c>
    </row>
    <row r="1100" spans="1:19" x14ac:dyDescent="0.35">
      <c r="A1100">
        <v>1117</v>
      </c>
      <c r="B1100" t="s">
        <v>3223</v>
      </c>
      <c r="C1100" s="1">
        <v>42938</v>
      </c>
      <c r="D1100" s="1">
        <v>42940</v>
      </c>
      <c r="E1100" s="1" t="str">
        <f t="shared" si="17"/>
        <v>SLOW</v>
      </c>
      <c r="F1100" t="s">
        <v>19</v>
      </c>
      <c r="G1100" t="s">
        <v>3224</v>
      </c>
      <c r="H1100" t="s">
        <v>3225</v>
      </c>
      <c r="I1100" t="s">
        <v>37</v>
      </c>
      <c r="J1100" t="s">
        <v>23</v>
      </c>
      <c r="K1100" t="s">
        <v>123</v>
      </c>
      <c r="L1100" t="s">
        <v>39</v>
      </c>
      <c r="M1100">
        <v>94110</v>
      </c>
      <c r="N1100" t="s">
        <v>40</v>
      </c>
      <c r="O1100" t="s">
        <v>1424</v>
      </c>
      <c r="P1100" t="s">
        <v>42</v>
      </c>
      <c r="Q1100" t="s">
        <v>43</v>
      </c>
      <c r="R1100" t="s">
        <v>1425</v>
      </c>
      <c r="S1100">
        <v>6.3</v>
      </c>
    </row>
    <row r="1101" spans="1:19" x14ac:dyDescent="0.35">
      <c r="A1101">
        <v>1118</v>
      </c>
      <c r="B1101" t="s">
        <v>3226</v>
      </c>
      <c r="C1101" s="1">
        <v>42617</v>
      </c>
      <c r="D1101" s="1">
        <v>42621</v>
      </c>
      <c r="E1101" s="1" t="str">
        <f t="shared" si="17"/>
        <v>FAST</v>
      </c>
      <c r="F1101" t="s">
        <v>46</v>
      </c>
      <c r="G1101" t="s">
        <v>3227</v>
      </c>
      <c r="H1101" t="s">
        <v>3228</v>
      </c>
      <c r="I1101" t="s">
        <v>22</v>
      </c>
      <c r="J1101" t="s">
        <v>23</v>
      </c>
      <c r="K1101" t="s">
        <v>3229</v>
      </c>
      <c r="L1101" t="s">
        <v>1258</v>
      </c>
      <c r="M1101">
        <v>30076</v>
      </c>
      <c r="N1101" t="s">
        <v>26</v>
      </c>
      <c r="O1101" t="s">
        <v>1239</v>
      </c>
      <c r="P1101" t="s">
        <v>42</v>
      </c>
      <c r="Q1101" t="s">
        <v>86</v>
      </c>
      <c r="R1101" t="s">
        <v>1426</v>
      </c>
      <c r="S1101">
        <v>279.89999999999998</v>
      </c>
    </row>
    <row r="1102" spans="1:19" x14ac:dyDescent="0.35">
      <c r="A1102">
        <v>1119</v>
      </c>
      <c r="B1102" t="s">
        <v>3226</v>
      </c>
      <c r="C1102" s="1">
        <v>42617</v>
      </c>
      <c r="D1102" s="1">
        <v>42621</v>
      </c>
      <c r="E1102" s="1" t="str">
        <f t="shared" si="17"/>
        <v>FAST</v>
      </c>
      <c r="F1102" t="s">
        <v>46</v>
      </c>
      <c r="G1102" t="s">
        <v>3227</v>
      </c>
      <c r="H1102" t="s">
        <v>3228</v>
      </c>
      <c r="I1102" t="s">
        <v>22</v>
      </c>
      <c r="J1102" t="s">
        <v>23</v>
      </c>
      <c r="K1102" t="s">
        <v>3229</v>
      </c>
      <c r="L1102" t="s">
        <v>1258</v>
      </c>
      <c r="M1102">
        <v>30076</v>
      </c>
      <c r="N1102" t="s">
        <v>26</v>
      </c>
      <c r="O1102" t="s">
        <v>2677</v>
      </c>
      <c r="P1102" t="s">
        <v>67</v>
      </c>
      <c r="Q1102" t="s">
        <v>157</v>
      </c>
      <c r="R1102" t="s">
        <v>2678</v>
      </c>
      <c r="S1102">
        <v>619.95000000000005</v>
      </c>
    </row>
    <row r="1103" spans="1:19" x14ac:dyDescent="0.35">
      <c r="A1103">
        <v>1120</v>
      </c>
      <c r="B1103" t="s">
        <v>3226</v>
      </c>
      <c r="C1103" s="1">
        <v>42617</v>
      </c>
      <c r="D1103" s="1">
        <v>42621</v>
      </c>
      <c r="E1103" s="1" t="str">
        <f t="shared" si="17"/>
        <v>FAST</v>
      </c>
      <c r="F1103" t="s">
        <v>46</v>
      </c>
      <c r="G1103" t="s">
        <v>3227</v>
      </c>
      <c r="H1103" t="s">
        <v>3228</v>
      </c>
      <c r="I1103" t="s">
        <v>22</v>
      </c>
      <c r="J1103" t="s">
        <v>23</v>
      </c>
      <c r="K1103" t="s">
        <v>3229</v>
      </c>
      <c r="L1103" t="s">
        <v>1258</v>
      </c>
      <c r="M1103">
        <v>30076</v>
      </c>
      <c r="N1103" t="s">
        <v>26</v>
      </c>
      <c r="O1103" t="s">
        <v>3230</v>
      </c>
      <c r="P1103" t="s">
        <v>42</v>
      </c>
      <c r="Q1103" t="s">
        <v>86</v>
      </c>
      <c r="R1103" t="s">
        <v>3231</v>
      </c>
      <c r="S1103">
        <v>4.3600000000000003</v>
      </c>
    </row>
    <row r="1104" spans="1:19" x14ac:dyDescent="0.35">
      <c r="A1104">
        <v>1121</v>
      </c>
      <c r="B1104" t="s">
        <v>3226</v>
      </c>
      <c r="C1104" s="1">
        <v>42617</v>
      </c>
      <c r="D1104" s="1">
        <v>42621</v>
      </c>
      <c r="E1104" s="1" t="str">
        <f t="shared" si="17"/>
        <v>FAST</v>
      </c>
      <c r="F1104" t="s">
        <v>46</v>
      </c>
      <c r="G1104" t="s">
        <v>3227</v>
      </c>
      <c r="H1104" t="s">
        <v>3228</v>
      </c>
      <c r="I1104" t="s">
        <v>22</v>
      </c>
      <c r="J1104" t="s">
        <v>23</v>
      </c>
      <c r="K1104" t="s">
        <v>3229</v>
      </c>
      <c r="L1104" t="s">
        <v>1258</v>
      </c>
      <c r="M1104">
        <v>30076</v>
      </c>
      <c r="N1104" t="s">
        <v>26</v>
      </c>
      <c r="O1104" t="s">
        <v>2548</v>
      </c>
      <c r="P1104" t="s">
        <v>42</v>
      </c>
      <c r="Q1104" t="s">
        <v>169</v>
      </c>
      <c r="R1104" t="s">
        <v>2549</v>
      </c>
      <c r="S1104">
        <v>15.28</v>
      </c>
    </row>
    <row r="1105" spans="1:19" x14ac:dyDescent="0.35">
      <c r="A1105">
        <v>1122</v>
      </c>
      <c r="B1105" t="s">
        <v>3232</v>
      </c>
      <c r="C1105" s="1">
        <v>42024</v>
      </c>
      <c r="D1105" s="1">
        <v>42030</v>
      </c>
      <c r="E1105" s="1" t="str">
        <f t="shared" si="17"/>
        <v>FAST</v>
      </c>
      <c r="F1105" t="s">
        <v>46</v>
      </c>
      <c r="G1105" t="s">
        <v>2726</v>
      </c>
      <c r="H1105" t="s">
        <v>2727</v>
      </c>
      <c r="I1105" t="s">
        <v>22</v>
      </c>
      <c r="J1105" t="s">
        <v>23</v>
      </c>
      <c r="K1105" t="s">
        <v>3233</v>
      </c>
      <c r="L1105" t="s">
        <v>1687</v>
      </c>
      <c r="M1105">
        <v>72401</v>
      </c>
      <c r="N1105" t="s">
        <v>26</v>
      </c>
      <c r="O1105" t="s">
        <v>3234</v>
      </c>
      <c r="P1105" t="s">
        <v>67</v>
      </c>
      <c r="Q1105" t="s">
        <v>68</v>
      </c>
      <c r="R1105" t="s">
        <v>3235</v>
      </c>
      <c r="S1105">
        <v>699.93</v>
      </c>
    </row>
    <row r="1106" spans="1:19" x14ac:dyDescent="0.35">
      <c r="A1106">
        <v>1123</v>
      </c>
      <c r="B1106" t="s">
        <v>3232</v>
      </c>
      <c r="C1106" s="1">
        <v>42024</v>
      </c>
      <c r="D1106" s="1">
        <v>42030</v>
      </c>
      <c r="E1106" s="1" t="str">
        <f t="shared" si="17"/>
        <v>FAST</v>
      </c>
      <c r="F1106" t="s">
        <v>46</v>
      </c>
      <c r="G1106" t="s">
        <v>2726</v>
      </c>
      <c r="H1106" t="s">
        <v>2727</v>
      </c>
      <c r="I1106" t="s">
        <v>22</v>
      </c>
      <c r="J1106" t="s">
        <v>23</v>
      </c>
      <c r="K1106" t="s">
        <v>3233</v>
      </c>
      <c r="L1106" t="s">
        <v>1687</v>
      </c>
      <c r="M1106">
        <v>72401</v>
      </c>
      <c r="N1106" t="s">
        <v>26</v>
      </c>
      <c r="O1106" t="s">
        <v>3236</v>
      </c>
      <c r="P1106" t="s">
        <v>42</v>
      </c>
      <c r="Q1106" t="s">
        <v>64</v>
      </c>
      <c r="R1106" t="s">
        <v>3237</v>
      </c>
      <c r="S1106">
        <v>22.96</v>
      </c>
    </row>
    <row r="1107" spans="1:19" x14ac:dyDescent="0.35">
      <c r="A1107">
        <v>1124</v>
      </c>
      <c r="B1107" t="s">
        <v>3232</v>
      </c>
      <c r="C1107" s="1">
        <v>42024</v>
      </c>
      <c r="D1107" s="1">
        <v>42030</v>
      </c>
      <c r="E1107" s="1" t="str">
        <f t="shared" si="17"/>
        <v>FAST</v>
      </c>
      <c r="F1107" t="s">
        <v>46</v>
      </c>
      <c r="G1107" t="s">
        <v>2726</v>
      </c>
      <c r="H1107" t="s">
        <v>2727</v>
      </c>
      <c r="I1107" t="s">
        <v>22</v>
      </c>
      <c r="J1107" t="s">
        <v>23</v>
      </c>
      <c r="K1107" t="s">
        <v>3233</v>
      </c>
      <c r="L1107" t="s">
        <v>1687</v>
      </c>
      <c r="M1107">
        <v>72401</v>
      </c>
      <c r="N1107" t="s">
        <v>26</v>
      </c>
      <c r="O1107" t="s">
        <v>344</v>
      </c>
      <c r="P1107" t="s">
        <v>28</v>
      </c>
      <c r="Q1107" t="s">
        <v>61</v>
      </c>
      <c r="R1107" t="s">
        <v>345</v>
      </c>
      <c r="S1107">
        <v>38.6</v>
      </c>
    </row>
    <row r="1108" spans="1:19" x14ac:dyDescent="0.35">
      <c r="A1108">
        <v>1125</v>
      </c>
      <c r="B1108" t="s">
        <v>3232</v>
      </c>
      <c r="C1108" s="1">
        <v>42024</v>
      </c>
      <c r="D1108" s="1">
        <v>42030</v>
      </c>
      <c r="E1108" s="1" t="str">
        <f t="shared" si="17"/>
        <v>FAST</v>
      </c>
      <c r="F1108" t="s">
        <v>46</v>
      </c>
      <c r="G1108" t="s">
        <v>2726</v>
      </c>
      <c r="H1108" t="s">
        <v>2727</v>
      </c>
      <c r="I1108" t="s">
        <v>22</v>
      </c>
      <c r="J1108" t="s">
        <v>23</v>
      </c>
      <c r="K1108" t="s">
        <v>3233</v>
      </c>
      <c r="L1108" t="s">
        <v>1687</v>
      </c>
      <c r="M1108">
        <v>72401</v>
      </c>
      <c r="N1108" t="s">
        <v>26</v>
      </c>
      <c r="O1108" t="s">
        <v>1736</v>
      </c>
      <c r="P1108" t="s">
        <v>42</v>
      </c>
      <c r="Q1108" t="s">
        <v>64</v>
      </c>
      <c r="R1108" t="s">
        <v>1737</v>
      </c>
      <c r="S1108">
        <v>6.63</v>
      </c>
    </row>
    <row r="1109" spans="1:19" x14ac:dyDescent="0.35">
      <c r="A1109">
        <v>1126</v>
      </c>
      <c r="B1109" t="s">
        <v>3232</v>
      </c>
      <c r="C1109" s="1">
        <v>42024</v>
      </c>
      <c r="D1109" s="1">
        <v>42030</v>
      </c>
      <c r="E1109" s="1" t="str">
        <f t="shared" si="17"/>
        <v>FAST</v>
      </c>
      <c r="F1109" t="s">
        <v>46</v>
      </c>
      <c r="G1109" t="s">
        <v>2726</v>
      </c>
      <c r="H1109" t="s">
        <v>2727</v>
      </c>
      <c r="I1109" t="s">
        <v>22</v>
      </c>
      <c r="J1109" t="s">
        <v>23</v>
      </c>
      <c r="K1109" t="s">
        <v>3233</v>
      </c>
      <c r="L1109" t="s">
        <v>1687</v>
      </c>
      <c r="M1109">
        <v>72401</v>
      </c>
      <c r="N1109" t="s">
        <v>26</v>
      </c>
      <c r="O1109" t="s">
        <v>3238</v>
      </c>
      <c r="P1109" t="s">
        <v>42</v>
      </c>
      <c r="Q1109" t="s">
        <v>169</v>
      </c>
      <c r="R1109" t="s">
        <v>658</v>
      </c>
      <c r="S1109">
        <v>23.34</v>
      </c>
    </row>
    <row r="1110" spans="1:19" x14ac:dyDescent="0.35">
      <c r="A1110">
        <v>1127</v>
      </c>
      <c r="B1110" t="s">
        <v>3232</v>
      </c>
      <c r="C1110" s="1">
        <v>42024</v>
      </c>
      <c r="D1110" s="1">
        <v>42030</v>
      </c>
      <c r="E1110" s="1" t="str">
        <f t="shared" si="17"/>
        <v>FAST</v>
      </c>
      <c r="F1110" t="s">
        <v>46</v>
      </c>
      <c r="G1110" t="s">
        <v>2726</v>
      </c>
      <c r="H1110" t="s">
        <v>2727</v>
      </c>
      <c r="I1110" t="s">
        <v>22</v>
      </c>
      <c r="J1110" t="s">
        <v>23</v>
      </c>
      <c r="K1110" t="s">
        <v>3233</v>
      </c>
      <c r="L1110" t="s">
        <v>1687</v>
      </c>
      <c r="M1110">
        <v>72401</v>
      </c>
      <c r="N1110" t="s">
        <v>26</v>
      </c>
      <c r="O1110" t="s">
        <v>1570</v>
      </c>
      <c r="P1110" t="s">
        <v>28</v>
      </c>
      <c r="Q1110" t="s">
        <v>32</v>
      </c>
      <c r="R1110" t="s">
        <v>1571</v>
      </c>
      <c r="S1110">
        <v>1067.94</v>
      </c>
    </row>
    <row r="1111" spans="1:19" x14ac:dyDescent="0.35">
      <c r="A1111">
        <v>1129</v>
      </c>
      <c r="B1111" t="s">
        <v>3239</v>
      </c>
      <c r="C1111" s="1">
        <v>42431</v>
      </c>
      <c r="D1111" s="1">
        <v>42436</v>
      </c>
      <c r="E1111" s="1" t="str">
        <f t="shared" si="17"/>
        <v>FAST</v>
      </c>
      <c r="F1111" t="s">
        <v>46</v>
      </c>
      <c r="G1111" t="s">
        <v>462</v>
      </c>
      <c r="H1111" t="s">
        <v>463</v>
      </c>
      <c r="I1111" t="s">
        <v>98</v>
      </c>
      <c r="J1111" t="s">
        <v>23</v>
      </c>
      <c r="K1111" t="s">
        <v>1448</v>
      </c>
      <c r="L1111" t="s">
        <v>248</v>
      </c>
      <c r="M1111">
        <v>47374</v>
      </c>
      <c r="N1111" t="s">
        <v>101</v>
      </c>
      <c r="O1111" t="s">
        <v>2396</v>
      </c>
      <c r="P1111" t="s">
        <v>42</v>
      </c>
      <c r="Q1111" t="s">
        <v>169</v>
      </c>
      <c r="R1111" t="s">
        <v>2397</v>
      </c>
      <c r="S1111">
        <v>101.88</v>
      </c>
    </row>
    <row r="1112" spans="1:19" x14ac:dyDescent="0.35">
      <c r="A1112">
        <v>1130</v>
      </c>
      <c r="B1112" t="s">
        <v>3240</v>
      </c>
      <c r="C1112" s="1">
        <v>42837</v>
      </c>
      <c r="D1112" s="1">
        <v>42841</v>
      </c>
      <c r="E1112" s="1" t="str">
        <f t="shared" si="17"/>
        <v>FAST</v>
      </c>
      <c r="F1112" t="s">
        <v>46</v>
      </c>
      <c r="G1112" t="s">
        <v>1766</v>
      </c>
      <c r="H1112" t="s">
        <v>1767</v>
      </c>
      <c r="I1112" t="s">
        <v>22</v>
      </c>
      <c r="J1112" t="s">
        <v>23</v>
      </c>
      <c r="K1112" t="s">
        <v>312</v>
      </c>
      <c r="L1112" t="s">
        <v>313</v>
      </c>
      <c r="M1112">
        <v>22153</v>
      </c>
      <c r="N1112" t="s">
        <v>26</v>
      </c>
      <c r="O1112" t="s">
        <v>3241</v>
      </c>
      <c r="P1112" t="s">
        <v>28</v>
      </c>
      <c r="Q1112" t="s">
        <v>52</v>
      </c>
      <c r="R1112" t="s">
        <v>3242</v>
      </c>
      <c r="S1112">
        <v>343.92</v>
      </c>
    </row>
    <row r="1113" spans="1:19" x14ac:dyDescent="0.35">
      <c r="A1113">
        <v>1131</v>
      </c>
      <c r="B1113" t="s">
        <v>3240</v>
      </c>
      <c r="C1113" s="1">
        <v>42837</v>
      </c>
      <c r="D1113" s="1">
        <v>42841</v>
      </c>
      <c r="E1113" s="1" t="str">
        <f t="shared" si="17"/>
        <v>FAST</v>
      </c>
      <c r="F1113" t="s">
        <v>46</v>
      </c>
      <c r="G1113" t="s">
        <v>1766</v>
      </c>
      <c r="H1113" t="s">
        <v>1767</v>
      </c>
      <c r="I1113" t="s">
        <v>22</v>
      </c>
      <c r="J1113" t="s">
        <v>23</v>
      </c>
      <c r="K1113" t="s">
        <v>312</v>
      </c>
      <c r="L1113" t="s">
        <v>313</v>
      </c>
      <c r="M1113">
        <v>22153</v>
      </c>
      <c r="N1113" t="s">
        <v>26</v>
      </c>
      <c r="O1113" t="s">
        <v>3243</v>
      </c>
      <c r="P1113" t="s">
        <v>42</v>
      </c>
      <c r="Q1113" t="s">
        <v>86</v>
      </c>
      <c r="R1113" t="s">
        <v>3244</v>
      </c>
      <c r="S1113">
        <v>40.99</v>
      </c>
    </row>
    <row r="1114" spans="1:19" x14ac:dyDescent="0.35">
      <c r="A1114">
        <v>1132</v>
      </c>
      <c r="B1114" t="s">
        <v>3240</v>
      </c>
      <c r="C1114" s="1">
        <v>42837</v>
      </c>
      <c r="D1114" s="1">
        <v>42841</v>
      </c>
      <c r="E1114" s="1" t="str">
        <f t="shared" si="17"/>
        <v>FAST</v>
      </c>
      <c r="F1114" t="s">
        <v>46</v>
      </c>
      <c r="G1114" t="s">
        <v>1766</v>
      </c>
      <c r="H1114" t="s">
        <v>1767</v>
      </c>
      <c r="I1114" t="s">
        <v>22</v>
      </c>
      <c r="J1114" t="s">
        <v>23</v>
      </c>
      <c r="K1114" t="s">
        <v>312</v>
      </c>
      <c r="L1114" t="s">
        <v>313</v>
      </c>
      <c r="M1114">
        <v>22153</v>
      </c>
      <c r="N1114" t="s">
        <v>26</v>
      </c>
      <c r="O1114" t="s">
        <v>513</v>
      </c>
      <c r="P1114" t="s">
        <v>42</v>
      </c>
      <c r="Q1114" t="s">
        <v>169</v>
      </c>
      <c r="R1114" t="s">
        <v>514</v>
      </c>
      <c r="S1114">
        <v>63.9</v>
      </c>
    </row>
    <row r="1115" spans="1:19" x14ac:dyDescent="0.35">
      <c r="A1115">
        <v>1133</v>
      </c>
      <c r="B1115" t="s">
        <v>3245</v>
      </c>
      <c r="C1115" s="1">
        <v>43075</v>
      </c>
      <c r="D1115" s="1">
        <v>43076</v>
      </c>
      <c r="E1115" s="1" t="str">
        <f t="shared" si="17"/>
        <v>MODERATE</v>
      </c>
      <c r="F1115" t="s">
        <v>184</v>
      </c>
      <c r="G1115" t="s">
        <v>500</v>
      </c>
      <c r="H1115" t="s">
        <v>501</v>
      </c>
      <c r="I1115" t="s">
        <v>37</v>
      </c>
      <c r="J1115" t="s">
        <v>23</v>
      </c>
      <c r="K1115" t="s">
        <v>3246</v>
      </c>
      <c r="L1115" t="s">
        <v>39</v>
      </c>
      <c r="M1115">
        <v>94509</v>
      </c>
      <c r="N1115" t="s">
        <v>40</v>
      </c>
      <c r="O1115" t="s">
        <v>1045</v>
      </c>
      <c r="P1115" t="s">
        <v>42</v>
      </c>
      <c r="Q1115" t="s">
        <v>86</v>
      </c>
      <c r="R1115" t="s">
        <v>1046</v>
      </c>
      <c r="S1115">
        <v>19.440000000000001</v>
      </c>
    </row>
    <row r="1116" spans="1:19" x14ac:dyDescent="0.35">
      <c r="A1116">
        <v>1134</v>
      </c>
      <c r="B1116" t="s">
        <v>3247</v>
      </c>
      <c r="C1116" s="1">
        <v>42891</v>
      </c>
      <c r="D1116" s="1">
        <v>42895</v>
      </c>
      <c r="E1116" s="1" t="str">
        <f t="shared" si="17"/>
        <v>FAST</v>
      </c>
      <c r="F1116" t="s">
        <v>46</v>
      </c>
      <c r="G1116" t="s">
        <v>1590</v>
      </c>
      <c r="H1116" t="s">
        <v>1591</v>
      </c>
      <c r="I1116" t="s">
        <v>98</v>
      </c>
      <c r="J1116" t="s">
        <v>23</v>
      </c>
      <c r="K1116" t="s">
        <v>142</v>
      </c>
      <c r="L1116" t="s">
        <v>143</v>
      </c>
      <c r="M1116">
        <v>19134</v>
      </c>
      <c r="N1116" t="s">
        <v>144</v>
      </c>
      <c r="O1116" t="s">
        <v>211</v>
      </c>
      <c r="P1116" t="s">
        <v>42</v>
      </c>
      <c r="Q1116" t="s">
        <v>55</v>
      </c>
      <c r="R1116" t="s">
        <v>212</v>
      </c>
      <c r="S1116">
        <v>124.608</v>
      </c>
    </row>
    <row r="1117" spans="1:19" x14ac:dyDescent="0.35">
      <c r="A1117">
        <v>1135</v>
      </c>
      <c r="B1117" t="s">
        <v>3247</v>
      </c>
      <c r="C1117" s="1">
        <v>42891</v>
      </c>
      <c r="D1117" s="1">
        <v>42895</v>
      </c>
      <c r="E1117" s="1" t="str">
        <f t="shared" si="17"/>
        <v>FAST</v>
      </c>
      <c r="F1117" t="s">
        <v>46</v>
      </c>
      <c r="G1117" t="s">
        <v>1590</v>
      </c>
      <c r="H1117" t="s">
        <v>1591</v>
      </c>
      <c r="I1117" t="s">
        <v>98</v>
      </c>
      <c r="J1117" t="s">
        <v>23</v>
      </c>
      <c r="K1117" t="s">
        <v>142</v>
      </c>
      <c r="L1117" t="s">
        <v>143</v>
      </c>
      <c r="M1117">
        <v>19134</v>
      </c>
      <c r="N1117" t="s">
        <v>144</v>
      </c>
      <c r="O1117" t="s">
        <v>3248</v>
      </c>
      <c r="P1117" t="s">
        <v>42</v>
      </c>
      <c r="Q1117" t="s">
        <v>43</v>
      </c>
      <c r="R1117" t="s">
        <v>3249</v>
      </c>
      <c r="S1117">
        <v>7.56</v>
      </c>
    </row>
    <row r="1118" spans="1:19" x14ac:dyDescent="0.35">
      <c r="A1118">
        <v>1136</v>
      </c>
      <c r="B1118" t="s">
        <v>3250</v>
      </c>
      <c r="C1118" s="1">
        <v>43080</v>
      </c>
      <c r="D1118" s="1">
        <v>43080</v>
      </c>
      <c r="E1118" s="1" t="str">
        <f t="shared" si="17"/>
        <v>MODERATE</v>
      </c>
      <c r="F1118" t="s">
        <v>1276</v>
      </c>
      <c r="G1118" t="s">
        <v>1970</v>
      </c>
      <c r="H1118" t="s">
        <v>1971</v>
      </c>
      <c r="I1118" t="s">
        <v>22</v>
      </c>
      <c r="J1118" t="s">
        <v>23</v>
      </c>
      <c r="K1118" t="s">
        <v>3251</v>
      </c>
      <c r="L1118" t="s">
        <v>50</v>
      </c>
      <c r="M1118">
        <v>33030</v>
      </c>
      <c r="N1118" t="s">
        <v>26</v>
      </c>
      <c r="O1118" t="s">
        <v>3252</v>
      </c>
      <c r="P1118" t="s">
        <v>42</v>
      </c>
      <c r="Q1118" t="s">
        <v>55</v>
      </c>
      <c r="R1118" t="s">
        <v>3253</v>
      </c>
      <c r="S1118">
        <v>85.224000000000004</v>
      </c>
    </row>
    <row r="1119" spans="1:19" x14ac:dyDescent="0.35">
      <c r="A1119">
        <v>1137</v>
      </c>
      <c r="B1119" t="s">
        <v>3254</v>
      </c>
      <c r="C1119" s="1">
        <v>43051</v>
      </c>
      <c r="D1119" s="1">
        <v>43054</v>
      </c>
      <c r="E1119" s="1" t="str">
        <f t="shared" si="17"/>
        <v>SLOW</v>
      </c>
      <c r="F1119" t="s">
        <v>19</v>
      </c>
      <c r="G1119" t="s">
        <v>3255</v>
      </c>
      <c r="H1119" t="s">
        <v>3256</v>
      </c>
      <c r="I1119" t="s">
        <v>37</v>
      </c>
      <c r="J1119" t="s">
        <v>23</v>
      </c>
      <c r="K1119" t="s">
        <v>3257</v>
      </c>
      <c r="L1119" t="s">
        <v>248</v>
      </c>
      <c r="M1119">
        <v>46350</v>
      </c>
      <c r="N1119" t="s">
        <v>101</v>
      </c>
      <c r="O1119" t="s">
        <v>3258</v>
      </c>
      <c r="P1119" t="s">
        <v>42</v>
      </c>
      <c r="Q1119" t="s">
        <v>169</v>
      </c>
      <c r="R1119" t="s">
        <v>3259</v>
      </c>
      <c r="S1119">
        <v>287.52</v>
      </c>
    </row>
    <row r="1120" spans="1:19" x14ac:dyDescent="0.35">
      <c r="A1120">
        <v>1138</v>
      </c>
      <c r="B1120" t="s">
        <v>3254</v>
      </c>
      <c r="C1120" s="1">
        <v>43051</v>
      </c>
      <c r="D1120" s="1">
        <v>43054</v>
      </c>
      <c r="E1120" s="1" t="str">
        <f t="shared" si="17"/>
        <v>SLOW</v>
      </c>
      <c r="F1120" t="s">
        <v>19</v>
      </c>
      <c r="G1120" t="s">
        <v>3255</v>
      </c>
      <c r="H1120" t="s">
        <v>3256</v>
      </c>
      <c r="I1120" t="s">
        <v>37</v>
      </c>
      <c r="J1120" t="s">
        <v>23</v>
      </c>
      <c r="K1120" t="s">
        <v>3257</v>
      </c>
      <c r="L1120" t="s">
        <v>248</v>
      </c>
      <c r="M1120">
        <v>46350</v>
      </c>
      <c r="N1120" t="s">
        <v>101</v>
      </c>
      <c r="O1120" t="s">
        <v>2117</v>
      </c>
      <c r="P1120" t="s">
        <v>42</v>
      </c>
      <c r="Q1120" t="s">
        <v>74</v>
      </c>
      <c r="R1120" t="s">
        <v>2118</v>
      </c>
      <c r="S1120">
        <v>37.68</v>
      </c>
    </row>
    <row r="1121" spans="1:19" x14ac:dyDescent="0.35">
      <c r="A1121">
        <v>1139</v>
      </c>
      <c r="B1121" t="s">
        <v>3254</v>
      </c>
      <c r="C1121" s="1">
        <v>43051</v>
      </c>
      <c r="D1121" s="1">
        <v>43054</v>
      </c>
      <c r="E1121" s="1" t="str">
        <f t="shared" si="17"/>
        <v>SLOW</v>
      </c>
      <c r="F1121" t="s">
        <v>19</v>
      </c>
      <c r="G1121" t="s">
        <v>3255</v>
      </c>
      <c r="H1121" t="s">
        <v>3256</v>
      </c>
      <c r="I1121" t="s">
        <v>37</v>
      </c>
      <c r="J1121" t="s">
        <v>23</v>
      </c>
      <c r="K1121" t="s">
        <v>3257</v>
      </c>
      <c r="L1121" t="s">
        <v>248</v>
      </c>
      <c r="M1121">
        <v>46350</v>
      </c>
      <c r="N1121" t="s">
        <v>101</v>
      </c>
      <c r="O1121" t="s">
        <v>3260</v>
      </c>
      <c r="P1121" t="s">
        <v>42</v>
      </c>
      <c r="Q1121" t="s">
        <v>86</v>
      </c>
      <c r="R1121" t="s">
        <v>3261</v>
      </c>
      <c r="S1121">
        <v>19.98</v>
      </c>
    </row>
    <row r="1122" spans="1:19" x14ac:dyDescent="0.35">
      <c r="A1122">
        <v>1140</v>
      </c>
      <c r="B1122" t="s">
        <v>3254</v>
      </c>
      <c r="C1122" s="1">
        <v>43051</v>
      </c>
      <c r="D1122" s="1">
        <v>43054</v>
      </c>
      <c r="E1122" s="1" t="str">
        <f t="shared" si="17"/>
        <v>SLOW</v>
      </c>
      <c r="F1122" t="s">
        <v>19</v>
      </c>
      <c r="G1122" t="s">
        <v>3255</v>
      </c>
      <c r="H1122" t="s">
        <v>3256</v>
      </c>
      <c r="I1122" t="s">
        <v>37</v>
      </c>
      <c r="J1122" t="s">
        <v>23</v>
      </c>
      <c r="K1122" t="s">
        <v>3257</v>
      </c>
      <c r="L1122" t="s">
        <v>248</v>
      </c>
      <c r="M1122">
        <v>46350</v>
      </c>
      <c r="N1122" t="s">
        <v>101</v>
      </c>
      <c r="O1122" t="s">
        <v>1922</v>
      </c>
      <c r="P1122" t="s">
        <v>42</v>
      </c>
      <c r="Q1122" t="s">
        <v>64</v>
      </c>
      <c r="R1122" t="s">
        <v>1923</v>
      </c>
      <c r="S1122">
        <v>20.58</v>
      </c>
    </row>
    <row r="1123" spans="1:19" x14ac:dyDescent="0.35">
      <c r="A1123">
        <v>1141</v>
      </c>
      <c r="B1123" t="s">
        <v>3254</v>
      </c>
      <c r="C1123" s="1">
        <v>43051</v>
      </c>
      <c r="D1123" s="1">
        <v>43054</v>
      </c>
      <c r="E1123" s="1" t="str">
        <f t="shared" si="17"/>
        <v>SLOW</v>
      </c>
      <c r="F1123" t="s">
        <v>19</v>
      </c>
      <c r="G1123" t="s">
        <v>3255</v>
      </c>
      <c r="H1123" t="s">
        <v>3256</v>
      </c>
      <c r="I1123" t="s">
        <v>37</v>
      </c>
      <c r="J1123" t="s">
        <v>23</v>
      </c>
      <c r="K1123" t="s">
        <v>3257</v>
      </c>
      <c r="L1123" t="s">
        <v>248</v>
      </c>
      <c r="M1123">
        <v>46350</v>
      </c>
      <c r="N1123" t="s">
        <v>101</v>
      </c>
      <c r="O1123" t="s">
        <v>3262</v>
      </c>
      <c r="P1123" t="s">
        <v>42</v>
      </c>
      <c r="Q1123" t="s">
        <v>71</v>
      </c>
      <c r="R1123" t="s">
        <v>3263</v>
      </c>
      <c r="S1123">
        <v>17.38</v>
      </c>
    </row>
    <row r="1124" spans="1:19" x14ac:dyDescent="0.35">
      <c r="A1124">
        <v>1142</v>
      </c>
      <c r="B1124" t="s">
        <v>3264</v>
      </c>
      <c r="C1124" s="1">
        <v>42276</v>
      </c>
      <c r="D1124" s="1">
        <v>42280</v>
      </c>
      <c r="E1124" s="1" t="str">
        <f t="shared" si="17"/>
        <v>FAST</v>
      </c>
      <c r="F1124" t="s">
        <v>46</v>
      </c>
      <c r="G1124" t="s">
        <v>2264</v>
      </c>
      <c r="H1124" t="s">
        <v>2265</v>
      </c>
      <c r="I1124" t="s">
        <v>22</v>
      </c>
      <c r="J1124" t="s">
        <v>23</v>
      </c>
      <c r="K1124" t="s">
        <v>38</v>
      </c>
      <c r="L1124" t="s">
        <v>39</v>
      </c>
      <c r="M1124">
        <v>90045</v>
      </c>
      <c r="N1124" t="s">
        <v>40</v>
      </c>
      <c r="O1124" t="s">
        <v>2877</v>
      </c>
      <c r="P1124" t="s">
        <v>28</v>
      </c>
      <c r="Q1124" t="s">
        <v>61</v>
      </c>
      <c r="R1124" t="s">
        <v>2878</v>
      </c>
      <c r="S1124">
        <v>204.6</v>
      </c>
    </row>
    <row r="1125" spans="1:19" x14ac:dyDescent="0.35">
      <c r="A1125">
        <v>1143</v>
      </c>
      <c r="B1125" t="s">
        <v>3264</v>
      </c>
      <c r="C1125" s="1">
        <v>42276</v>
      </c>
      <c r="D1125" s="1">
        <v>42280</v>
      </c>
      <c r="E1125" s="1" t="str">
        <f t="shared" si="17"/>
        <v>FAST</v>
      </c>
      <c r="F1125" t="s">
        <v>46</v>
      </c>
      <c r="G1125" t="s">
        <v>2264</v>
      </c>
      <c r="H1125" t="s">
        <v>2265</v>
      </c>
      <c r="I1125" t="s">
        <v>22</v>
      </c>
      <c r="J1125" t="s">
        <v>23</v>
      </c>
      <c r="K1125" t="s">
        <v>38</v>
      </c>
      <c r="L1125" t="s">
        <v>39</v>
      </c>
      <c r="M1125">
        <v>90045</v>
      </c>
      <c r="N1125" t="s">
        <v>40</v>
      </c>
      <c r="O1125" t="s">
        <v>3265</v>
      </c>
      <c r="P1125" t="s">
        <v>42</v>
      </c>
      <c r="Q1125" t="s">
        <v>263</v>
      </c>
      <c r="R1125" t="s">
        <v>3266</v>
      </c>
      <c r="S1125">
        <v>8.7200000000000006</v>
      </c>
    </row>
    <row r="1126" spans="1:19" x14ac:dyDescent="0.35">
      <c r="A1126">
        <v>1144</v>
      </c>
      <c r="B1126" t="s">
        <v>3264</v>
      </c>
      <c r="C1126" s="1">
        <v>42276</v>
      </c>
      <c r="D1126" s="1">
        <v>42280</v>
      </c>
      <c r="E1126" s="1" t="str">
        <f t="shared" si="17"/>
        <v>FAST</v>
      </c>
      <c r="F1126" t="s">
        <v>46</v>
      </c>
      <c r="G1126" t="s">
        <v>2264</v>
      </c>
      <c r="H1126" t="s">
        <v>2265</v>
      </c>
      <c r="I1126" t="s">
        <v>22</v>
      </c>
      <c r="J1126" t="s">
        <v>23</v>
      </c>
      <c r="K1126" t="s">
        <v>38</v>
      </c>
      <c r="L1126" t="s">
        <v>39</v>
      </c>
      <c r="M1126">
        <v>90045</v>
      </c>
      <c r="N1126" t="s">
        <v>40</v>
      </c>
      <c r="O1126" t="s">
        <v>1082</v>
      </c>
      <c r="P1126" t="s">
        <v>42</v>
      </c>
      <c r="Q1126" t="s">
        <v>86</v>
      </c>
      <c r="R1126" t="s">
        <v>1083</v>
      </c>
      <c r="S1126">
        <v>6.48</v>
      </c>
    </row>
    <row r="1127" spans="1:19" x14ac:dyDescent="0.35">
      <c r="A1127">
        <v>1145</v>
      </c>
      <c r="B1127" t="s">
        <v>3264</v>
      </c>
      <c r="C1127" s="1">
        <v>42276</v>
      </c>
      <c r="D1127" s="1">
        <v>42280</v>
      </c>
      <c r="E1127" s="1" t="str">
        <f t="shared" si="17"/>
        <v>FAST</v>
      </c>
      <c r="F1127" t="s">
        <v>46</v>
      </c>
      <c r="G1127" t="s">
        <v>2264</v>
      </c>
      <c r="H1127" t="s">
        <v>2265</v>
      </c>
      <c r="I1127" t="s">
        <v>22</v>
      </c>
      <c r="J1127" t="s">
        <v>23</v>
      </c>
      <c r="K1127" t="s">
        <v>38</v>
      </c>
      <c r="L1127" t="s">
        <v>39</v>
      </c>
      <c r="M1127">
        <v>90045</v>
      </c>
      <c r="N1127" t="s">
        <v>40</v>
      </c>
      <c r="O1127" t="s">
        <v>3267</v>
      </c>
      <c r="P1127" t="s">
        <v>67</v>
      </c>
      <c r="Q1127" t="s">
        <v>671</v>
      </c>
      <c r="R1127" t="s">
        <v>3268</v>
      </c>
      <c r="S1127">
        <v>686.32</v>
      </c>
    </row>
    <row r="1128" spans="1:19" x14ac:dyDescent="0.35">
      <c r="A1128">
        <v>1146</v>
      </c>
      <c r="B1128" t="s">
        <v>3264</v>
      </c>
      <c r="C1128" s="1">
        <v>42276</v>
      </c>
      <c r="D1128" s="1">
        <v>42280</v>
      </c>
      <c r="E1128" s="1" t="str">
        <f t="shared" si="17"/>
        <v>FAST</v>
      </c>
      <c r="F1128" t="s">
        <v>46</v>
      </c>
      <c r="G1128" t="s">
        <v>2264</v>
      </c>
      <c r="H1128" t="s">
        <v>2265</v>
      </c>
      <c r="I1128" t="s">
        <v>22</v>
      </c>
      <c r="J1128" t="s">
        <v>23</v>
      </c>
      <c r="K1128" t="s">
        <v>38</v>
      </c>
      <c r="L1128" t="s">
        <v>39</v>
      </c>
      <c r="M1128">
        <v>90045</v>
      </c>
      <c r="N1128" t="s">
        <v>40</v>
      </c>
      <c r="O1128" t="s">
        <v>3187</v>
      </c>
      <c r="P1128" t="s">
        <v>42</v>
      </c>
      <c r="Q1128" t="s">
        <v>55</v>
      </c>
      <c r="R1128" t="s">
        <v>3188</v>
      </c>
      <c r="S1128">
        <v>62.18</v>
      </c>
    </row>
    <row r="1129" spans="1:19" x14ac:dyDescent="0.35">
      <c r="A1129">
        <v>1147</v>
      </c>
      <c r="B1129" t="s">
        <v>3269</v>
      </c>
      <c r="C1129" s="1">
        <v>42464</v>
      </c>
      <c r="D1129" s="1">
        <v>42464</v>
      </c>
      <c r="E1129" s="1" t="str">
        <f t="shared" si="17"/>
        <v>MODERATE</v>
      </c>
      <c r="F1129" t="s">
        <v>1276</v>
      </c>
      <c r="G1129" t="s">
        <v>3270</v>
      </c>
      <c r="H1129" t="s">
        <v>3271</v>
      </c>
      <c r="I1129" t="s">
        <v>22</v>
      </c>
      <c r="J1129" t="s">
        <v>23</v>
      </c>
      <c r="K1129" t="s">
        <v>3272</v>
      </c>
      <c r="L1129" t="s">
        <v>232</v>
      </c>
      <c r="M1129">
        <v>48911</v>
      </c>
      <c r="N1129" t="s">
        <v>101</v>
      </c>
      <c r="O1129" t="s">
        <v>3273</v>
      </c>
      <c r="P1129" t="s">
        <v>42</v>
      </c>
      <c r="Q1129" t="s">
        <v>74</v>
      </c>
      <c r="R1129" t="s">
        <v>3274</v>
      </c>
      <c r="S1129">
        <v>644.07600000000002</v>
      </c>
    </row>
    <row r="1130" spans="1:19" x14ac:dyDescent="0.35">
      <c r="A1130">
        <v>1148</v>
      </c>
      <c r="B1130" t="s">
        <v>3269</v>
      </c>
      <c r="C1130" s="1">
        <v>42464</v>
      </c>
      <c r="D1130" s="1">
        <v>42464</v>
      </c>
      <c r="E1130" s="1" t="str">
        <f t="shared" si="17"/>
        <v>MODERATE</v>
      </c>
      <c r="F1130" t="s">
        <v>1276</v>
      </c>
      <c r="G1130" t="s">
        <v>3270</v>
      </c>
      <c r="H1130" t="s">
        <v>3271</v>
      </c>
      <c r="I1130" t="s">
        <v>22</v>
      </c>
      <c r="J1130" t="s">
        <v>23</v>
      </c>
      <c r="K1130" t="s">
        <v>3272</v>
      </c>
      <c r="L1130" t="s">
        <v>232</v>
      </c>
      <c r="M1130">
        <v>48911</v>
      </c>
      <c r="N1130" t="s">
        <v>101</v>
      </c>
      <c r="O1130" t="s">
        <v>3275</v>
      </c>
      <c r="P1130" t="s">
        <v>42</v>
      </c>
      <c r="Q1130" t="s">
        <v>263</v>
      </c>
      <c r="R1130" t="s">
        <v>550</v>
      </c>
      <c r="S1130">
        <v>5.84</v>
      </c>
    </row>
    <row r="1131" spans="1:19" x14ac:dyDescent="0.35">
      <c r="A1131">
        <v>1149</v>
      </c>
      <c r="B1131" t="s">
        <v>3269</v>
      </c>
      <c r="C1131" s="1">
        <v>42464</v>
      </c>
      <c r="D1131" s="1">
        <v>42464</v>
      </c>
      <c r="E1131" s="1" t="str">
        <f t="shared" si="17"/>
        <v>MODERATE</v>
      </c>
      <c r="F1131" t="s">
        <v>1276</v>
      </c>
      <c r="G1131" t="s">
        <v>3270</v>
      </c>
      <c r="H1131" t="s">
        <v>3271</v>
      </c>
      <c r="I1131" t="s">
        <v>22</v>
      </c>
      <c r="J1131" t="s">
        <v>23</v>
      </c>
      <c r="K1131" t="s">
        <v>3272</v>
      </c>
      <c r="L1131" t="s">
        <v>232</v>
      </c>
      <c r="M1131">
        <v>48911</v>
      </c>
      <c r="N1131" t="s">
        <v>101</v>
      </c>
      <c r="O1131" t="s">
        <v>3276</v>
      </c>
      <c r="P1131" t="s">
        <v>42</v>
      </c>
      <c r="Q1131" t="s">
        <v>71</v>
      </c>
      <c r="R1131" t="s">
        <v>3277</v>
      </c>
      <c r="S1131">
        <v>12.76</v>
      </c>
    </row>
    <row r="1132" spans="1:19" x14ac:dyDescent="0.35">
      <c r="A1132">
        <v>1150</v>
      </c>
      <c r="B1132" t="s">
        <v>3269</v>
      </c>
      <c r="C1132" s="1">
        <v>42464</v>
      </c>
      <c r="D1132" s="1">
        <v>42464</v>
      </c>
      <c r="E1132" s="1" t="str">
        <f t="shared" si="17"/>
        <v>MODERATE</v>
      </c>
      <c r="F1132" t="s">
        <v>1276</v>
      </c>
      <c r="G1132" t="s">
        <v>3270</v>
      </c>
      <c r="H1132" t="s">
        <v>3271</v>
      </c>
      <c r="I1132" t="s">
        <v>22</v>
      </c>
      <c r="J1132" t="s">
        <v>23</v>
      </c>
      <c r="K1132" t="s">
        <v>3272</v>
      </c>
      <c r="L1132" t="s">
        <v>232</v>
      </c>
      <c r="M1132">
        <v>48911</v>
      </c>
      <c r="N1132" t="s">
        <v>101</v>
      </c>
      <c r="O1132" t="s">
        <v>3278</v>
      </c>
      <c r="P1132" t="s">
        <v>67</v>
      </c>
      <c r="Q1132" t="s">
        <v>68</v>
      </c>
      <c r="R1132" t="s">
        <v>3279</v>
      </c>
      <c r="S1132">
        <v>10.95</v>
      </c>
    </row>
    <row r="1133" spans="1:19" x14ac:dyDescent="0.35">
      <c r="A1133">
        <v>1151</v>
      </c>
      <c r="B1133" t="s">
        <v>3269</v>
      </c>
      <c r="C1133" s="1">
        <v>42464</v>
      </c>
      <c r="D1133" s="1">
        <v>42464</v>
      </c>
      <c r="E1133" s="1" t="str">
        <f t="shared" si="17"/>
        <v>MODERATE</v>
      </c>
      <c r="F1133" t="s">
        <v>1276</v>
      </c>
      <c r="G1133" t="s">
        <v>3270</v>
      </c>
      <c r="H1133" t="s">
        <v>3271</v>
      </c>
      <c r="I1133" t="s">
        <v>22</v>
      </c>
      <c r="J1133" t="s">
        <v>23</v>
      </c>
      <c r="K1133" t="s">
        <v>3272</v>
      </c>
      <c r="L1133" t="s">
        <v>232</v>
      </c>
      <c r="M1133">
        <v>48911</v>
      </c>
      <c r="N1133" t="s">
        <v>101</v>
      </c>
      <c r="O1133" t="s">
        <v>3280</v>
      </c>
      <c r="P1133" t="s">
        <v>67</v>
      </c>
      <c r="Q1133" t="s">
        <v>1204</v>
      </c>
      <c r="R1133" t="s">
        <v>3281</v>
      </c>
      <c r="S1133">
        <v>599.98</v>
      </c>
    </row>
    <row r="1134" spans="1:19" x14ac:dyDescent="0.35">
      <c r="A1134">
        <v>1152</v>
      </c>
      <c r="B1134" t="s">
        <v>3282</v>
      </c>
      <c r="C1134" s="1">
        <v>42498</v>
      </c>
      <c r="D1134" s="1">
        <v>42504</v>
      </c>
      <c r="E1134" s="1" t="str">
        <f t="shared" si="17"/>
        <v>FAST</v>
      </c>
      <c r="F1134" t="s">
        <v>46</v>
      </c>
      <c r="G1134" t="s">
        <v>983</v>
      </c>
      <c r="H1134" t="s">
        <v>984</v>
      </c>
      <c r="I1134" t="s">
        <v>37</v>
      </c>
      <c r="J1134" t="s">
        <v>23</v>
      </c>
      <c r="K1134" t="s">
        <v>3283</v>
      </c>
      <c r="L1134" t="s">
        <v>485</v>
      </c>
      <c r="M1134">
        <v>44221</v>
      </c>
      <c r="N1134" t="s">
        <v>144</v>
      </c>
      <c r="O1134" t="s">
        <v>3284</v>
      </c>
      <c r="P1134" t="s">
        <v>28</v>
      </c>
      <c r="Q1134" t="s">
        <v>61</v>
      </c>
      <c r="R1134" t="s">
        <v>3285</v>
      </c>
      <c r="S1134">
        <v>8.3520000000000003</v>
      </c>
    </row>
    <row r="1135" spans="1:19" x14ac:dyDescent="0.35">
      <c r="A1135">
        <v>1153</v>
      </c>
      <c r="B1135" t="s">
        <v>3286</v>
      </c>
      <c r="C1135" s="1">
        <v>43100</v>
      </c>
      <c r="D1135" s="1">
        <v>43106</v>
      </c>
      <c r="E1135" s="1" t="str">
        <f t="shared" si="17"/>
        <v>FAST</v>
      </c>
      <c r="F1135" t="s">
        <v>46</v>
      </c>
      <c r="G1135" t="s">
        <v>1067</v>
      </c>
      <c r="H1135" t="s">
        <v>1068</v>
      </c>
      <c r="I1135" t="s">
        <v>37</v>
      </c>
      <c r="J1135" t="s">
        <v>23</v>
      </c>
      <c r="K1135" t="s">
        <v>3287</v>
      </c>
      <c r="L1135" t="s">
        <v>1377</v>
      </c>
      <c r="M1135">
        <v>89502</v>
      </c>
      <c r="N1135" t="s">
        <v>40</v>
      </c>
      <c r="O1135" t="s">
        <v>3288</v>
      </c>
      <c r="P1135" t="s">
        <v>42</v>
      </c>
      <c r="Q1135" t="s">
        <v>64</v>
      </c>
      <c r="R1135" t="s">
        <v>3289</v>
      </c>
      <c r="S1135">
        <v>3.64</v>
      </c>
    </row>
    <row r="1136" spans="1:19" x14ac:dyDescent="0.35">
      <c r="A1136">
        <v>1154</v>
      </c>
      <c r="B1136" t="s">
        <v>3286</v>
      </c>
      <c r="C1136" s="1">
        <v>43100</v>
      </c>
      <c r="D1136" s="1">
        <v>43106</v>
      </c>
      <c r="E1136" s="1" t="str">
        <f t="shared" si="17"/>
        <v>FAST</v>
      </c>
      <c r="F1136" t="s">
        <v>46</v>
      </c>
      <c r="G1136" t="s">
        <v>1067</v>
      </c>
      <c r="H1136" t="s">
        <v>1068</v>
      </c>
      <c r="I1136" t="s">
        <v>37</v>
      </c>
      <c r="J1136" t="s">
        <v>23</v>
      </c>
      <c r="K1136" t="s">
        <v>3287</v>
      </c>
      <c r="L1136" t="s">
        <v>1377</v>
      </c>
      <c r="M1136">
        <v>89502</v>
      </c>
      <c r="N1136" t="s">
        <v>40</v>
      </c>
      <c r="O1136" t="s">
        <v>2685</v>
      </c>
      <c r="P1136" t="s">
        <v>42</v>
      </c>
      <c r="Q1136" t="s">
        <v>71</v>
      </c>
      <c r="R1136" t="s">
        <v>2686</v>
      </c>
      <c r="S1136">
        <v>159.768</v>
      </c>
    </row>
    <row r="1137" spans="1:19" x14ac:dyDescent="0.35">
      <c r="A1137">
        <v>1155</v>
      </c>
      <c r="B1137" t="s">
        <v>3290</v>
      </c>
      <c r="C1137" s="1">
        <v>42358</v>
      </c>
      <c r="D1137" s="1">
        <v>42359</v>
      </c>
      <c r="E1137" s="1" t="str">
        <f t="shared" si="17"/>
        <v>MODERATE</v>
      </c>
      <c r="F1137" t="s">
        <v>184</v>
      </c>
      <c r="G1137" t="s">
        <v>3185</v>
      </c>
      <c r="H1137" t="s">
        <v>3186</v>
      </c>
      <c r="I1137" t="s">
        <v>98</v>
      </c>
      <c r="J1137" t="s">
        <v>23</v>
      </c>
      <c r="K1137" t="s">
        <v>3291</v>
      </c>
      <c r="L1137" t="s">
        <v>313</v>
      </c>
      <c r="M1137">
        <v>22801</v>
      </c>
      <c r="N1137" t="s">
        <v>26</v>
      </c>
      <c r="O1137" t="s">
        <v>3292</v>
      </c>
      <c r="P1137" t="s">
        <v>42</v>
      </c>
      <c r="Q1137" t="s">
        <v>55</v>
      </c>
      <c r="R1137" t="s">
        <v>3293</v>
      </c>
      <c r="S1137">
        <v>122.48</v>
      </c>
    </row>
    <row r="1138" spans="1:19" x14ac:dyDescent="0.35">
      <c r="A1138">
        <v>1156</v>
      </c>
      <c r="B1138" t="s">
        <v>3290</v>
      </c>
      <c r="C1138" s="1">
        <v>42358</v>
      </c>
      <c r="D1138" s="1">
        <v>42359</v>
      </c>
      <c r="E1138" s="1" t="str">
        <f t="shared" si="17"/>
        <v>MODERATE</v>
      </c>
      <c r="F1138" t="s">
        <v>184</v>
      </c>
      <c r="G1138" t="s">
        <v>3185</v>
      </c>
      <c r="H1138" t="s">
        <v>3186</v>
      </c>
      <c r="I1138" t="s">
        <v>98</v>
      </c>
      <c r="J1138" t="s">
        <v>23</v>
      </c>
      <c r="K1138" t="s">
        <v>3291</v>
      </c>
      <c r="L1138" t="s">
        <v>313</v>
      </c>
      <c r="M1138">
        <v>22801</v>
      </c>
      <c r="N1138" t="s">
        <v>26</v>
      </c>
      <c r="O1138" t="s">
        <v>3294</v>
      </c>
      <c r="P1138" t="s">
        <v>28</v>
      </c>
      <c r="Q1138" t="s">
        <v>52</v>
      </c>
      <c r="R1138" t="s">
        <v>3295</v>
      </c>
      <c r="S1138">
        <v>2244.48</v>
      </c>
    </row>
    <row r="1139" spans="1:19" x14ac:dyDescent="0.35">
      <c r="A1139">
        <v>1157</v>
      </c>
      <c r="B1139" t="s">
        <v>3290</v>
      </c>
      <c r="C1139" s="1">
        <v>42358</v>
      </c>
      <c r="D1139" s="1">
        <v>42359</v>
      </c>
      <c r="E1139" s="1" t="str">
        <f t="shared" si="17"/>
        <v>MODERATE</v>
      </c>
      <c r="F1139" t="s">
        <v>184</v>
      </c>
      <c r="G1139" t="s">
        <v>3185</v>
      </c>
      <c r="H1139" t="s">
        <v>3186</v>
      </c>
      <c r="I1139" t="s">
        <v>98</v>
      </c>
      <c r="J1139" t="s">
        <v>23</v>
      </c>
      <c r="K1139" t="s">
        <v>3291</v>
      </c>
      <c r="L1139" t="s">
        <v>313</v>
      </c>
      <c r="M1139">
        <v>22801</v>
      </c>
      <c r="N1139" t="s">
        <v>26</v>
      </c>
      <c r="O1139" t="s">
        <v>1371</v>
      </c>
      <c r="P1139" t="s">
        <v>42</v>
      </c>
      <c r="Q1139" t="s">
        <v>71</v>
      </c>
      <c r="R1139" t="s">
        <v>1372</v>
      </c>
      <c r="S1139">
        <v>62.31</v>
      </c>
    </row>
    <row r="1140" spans="1:19" x14ac:dyDescent="0.35">
      <c r="A1140">
        <v>1158</v>
      </c>
      <c r="B1140" t="s">
        <v>3290</v>
      </c>
      <c r="C1140" s="1">
        <v>42358</v>
      </c>
      <c r="D1140" s="1">
        <v>42359</v>
      </c>
      <c r="E1140" s="1" t="str">
        <f t="shared" si="17"/>
        <v>MODERATE</v>
      </c>
      <c r="F1140" t="s">
        <v>184</v>
      </c>
      <c r="G1140" t="s">
        <v>3185</v>
      </c>
      <c r="H1140" t="s">
        <v>3186</v>
      </c>
      <c r="I1140" t="s">
        <v>98</v>
      </c>
      <c r="J1140" t="s">
        <v>23</v>
      </c>
      <c r="K1140" t="s">
        <v>3291</v>
      </c>
      <c r="L1140" t="s">
        <v>313</v>
      </c>
      <c r="M1140">
        <v>22801</v>
      </c>
      <c r="N1140" t="s">
        <v>26</v>
      </c>
      <c r="O1140" t="s">
        <v>1340</v>
      </c>
      <c r="P1140" t="s">
        <v>28</v>
      </c>
      <c r="Q1140" t="s">
        <v>52</v>
      </c>
      <c r="R1140" t="s">
        <v>1341</v>
      </c>
      <c r="S1140">
        <v>455.1</v>
      </c>
    </row>
    <row r="1141" spans="1:19" x14ac:dyDescent="0.35">
      <c r="A1141">
        <v>1159</v>
      </c>
      <c r="B1141" t="s">
        <v>3296</v>
      </c>
      <c r="C1141" s="1">
        <v>42918</v>
      </c>
      <c r="D1141" s="1">
        <v>42923</v>
      </c>
      <c r="E1141" s="1" t="str">
        <f t="shared" si="17"/>
        <v>SLOW</v>
      </c>
      <c r="F1141" t="s">
        <v>19</v>
      </c>
      <c r="G1141" t="s">
        <v>2733</v>
      </c>
      <c r="H1141" t="s">
        <v>2734</v>
      </c>
      <c r="I1141" t="s">
        <v>37</v>
      </c>
      <c r="J1141" t="s">
        <v>23</v>
      </c>
      <c r="K1141" t="s">
        <v>38</v>
      </c>
      <c r="L1141" t="s">
        <v>39</v>
      </c>
      <c r="M1141">
        <v>90004</v>
      </c>
      <c r="N1141" t="s">
        <v>40</v>
      </c>
      <c r="O1141" t="s">
        <v>3297</v>
      </c>
      <c r="P1141" t="s">
        <v>28</v>
      </c>
      <c r="Q1141" t="s">
        <v>32</v>
      </c>
      <c r="R1141" t="s">
        <v>3298</v>
      </c>
      <c r="S1141">
        <v>195.184</v>
      </c>
    </row>
    <row r="1142" spans="1:19" x14ac:dyDescent="0.35">
      <c r="A1142">
        <v>1160</v>
      </c>
      <c r="B1142" t="s">
        <v>3299</v>
      </c>
      <c r="C1142" s="1">
        <v>43280</v>
      </c>
      <c r="D1142" s="1">
        <v>43285</v>
      </c>
      <c r="E1142" s="1" t="str">
        <f t="shared" si="17"/>
        <v>FAST</v>
      </c>
      <c r="F1142" t="s">
        <v>46</v>
      </c>
      <c r="G1142" t="s">
        <v>3300</v>
      </c>
      <c r="H1142" t="s">
        <v>3301</v>
      </c>
      <c r="I1142" t="s">
        <v>22</v>
      </c>
      <c r="J1142" t="s">
        <v>23</v>
      </c>
      <c r="K1142" t="s">
        <v>399</v>
      </c>
      <c r="L1142" t="s">
        <v>223</v>
      </c>
      <c r="M1142">
        <v>55407</v>
      </c>
      <c r="N1142" t="s">
        <v>101</v>
      </c>
      <c r="O1142" t="s">
        <v>2484</v>
      </c>
      <c r="P1142" t="s">
        <v>42</v>
      </c>
      <c r="Q1142" t="s">
        <v>74</v>
      </c>
      <c r="R1142" t="s">
        <v>3302</v>
      </c>
      <c r="S1142">
        <v>362.94</v>
      </c>
    </row>
    <row r="1143" spans="1:19" x14ac:dyDescent="0.35">
      <c r="A1143">
        <v>1161</v>
      </c>
      <c r="B1143" t="s">
        <v>3299</v>
      </c>
      <c r="C1143" s="1">
        <v>43280</v>
      </c>
      <c r="D1143" s="1">
        <v>43285</v>
      </c>
      <c r="E1143" s="1" t="str">
        <f t="shared" si="17"/>
        <v>FAST</v>
      </c>
      <c r="F1143" t="s">
        <v>46</v>
      </c>
      <c r="G1143" t="s">
        <v>3300</v>
      </c>
      <c r="H1143" t="s">
        <v>3301</v>
      </c>
      <c r="I1143" t="s">
        <v>22</v>
      </c>
      <c r="J1143" t="s">
        <v>23</v>
      </c>
      <c r="K1143" t="s">
        <v>399</v>
      </c>
      <c r="L1143" t="s">
        <v>223</v>
      </c>
      <c r="M1143">
        <v>55407</v>
      </c>
      <c r="N1143" t="s">
        <v>101</v>
      </c>
      <c r="O1143" t="s">
        <v>319</v>
      </c>
      <c r="P1143" t="s">
        <v>42</v>
      </c>
      <c r="Q1143" t="s">
        <v>71</v>
      </c>
      <c r="R1143" t="s">
        <v>320</v>
      </c>
      <c r="S1143">
        <v>11.54</v>
      </c>
    </row>
    <row r="1144" spans="1:19" x14ac:dyDescent="0.35">
      <c r="A1144">
        <v>1162</v>
      </c>
      <c r="B1144" t="s">
        <v>3303</v>
      </c>
      <c r="C1144" s="1">
        <v>42248</v>
      </c>
      <c r="D1144" s="1">
        <v>42252</v>
      </c>
      <c r="E1144" s="1" t="str">
        <f t="shared" si="17"/>
        <v>SLOW</v>
      </c>
      <c r="F1144" t="s">
        <v>19</v>
      </c>
      <c r="G1144" t="s">
        <v>3304</v>
      </c>
      <c r="H1144" t="s">
        <v>3305</v>
      </c>
      <c r="I1144" t="s">
        <v>22</v>
      </c>
      <c r="J1144" t="s">
        <v>23</v>
      </c>
      <c r="K1144" t="s">
        <v>3306</v>
      </c>
      <c r="L1144" t="s">
        <v>39</v>
      </c>
      <c r="M1144">
        <v>92025</v>
      </c>
      <c r="N1144" t="s">
        <v>40</v>
      </c>
      <c r="O1144" t="s">
        <v>171</v>
      </c>
      <c r="P1144" t="s">
        <v>42</v>
      </c>
      <c r="Q1144" t="s">
        <v>64</v>
      </c>
      <c r="R1144" t="s">
        <v>172</v>
      </c>
      <c r="S1144">
        <v>53.94</v>
      </c>
    </row>
    <row r="1145" spans="1:19" x14ac:dyDescent="0.35">
      <c r="A1145">
        <v>1163</v>
      </c>
      <c r="B1145" t="s">
        <v>3307</v>
      </c>
      <c r="C1145" s="1">
        <v>42066</v>
      </c>
      <c r="D1145" s="1">
        <v>42071</v>
      </c>
      <c r="E1145" s="1" t="str">
        <f t="shared" si="17"/>
        <v>FAST</v>
      </c>
      <c r="F1145" t="s">
        <v>46</v>
      </c>
      <c r="G1145" t="s">
        <v>3308</v>
      </c>
      <c r="H1145" t="s">
        <v>3309</v>
      </c>
      <c r="I1145" t="s">
        <v>98</v>
      </c>
      <c r="J1145" t="s">
        <v>23</v>
      </c>
      <c r="K1145" t="s">
        <v>260</v>
      </c>
      <c r="L1145" t="s">
        <v>261</v>
      </c>
      <c r="M1145">
        <v>10035</v>
      </c>
      <c r="N1145" t="s">
        <v>144</v>
      </c>
      <c r="O1145" t="s">
        <v>3310</v>
      </c>
      <c r="P1145" t="s">
        <v>67</v>
      </c>
      <c r="Q1145" t="s">
        <v>68</v>
      </c>
      <c r="R1145" t="s">
        <v>3311</v>
      </c>
      <c r="S1145">
        <v>9.99</v>
      </c>
    </row>
    <row r="1146" spans="1:19" x14ac:dyDescent="0.35">
      <c r="A1146">
        <v>1164</v>
      </c>
      <c r="B1146" t="s">
        <v>3307</v>
      </c>
      <c r="C1146" s="1">
        <v>42066</v>
      </c>
      <c r="D1146" s="1">
        <v>42071</v>
      </c>
      <c r="E1146" s="1" t="str">
        <f t="shared" si="17"/>
        <v>FAST</v>
      </c>
      <c r="F1146" t="s">
        <v>46</v>
      </c>
      <c r="G1146" t="s">
        <v>3308</v>
      </c>
      <c r="H1146" t="s">
        <v>3309</v>
      </c>
      <c r="I1146" t="s">
        <v>98</v>
      </c>
      <c r="J1146" t="s">
        <v>23</v>
      </c>
      <c r="K1146" t="s">
        <v>260</v>
      </c>
      <c r="L1146" t="s">
        <v>261</v>
      </c>
      <c r="M1146">
        <v>10035</v>
      </c>
      <c r="N1146" t="s">
        <v>144</v>
      </c>
      <c r="O1146" t="s">
        <v>1076</v>
      </c>
      <c r="P1146" t="s">
        <v>42</v>
      </c>
      <c r="Q1146" t="s">
        <v>71</v>
      </c>
      <c r="R1146" t="s">
        <v>1077</v>
      </c>
      <c r="S1146">
        <v>125.76</v>
      </c>
    </row>
    <row r="1147" spans="1:19" x14ac:dyDescent="0.35">
      <c r="A1147">
        <v>1165</v>
      </c>
      <c r="B1147" t="s">
        <v>3307</v>
      </c>
      <c r="C1147" s="1">
        <v>42066</v>
      </c>
      <c r="D1147" s="1">
        <v>42071</v>
      </c>
      <c r="E1147" s="1" t="str">
        <f t="shared" si="17"/>
        <v>FAST</v>
      </c>
      <c r="F1147" t="s">
        <v>46</v>
      </c>
      <c r="G1147" t="s">
        <v>3308</v>
      </c>
      <c r="H1147" t="s">
        <v>3309</v>
      </c>
      <c r="I1147" t="s">
        <v>98</v>
      </c>
      <c r="J1147" t="s">
        <v>23</v>
      </c>
      <c r="K1147" t="s">
        <v>260</v>
      </c>
      <c r="L1147" t="s">
        <v>261</v>
      </c>
      <c r="M1147">
        <v>10035</v>
      </c>
      <c r="N1147" t="s">
        <v>144</v>
      </c>
      <c r="O1147" t="s">
        <v>3312</v>
      </c>
      <c r="P1147" t="s">
        <v>42</v>
      </c>
      <c r="Q1147" t="s">
        <v>71</v>
      </c>
      <c r="R1147" t="s">
        <v>3313</v>
      </c>
      <c r="S1147">
        <v>25.32</v>
      </c>
    </row>
    <row r="1148" spans="1:19" x14ac:dyDescent="0.35">
      <c r="A1148">
        <v>1166</v>
      </c>
      <c r="B1148" t="s">
        <v>3314</v>
      </c>
      <c r="C1148" s="1">
        <v>42128</v>
      </c>
      <c r="D1148" s="1">
        <v>42132</v>
      </c>
      <c r="E1148" s="1" t="str">
        <f t="shared" si="17"/>
        <v>FAST</v>
      </c>
      <c r="F1148" t="s">
        <v>46</v>
      </c>
      <c r="G1148" t="s">
        <v>3315</v>
      </c>
      <c r="H1148" t="s">
        <v>3316</v>
      </c>
      <c r="I1148" t="s">
        <v>22</v>
      </c>
      <c r="J1148" t="s">
        <v>23</v>
      </c>
      <c r="K1148" t="s">
        <v>322</v>
      </c>
      <c r="L1148" t="s">
        <v>232</v>
      </c>
      <c r="M1148">
        <v>49201</v>
      </c>
      <c r="N1148" t="s">
        <v>101</v>
      </c>
      <c r="O1148" t="s">
        <v>2586</v>
      </c>
      <c r="P1148" t="s">
        <v>42</v>
      </c>
      <c r="Q1148" t="s">
        <v>71</v>
      </c>
      <c r="R1148" t="s">
        <v>2587</v>
      </c>
      <c r="S1148">
        <v>46.8</v>
      </c>
    </row>
    <row r="1149" spans="1:19" x14ac:dyDescent="0.35">
      <c r="A1149">
        <v>1167</v>
      </c>
      <c r="B1149" t="s">
        <v>3317</v>
      </c>
      <c r="C1149" s="1">
        <v>42676</v>
      </c>
      <c r="D1149" s="1">
        <v>42676</v>
      </c>
      <c r="E1149" s="1" t="str">
        <f t="shared" si="17"/>
        <v>MODERATE</v>
      </c>
      <c r="F1149" t="s">
        <v>1276</v>
      </c>
      <c r="G1149" t="s">
        <v>933</v>
      </c>
      <c r="H1149" t="s">
        <v>934</v>
      </c>
      <c r="I1149" t="s">
        <v>22</v>
      </c>
      <c r="J1149" t="s">
        <v>23</v>
      </c>
      <c r="K1149" t="s">
        <v>91</v>
      </c>
      <c r="L1149" t="s">
        <v>92</v>
      </c>
      <c r="M1149">
        <v>98115</v>
      </c>
      <c r="N1149" t="s">
        <v>40</v>
      </c>
      <c r="O1149" t="s">
        <v>445</v>
      </c>
      <c r="P1149" t="s">
        <v>67</v>
      </c>
      <c r="Q1149" t="s">
        <v>157</v>
      </c>
      <c r="R1149" t="s">
        <v>446</v>
      </c>
      <c r="S1149">
        <v>447.93</v>
      </c>
    </row>
    <row r="1150" spans="1:19" x14ac:dyDescent="0.35">
      <c r="A1150">
        <v>1168</v>
      </c>
      <c r="B1150" t="s">
        <v>3318</v>
      </c>
      <c r="C1150" s="1">
        <v>43442</v>
      </c>
      <c r="D1150" s="1">
        <v>43444</v>
      </c>
      <c r="E1150" s="1" t="str">
        <f t="shared" si="17"/>
        <v>SLOW</v>
      </c>
      <c r="F1150" t="s">
        <v>19</v>
      </c>
      <c r="G1150" t="s">
        <v>939</v>
      </c>
      <c r="H1150" t="s">
        <v>940</v>
      </c>
      <c r="I1150" t="s">
        <v>22</v>
      </c>
      <c r="J1150" t="s">
        <v>23</v>
      </c>
      <c r="K1150" t="s">
        <v>260</v>
      </c>
      <c r="L1150" t="s">
        <v>261</v>
      </c>
      <c r="M1150">
        <v>10035</v>
      </c>
      <c r="N1150" t="s">
        <v>144</v>
      </c>
      <c r="O1150" t="s">
        <v>3319</v>
      </c>
      <c r="P1150" t="s">
        <v>28</v>
      </c>
      <c r="Q1150" t="s">
        <v>61</v>
      </c>
      <c r="R1150" t="s">
        <v>3320</v>
      </c>
      <c r="S1150">
        <v>109.48</v>
      </c>
    </row>
    <row r="1151" spans="1:19" x14ac:dyDescent="0.35">
      <c r="A1151">
        <v>1169</v>
      </c>
      <c r="B1151" t="s">
        <v>3318</v>
      </c>
      <c r="C1151" s="1">
        <v>43442</v>
      </c>
      <c r="D1151" s="1">
        <v>43444</v>
      </c>
      <c r="E1151" s="1" t="str">
        <f t="shared" si="17"/>
        <v>SLOW</v>
      </c>
      <c r="F1151" t="s">
        <v>19</v>
      </c>
      <c r="G1151" t="s">
        <v>939</v>
      </c>
      <c r="H1151" t="s">
        <v>940</v>
      </c>
      <c r="I1151" t="s">
        <v>22</v>
      </c>
      <c r="J1151" t="s">
        <v>23</v>
      </c>
      <c r="K1151" t="s">
        <v>260</v>
      </c>
      <c r="L1151" t="s">
        <v>261</v>
      </c>
      <c r="M1151">
        <v>10035</v>
      </c>
      <c r="N1151" t="s">
        <v>144</v>
      </c>
      <c r="O1151" t="s">
        <v>334</v>
      </c>
      <c r="P1151" t="s">
        <v>42</v>
      </c>
      <c r="Q1151" t="s">
        <v>55</v>
      </c>
      <c r="R1151" t="s">
        <v>335</v>
      </c>
      <c r="S1151">
        <v>272.94</v>
      </c>
    </row>
    <row r="1152" spans="1:19" x14ac:dyDescent="0.35">
      <c r="A1152">
        <v>1170</v>
      </c>
      <c r="B1152" t="s">
        <v>3318</v>
      </c>
      <c r="C1152" s="1">
        <v>43442</v>
      </c>
      <c r="D1152" s="1">
        <v>43444</v>
      </c>
      <c r="E1152" s="1" t="str">
        <f t="shared" si="17"/>
        <v>SLOW</v>
      </c>
      <c r="F1152" t="s">
        <v>19</v>
      </c>
      <c r="G1152" t="s">
        <v>939</v>
      </c>
      <c r="H1152" t="s">
        <v>940</v>
      </c>
      <c r="I1152" t="s">
        <v>22</v>
      </c>
      <c r="J1152" t="s">
        <v>23</v>
      </c>
      <c r="K1152" t="s">
        <v>260</v>
      </c>
      <c r="L1152" t="s">
        <v>261</v>
      </c>
      <c r="M1152">
        <v>10035</v>
      </c>
      <c r="N1152" t="s">
        <v>144</v>
      </c>
      <c r="O1152" t="s">
        <v>3321</v>
      </c>
      <c r="P1152" t="s">
        <v>42</v>
      </c>
      <c r="Q1152" t="s">
        <v>86</v>
      </c>
      <c r="R1152" t="s">
        <v>3322</v>
      </c>
      <c r="S1152">
        <v>19.440000000000001</v>
      </c>
    </row>
    <row r="1153" spans="1:19" x14ac:dyDescent="0.35">
      <c r="A1153">
        <v>1171</v>
      </c>
      <c r="B1153" t="s">
        <v>3318</v>
      </c>
      <c r="C1153" s="1">
        <v>43442</v>
      </c>
      <c r="D1153" s="1">
        <v>43444</v>
      </c>
      <c r="E1153" s="1" t="str">
        <f t="shared" si="17"/>
        <v>SLOW</v>
      </c>
      <c r="F1153" t="s">
        <v>19</v>
      </c>
      <c r="G1153" t="s">
        <v>939</v>
      </c>
      <c r="H1153" t="s">
        <v>940</v>
      </c>
      <c r="I1153" t="s">
        <v>22</v>
      </c>
      <c r="J1153" t="s">
        <v>23</v>
      </c>
      <c r="K1153" t="s">
        <v>260</v>
      </c>
      <c r="L1153" t="s">
        <v>261</v>
      </c>
      <c r="M1153">
        <v>10035</v>
      </c>
      <c r="N1153" t="s">
        <v>144</v>
      </c>
      <c r="O1153" t="s">
        <v>3323</v>
      </c>
      <c r="P1153" t="s">
        <v>42</v>
      </c>
      <c r="Q1153" t="s">
        <v>55</v>
      </c>
      <c r="R1153" t="s">
        <v>3324</v>
      </c>
      <c r="S1153">
        <v>31.92</v>
      </c>
    </row>
    <row r="1154" spans="1:19" x14ac:dyDescent="0.35">
      <c r="A1154">
        <v>1172</v>
      </c>
      <c r="B1154" t="s">
        <v>3325</v>
      </c>
      <c r="C1154" s="1">
        <v>42073</v>
      </c>
      <c r="D1154" s="1">
        <v>42077</v>
      </c>
      <c r="E1154" s="1" t="str">
        <f t="shared" si="17"/>
        <v>FAST</v>
      </c>
      <c r="F1154" t="s">
        <v>46</v>
      </c>
      <c r="G1154" t="s">
        <v>2865</v>
      </c>
      <c r="H1154" t="s">
        <v>2866</v>
      </c>
      <c r="I1154" t="s">
        <v>22</v>
      </c>
      <c r="J1154" t="s">
        <v>23</v>
      </c>
      <c r="K1154" t="s">
        <v>3326</v>
      </c>
      <c r="L1154" t="s">
        <v>232</v>
      </c>
      <c r="M1154">
        <v>48073</v>
      </c>
      <c r="N1154" t="s">
        <v>101</v>
      </c>
      <c r="O1154" t="s">
        <v>3327</v>
      </c>
      <c r="P1154" t="s">
        <v>42</v>
      </c>
      <c r="Q1154" t="s">
        <v>86</v>
      </c>
      <c r="R1154" t="s">
        <v>3328</v>
      </c>
      <c r="S1154">
        <v>22.38</v>
      </c>
    </row>
    <row r="1155" spans="1:19" x14ac:dyDescent="0.35">
      <c r="A1155">
        <v>1173</v>
      </c>
      <c r="B1155" t="s">
        <v>3329</v>
      </c>
      <c r="C1155" s="1">
        <v>42115</v>
      </c>
      <c r="D1155" s="1">
        <v>42119</v>
      </c>
      <c r="E1155" s="1" t="str">
        <f t="shared" ref="E1155:E1218" si="18">IF(F1155="STANDARD CLASS","FAST",IF(F1155="SECOND CLASS","SLOW","MODERATE"))</f>
        <v>FAST</v>
      </c>
      <c r="F1155" t="s">
        <v>46</v>
      </c>
      <c r="G1155" t="s">
        <v>1801</v>
      </c>
      <c r="H1155" t="s">
        <v>1802</v>
      </c>
      <c r="I1155" t="s">
        <v>22</v>
      </c>
      <c r="J1155" t="s">
        <v>23</v>
      </c>
      <c r="K1155" t="s">
        <v>38</v>
      </c>
      <c r="L1155" t="s">
        <v>39</v>
      </c>
      <c r="M1155">
        <v>90008</v>
      </c>
      <c r="N1155" t="s">
        <v>40</v>
      </c>
      <c r="O1155" t="s">
        <v>3330</v>
      </c>
      <c r="P1155" t="s">
        <v>42</v>
      </c>
      <c r="Q1155" t="s">
        <v>71</v>
      </c>
      <c r="R1155" t="s">
        <v>3331</v>
      </c>
      <c r="S1155">
        <v>16.52</v>
      </c>
    </row>
    <row r="1156" spans="1:19" x14ac:dyDescent="0.35">
      <c r="A1156">
        <v>1174</v>
      </c>
      <c r="B1156" t="s">
        <v>3332</v>
      </c>
      <c r="C1156" s="1">
        <v>42665</v>
      </c>
      <c r="D1156" s="1">
        <v>42669</v>
      </c>
      <c r="E1156" s="1" t="str">
        <f t="shared" si="18"/>
        <v>FAST</v>
      </c>
      <c r="F1156" t="s">
        <v>46</v>
      </c>
      <c r="G1156" t="s">
        <v>2446</v>
      </c>
      <c r="H1156" t="s">
        <v>2447</v>
      </c>
      <c r="I1156" t="s">
        <v>22</v>
      </c>
      <c r="J1156" t="s">
        <v>23</v>
      </c>
      <c r="K1156" t="s">
        <v>525</v>
      </c>
      <c r="L1156" t="s">
        <v>205</v>
      </c>
      <c r="M1156">
        <v>61701</v>
      </c>
      <c r="N1156" t="s">
        <v>101</v>
      </c>
      <c r="O1156" t="s">
        <v>2415</v>
      </c>
      <c r="P1156" t="s">
        <v>42</v>
      </c>
      <c r="Q1156" t="s">
        <v>71</v>
      </c>
      <c r="R1156" t="s">
        <v>2416</v>
      </c>
      <c r="S1156">
        <v>5.1760000000000002</v>
      </c>
    </row>
    <row r="1157" spans="1:19" x14ac:dyDescent="0.35">
      <c r="A1157">
        <v>1175</v>
      </c>
      <c r="B1157" t="s">
        <v>3333</v>
      </c>
      <c r="C1157" s="1">
        <v>42604</v>
      </c>
      <c r="D1157" s="1">
        <v>42607</v>
      </c>
      <c r="E1157" s="1" t="str">
        <f t="shared" si="18"/>
        <v>MODERATE</v>
      </c>
      <c r="F1157" t="s">
        <v>184</v>
      </c>
      <c r="G1157" t="s">
        <v>2610</v>
      </c>
      <c r="H1157" t="s">
        <v>2611</v>
      </c>
      <c r="I1157" t="s">
        <v>37</v>
      </c>
      <c r="J1157" t="s">
        <v>23</v>
      </c>
      <c r="K1157" t="s">
        <v>260</v>
      </c>
      <c r="L1157" t="s">
        <v>261</v>
      </c>
      <c r="M1157">
        <v>10035</v>
      </c>
      <c r="N1157" t="s">
        <v>144</v>
      </c>
      <c r="O1157" t="s">
        <v>3334</v>
      </c>
      <c r="P1157" t="s">
        <v>42</v>
      </c>
      <c r="Q1157" t="s">
        <v>71</v>
      </c>
      <c r="R1157" t="s">
        <v>3335</v>
      </c>
      <c r="S1157">
        <v>50.112000000000002</v>
      </c>
    </row>
    <row r="1158" spans="1:19" x14ac:dyDescent="0.35">
      <c r="A1158">
        <v>1176</v>
      </c>
      <c r="B1158" t="s">
        <v>3336</v>
      </c>
      <c r="C1158" s="1">
        <v>42976</v>
      </c>
      <c r="D1158" s="1">
        <v>42981</v>
      </c>
      <c r="E1158" s="1" t="str">
        <f t="shared" si="18"/>
        <v>FAST</v>
      </c>
      <c r="F1158" t="s">
        <v>46</v>
      </c>
      <c r="G1158" t="s">
        <v>1237</v>
      </c>
      <c r="H1158" t="s">
        <v>1238</v>
      </c>
      <c r="I1158" t="s">
        <v>98</v>
      </c>
      <c r="J1158" t="s">
        <v>23</v>
      </c>
      <c r="K1158" t="s">
        <v>83</v>
      </c>
      <c r="L1158" t="s">
        <v>2667</v>
      </c>
      <c r="M1158">
        <v>3301</v>
      </c>
      <c r="N1158" t="s">
        <v>144</v>
      </c>
      <c r="O1158" t="s">
        <v>2546</v>
      </c>
      <c r="P1158" t="s">
        <v>42</v>
      </c>
      <c r="Q1158" t="s">
        <v>566</v>
      </c>
      <c r="R1158" t="s">
        <v>2547</v>
      </c>
      <c r="S1158">
        <v>27.93</v>
      </c>
    </row>
    <row r="1159" spans="1:19" x14ac:dyDescent="0.35">
      <c r="A1159">
        <v>1177</v>
      </c>
      <c r="B1159" t="s">
        <v>3337</v>
      </c>
      <c r="C1159" s="1">
        <v>42365</v>
      </c>
      <c r="D1159" s="1">
        <v>42368</v>
      </c>
      <c r="E1159" s="1" t="str">
        <f t="shared" si="18"/>
        <v>SLOW</v>
      </c>
      <c r="F1159" t="s">
        <v>19</v>
      </c>
      <c r="G1159" t="s">
        <v>3338</v>
      </c>
      <c r="H1159" t="s">
        <v>3339</v>
      </c>
      <c r="I1159" t="s">
        <v>98</v>
      </c>
      <c r="J1159" t="s">
        <v>23</v>
      </c>
      <c r="K1159" t="s">
        <v>38</v>
      </c>
      <c r="L1159" t="s">
        <v>39</v>
      </c>
      <c r="M1159">
        <v>90004</v>
      </c>
      <c r="N1159" t="s">
        <v>40</v>
      </c>
      <c r="O1159" t="s">
        <v>3340</v>
      </c>
      <c r="P1159" t="s">
        <v>42</v>
      </c>
      <c r="Q1159" t="s">
        <v>43</v>
      </c>
      <c r="R1159" t="s">
        <v>3341</v>
      </c>
      <c r="S1159">
        <v>11.56</v>
      </c>
    </row>
    <row r="1160" spans="1:19" x14ac:dyDescent="0.35">
      <c r="A1160">
        <v>1178</v>
      </c>
      <c r="B1160" t="s">
        <v>3342</v>
      </c>
      <c r="C1160" s="1">
        <v>43070</v>
      </c>
      <c r="D1160" s="1">
        <v>43074</v>
      </c>
      <c r="E1160" s="1" t="str">
        <f t="shared" si="18"/>
        <v>FAST</v>
      </c>
      <c r="F1160" t="s">
        <v>46</v>
      </c>
      <c r="G1160" t="s">
        <v>326</v>
      </c>
      <c r="H1160" t="s">
        <v>327</v>
      </c>
      <c r="I1160" t="s">
        <v>22</v>
      </c>
      <c r="J1160" t="s">
        <v>23</v>
      </c>
      <c r="K1160" t="s">
        <v>3343</v>
      </c>
      <c r="L1160" t="s">
        <v>2708</v>
      </c>
      <c r="M1160">
        <v>20852</v>
      </c>
      <c r="N1160" t="s">
        <v>144</v>
      </c>
      <c r="O1160" t="s">
        <v>3344</v>
      </c>
      <c r="P1160" t="s">
        <v>28</v>
      </c>
      <c r="Q1160" t="s">
        <v>32</v>
      </c>
      <c r="R1160" t="s">
        <v>3345</v>
      </c>
      <c r="S1160">
        <v>172.5</v>
      </c>
    </row>
    <row r="1161" spans="1:19" x14ac:dyDescent="0.35">
      <c r="A1161">
        <v>1179</v>
      </c>
      <c r="B1161" t="s">
        <v>3342</v>
      </c>
      <c r="C1161" s="1">
        <v>43070</v>
      </c>
      <c r="D1161" s="1">
        <v>43074</v>
      </c>
      <c r="E1161" s="1" t="str">
        <f t="shared" si="18"/>
        <v>FAST</v>
      </c>
      <c r="F1161" t="s">
        <v>46</v>
      </c>
      <c r="G1161" t="s">
        <v>326</v>
      </c>
      <c r="H1161" t="s">
        <v>327</v>
      </c>
      <c r="I1161" t="s">
        <v>22</v>
      </c>
      <c r="J1161" t="s">
        <v>23</v>
      </c>
      <c r="K1161" t="s">
        <v>3343</v>
      </c>
      <c r="L1161" t="s">
        <v>2708</v>
      </c>
      <c r="M1161">
        <v>20852</v>
      </c>
      <c r="N1161" t="s">
        <v>144</v>
      </c>
      <c r="O1161" t="s">
        <v>681</v>
      </c>
      <c r="P1161" t="s">
        <v>67</v>
      </c>
      <c r="Q1161" t="s">
        <v>68</v>
      </c>
      <c r="R1161" t="s">
        <v>682</v>
      </c>
      <c r="S1161">
        <v>179.97</v>
      </c>
    </row>
    <row r="1162" spans="1:19" x14ac:dyDescent="0.35">
      <c r="A1162">
        <v>1180</v>
      </c>
      <c r="B1162" t="s">
        <v>3346</v>
      </c>
      <c r="C1162" s="1">
        <v>42849</v>
      </c>
      <c r="D1162" s="1">
        <v>42852</v>
      </c>
      <c r="E1162" s="1" t="str">
        <f t="shared" si="18"/>
        <v>SLOW</v>
      </c>
      <c r="F1162" t="s">
        <v>19</v>
      </c>
      <c r="G1162" t="s">
        <v>3347</v>
      </c>
      <c r="H1162" t="s">
        <v>3348</v>
      </c>
      <c r="I1162" t="s">
        <v>98</v>
      </c>
      <c r="J1162" t="s">
        <v>23</v>
      </c>
      <c r="K1162" t="s">
        <v>180</v>
      </c>
      <c r="L1162" t="s">
        <v>100</v>
      </c>
      <c r="M1162">
        <v>77070</v>
      </c>
      <c r="N1162" t="s">
        <v>101</v>
      </c>
      <c r="O1162" t="s">
        <v>2398</v>
      </c>
      <c r="P1162" t="s">
        <v>67</v>
      </c>
      <c r="Q1162" t="s">
        <v>157</v>
      </c>
      <c r="R1162" t="s">
        <v>2399</v>
      </c>
      <c r="S1162">
        <v>258.69600000000003</v>
      </c>
    </row>
    <row r="1163" spans="1:19" x14ac:dyDescent="0.35">
      <c r="A1163">
        <v>1181</v>
      </c>
      <c r="B1163" t="s">
        <v>3349</v>
      </c>
      <c r="C1163" s="1">
        <v>42176</v>
      </c>
      <c r="D1163" s="1">
        <v>42180</v>
      </c>
      <c r="E1163" s="1" t="str">
        <f t="shared" si="18"/>
        <v>FAST</v>
      </c>
      <c r="F1163" t="s">
        <v>46</v>
      </c>
      <c r="G1163" t="s">
        <v>631</v>
      </c>
      <c r="H1163" t="s">
        <v>632</v>
      </c>
      <c r="I1163" t="s">
        <v>22</v>
      </c>
      <c r="J1163" t="s">
        <v>23</v>
      </c>
      <c r="K1163" t="s">
        <v>1107</v>
      </c>
      <c r="L1163" t="s">
        <v>775</v>
      </c>
      <c r="M1163">
        <v>8701</v>
      </c>
      <c r="N1163" t="s">
        <v>144</v>
      </c>
      <c r="O1163" t="s">
        <v>3350</v>
      </c>
      <c r="P1163" t="s">
        <v>67</v>
      </c>
      <c r="Q1163" t="s">
        <v>68</v>
      </c>
      <c r="R1163" t="s">
        <v>3351</v>
      </c>
      <c r="S1163">
        <v>1322.93</v>
      </c>
    </row>
    <row r="1164" spans="1:19" x14ac:dyDescent="0.35">
      <c r="A1164">
        <v>1182</v>
      </c>
      <c r="B1164" t="s">
        <v>3349</v>
      </c>
      <c r="C1164" s="1">
        <v>42176</v>
      </c>
      <c r="D1164" s="1">
        <v>42180</v>
      </c>
      <c r="E1164" s="1" t="str">
        <f t="shared" si="18"/>
        <v>FAST</v>
      </c>
      <c r="F1164" t="s">
        <v>46</v>
      </c>
      <c r="G1164" t="s">
        <v>631</v>
      </c>
      <c r="H1164" t="s">
        <v>632</v>
      </c>
      <c r="I1164" t="s">
        <v>22</v>
      </c>
      <c r="J1164" t="s">
        <v>23</v>
      </c>
      <c r="K1164" t="s">
        <v>1107</v>
      </c>
      <c r="L1164" t="s">
        <v>775</v>
      </c>
      <c r="M1164">
        <v>8701</v>
      </c>
      <c r="N1164" t="s">
        <v>144</v>
      </c>
      <c r="O1164" t="s">
        <v>3352</v>
      </c>
      <c r="P1164" t="s">
        <v>42</v>
      </c>
      <c r="Q1164" t="s">
        <v>64</v>
      </c>
      <c r="R1164" t="s">
        <v>3353</v>
      </c>
      <c r="S1164">
        <v>3.76</v>
      </c>
    </row>
    <row r="1165" spans="1:19" x14ac:dyDescent="0.35">
      <c r="A1165">
        <v>1183</v>
      </c>
      <c r="B1165" t="s">
        <v>3354</v>
      </c>
      <c r="C1165" s="1">
        <v>43114</v>
      </c>
      <c r="D1165" s="1">
        <v>43115</v>
      </c>
      <c r="E1165" s="1" t="str">
        <f t="shared" si="18"/>
        <v>MODERATE</v>
      </c>
      <c r="F1165" t="s">
        <v>184</v>
      </c>
      <c r="G1165" t="s">
        <v>2171</v>
      </c>
      <c r="H1165" t="s">
        <v>2172</v>
      </c>
      <c r="I1165" t="s">
        <v>22</v>
      </c>
      <c r="J1165" t="s">
        <v>23</v>
      </c>
      <c r="K1165" t="s">
        <v>1505</v>
      </c>
      <c r="L1165" t="s">
        <v>84</v>
      </c>
      <c r="M1165">
        <v>28540</v>
      </c>
      <c r="N1165" t="s">
        <v>26</v>
      </c>
      <c r="O1165" t="s">
        <v>492</v>
      </c>
      <c r="P1165" t="s">
        <v>42</v>
      </c>
      <c r="Q1165" t="s">
        <v>169</v>
      </c>
      <c r="R1165" t="s">
        <v>493</v>
      </c>
      <c r="S1165">
        <v>21.744</v>
      </c>
    </row>
    <row r="1166" spans="1:19" x14ac:dyDescent="0.35">
      <c r="A1166">
        <v>1184</v>
      </c>
      <c r="B1166" t="s">
        <v>3354</v>
      </c>
      <c r="C1166" s="1">
        <v>43114</v>
      </c>
      <c r="D1166" s="1">
        <v>43115</v>
      </c>
      <c r="E1166" s="1" t="str">
        <f t="shared" si="18"/>
        <v>MODERATE</v>
      </c>
      <c r="F1166" t="s">
        <v>184</v>
      </c>
      <c r="G1166" t="s">
        <v>2171</v>
      </c>
      <c r="H1166" t="s">
        <v>2172</v>
      </c>
      <c r="I1166" t="s">
        <v>22</v>
      </c>
      <c r="J1166" t="s">
        <v>23</v>
      </c>
      <c r="K1166" t="s">
        <v>1505</v>
      </c>
      <c r="L1166" t="s">
        <v>84</v>
      </c>
      <c r="M1166">
        <v>28540</v>
      </c>
      <c r="N1166" t="s">
        <v>26</v>
      </c>
      <c r="O1166" t="s">
        <v>3355</v>
      </c>
      <c r="P1166" t="s">
        <v>67</v>
      </c>
      <c r="Q1166" t="s">
        <v>68</v>
      </c>
      <c r="R1166" t="s">
        <v>3356</v>
      </c>
      <c r="S1166">
        <v>7.92</v>
      </c>
    </row>
    <row r="1167" spans="1:19" x14ac:dyDescent="0.35">
      <c r="A1167">
        <v>1185</v>
      </c>
      <c r="B1167" t="s">
        <v>3357</v>
      </c>
      <c r="C1167" s="1">
        <v>42332</v>
      </c>
      <c r="D1167" s="1">
        <v>42338</v>
      </c>
      <c r="E1167" s="1" t="str">
        <f t="shared" si="18"/>
        <v>FAST</v>
      </c>
      <c r="F1167" t="s">
        <v>46</v>
      </c>
      <c r="G1167" t="s">
        <v>3358</v>
      </c>
      <c r="H1167" t="s">
        <v>3359</v>
      </c>
      <c r="I1167" t="s">
        <v>37</v>
      </c>
      <c r="J1167" t="s">
        <v>23</v>
      </c>
      <c r="K1167" t="s">
        <v>91</v>
      </c>
      <c r="L1167" t="s">
        <v>92</v>
      </c>
      <c r="M1167">
        <v>98103</v>
      </c>
      <c r="N1167" t="s">
        <v>40</v>
      </c>
      <c r="O1167" t="s">
        <v>3360</v>
      </c>
      <c r="P1167" t="s">
        <v>42</v>
      </c>
      <c r="Q1167" t="s">
        <v>71</v>
      </c>
      <c r="R1167" t="s">
        <v>3361</v>
      </c>
      <c r="S1167">
        <v>12.096</v>
      </c>
    </row>
    <row r="1168" spans="1:19" x14ac:dyDescent="0.35">
      <c r="A1168">
        <v>1186</v>
      </c>
      <c r="B1168" t="s">
        <v>3357</v>
      </c>
      <c r="C1168" s="1">
        <v>42332</v>
      </c>
      <c r="D1168" s="1">
        <v>42338</v>
      </c>
      <c r="E1168" s="1" t="str">
        <f t="shared" si="18"/>
        <v>FAST</v>
      </c>
      <c r="F1168" t="s">
        <v>46</v>
      </c>
      <c r="G1168" t="s">
        <v>3358</v>
      </c>
      <c r="H1168" t="s">
        <v>3359</v>
      </c>
      <c r="I1168" t="s">
        <v>37</v>
      </c>
      <c r="J1168" t="s">
        <v>23</v>
      </c>
      <c r="K1168" t="s">
        <v>91</v>
      </c>
      <c r="L1168" t="s">
        <v>92</v>
      </c>
      <c r="M1168">
        <v>98103</v>
      </c>
      <c r="N1168" t="s">
        <v>40</v>
      </c>
      <c r="O1168" t="s">
        <v>3362</v>
      </c>
      <c r="P1168" t="s">
        <v>42</v>
      </c>
      <c r="Q1168" t="s">
        <v>55</v>
      </c>
      <c r="R1168" t="s">
        <v>3363</v>
      </c>
      <c r="S1168">
        <v>485.88</v>
      </c>
    </row>
    <row r="1169" spans="1:19" x14ac:dyDescent="0.35">
      <c r="A1169">
        <v>1187</v>
      </c>
      <c r="B1169" t="s">
        <v>3357</v>
      </c>
      <c r="C1169" s="1">
        <v>42332</v>
      </c>
      <c r="D1169" s="1">
        <v>42338</v>
      </c>
      <c r="E1169" s="1" t="str">
        <f t="shared" si="18"/>
        <v>FAST</v>
      </c>
      <c r="F1169" t="s">
        <v>46</v>
      </c>
      <c r="G1169" t="s">
        <v>3358</v>
      </c>
      <c r="H1169" t="s">
        <v>3359</v>
      </c>
      <c r="I1169" t="s">
        <v>37</v>
      </c>
      <c r="J1169" t="s">
        <v>23</v>
      </c>
      <c r="K1169" t="s">
        <v>91</v>
      </c>
      <c r="L1169" t="s">
        <v>92</v>
      </c>
      <c r="M1169">
        <v>98103</v>
      </c>
      <c r="N1169" t="s">
        <v>40</v>
      </c>
      <c r="O1169" t="s">
        <v>2252</v>
      </c>
      <c r="P1169" t="s">
        <v>42</v>
      </c>
      <c r="Q1169" t="s">
        <v>86</v>
      </c>
      <c r="R1169" t="s">
        <v>2253</v>
      </c>
      <c r="S1169">
        <v>25.92</v>
      </c>
    </row>
    <row r="1170" spans="1:19" x14ac:dyDescent="0.35">
      <c r="A1170">
        <v>1188</v>
      </c>
      <c r="B1170" t="s">
        <v>3357</v>
      </c>
      <c r="C1170" s="1">
        <v>42332</v>
      </c>
      <c r="D1170" s="1">
        <v>42338</v>
      </c>
      <c r="E1170" s="1" t="str">
        <f t="shared" si="18"/>
        <v>FAST</v>
      </c>
      <c r="F1170" t="s">
        <v>46</v>
      </c>
      <c r="G1170" t="s">
        <v>3358</v>
      </c>
      <c r="H1170" t="s">
        <v>3359</v>
      </c>
      <c r="I1170" t="s">
        <v>37</v>
      </c>
      <c r="J1170" t="s">
        <v>23</v>
      </c>
      <c r="K1170" t="s">
        <v>91</v>
      </c>
      <c r="L1170" t="s">
        <v>92</v>
      </c>
      <c r="M1170">
        <v>98103</v>
      </c>
      <c r="N1170" t="s">
        <v>40</v>
      </c>
      <c r="O1170" t="s">
        <v>2294</v>
      </c>
      <c r="P1170" t="s">
        <v>42</v>
      </c>
      <c r="Q1170" t="s">
        <v>55</v>
      </c>
      <c r="R1170" t="s">
        <v>2295</v>
      </c>
      <c r="S1170">
        <v>197.58</v>
      </c>
    </row>
    <row r="1171" spans="1:19" x14ac:dyDescent="0.35">
      <c r="A1171">
        <v>1189</v>
      </c>
      <c r="B1171" t="s">
        <v>3364</v>
      </c>
      <c r="C1171" s="1">
        <v>43157</v>
      </c>
      <c r="D1171" s="1">
        <v>43159</v>
      </c>
      <c r="E1171" s="1" t="str">
        <f t="shared" si="18"/>
        <v>SLOW</v>
      </c>
      <c r="F1171" t="s">
        <v>19</v>
      </c>
      <c r="G1171" t="s">
        <v>3365</v>
      </c>
      <c r="H1171" t="s">
        <v>3366</v>
      </c>
      <c r="I1171" t="s">
        <v>98</v>
      </c>
      <c r="J1171" t="s">
        <v>23</v>
      </c>
      <c r="K1171" t="s">
        <v>38</v>
      </c>
      <c r="L1171" t="s">
        <v>39</v>
      </c>
      <c r="M1171">
        <v>90036</v>
      </c>
      <c r="N1171" t="s">
        <v>40</v>
      </c>
      <c r="O1171" t="s">
        <v>2173</v>
      </c>
      <c r="P1171" t="s">
        <v>42</v>
      </c>
      <c r="Q1171" t="s">
        <v>74</v>
      </c>
      <c r="R1171" t="s">
        <v>2174</v>
      </c>
      <c r="S1171">
        <v>81.92</v>
      </c>
    </row>
    <row r="1172" spans="1:19" x14ac:dyDescent="0.35">
      <c r="A1172">
        <v>1190</v>
      </c>
      <c r="B1172" t="s">
        <v>3364</v>
      </c>
      <c r="C1172" s="1">
        <v>43157</v>
      </c>
      <c r="D1172" s="1">
        <v>43159</v>
      </c>
      <c r="E1172" s="1" t="str">
        <f t="shared" si="18"/>
        <v>SLOW</v>
      </c>
      <c r="F1172" t="s">
        <v>19</v>
      </c>
      <c r="G1172" t="s">
        <v>3365</v>
      </c>
      <c r="H1172" t="s">
        <v>3366</v>
      </c>
      <c r="I1172" t="s">
        <v>98</v>
      </c>
      <c r="J1172" t="s">
        <v>23</v>
      </c>
      <c r="K1172" t="s">
        <v>38</v>
      </c>
      <c r="L1172" t="s">
        <v>39</v>
      </c>
      <c r="M1172">
        <v>90036</v>
      </c>
      <c r="N1172" t="s">
        <v>40</v>
      </c>
      <c r="O1172" t="s">
        <v>3367</v>
      </c>
      <c r="P1172" t="s">
        <v>67</v>
      </c>
      <c r="Q1172" t="s">
        <v>68</v>
      </c>
      <c r="R1172" t="s">
        <v>3368</v>
      </c>
      <c r="S1172">
        <v>889.53599999999994</v>
      </c>
    </row>
    <row r="1173" spans="1:19" x14ac:dyDescent="0.35">
      <c r="A1173">
        <v>1191</v>
      </c>
      <c r="B1173" t="s">
        <v>3364</v>
      </c>
      <c r="C1173" s="1">
        <v>43157</v>
      </c>
      <c r="D1173" s="1">
        <v>43159</v>
      </c>
      <c r="E1173" s="1" t="str">
        <f t="shared" si="18"/>
        <v>SLOW</v>
      </c>
      <c r="F1173" t="s">
        <v>19</v>
      </c>
      <c r="G1173" t="s">
        <v>3365</v>
      </c>
      <c r="H1173" t="s">
        <v>3366</v>
      </c>
      <c r="I1173" t="s">
        <v>98</v>
      </c>
      <c r="J1173" t="s">
        <v>23</v>
      </c>
      <c r="K1173" t="s">
        <v>38</v>
      </c>
      <c r="L1173" t="s">
        <v>39</v>
      </c>
      <c r="M1173">
        <v>90036</v>
      </c>
      <c r="N1173" t="s">
        <v>40</v>
      </c>
      <c r="O1173" t="s">
        <v>3369</v>
      </c>
      <c r="P1173" t="s">
        <v>28</v>
      </c>
      <c r="Q1173" t="s">
        <v>32</v>
      </c>
      <c r="R1173" t="s">
        <v>3370</v>
      </c>
      <c r="S1173">
        <v>892.22400000000005</v>
      </c>
    </row>
    <row r="1174" spans="1:19" x14ac:dyDescent="0.35">
      <c r="A1174">
        <v>1192</v>
      </c>
      <c r="B1174" t="s">
        <v>3364</v>
      </c>
      <c r="C1174" s="1">
        <v>43157</v>
      </c>
      <c r="D1174" s="1">
        <v>43159</v>
      </c>
      <c r="E1174" s="1" t="str">
        <f t="shared" si="18"/>
        <v>SLOW</v>
      </c>
      <c r="F1174" t="s">
        <v>19</v>
      </c>
      <c r="G1174" t="s">
        <v>3365</v>
      </c>
      <c r="H1174" t="s">
        <v>3366</v>
      </c>
      <c r="I1174" t="s">
        <v>98</v>
      </c>
      <c r="J1174" t="s">
        <v>23</v>
      </c>
      <c r="K1174" t="s">
        <v>38</v>
      </c>
      <c r="L1174" t="s">
        <v>39</v>
      </c>
      <c r="M1174">
        <v>90036</v>
      </c>
      <c r="N1174" t="s">
        <v>40</v>
      </c>
      <c r="O1174" t="s">
        <v>1239</v>
      </c>
      <c r="P1174" t="s">
        <v>42</v>
      </c>
      <c r="Q1174" t="s">
        <v>86</v>
      </c>
      <c r="R1174" t="s">
        <v>1426</v>
      </c>
      <c r="S1174">
        <v>223.92</v>
      </c>
    </row>
    <row r="1175" spans="1:19" x14ac:dyDescent="0.35">
      <c r="A1175">
        <v>1193</v>
      </c>
      <c r="B1175" t="s">
        <v>3364</v>
      </c>
      <c r="C1175" s="1">
        <v>43157</v>
      </c>
      <c r="D1175" s="1">
        <v>43159</v>
      </c>
      <c r="E1175" s="1" t="str">
        <f t="shared" si="18"/>
        <v>SLOW</v>
      </c>
      <c r="F1175" t="s">
        <v>19</v>
      </c>
      <c r="G1175" t="s">
        <v>3365</v>
      </c>
      <c r="H1175" t="s">
        <v>3366</v>
      </c>
      <c r="I1175" t="s">
        <v>98</v>
      </c>
      <c r="J1175" t="s">
        <v>23</v>
      </c>
      <c r="K1175" t="s">
        <v>38</v>
      </c>
      <c r="L1175" t="s">
        <v>39</v>
      </c>
      <c r="M1175">
        <v>90036</v>
      </c>
      <c r="N1175" t="s">
        <v>40</v>
      </c>
      <c r="O1175" t="s">
        <v>3371</v>
      </c>
      <c r="P1175" t="s">
        <v>42</v>
      </c>
      <c r="Q1175" t="s">
        <v>86</v>
      </c>
      <c r="R1175" t="s">
        <v>3372</v>
      </c>
      <c r="S1175">
        <v>23.12</v>
      </c>
    </row>
    <row r="1176" spans="1:19" x14ac:dyDescent="0.35">
      <c r="A1176">
        <v>1194</v>
      </c>
      <c r="B1176" t="s">
        <v>3373</v>
      </c>
      <c r="C1176" s="1">
        <v>42628</v>
      </c>
      <c r="D1176" s="1">
        <v>42628</v>
      </c>
      <c r="E1176" s="1" t="str">
        <f t="shared" si="18"/>
        <v>MODERATE</v>
      </c>
      <c r="F1176" t="s">
        <v>1276</v>
      </c>
      <c r="G1176" t="s">
        <v>2021</v>
      </c>
      <c r="H1176" t="s">
        <v>2022</v>
      </c>
      <c r="I1176" t="s">
        <v>37</v>
      </c>
      <c r="J1176" t="s">
        <v>23</v>
      </c>
      <c r="K1176" t="s">
        <v>3374</v>
      </c>
      <c r="L1176" t="s">
        <v>50</v>
      </c>
      <c r="M1176">
        <v>33065</v>
      </c>
      <c r="N1176" t="s">
        <v>26</v>
      </c>
      <c r="O1176" t="s">
        <v>1142</v>
      </c>
      <c r="P1176" t="s">
        <v>42</v>
      </c>
      <c r="Q1176" t="s">
        <v>86</v>
      </c>
      <c r="R1176" t="s">
        <v>1143</v>
      </c>
      <c r="S1176">
        <v>15.552</v>
      </c>
    </row>
    <row r="1177" spans="1:19" x14ac:dyDescent="0.35">
      <c r="A1177">
        <v>1195</v>
      </c>
      <c r="B1177" t="s">
        <v>3373</v>
      </c>
      <c r="C1177" s="1">
        <v>42628</v>
      </c>
      <c r="D1177" s="1">
        <v>42628</v>
      </c>
      <c r="E1177" s="1" t="str">
        <f t="shared" si="18"/>
        <v>MODERATE</v>
      </c>
      <c r="F1177" t="s">
        <v>1276</v>
      </c>
      <c r="G1177" t="s">
        <v>2021</v>
      </c>
      <c r="H1177" t="s">
        <v>2022</v>
      </c>
      <c r="I1177" t="s">
        <v>37</v>
      </c>
      <c r="J1177" t="s">
        <v>23</v>
      </c>
      <c r="K1177" t="s">
        <v>3374</v>
      </c>
      <c r="L1177" t="s">
        <v>50</v>
      </c>
      <c r="M1177">
        <v>33065</v>
      </c>
      <c r="N1177" t="s">
        <v>26</v>
      </c>
      <c r="O1177" t="s">
        <v>3375</v>
      </c>
      <c r="P1177" t="s">
        <v>28</v>
      </c>
      <c r="Q1177" t="s">
        <v>61</v>
      </c>
      <c r="R1177" t="s">
        <v>3376</v>
      </c>
      <c r="S1177">
        <v>15.712</v>
      </c>
    </row>
    <row r="1178" spans="1:19" x14ac:dyDescent="0.35">
      <c r="A1178">
        <v>1196</v>
      </c>
      <c r="B1178" t="s">
        <v>3373</v>
      </c>
      <c r="C1178" s="1">
        <v>42628</v>
      </c>
      <c r="D1178" s="1">
        <v>42628</v>
      </c>
      <c r="E1178" s="1" t="str">
        <f t="shared" si="18"/>
        <v>MODERATE</v>
      </c>
      <c r="F1178" t="s">
        <v>1276</v>
      </c>
      <c r="G1178" t="s">
        <v>2021</v>
      </c>
      <c r="H1178" t="s">
        <v>2022</v>
      </c>
      <c r="I1178" t="s">
        <v>37</v>
      </c>
      <c r="J1178" t="s">
        <v>23</v>
      </c>
      <c r="K1178" t="s">
        <v>3374</v>
      </c>
      <c r="L1178" t="s">
        <v>50</v>
      </c>
      <c r="M1178">
        <v>33065</v>
      </c>
      <c r="N1178" t="s">
        <v>26</v>
      </c>
      <c r="O1178" t="s">
        <v>1615</v>
      </c>
      <c r="P1178" t="s">
        <v>42</v>
      </c>
      <c r="Q1178" t="s">
        <v>55</v>
      </c>
      <c r="R1178" t="s">
        <v>1616</v>
      </c>
      <c r="S1178">
        <v>24.672000000000001</v>
      </c>
    </row>
    <row r="1179" spans="1:19" x14ac:dyDescent="0.35">
      <c r="A1179">
        <v>1197</v>
      </c>
      <c r="B1179" t="s">
        <v>3373</v>
      </c>
      <c r="C1179" s="1">
        <v>42628</v>
      </c>
      <c r="D1179" s="1">
        <v>42628</v>
      </c>
      <c r="E1179" s="1" t="str">
        <f t="shared" si="18"/>
        <v>MODERATE</v>
      </c>
      <c r="F1179" t="s">
        <v>1276</v>
      </c>
      <c r="G1179" t="s">
        <v>2021</v>
      </c>
      <c r="H1179" t="s">
        <v>2022</v>
      </c>
      <c r="I1179" t="s">
        <v>37</v>
      </c>
      <c r="J1179" t="s">
        <v>23</v>
      </c>
      <c r="K1179" t="s">
        <v>3374</v>
      </c>
      <c r="L1179" t="s">
        <v>50</v>
      </c>
      <c r="M1179">
        <v>33065</v>
      </c>
      <c r="N1179" t="s">
        <v>26</v>
      </c>
      <c r="O1179" t="s">
        <v>2241</v>
      </c>
      <c r="P1179" t="s">
        <v>28</v>
      </c>
      <c r="Q1179" t="s">
        <v>61</v>
      </c>
      <c r="R1179" t="s">
        <v>2242</v>
      </c>
      <c r="S1179">
        <v>55.968000000000004</v>
      </c>
    </row>
    <row r="1180" spans="1:19" x14ac:dyDescent="0.35">
      <c r="A1180">
        <v>1198</v>
      </c>
      <c r="B1180" t="s">
        <v>3377</v>
      </c>
      <c r="C1180" s="1">
        <v>42833</v>
      </c>
      <c r="D1180" s="1">
        <v>42837</v>
      </c>
      <c r="E1180" s="1" t="str">
        <f t="shared" si="18"/>
        <v>FAST</v>
      </c>
      <c r="F1180" t="s">
        <v>46</v>
      </c>
      <c r="G1180" t="s">
        <v>1954</v>
      </c>
      <c r="H1180" t="s">
        <v>1955</v>
      </c>
      <c r="I1180" t="s">
        <v>22</v>
      </c>
      <c r="J1180" t="s">
        <v>23</v>
      </c>
      <c r="K1180" t="s">
        <v>180</v>
      </c>
      <c r="L1180" t="s">
        <v>100</v>
      </c>
      <c r="M1180">
        <v>77041</v>
      </c>
      <c r="N1180" t="s">
        <v>101</v>
      </c>
      <c r="O1180" t="s">
        <v>3378</v>
      </c>
      <c r="P1180" t="s">
        <v>67</v>
      </c>
      <c r="Q1180" t="s">
        <v>157</v>
      </c>
      <c r="R1180" t="s">
        <v>3379</v>
      </c>
      <c r="S1180">
        <v>431.928</v>
      </c>
    </row>
    <row r="1181" spans="1:19" x14ac:dyDescent="0.35">
      <c r="A1181">
        <v>1199</v>
      </c>
      <c r="B1181" t="s">
        <v>3377</v>
      </c>
      <c r="C1181" s="1">
        <v>42833</v>
      </c>
      <c r="D1181" s="1">
        <v>42837</v>
      </c>
      <c r="E1181" s="1" t="str">
        <f t="shared" si="18"/>
        <v>FAST</v>
      </c>
      <c r="F1181" t="s">
        <v>46</v>
      </c>
      <c r="G1181" t="s">
        <v>1954</v>
      </c>
      <c r="H1181" t="s">
        <v>1955</v>
      </c>
      <c r="I1181" t="s">
        <v>22</v>
      </c>
      <c r="J1181" t="s">
        <v>23</v>
      </c>
      <c r="K1181" t="s">
        <v>180</v>
      </c>
      <c r="L1181" t="s">
        <v>100</v>
      </c>
      <c r="M1181">
        <v>77041</v>
      </c>
      <c r="N1181" t="s">
        <v>101</v>
      </c>
      <c r="O1181" t="s">
        <v>3380</v>
      </c>
      <c r="P1181" t="s">
        <v>28</v>
      </c>
      <c r="Q1181" t="s">
        <v>32</v>
      </c>
      <c r="R1181" t="s">
        <v>3381</v>
      </c>
      <c r="S1181">
        <v>95.983999999999995</v>
      </c>
    </row>
    <row r="1182" spans="1:19" x14ac:dyDescent="0.35">
      <c r="A1182">
        <v>1200</v>
      </c>
      <c r="B1182" t="s">
        <v>3377</v>
      </c>
      <c r="C1182" s="1">
        <v>42833</v>
      </c>
      <c r="D1182" s="1">
        <v>42837</v>
      </c>
      <c r="E1182" s="1" t="str">
        <f t="shared" si="18"/>
        <v>FAST</v>
      </c>
      <c r="F1182" t="s">
        <v>46</v>
      </c>
      <c r="G1182" t="s">
        <v>1954</v>
      </c>
      <c r="H1182" t="s">
        <v>1955</v>
      </c>
      <c r="I1182" t="s">
        <v>22</v>
      </c>
      <c r="J1182" t="s">
        <v>23</v>
      </c>
      <c r="K1182" t="s">
        <v>180</v>
      </c>
      <c r="L1182" t="s">
        <v>100</v>
      </c>
      <c r="M1182">
        <v>77041</v>
      </c>
      <c r="N1182" t="s">
        <v>101</v>
      </c>
      <c r="O1182" t="s">
        <v>1243</v>
      </c>
      <c r="P1182" t="s">
        <v>42</v>
      </c>
      <c r="Q1182" t="s">
        <v>71</v>
      </c>
      <c r="R1182" t="s">
        <v>1244</v>
      </c>
      <c r="S1182">
        <v>1088.7919999999999</v>
      </c>
    </row>
    <row r="1183" spans="1:19" x14ac:dyDescent="0.35">
      <c r="A1183">
        <v>1201</v>
      </c>
      <c r="B1183" t="s">
        <v>3382</v>
      </c>
      <c r="C1183" s="1">
        <v>42934</v>
      </c>
      <c r="D1183" s="1">
        <v>42940</v>
      </c>
      <c r="E1183" s="1" t="str">
        <f t="shared" si="18"/>
        <v>FAST</v>
      </c>
      <c r="F1183" t="s">
        <v>46</v>
      </c>
      <c r="G1183" t="s">
        <v>2652</v>
      </c>
      <c r="H1183" t="s">
        <v>2653</v>
      </c>
      <c r="I1183" t="s">
        <v>37</v>
      </c>
      <c r="J1183" t="s">
        <v>23</v>
      </c>
      <c r="K1183" t="s">
        <v>794</v>
      </c>
      <c r="L1183" t="s">
        <v>444</v>
      </c>
      <c r="M1183">
        <v>80219</v>
      </c>
      <c r="N1183" t="s">
        <v>40</v>
      </c>
      <c r="O1183" t="s">
        <v>2427</v>
      </c>
      <c r="P1183" t="s">
        <v>28</v>
      </c>
      <c r="Q1183" t="s">
        <v>32</v>
      </c>
      <c r="R1183" t="s">
        <v>2428</v>
      </c>
      <c r="S1183">
        <v>544.00800000000004</v>
      </c>
    </row>
    <row r="1184" spans="1:19" x14ac:dyDescent="0.35">
      <c r="A1184">
        <v>1202</v>
      </c>
      <c r="B1184" t="s">
        <v>3382</v>
      </c>
      <c r="C1184" s="1">
        <v>42934</v>
      </c>
      <c r="D1184" s="1">
        <v>42940</v>
      </c>
      <c r="E1184" s="1" t="str">
        <f t="shared" si="18"/>
        <v>FAST</v>
      </c>
      <c r="F1184" t="s">
        <v>46</v>
      </c>
      <c r="G1184" t="s">
        <v>2652</v>
      </c>
      <c r="H1184" t="s">
        <v>2653</v>
      </c>
      <c r="I1184" t="s">
        <v>37</v>
      </c>
      <c r="J1184" t="s">
        <v>23</v>
      </c>
      <c r="K1184" t="s">
        <v>794</v>
      </c>
      <c r="L1184" t="s">
        <v>444</v>
      </c>
      <c r="M1184">
        <v>80219</v>
      </c>
      <c r="N1184" t="s">
        <v>40</v>
      </c>
      <c r="O1184" t="s">
        <v>1032</v>
      </c>
      <c r="P1184" t="s">
        <v>42</v>
      </c>
      <c r="Q1184" t="s">
        <v>71</v>
      </c>
      <c r="R1184" t="s">
        <v>1033</v>
      </c>
      <c r="S1184">
        <v>1.8720000000000001</v>
      </c>
    </row>
    <row r="1185" spans="1:19" x14ac:dyDescent="0.35">
      <c r="A1185">
        <v>1203</v>
      </c>
      <c r="B1185" t="s">
        <v>3382</v>
      </c>
      <c r="C1185" s="1">
        <v>42934</v>
      </c>
      <c r="D1185" s="1">
        <v>42940</v>
      </c>
      <c r="E1185" s="1" t="str">
        <f t="shared" si="18"/>
        <v>FAST</v>
      </c>
      <c r="F1185" t="s">
        <v>46</v>
      </c>
      <c r="G1185" t="s">
        <v>2652</v>
      </c>
      <c r="H1185" t="s">
        <v>2653</v>
      </c>
      <c r="I1185" t="s">
        <v>37</v>
      </c>
      <c r="J1185" t="s">
        <v>23</v>
      </c>
      <c r="K1185" t="s">
        <v>794</v>
      </c>
      <c r="L1185" t="s">
        <v>444</v>
      </c>
      <c r="M1185">
        <v>80219</v>
      </c>
      <c r="N1185" t="s">
        <v>40</v>
      </c>
      <c r="O1185" t="s">
        <v>1570</v>
      </c>
      <c r="P1185" t="s">
        <v>28</v>
      </c>
      <c r="Q1185" t="s">
        <v>32</v>
      </c>
      <c r="R1185" t="s">
        <v>1571</v>
      </c>
      <c r="S1185">
        <v>854.35199999999998</v>
      </c>
    </row>
    <row r="1186" spans="1:19" x14ac:dyDescent="0.35">
      <c r="A1186">
        <v>1204</v>
      </c>
      <c r="B1186" t="s">
        <v>3382</v>
      </c>
      <c r="C1186" s="1">
        <v>42934</v>
      </c>
      <c r="D1186" s="1">
        <v>42940</v>
      </c>
      <c r="E1186" s="1" t="str">
        <f t="shared" si="18"/>
        <v>FAST</v>
      </c>
      <c r="F1186" t="s">
        <v>46</v>
      </c>
      <c r="G1186" t="s">
        <v>2652</v>
      </c>
      <c r="H1186" t="s">
        <v>2653</v>
      </c>
      <c r="I1186" t="s">
        <v>37</v>
      </c>
      <c r="J1186" t="s">
        <v>23</v>
      </c>
      <c r="K1186" t="s">
        <v>794</v>
      </c>
      <c r="L1186" t="s">
        <v>444</v>
      </c>
      <c r="M1186">
        <v>80219</v>
      </c>
      <c r="N1186" t="s">
        <v>40</v>
      </c>
      <c r="O1186" t="s">
        <v>3383</v>
      </c>
      <c r="P1186" t="s">
        <v>42</v>
      </c>
      <c r="Q1186" t="s">
        <v>55</v>
      </c>
      <c r="R1186" t="s">
        <v>3384</v>
      </c>
      <c r="S1186">
        <v>593.56799999999998</v>
      </c>
    </row>
    <row r="1187" spans="1:19" x14ac:dyDescent="0.35">
      <c r="A1187">
        <v>1205</v>
      </c>
      <c r="B1187" t="s">
        <v>3382</v>
      </c>
      <c r="C1187" s="1">
        <v>42934</v>
      </c>
      <c r="D1187" s="1">
        <v>42940</v>
      </c>
      <c r="E1187" s="1" t="str">
        <f t="shared" si="18"/>
        <v>FAST</v>
      </c>
      <c r="F1187" t="s">
        <v>46</v>
      </c>
      <c r="G1187" t="s">
        <v>2652</v>
      </c>
      <c r="H1187" t="s">
        <v>2653</v>
      </c>
      <c r="I1187" t="s">
        <v>37</v>
      </c>
      <c r="J1187" t="s">
        <v>23</v>
      </c>
      <c r="K1187" t="s">
        <v>794</v>
      </c>
      <c r="L1187" t="s">
        <v>444</v>
      </c>
      <c r="M1187">
        <v>80219</v>
      </c>
      <c r="N1187" t="s">
        <v>40</v>
      </c>
      <c r="O1187" t="s">
        <v>1632</v>
      </c>
      <c r="P1187" t="s">
        <v>42</v>
      </c>
      <c r="Q1187" t="s">
        <v>55</v>
      </c>
      <c r="R1187" t="s">
        <v>1633</v>
      </c>
      <c r="S1187">
        <v>338.04</v>
      </c>
    </row>
    <row r="1188" spans="1:19" x14ac:dyDescent="0.35">
      <c r="A1188">
        <v>1206</v>
      </c>
      <c r="B1188" t="s">
        <v>3385</v>
      </c>
      <c r="C1188" s="1">
        <v>43313</v>
      </c>
      <c r="D1188" s="1">
        <v>43316</v>
      </c>
      <c r="E1188" s="1" t="str">
        <f t="shared" si="18"/>
        <v>MODERATE</v>
      </c>
      <c r="F1188" t="s">
        <v>184</v>
      </c>
      <c r="G1188" t="s">
        <v>3386</v>
      </c>
      <c r="H1188" t="s">
        <v>3387</v>
      </c>
      <c r="I1188" t="s">
        <v>22</v>
      </c>
      <c r="J1188" t="s">
        <v>23</v>
      </c>
      <c r="K1188" t="s">
        <v>454</v>
      </c>
      <c r="L1188" t="s">
        <v>84</v>
      </c>
      <c r="M1188">
        <v>28205</v>
      </c>
      <c r="N1188" t="s">
        <v>26</v>
      </c>
      <c r="O1188" t="s">
        <v>2718</v>
      </c>
      <c r="P1188" t="s">
        <v>67</v>
      </c>
      <c r="Q1188" t="s">
        <v>68</v>
      </c>
      <c r="R1188" t="s">
        <v>2719</v>
      </c>
      <c r="S1188">
        <v>271.95999999999998</v>
      </c>
    </row>
    <row r="1189" spans="1:19" x14ac:dyDescent="0.35">
      <c r="A1189">
        <v>1207</v>
      </c>
      <c r="B1189" t="s">
        <v>3388</v>
      </c>
      <c r="C1189" s="1">
        <v>42930</v>
      </c>
      <c r="D1189" s="1">
        <v>42934</v>
      </c>
      <c r="E1189" s="1" t="str">
        <f t="shared" si="18"/>
        <v>SLOW</v>
      </c>
      <c r="F1189" t="s">
        <v>19</v>
      </c>
      <c r="G1189" t="s">
        <v>3389</v>
      </c>
      <c r="H1189" t="s">
        <v>3390</v>
      </c>
      <c r="I1189" t="s">
        <v>37</v>
      </c>
      <c r="J1189" t="s">
        <v>23</v>
      </c>
      <c r="K1189" t="s">
        <v>260</v>
      </c>
      <c r="L1189" t="s">
        <v>261</v>
      </c>
      <c r="M1189">
        <v>10009</v>
      </c>
      <c r="N1189" t="s">
        <v>144</v>
      </c>
      <c r="O1189" t="s">
        <v>2322</v>
      </c>
      <c r="P1189" t="s">
        <v>42</v>
      </c>
      <c r="Q1189" t="s">
        <v>55</v>
      </c>
      <c r="R1189" t="s">
        <v>2323</v>
      </c>
      <c r="S1189">
        <v>11.21</v>
      </c>
    </row>
    <row r="1190" spans="1:19" x14ac:dyDescent="0.35">
      <c r="A1190">
        <v>1208</v>
      </c>
      <c r="B1190" t="s">
        <v>3388</v>
      </c>
      <c r="C1190" s="1">
        <v>42930</v>
      </c>
      <c r="D1190" s="1">
        <v>42934</v>
      </c>
      <c r="E1190" s="1" t="str">
        <f t="shared" si="18"/>
        <v>SLOW</v>
      </c>
      <c r="F1190" t="s">
        <v>19</v>
      </c>
      <c r="G1190" t="s">
        <v>3389</v>
      </c>
      <c r="H1190" t="s">
        <v>3390</v>
      </c>
      <c r="I1190" t="s">
        <v>37</v>
      </c>
      <c r="J1190" t="s">
        <v>23</v>
      </c>
      <c r="K1190" t="s">
        <v>260</v>
      </c>
      <c r="L1190" t="s">
        <v>261</v>
      </c>
      <c r="M1190">
        <v>10009</v>
      </c>
      <c r="N1190" t="s">
        <v>144</v>
      </c>
      <c r="O1190" t="s">
        <v>1241</v>
      </c>
      <c r="P1190" t="s">
        <v>42</v>
      </c>
      <c r="Q1190" t="s">
        <v>71</v>
      </c>
      <c r="R1190" t="s">
        <v>1242</v>
      </c>
      <c r="S1190">
        <v>9.1440000000000001</v>
      </c>
    </row>
    <row r="1191" spans="1:19" x14ac:dyDescent="0.35">
      <c r="A1191">
        <v>1209</v>
      </c>
      <c r="B1191" t="s">
        <v>3388</v>
      </c>
      <c r="C1191" s="1">
        <v>42930</v>
      </c>
      <c r="D1191" s="1">
        <v>42934</v>
      </c>
      <c r="E1191" s="1" t="str">
        <f t="shared" si="18"/>
        <v>SLOW</v>
      </c>
      <c r="F1191" t="s">
        <v>19</v>
      </c>
      <c r="G1191" t="s">
        <v>3389</v>
      </c>
      <c r="H1191" t="s">
        <v>3390</v>
      </c>
      <c r="I1191" t="s">
        <v>37</v>
      </c>
      <c r="J1191" t="s">
        <v>23</v>
      </c>
      <c r="K1191" t="s">
        <v>260</v>
      </c>
      <c r="L1191" t="s">
        <v>261</v>
      </c>
      <c r="M1191">
        <v>10009</v>
      </c>
      <c r="N1191" t="s">
        <v>144</v>
      </c>
      <c r="O1191" t="s">
        <v>561</v>
      </c>
      <c r="P1191" t="s">
        <v>42</v>
      </c>
      <c r="Q1191" t="s">
        <v>263</v>
      </c>
      <c r="R1191" t="s">
        <v>562</v>
      </c>
      <c r="S1191">
        <v>14.07</v>
      </c>
    </row>
    <row r="1192" spans="1:19" x14ac:dyDescent="0.35">
      <c r="A1192">
        <v>1210</v>
      </c>
      <c r="B1192" t="s">
        <v>3388</v>
      </c>
      <c r="C1192" s="1">
        <v>42930</v>
      </c>
      <c r="D1192" s="1">
        <v>42934</v>
      </c>
      <c r="E1192" s="1" t="str">
        <f t="shared" si="18"/>
        <v>SLOW</v>
      </c>
      <c r="F1192" t="s">
        <v>19</v>
      </c>
      <c r="G1192" t="s">
        <v>3389</v>
      </c>
      <c r="H1192" t="s">
        <v>3390</v>
      </c>
      <c r="I1192" t="s">
        <v>37</v>
      </c>
      <c r="J1192" t="s">
        <v>23</v>
      </c>
      <c r="K1192" t="s">
        <v>260</v>
      </c>
      <c r="L1192" t="s">
        <v>261</v>
      </c>
      <c r="M1192">
        <v>10009</v>
      </c>
      <c r="N1192" t="s">
        <v>144</v>
      </c>
      <c r="O1192" t="s">
        <v>3391</v>
      </c>
      <c r="P1192" t="s">
        <v>42</v>
      </c>
      <c r="Q1192" t="s">
        <v>64</v>
      </c>
      <c r="R1192" t="s">
        <v>3392</v>
      </c>
      <c r="S1192">
        <v>41.86</v>
      </c>
    </row>
    <row r="1193" spans="1:19" x14ac:dyDescent="0.35">
      <c r="A1193">
        <v>1211</v>
      </c>
      <c r="B1193" t="s">
        <v>3388</v>
      </c>
      <c r="C1193" s="1">
        <v>42930</v>
      </c>
      <c r="D1193" s="1">
        <v>42934</v>
      </c>
      <c r="E1193" s="1" t="str">
        <f t="shared" si="18"/>
        <v>SLOW</v>
      </c>
      <c r="F1193" t="s">
        <v>19</v>
      </c>
      <c r="G1193" t="s">
        <v>3389</v>
      </c>
      <c r="H1193" t="s">
        <v>3390</v>
      </c>
      <c r="I1193" t="s">
        <v>37</v>
      </c>
      <c r="J1193" t="s">
        <v>23</v>
      </c>
      <c r="K1193" t="s">
        <v>260</v>
      </c>
      <c r="L1193" t="s">
        <v>261</v>
      </c>
      <c r="M1193">
        <v>10009</v>
      </c>
      <c r="N1193" t="s">
        <v>144</v>
      </c>
      <c r="O1193" t="s">
        <v>3393</v>
      </c>
      <c r="P1193" t="s">
        <v>42</v>
      </c>
      <c r="Q1193" t="s">
        <v>71</v>
      </c>
      <c r="R1193" t="s">
        <v>3394</v>
      </c>
      <c r="S1193">
        <v>8.5440000000000005</v>
      </c>
    </row>
    <row r="1194" spans="1:19" x14ac:dyDescent="0.35">
      <c r="A1194">
        <v>1212</v>
      </c>
      <c r="B1194" t="s">
        <v>3388</v>
      </c>
      <c r="C1194" s="1">
        <v>42930</v>
      </c>
      <c r="D1194" s="1">
        <v>42934</v>
      </c>
      <c r="E1194" s="1" t="str">
        <f t="shared" si="18"/>
        <v>SLOW</v>
      </c>
      <c r="F1194" t="s">
        <v>19</v>
      </c>
      <c r="G1194" t="s">
        <v>3389</v>
      </c>
      <c r="H1194" t="s">
        <v>3390</v>
      </c>
      <c r="I1194" t="s">
        <v>37</v>
      </c>
      <c r="J1194" t="s">
        <v>23</v>
      </c>
      <c r="K1194" t="s">
        <v>260</v>
      </c>
      <c r="L1194" t="s">
        <v>261</v>
      </c>
      <c r="M1194">
        <v>10009</v>
      </c>
      <c r="N1194" t="s">
        <v>144</v>
      </c>
      <c r="O1194" t="s">
        <v>839</v>
      </c>
      <c r="P1194" t="s">
        <v>28</v>
      </c>
      <c r="Q1194" t="s">
        <v>29</v>
      </c>
      <c r="R1194" t="s">
        <v>840</v>
      </c>
      <c r="S1194">
        <v>579.13599999999997</v>
      </c>
    </row>
    <row r="1195" spans="1:19" x14ac:dyDescent="0.35">
      <c r="A1195">
        <v>1213</v>
      </c>
      <c r="B1195" t="s">
        <v>3395</v>
      </c>
      <c r="C1195" s="1">
        <v>43352</v>
      </c>
      <c r="D1195" s="1">
        <v>43356</v>
      </c>
      <c r="E1195" s="1" t="str">
        <f t="shared" si="18"/>
        <v>FAST</v>
      </c>
      <c r="F1195" t="s">
        <v>46</v>
      </c>
      <c r="G1195" t="s">
        <v>3396</v>
      </c>
      <c r="H1195" t="s">
        <v>3397</v>
      </c>
      <c r="I1195" t="s">
        <v>37</v>
      </c>
      <c r="J1195" t="s">
        <v>23</v>
      </c>
      <c r="K1195" t="s">
        <v>142</v>
      </c>
      <c r="L1195" t="s">
        <v>143</v>
      </c>
      <c r="M1195">
        <v>19134</v>
      </c>
      <c r="N1195" t="s">
        <v>144</v>
      </c>
      <c r="O1195" t="s">
        <v>877</v>
      </c>
      <c r="P1195" t="s">
        <v>28</v>
      </c>
      <c r="Q1195" t="s">
        <v>32</v>
      </c>
      <c r="R1195" t="s">
        <v>878</v>
      </c>
      <c r="S1195">
        <v>141.37200000000001</v>
      </c>
    </row>
    <row r="1196" spans="1:19" x14ac:dyDescent="0.35">
      <c r="A1196">
        <v>1214</v>
      </c>
      <c r="B1196" t="s">
        <v>3395</v>
      </c>
      <c r="C1196" s="1">
        <v>43352</v>
      </c>
      <c r="D1196" s="1">
        <v>43356</v>
      </c>
      <c r="E1196" s="1" t="str">
        <f t="shared" si="18"/>
        <v>FAST</v>
      </c>
      <c r="F1196" t="s">
        <v>46</v>
      </c>
      <c r="G1196" t="s">
        <v>3396</v>
      </c>
      <c r="H1196" t="s">
        <v>3397</v>
      </c>
      <c r="I1196" t="s">
        <v>37</v>
      </c>
      <c r="J1196" t="s">
        <v>23</v>
      </c>
      <c r="K1196" t="s">
        <v>142</v>
      </c>
      <c r="L1196" t="s">
        <v>143</v>
      </c>
      <c r="M1196">
        <v>19134</v>
      </c>
      <c r="N1196" t="s">
        <v>144</v>
      </c>
      <c r="O1196" t="s">
        <v>3398</v>
      </c>
      <c r="P1196" t="s">
        <v>42</v>
      </c>
      <c r="Q1196" t="s">
        <v>71</v>
      </c>
      <c r="R1196" t="s">
        <v>3399</v>
      </c>
      <c r="S1196">
        <v>3.036</v>
      </c>
    </row>
    <row r="1197" spans="1:19" x14ac:dyDescent="0.35">
      <c r="A1197">
        <v>1215</v>
      </c>
      <c r="B1197" t="s">
        <v>3395</v>
      </c>
      <c r="C1197" s="1">
        <v>43352</v>
      </c>
      <c r="D1197" s="1">
        <v>43356</v>
      </c>
      <c r="E1197" s="1" t="str">
        <f t="shared" si="18"/>
        <v>FAST</v>
      </c>
      <c r="F1197" t="s">
        <v>46</v>
      </c>
      <c r="G1197" t="s">
        <v>3396</v>
      </c>
      <c r="H1197" t="s">
        <v>3397</v>
      </c>
      <c r="I1197" t="s">
        <v>37</v>
      </c>
      <c r="J1197" t="s">
        <v>23</v>
      </c>
      <c r="K1197" t="s">
        <v>142</v>
      </c>
      <c r="L1197" t="s">
        <v>143</v>
      </c>
      <c r="M1197">
        <v>19134</v>
      </c>
      <c r="N1197" t="s">
        <v>144</v>
      </c>
      <c r="O1197" t="s">
        <v>1883</v>
      </c>
      <c r="P1197" t="s">
        <v>42</v>
      </c>
      <c r="Q1197" t="s">
        <v>71</v>
      </c>
      <c r="R1197" t="s">
        <v>1884</v>
      </c>
      <c r="S1197">
        <v>4.5030000000000001</v>
      </c>
    </row>
    <row r="1198" spans="1:19" x14ac:dyDescent="0.35">
      <c r="A1198">
        <v>1216</v>
      </c>
      <c r="B1198" t="s">
        <v>3395</v>
      </c>
      <c r="C1198" s="1">
        <v>43352</v>
      </c>
      <c r="D1198" s="1">
        <v>43356</v>
      </c>
      <c r="E1198" s="1" t="str">
        <f t="shared" si="18"/>
        <v>FAST</v>
      </c>
      <c r="F1198" t="s">
        <v>46</v>
      </c>
      <c r="G1198" t="s">
        <v>3396</v>
      </c>
      <c r="H1198" t="s">
        <v>3397</v>
      </c>
      <c r="I1198" t="s">
        <v>37</v>
      </c>
      <c r="J1198" t="s">
        <v>23</v>
      </c>
      <c r="K1198" t="s">
        <v>142</v>
      </c>
      <c r="L1198" t="s">
        <v>143</v>
      </c>
      <c r="M1198">
        <v>19134</v>
      </c>
      <c r="N1198" t="s">
        <v>144</v>
      </c>
      <c r="O1198" t="s">
        <v>986</v>
      </c>
      <c r="P1198" t="s">
        <v>42</v>
      </c>
      <c r="Q1198" t="s">
        <v>64</v>
      </c>
      <c r="R1198" t="s">
        <v>987</v>
      </c>
      <c r="S1198">
        <v>4.6719999999999997</v>
      </c>
    </row>
    <row r="1199" spans="1:19" x14ac:dyDescent="0.35">
      <c r="A1199">
        <v>1217</v>
      </c>
      <c r="B1199" t="s">
        <v>3395</v>
      </c>
      <c r="C1199" s="1">
        <v>43352</v>
      </c>
      <c r="D1199" s="1">
        <v>43356</v>
      </c>
      <c r="E1199" s="1" t="str">
        <f t="shared" si="18"/>
        <v>FAST</v>
      </c>
      <c r="F1199" t="s">
        <v>46</v>
      </c>
      <c r="G1199" t="s">
        <v>3396</v>
      </c>
      <c r="H1199" t="s">
        <v>3397</v>
      </c>
      <c r="I1199" t="s">
        <v>37</v>
      </c>
      <c r="J1199" t="s">
        <v>23</v>
      </c>
      <c r="K1199" t="s">
        <v>142</v>
      </c>
      <c r="L1199" t="s">
        <v>143</v>
      </c>
      <c r="M1199">
        <v>19134</v>
      </c>
      <c r="N1199" t="s">
        <v>144</v>
      </c>
      <c r="O1199" t="s">
        <v>980</v>
      </c>
      <c r="P1199" t="s">
        <v>67</v>
      </c>
      <c r="Q1199" t="s">
        <v>157</v>
      </c>
      <c r="R1199" t="s">
        <v>981</v>
      </c>
      <c r="S1199">
        <v>95.88</v>
      </c>
    </row>
    <row r="1200" spans="1:19" x14ac:dyDescent="0.35">
      <c r="A1200">
        <v>1218</v>
      </c>
      <c r="B1200" t="s">
        <v>3395</v>
      </c>
      <c r="C1200" s="1">
        <v>43352</v>
      </c>
      <c r="D1200" s="1">
        <v>43356</v>
      </c>
      <c r="E1200" s="1" t="str">
        <f t="shared" si="18"/>
        <v>FAST</v>
      </c>
      <c r="F1200" t="s">
        <v>46</v>
      </c>
      <c r="G1200" t="s">
        <v>3396</v>
      </c>
      <c r="H1200" t="s">
        <v>3397</v>
      </c>
      <c r="I1200" t="s">
        <v>37</v>
      </c>
      <c r="J1200" t="s">
        <v>23</v>
      </c>
      <c r="K1200" t="s">
        <v>142</v>
      </c>
      <c r="L1200" t="s">
        <v>143</v>
      </c>
      <c r="M1200">
        <v>19134</v>
      </c>
      <c r="N1200" t="s">
        <v>144</v>
      </c>
      <c r="O1200" t="s">
        <v>3400</v>
      </c>
      <c r="P1200" t="s">
        <v>28</v>
      </c>
      <c r="Q1200" t="s">
        <v>61</v>
      </c>
      <c r="R1200" t="s">
        <v>3401</v>
      </c>
      <c r="S1200">
        <v>17.024000000000001</v>
      </c>
    </row>
    <row r="1201" spans="1:19" x14ac:dyDescent="0.35">
      <c r="A1201">
        <v>1219</v>
      </c>
      <c r="B1201" t="s">
        <v>3395</v>
      </c>
      <c r="C1201" s="1">
        <v>43352</v>
      </c>
      <c r="D1201" s="1">
        <v>43356</v>
      </c>
      <c r="E1201" s="1" t="str">
        <f t="shared" si="18"/>
        <v>FAST</v>
      </c>
      <c r="F1201" t="s">
        <v>46</v>
      </c>
      <c r="G1201" t="s">
        <v>3396</v>
      </c>
      <c r="H1201" t="s">
        <v>3397</v>
      </c>
      <c r="I1201" t="s">
        <v>37</v>
      </c>
      <c r="J1201" t="s">
        <v>23</v>
      </c>
      <c r="K1201" t="s">
        <v>142</v>
      </c>
      <c r="L1201" t="s">
        <v>143</v>
      </c>
      <c r="M1201">
        <v>19134</v>
      </c>
      <c r="N1201" t="s">
        <v>144</v>
      </c>
      <c r="O1201" t="s">
        <v>2398</v>
      </c>
      <c r="P1201" t="s">
        <v>67</v>
      </c>
      <c r="Q1201" t="s">
        <v>157</v>
      </c>
      <c r="R1201" t="s">
        <v>2399</v>
      </c>
      <c r="S1201">
        <v>258.69600000000003</v>
      </c>
    </row>
    <row r="1202" spans="1:19" x14ac:dyDescent="0.35">
      <c r="A1202">
        <v>1220</v>
      </c>
      <c r="B1202" t="s">
        <v>3395</v>
      </c>
      <c r="C1202" s="1">
        <v>43352</v>
      </c>
      <c r="D1202" s="1">
        <v>43356</v>
      </c>
      <c r="E1202" s="1" t="str">
        <f t="shared" si="18"/>
        <v>FAST</v>
      </c>
      <c r="F1202" t="s">
        <v>46</v>
      </c>
      <c r="G1202" t="s">
        <v>3396</v>
      </c>
      <c r="H1202" t="s">
        <v>3397</v>
      </c>
      <c r="I1202" t="s">
        <v>37</v>
      </c>
      <c r="J1202" t="s">
        <v>23</v>
      </c>
      <c r="K1202" t="s">
        <v>142</v>
      </c>
      <c r="L1202" t="s">
        <v>143</v>
      </c>
      <c r="M1202">
        <v>19134</v>
      </c>
      <c r="N1202" t="s">
        <v>144</v>
      </c>
      <c r="O1202" t="s">
        <v>3402</v>
      </c>
      <c r="P1202" t="s">
        <v>67</v>
      </c>
      <c r="Q1202" t="s">
        <v>68</v>
      </c>
      <c r="R1202" t="s">
        <v>3403</v>
      </c>
      <c r="S1202">
        <v>1931.9580000000001</v>
      </c>
    </row>
    <row r="1203" spans="1:19" x14ac:dyDescent="0.35">
      <c r="A1203">
        <v>1221</v>
      </c>
      <c r="B1203" t="s">
        <v>3404</v>
      </c>
      <c r="C1203" s="1">
        <v>42197</v>
      </c>
      <c r="D1203" s="1">
        <v>42201</v>
      </c>
      <c r="E1203" s="1" t="str">
        <f t="shared" si="18"/>
        <v>FAST</v>
      </c>
      <c r="F1203" t="s">
        <v>46</v>
      </c>
      <c r="G1203" t="s">
        <v>3405</v>
      </c>
      <c r="H1203" t="s">
        <v>3406</v>
      </c>
      <c r="I1203" t="s">
        <v>98</v>
      </c>
      <c r="J1203" t="s">
        <v>23</v>
      </c>
      <c r="K1203" t="s">
        <v>38</v>
      </c>
      <c r="L1203" t="s">
        <v>39</v>
      </c>
      <c r="M1203">
        <v>90036</v>
      </c>
      <c r="N1203" t="s">
        <v>40</v>
      </c>
      <c r="O1203" t="s">
        <v>118</v>
      </c>
      <c r="P1203" t="s">
        <v>42</v>
      </c>
      <c r="Q1203" t="s">
        <v>55</v>
      </c>
      <c r="R1203" t="s">
        <v>119</v>
      </c>
      <c r="S1203">
        <v>249.75</v>
      </c>
    </row>
    <row r="1204" spans="1:19" x14ac:dyDescent="0.35">
      <c r="A1204">
        <v>1222</v>
      </c>
      <c r="B1204" t="s">
        <v>3404</v>
      </c>
      <c r="C1204" s="1">
        <v>42197</v>
      </c>
      <c r="D1204" s="1">
        <v>42201</v>
      </c>
      <c r="E1204" s="1" t="str">
        <f t="shared" si="18"/>
        <v>FAST</v>
      </c>
      <c r="F1204" t="s">
        <v>46</v>
      </c>
      <c r="G1204" t="s">
        <v>3405</v>
      </c>
      <c r="H1204" t="s">
        <v>3406</v>
      </c>
      <c r="I1204" t="s">
        <v>98</v>
      </c>
      <c r="J1204" t="s">
        <v>23</v>
      </c>
      <c r="K1204" t="s">
        <v>38</v>
      </c>
      <c r="L1204" t="s">
        <v>39</v>
      </c>
      <c r="M1204">
        <v>90036</v>
      </c>
      <c r="N1204" t="s">
        <v>40</v>
      </c>
      <c r="O1204" t="s">
        <v>3407</v>
      </c>
      <c r="P1204" t="s">
        <v>67</v>
      </c>
      <c r="Q1204" t="s">
        <v>68</v>
      </c>
      <c r="R1204" t="s">
        <v>3408</v>
      </c>
      <c r="S1204">
        <v>255.93600000000001</v>
      </c>
    </row>
    <row r="1205" spans="1:19" x14ac:dyDescent="0.35">
      <c r="A1205">
        <v>1223</v>
      </c>
      <c r="B1205" t="s">
        <v>3409</v>
      </c>
      <c r="C1205" s="1">
        <v>43073</v>
      </c>
      <c r="D1205" s="1">
        <v>43074</v>
      </c>
      <c r="E1205" s="1" t="str">
        <f t="shared" si="18"/>
        <v>MODERATE</v>
      </c>
      <c r="F1205" t="s">
        <v>184</v>
      </c>
      <c r="G1205" t="s">
        <v>665</v>
      </c>
      <c r="H1205" t="s">
        <v>666</v>
      </c>
      <c r="I1205" t="s">
        <v>22</v>
      </c>
      <c r="J1205" t="s">
        <v>23</v>
      </c>
      <c r="K1205" t="s">
        <v>260</v>
      </c>
      <c r="L1205" t="s">
        <v>261</v>
      </c>
      <c r="M1205">
        <v>10024</v>
      </c>
      <c r="N1205" t="s">
        <v>144</v>
      </c>
      <c r="O1205" t="s">
        <v>2982</v>
      </c>
      <c r="P1205" t="s">
        <v>28</v>
      </c>
      <c r="Q1205" t="s">
        <v>61</v>
      </c>
      <c r="R1205" t="s">
        <v>2983</v>
      </c>
      <c r="S1205">
        <v>113.79</v>
      </c>
    </row>
    <row r="1206" spans="1:19" x14ac:dyDescent="0.35">
      <c r="A1206">
        <v>1224</v>
      </c>
      <c r="B1206" t="s">
        <v>3409</v>
      </c>
      <c r="C1206" s="1">
        <v>43073</v>
      </c>
      <c r="D1206" s="1">
        <v>43074</v>
      </c>
      <c r="E1206" s="1" t="str">
        <f t="shared" si="18"/>
        <v>MODERATE</v>
      </c>
      <c r="F1206" t="s">
        <v>184</v>
      </c>
      <c r="G1206" t="s">
        <v>665</v>
      </c>
      <c r="H1206" t="s">
        <v>666</v>
      </c>
      <c r="I1206" t="s">
        <v>22</v>
      </c>
      <c r="J1206" t="s">
        <v>23</v>
      </c>
      <c r="K1206" t="s">
        <v>260</v>
      </c>
      <c r="L1206" t="s">
        <v>261</v>
      </c>
      <c r="M1206">
        <v>10024</v>
      </c>
      <c r="N1206" t="s">
        <v>144</v>
      </c>
      <c r="O1206" t="s">
        <v>1825</v>
      </c>
      <c r="P1206" t="s">
        <v>67</v>
      </c>
      <c r="Q1206" t="s">
        <v>157</v>
      </c>
      <c r="R1206" t="s">
        <v>1826</v>
      </c>
      <c r="S1206">
        <v>78.150000000000006</v>
      </c>
    </row>
    <row r="1207" spans="1:19" x14ac:dyDescent="0.35">
      <c r="A1207">
        <v>1225</v>
      </c>
      <c r="B1207" t="s">
        <v>3409</v>
      </c>
      <c r="C1207" s="1">
        <v>43073</v>
      </c>
      <c r="D1207" s="1">
        <v>43074</v>
      </c>
      <c r="E1207" s="1" t="str">
        <f t="shared" si="18"/>
        <v>MODERATE</v>
      </c>
      <c r="F1207" t="s">
        <v>184</v>
      </c>
      <c r="G1207" t="s">
        <v>665</v>
      </c>
      <c r="H1207" t="s">
        <v>666</v>
      </c>
      <c r="I1207" t="s">
        <v>22</v>
      </c>
      <c r="J1207" t="s">
        <v>23</v>
      </c>
      <c r="K1207" t="s">
        <v>260</v>
      </c>
      <c r="L1207" t="s">
        <v>261</v>
      </c>
      <c r="M1207">
        <v>10024</v>
      </c>
      <c r="N1207" t="s">
        <v>144</v>
      </c>
      <c r="O1207" t="s">
        <v>3360</v>
      </c>
      <c r="P1207" t="s">
        <v>42</v>
      </c>
      <c r="Q1207" t="s">
        <v>71</v>
      </c>
      <c r="R1207" t="s">
        <v>3361</v>
      </c>
      <c r="S1207">
        <v>1.728</v>
      </c>
    </row>
    <row r="1208" spans="1:19" x14ac:dyDescent="0.35">
      <c r="A1208">
        <v>1226</v>
      </c>
      <c r="B1208" t="s">
        <v>3409</v>
      </c>
      <c r="C1208" s="1">
        <v>43073</v>
      </c>
      <c r="D1208" s="1">
        <v>43074</v>
      </c>
      <c r="E1208" s="1" t="str">
        <f t="shared" si="18"/>
        <v>MODERATE</v>
      </c>
      <c r="F1208" t="s">
        <v>184</v>
      </c>
      <c r="G1208" t="s">
        <v>665</v>
      </c>
      <c r="H1208" t="s">
        <v>666</v>
      </c>
      <c r="I1208" t="s">
        <v>22</v>
      </c>
      <c r="J1208" t="s">
        <v>23</v>
      </c>
      <c r="K1208" t="s">
        <v>260</v>
      </c>
      <c r="L1208" t="s">
        <v>261</v>
      </c>
      <c r="M1208">
        <v>10024</v>
      </c>
      <c r="N1208" t="s">
        <v>144</v>
      </c>
      <c r="O1208" t="s">
        <v>3410</v>
      </c>
      <c r="P1208" t="s">
        <v>42</v>
      </c>
      <c r="Q1208" t="s">
        <v>86</v>
      </c>
      <c r="R1208" t="s">
        <v>182</v>
      </c>
      <c r="S1208">
        <v>40.56</v>
      </c>
    </row>
    <row r="1209" spans="1:19" x14ac:dyDescent="0.35">
      <c r="A1209">
        <v>1227</v>
      </c>
      <c r="B1209" t="s">
        <v>3409</v>
      </c>
      <c r="C1209" s="1">
        <v>43073</v>
      </c>
      <c r="D1209" s="1">
        <v>43074</v>
      </c>
      <c r="E1209" s="1" t="str">
        <f t="shared" si="18"/>
        <v>MODERATE</v>
      </c>
      <c r="F1209" t="s">
        <v>184</v>
      </c>
      <c r="G1209" t="s">
        <v>665</v>
      </c>
      <c r="H1209" t="s">
        <v>666</v>
      </c>
      <c r="I1209" t="s">
        <v>22</v>
      </c>
      <c r="J1209" t="s">
        <v>23</v>
      </c>
      <c r="K1209" t="s">
        <v>260</v>
      </c>
      <c r="L1209" t="s">
        <v>261</v>
      </c>
      <c r="M1209">
        <v>10024</v>
      </c>
      <c r="N1209" t="s">
        <v>144</v>
      </c>
      <c r="O1209" t="s">
        <v>3411</v>
      </c>
      <c r="P1209" t="s">
        <v>42</v>
      </c>
      <c r="Q1209" t="s">
        <v>55</v>
      </c>
      <c r="R1209" t="s">
        <v>3412</v>
      </c>
      <c r="S1209">
        <v>182.94</v>
      </c>
    </row>
    <row r="1210" spans="1:19" x14ac:dyDescent="0.35">
      <c r="A1210">
        <v>1228</v>
      </c>
      <c r="B1210" t="s">
        <v>3409</v>
      </c>
      <c r="C1210" s="1">
        <v>43073</v>
      </c>
      <c r="D1210" s="1">
        <v>43074</v>
      </c>
      <c r="E1210" s="1" t="str">
        <f t="shared" si="18"/>
        <v>MODERATE</v>
      </c>
      <c r="F1210" t="s">
        <v>184</v>
      </c>
      <c r="G1210" t="s">
        <v>665</v>
      </c>
      <c r="H1210" t="s">
        <v>666</v>
      </c>
      <c r="I1210" t="s">
        <v>22</v>
      </c>
      <c r="J1210" t="s">
        <v>23</v>
      </c>
      <c r="K1210" t="s">
        <v>260</v>
      </c>
      <c r="L1210" t="s">
        <v>261</v>
      </c>
      <c r="M1210">
        <v>10024</v>
      </c>
      <c r="N1210" t="s">
        <v>144</v>
      </c>
      <c r="O1210" t="s">
        <v>3413</v>
      </c>
      <c r="P1210" t="s">
        <v>42</v>
      </c>
      <c r="Q1210" t="s">
        <v>55</v>
      </c>
      <c r="R1210" t="s">
        <v>3414</v>
      </c>
      <c r="S1210">
        <v>193.86</v>
      </c>
    </row>
    <row r="1211" spans="1:19" x14ac:dyDescent="0.35">
      <c r="A1211">
        <v>1230</v>
      </c>
      <c r="B1211" t="s">
        <v>3415</v>
      </c>
      <c r="C1211" s="1">
        <v>43410</v>
      </c>
      <c r="D1211" s="1">
        <v>43415</v>
      </c>
      <c r="E1211" s="1" t="str">
        <f t="shared" si="18"/>
        <v>FAST</v>
      </c>
      <c r="F1211" t="s">
        <v>46</v>
      </c>
      <c r="G1211" t="s">
        <v>1954</v>
      </c>
      <c r="H1211" t="s">
        <v>1955</v>
      </c>
      <c r="I1211" t="s">
        <v>22</v>
      </c>
      <c r="J1211" t="s">
        <v>23</v>
      </c>
      <c r="K1211" t="s">
        <v>38</v>
      </c>
      <c r="L1211" t="s">
        <v>39</v>
      </c>
      <c r="M1211">
        <v>90045</v>
      </c>
      <c r="N1211" t="s">
        <v>40</v>
      </c>
      <c r="O1211" t="s">
        <v>2695</v>
      </c>
      <c r="P1211" t="s">
        <v>28</v>
      </c>
      <c r="Q1211" t="s">
        <v>61</v>
      </c>
      <c r="R1211" t="s">
        <v>2696</v>
      </c>
      <c r="S1211">
        <v>8.73</v>
      </c>
    </row>
    <row r="1212" spans="1:19" x14ac:dyDescent="0.35">
      <c r="A1212">
        <v>1231</v>
      </c>
      <c r="B1212" t="s">
        <v>3415</v>
      </c>
      <c r="C1212" s="1">
        <v>43410</v>
      </c>
      <c r="D1212" s="1">
        <v>43415</v>
      </c>
      <c r="E1212" s="1" t="str">
        <f t="shared" si="18"/>
        <v>FAST</v>
      </c>
      <c r="F1212" t="s">
        <v>46</v>
      </c>
      <c r="G1212" t="s">
        <v>1954</v>
      </c>
      <c r="H1212" t="s">
        <v>1955</v>
      </c>
      <c r="I1212" t="s">
        <v>22</v>
      </c>
      <c r="J1212" t="s">
        <v>23</v>
      </c>
      <c r="K1212" t="s">
        <v>38</v>
      </c>
      <c r="L1212" t="s">
        <v>39</v>
      </c>
      <c r="M1212">
        <v>90045</v>
      </c>
      <c r="N1212" t="s">
        <v>40</v>
      </c>
      <c r="O1212" t="s">
        <v>3416</v>
      </c>
      <c r="P1212" t="s">
        <v>42</v>
      </c>
      <c r="Q1212" t="s">
        <v>64</v>
      </c>
      <c r="R1212" t="s">
        <v>3417</v>
      </c>
      <c r="S1212">
        <v>5.68</v>
      </c>
    </row>
    <row r="1213" spans="1:19" x14ac:dyDescent="0.35">
      <c r="A1213">
        <v>1232</v>
      </c>
      <c r="B1213" t="s">
        <v>3418</v>
      </c>
      <c r="C1213" s="1">
        <v>42674</v>
      </c>
      <c r="D1213" s="1">
        <v>42676</v>
      </c>
      <c r="E1213" s="1" t="str">
        <f t="shared" si="18"/>
        <v>SLOW</v>
      </c>
      <c r="F1213" t="s">
        <v>19</v>
      </c>
      <c r="G1213" t="s">
        <v>3419</v>
      </c>
      <c r="H1213" t="s">
        <v>3420</v>
      </c>
      <c r="I1213" t="s">
        <v>22</v>
      </c>
      <c r="J1213" t="s">
        <v>23</v>
      </c>
      <c r="K1213" t="s">
        <v>3421</v>
      </c>
      <c r="L1213" t="s">
        <v>261</v>
      </c>
      <c r="M1213">
        <v>14215</v>
      </c>
      <c r="N1213" t="s">
        <v>144</v>
      </c>
      <c r="O1213" t="s">
        <v>1489</v>
      </c>
      <c r="P1213" t="s">
        <v>42</v>
      </c>
      <c r="Q1213" t="s">
        <v>64</v>
      </c>
      <c r="R1213" t="s">
        <v>1490</v>
      </c>
      <c r="S1213">
        <v>2.78</v>
      </c>
    </row>
    <row r="1214" spans="1:19" x14ac:dyDescent="0.35">
      <c r="A1214">
        <v>1233</v>
      </c>
      <c r="B1214" t="s">
        <v>3418</v>
      </c>
      <c r="C1214" s="1">
        <v>42674</v>
      </c>
      <c r="D1214" s="1">
        <v>42676</v>
      </c>
      <c r="E1214" s="1" t="str">
        <f t="shared" si="18"/>
        <v>SLOW</v>
      </c>
      <c r="F1214" t="s">
        <v>19</v>
      </c>
      <c r="G1214" t="s">
        <v>3419</v>
      </c>
      <c r="H1214" t="s">
        <v>3420</v>
      </c>
      <c r="I1214" t="s">
        <v>22</v>
      </c>
      <c r="J1214" t="s">
        <v>23</v>
      </c>
      <c r="K1214" t="s">
        <v>3421</v>
      </c>
      <c r="L1214" t="s">
        <v>261</v>
      </c>
      <c r="M1214">
        <v>14215</v>
      </c>
      <c r="N1214" t="s">
        <v>144</v>
      </c>
      <c r="O1214" t="s">
        <v>3422</v>
      </c>
      <c r="P1214" t="s">
        <v>42</v>
      </c>
      <c r="Q1214" t="s">
        <v>169</v>
      </c>
      <c r="R1214" t="s">
        <v>3423</v>
      </c>
      <c r="S1214">
        <v>79.959999999999994</v>
      </c>
    </row>
    <row r="1215" spans="1:19" x14ac:dyDescent="0.35">
      <c r="A1215">
        <v>1234</v>
      </c>
      <c r="B1215" t="s">
        <v>3424</v>
      </c>
      <c r="C1215" s="1">
        <v>42885</v>
      </c>
      <c r="D1215" s="1">
        <v>42887</v>
      </c>
      <c r="E1215" s="1" t="str">
        <f t="shared" si="18"/>
        <v>MODERATE</v>
      </c>
      <c r="F1215" t="s">
        <v>184</v>
      </c>
      <c r="G1215" t="s">
        <v>3425</v>
      </c>
      <c r="H1215" t="s">
        <v>3426</v>
      </c>
      <c r="I1215" t="s">
        <v>37</v>
      </c>
      <c r="J1215" t="s">
        <v>23</v>
      </c>
      <c r="K1215" t="s">
        <v>995</v>
      </c>
      <c r="L1215" t="s">
        <v>485</v>
      </c>
      <c r="M1215">
        <v>45231</v>
      </c>
      <c r="N1215" t="s">
        <v>144</v>
      </c>
      <c r="O1215" t="s">
        <v>3427</v>
      </c>
      <c r="P1215" t="s">
        <v>67</v>
      </c>
      <c r="Q1215" t="s">
        <v>1204</v>
      </c>
      <c r="R1215" t="s">
        <v>3428</v>
      </c>
      <c r="S1215">
        <v>839.98800000000006</v>
      </c>
    </row>
    <row r="1216" spans="1:19" x14ac:dyDescent="0.35">
      <c r="A1216">
        <v>1236</v>
      </c>
      <c r="B1216" t="s">
        <v>3429</v>
      </c>
      <c r="C1216" s="1">
        <v>43036</v>
      </c>
      <c r="D1216" s="1">
        <v>43036</v>
      </c>
      <c r="E1216" s="1" t="str">
        <f t="shared" si="18"/>
        <v>MODERATE</v>
      </c>
      <c r="F1216" t="s">
        <v>1276</v>
      </c>
      <c r="G1216" t="s">
        <v>2539</v>
      </c>
      <c r="H1216" t="s">
        <v>2540</v>
      </c>
      <c r="I1216" t="s">
        <v>22</v>
      </c>
      <c r="J1216" t="s">
        <v>23</v>
      </c>
      <c r="K1216" t="s">
        <v>3430</v>
      </c>
      <c r="L1216" t="s">
        <v>50</v>
      </c>
      <c r="M1216">
        <v>33437</v>
      </c>
      <c r="N1216" t="s">
        <v>26</v>
      </c>
      <c r="O1216" t="s">
        <v>2659</v>
      </c>
      <c r="P1216" t="s">
        <v>42</v>
      </c>
      <c r="Q1216" t="s">
        <v>71</v>
      </c>
      <c r="R1216" t="s">
        <v>2660</v>
      </c>
      <c r="S1216">
        <v>37.424999999999997</v>
      </c>
    </row>
    <row r="1217" spans="1:19" x14ac:dyDescent="0.35">
      <c r="A1217">
        <v>1237</v>
      </c>
      <c r="B1217" t="s">
        <v>3429</v>
      </c>
      <c r="C1217" s="1">
        <v>43036</v>
      </c>
      <c r="D1217" s="1">
        <v>43036</v>
      </c>
      <c r="E1217" s="1" t="str">
        <f t="shared" si="18"/>
        <v>MODERATE</v>
      </c>
      <c r="F1217" t="s">
        <v>1276</v>
      </c>
      <c r="G1217" t="s">
        <v>2539</v>
      </c>
      <c r="H1217" t="s">
        <v>2540</v>
      </c>
      <c r="I1217" t="s">
        <v>22</v>
      </c>
      <c r="J1217" t="s">
        <v>23</v>
      </c>
      <c r="K1217" t="s">
        <v>3430</v>
      </c>
      <c r="L1217" t="s">
        <v>50</v>
      </c>
      <c r="M1217">
        <v>33437</v>
      </c>
      <c r="N1217" t="s">
        <v>26</v>
      </c>
      <c r="O1217" t="s">
        <v>3431</v>
      </c>
      <c r="P1217" t="s">
        <v>28</v>
      </c>
      <c r="Q1217" t="s">
        <v>61</v>
      </c>
      <c r="R1217" t="s">
        <v>3432</v>
      </c>
      <c r="S1217">
        <v>63.968000000000004</v>
      </c>
    </row>
    <row r="1218" spans="1:19" x14ac:dyDescent="0.35">
      <c r="A1218">
        <v>1238</v>
      </c>
      <c r="B1218" t="s">
        <v>3429</v>
      </c>
      <c r="C1218" s="1">
        <v>43036</v>
      </c>
      <c r="D1218" s="1">
        <v>43036</v>
      </c>
      <c r="E1218" s="1" t="str">
        <f t="shared" si="18"/>
        <v>MODERATE</v>
      </c>
      <c r="F1218" t="s">
        <v>1276</v>
      </c>
      <c r="G1218" t="s">
        <v>2539</v>
      </c>
      <c r="H1218" t="s">
        <v>2540</v>
      </c>
      <c r="I1218" t="s">
        <v>22</v>
      </c>
      <c r="J1218" t="s">
        <v>23</v>
      </c>
      <c r="K1218" t="s">
        <v>3430</v>
      </c>
      <c r="L1218" t="s">
        <v>50</v>
      </c>
      <c r="M1218">
        <v>33437</v>
      </c>
      <c r="N1218" t="s">
        <v>26</v>
      </c>
      <c r="O1218" t="s">
        <v>2185</v>
      </c>
      <c r="P1218" t="s">
        <v>28</v>
      </c>
      <c r="Q1218" t="s">
        <v>61</v>
      </c>
      <c r="R1218" t="s">
        <v>2186</v>
      </c>
      <c r="S1218">
        <v>165.048</v>
      </c>
    </row>
    <row r="1219" spans="1:19" x14ac:dyDescent="0.35">
      <c r="A1219">
        <v>1239</v>
      </c>
      <c r="B1219" t="s">
        <v>3433</v>
      </c>
      <c r="C1219" s="1">
        <v>42227</v>
      </c>
      <c r="D1219" s="1">
        <v>42231</v>
      </c>
      <c r="E1219" s="1" t="str">
        <f t="shared" ref="E1219:E1282" si="19">IF(F1219="STANDARD CLASS","FAST",IF(F1219="SECOND CLASS","SLOW","MODERATE"))</f>
        <v>FAST</v>
      </c>
      <c r="F1219" t="s">
        <v>46</v>
      </c>
      <c r="G1219" t="s">
        <v>3434</v>
      </c>
      <c r="H1219" t="s">
        <v>3435</v>
      </c>
      <c r="I1219" t="s">
        <v>22</v>
      </c>
      <c r="J1219" t="s">
        <v>23</v>
      </c>
      <c r="K1219" t="s">
        <v>91</v>
      </c>
      <c r="L1219" t="s">
        <v>92</v>
      </c>
      <c r="M1219">
        <v>98105</v>
      </c>
      <c r="N1219" t="s">
        <v>40</v>
      </c>
      <c r="O1219" t="s">
        <v>3436</v>
      </c>
      <c r="P1219" t="s">
        <v>28</v>
      </c>
      <c r="Q1219" t="s">
        <v>61</v>
      </c>
      <c r="R1219" t="s">
        <v>3437</v>
      </c>
      <c r="S1219">
        <v>12.35</v>
      </c>
    </row>
    <row r="1220" spans="1:19" x14ac:dyDescent="0.35">
      <c r="A1220">
        <v>1240</v>
      </c>
      <c r="B1220" t="s">
        <v>3433</v>
      </c>
      <c r="C1220" s="1">
        <v>42227</v>
      </c>
      <c r="D1220" s="1">
        <v>42231</v>
      </c>
      <c r="E1220" s="1" t="str">
        <f t="shared" si="19"/>
        <v>FAST</v>
      </c>
      <c r="F1220" t="s">
        <v>46</v>
      </c>
      <c r="G1220" t="s">
        <v>3434</v>
      </c>
      <c r="H1220" t="s">
        <v>3435</v>
      </c>
      <c r="I1220" t="s">
        <v>22</v>
      </c>
      <c r="J1220" t="s">
        <v>23</v>
      </c>
      <c r="K1220" t="s">
        <v>91</v>
      </c>
      <c r="L1220" t="s">
        <v>92</v>
      </c>
      <c r="M1220">
        <v>98105</v>
      </c>
      <c r="N1220" t="s">
        <v>40</v>
      </c>
      <c r="O1220" t="s">
        <v>3438</v>
      </c>
      <c r="P1220" t="s">
        <v>42</v>
      </c>
      <c r="Q1220" t="s">
        <v>64</v>
      </c>
      <c r="R1220" t="s">
        <v>3439</v>
      </c>
      <c r="S1220">
        <v>40.97</v>
      </c>
    </row>
    <row r="1221" spans="1:19" x14ac:dyDescent="0.35">
      <c r="A1221">
        <v>1241</v>
      </c>
      <c r="B1221" t="s">
        <v>3433</v>
      </c>
      <c r="C1221" s="1">
        <v>42227</v>
      </c>
      <c r="D1221" s="1">
        <v>42231</v>
      </c>
      <c r="E1221" s="1" t="str">
        <f t="shared" si="19"/>
        <v>FAST</v>
      </c>
      <c r="F1221" t="s">
        <v>46</v>
      </c>
      <c r="G1221" t="s">
        <v>3434</v>
      </c>
      <c r="H1221" t="s">
        <v>3435</v>
      </c>
      <c r="I1221" t="s">
        <v>22</v>
      </c>
      <c r="J1221" t="s">
        <v>23</v>
      </c>
      <c r="K1221" t="s">
        <v>91</v>
      </c>
      <c r="L1221" t="s">
        <v>92</v>
      </c>
      <c r="M1221">
        <v>98105</v>
      </c>
      <c r="N1221" t="s">
        <v>40</v>
      </c>
      <c r="O1221" t="s">
        <v>1078</v>
      </c>
      <c r="P1221" t="s">
        <v>42</v>
      </c>
      <c r="Q1221" t="s">
        <v>263</v>
      </c>
      <c r="R1221" t="s">
        <v>1079</v>
      </c>
      <c r="S1221">
        <v>22.96</v>
      </c>
    </row>
    <row r="1222" spans="1:19" x14ac:dyDescent="0.35">
      <c r="A1222">
        <v>1242</v>
      </c>
      <c r="B1222" t="s">
        <v>3440</v>
      </c>
      <c r="C1222" s="1">
        <v>42976</v>
      </c>
      <c r="D1222" s="1">
        <v>42982</v>
      </c>
      <c r="E1222" s="1" t="str">
        <f t="shared" si="19"/>
        <v>FAST</v>
      </c>
      <c r="F1222" t="s">
        <v>46</v>
      </c>
      <c r="G1222" t="s">
        <v>2047</v>
      </c>
      <c r="H1222" t="s">
        <v>2048</v>
      </c>
      <c r="I1222" t="s">
        <v>98</v>
      </c>
      <c r="J1222" t="s">
        <v>23</v>
      </c>
      <c r="K1222" t="s">
        <v>260</v>
      </c>
      <c r="L1222" t="s">
        <v>261</v>
      </c>
      <c r="M1222">
        <v>10024</v>
      </c>
      <c r="N1222" t="s">
        <v>144</v>
      </c>
      <c r="O1222" t="s">
        <v>3441</v>
      </c>
      <c r="P1222" t="s">
        <v>67</v>
      </c>
      <c r="Q1222" t="s">
        <v>68</v>
      </c>
      <c r="R1222" t="s">
        <v>3442</v>
      </c>
      <c r="S1222">
        <v>22</v>
      </c>
    </row>
    <row r="1223" spans="1:19" x14ac:dyDescent="0.35">
      <c r="A1223">
        <v>1243</v>
      </c>
      <c r="B1223" t="s">
        <v>3443</v>
      </c>
      <c r="C1223" s="1">
        <v>42781</v>
      </c>
      <c r="D1223" s="1">
        <v>42788</v>
      </c>
      <c r="E1223" s="1" t="str">
        <f t="shared" si="19"/>
        <v>FAST</v>
      </c>
      <c r="F1223" t="s">
        <v>46</v>
      </c>
      <c r="G1223" t="s">
        <v>2539</v>
      </c>
      <c r="H1223" t="s">
        <v>2540</v>
      </c>
      <c r="I1223" t="s">
        <v>22</v>
      </c>
      <c r="J1223" t="s">
        <v>23</v>
      </c>
      <c r="K1223" t="s">
        <v>260</v>
      </c>
      <c r="L1223" t="s">
        <v>261</v>
      </c>
      <c r="M1223">
        <v>10009</v>
      </c>
      <c r="N1223" t="s">
        <v>144</v>
      </c>
      <c r="O1223" t="s">
        <v>3444</v>
      </c>
      <c r="P1223" t="s">
        <v>42</v>
      </c>
      <c r="Q1223" t="s">
        <v>71</v>
      </c>
      <c r="R1223" t="s">
        <v>3445</v>
      </c>
      <c r="S1223">
        <v>398.35199999999998</v>
      </c>
    </row>
    <row r="1224" spans="1:19" x14ac:dyDescent="0.35">
      <c r="A1224">
        <v>1244</v>
      </c>
      <c r="B1224" t="s">
        <v>3443</v>
      </c>
      <c r="C1224" s="1">
        <v>42781</v>
      </c>
      <c r="D1224" s="1">
        <v>42788</v>
      </c>
      <c r="E1224" s="1" t="str">
        <f t="shared" si="19"/>
        <v>FAST</v>
      </c>
      <c r="F1224" t="s">
        <v>46</v>
      </c>
      <c r="G1224" t="s">
        <v>2539</v>
      </c>
      <c r="H1224" t="s">
        <v>2540</v>
      </c>
      <c r="I1224" t="s">
        <v>22</v>
      </c>
      <c r="J1224" t="s">
        <v>23</v>
      </c>
      <c r="K1224" t="s">
        <v>260</v>
      </c>
      <c r="L1224" t="s">
        <v>261</v>
      </c>
      <c r="M1224">
        <v>10009</v>
      </c>
      <c r="N1224" t="s">
        <v>144</v>
      </c>
      <c r="O1224" t="s">
        <v>262</v>
      </c>
      <c r="P1224" t="s">
        <v>42</v>
      </c>
      <c r="Q1224" t="s">
        <v>263</v>
      </c>
      <c r="R1224" t="s">
        <v>264</v>
      </c>
      <c r="S1224">
        <v>8.7200000000000006</v>
      </c>
    </row>
    <row r="1225" spans="1:19" x14ac:dyDescent="0.35">
      <c r="A1225">
        <v>1245</v>
      </c>
      <c r="B1225" t="s">
        <v>3446</v>
      </c>
      <c r="C1225" s="1">
        <v>43234</v>
      </c>
      <c r="D1225" s="1">
        <v>43241</v>
      </c>
      <c r="E1225" s="1" t="str">
        <f t="shared" si="19"/>
        <v>FAST</v>
      </c>
      <c r="F1225" t="s">
        <v>46</v>
      </c>
      <c r="G1225" t="s">
        <v>3447</v>
      </c>
      <c r="H1225" t="s">
        <v>3448</v>
      </c>
      <c r="I1225" t="s">
        <v>22</v>
      </c>
      <c r="J1225" t="s">
        <v>23</v>
      </c>
      <c r="K1225" t="s">
        <v>3449</v>
      </c>
      <c r="L1225" t="s">
        <v>1471</v>
      </c>
      <c r="M1225">
        <v>39503</v>
      </c>
      <c r="N1225" t="s">
        <v>26</v>
      </c>
      <c r="O1225" t="s">
        <v>3450</v>
      </c>
      <c r="P1225" t="s">
        <v>42</v>
      </c>
      <c r="Q1225" t="s">
        <v>169</v>
      </c>
      <c r="R1225" t="s">
        <v>3451</v>
      </c>
      <c r="S1225">
        <v>48.69</v>
      </c>
    </row>
    <row r="1226" spans="1:19" x14ac:dyDescent="0.35">
      <c r="A1226">
        <v>1246</v>
      </c>
      <c r="B1226" t="s">
        <v>3452</v>
      </c>
      <c r="C1226" s="1">
        <v>42350</v>
      </c>
      <c r="D1226" s="1">
        <v>42352</v>
      </c>
      <c r="E1226" s="1" t="str">
        <f t="shared" si="19"/>
        <v>SLOW</v>
      </c>
      <c r="F1226" t="s">
        <v>19</v>
      </c>
      <c r="G1226" t="s">
        <v>3453</v>
      </c>
      <c r="H1226" t="s">
        <v>3454</v>
      </c>
      <c r="I1226" t="s">
        <v>22</v>
      </c>
      <c r="J1226" t="s">
        <v>23</v>
      </c>
      <c r="K1226" t="s">
        <v>3455</v>
      </c>
      <c r="L1226" t="s">
        <v>39</v>
      </c>
      <c r="M1226">
        <v>93727</v>
      </c>
      <c r="N1226" t="s">
        <v>40</v>
      </c>
      <c r="O1226" t="s">
        <v>3456</v>
      </c>
      <c r="P1226" t="s">
        <v>28</v>
      </c>
      <c r="Q1226" t="s">
        <v>52</v>
      </c>
      <c r="R1226" t="s">
        <v>3457</v>
      </c>
      <c r="S1226">
        <v>764.68799999999999</v>
      </c>
    </row>
    <row r="1227" spans="1:19" x14ac:dyDescent="0.35">
      <c r="A1227">
        <v>1247</v>
      </c>
      <c r="B1227" t="s">
        <v>3452</v>
      </c>
      <c r="C1227" s="1">
        <v>42350</v>
      </c>
      <c r="D1227" s="1">
        <v>42352</v>
      </c>
      <c r="E1227" s="1" t="str">
        <f t="shared" si="19"/>
        <v>SLOW</v>
      </c>
      <c r="F1227" t="s">
        <v>19</v>
      </c>
      <c r="G1227" t="s">
        <v>3453</v>
      </c>
      <c r="H1227" t="s">
        <v>3454</v>
      </c>
      <c r="I1227" t="s">
        <v>22</v>
      </c>
      <c r="J1227" t="s">
        <v>23</v>
      </c>
      <c r="K1227" t="s">
        <v>3455</v>
      </c>
      <c r="L1227" t="s">
        <v>39</v>
      </c>
      <c r="M1227">
        <v>93727</v>
      </c>
      <c r="N1227" t="s">
        <v>40</v>
      </c>
      <c r="O1227" t="s">
        <v>890</v>
      </c>
      <c r="P1227" t="s">
        <v>28</v>
      </c>
      <c r="Q1227" t="s">
        <v>52</v>
      </c>
      <c r="R1227" t="s">
        <v>891</v>
      </c>
      <c r="S1227">
        <v>3610.848</v>
      </c>
    </row>
    <row r="1228" spans="1:19" x14ac:dyDescent="0.35">
      <c r="A1228">
        <v>1248</v>
      </c>
      <c r="B1228" t="s">
        <v>3452</v>
      </c>
      <c r="C1228" s="1">
        <v>42350</v>
      </c>
      <c r="D1228" s="1">
        <v>42352</v>
      </c>
      <c r="E1228" s="1" t="str">
        <f t="shared" si="19"/>
        <v>SLOW</v>
      </c>
      <c r="F1228" t="s">
        <v>19</v>
      </c>
      <c r="G1228" t="s">
        <v>3453</v>
      </c>
      <c r="H1228" t="s">
        <v>3454</v>
      </c>
      <c r="I1228" t="s">
        <v>22</v>
      </c>
      <c r="J1228" t="s">
        <v>23</v>
      </c>
      <c r="K1228" t="s">
        <v>3455</v>
      </c>
      <c r="L1228" t="s">
        <v>39</v>
      </c>
      <c r="M1228">
        <v>93727</v>
      </c>
      <c r="N1228" t="s">
        <v>40</v>
      </c>
      <c r="O1228" t="s">
        <v>3458</v>
      </c>
      <c r="P1228" t="s">
        <v>28</v>
      </c>
      <c r="Q1228" t="s">
        <v>29</v>
      </c>
      <c r="R1228" t="s">
        <v>3459</v>
      </c>
      <c r="S1228">
        <v>254.97450000000001</v>
      </c>
    </row>
    <row r="1229" spans="1:19" x14ac:dyDescent="0.35">
      <c r="A1229">
        <v>1249</v>
      </c>
      <c r="B1229" t="s">
        <v>3460</v>
      </c>
      <c r="C1229" s="1">
        <v>43452</v>
      </c>
      <c r="D1229" s="1">
        <v>43458</v>
      </c>
      <c r="E1229" s="1" t="str">
        <f t="shared" si="19"/>
        <v>FAST</v>
      </c>
      <c r="F1229" t="s">
        <v>46</v>
      </c>
      <c r="G1229" t="s">
        <v>2190</v>
      </c>
      <c r="H1229" t="s">
        <v>2191</v>
      </c>
      <c r="I1229" t="s">
        <v>22</v>
      </c>
      <c r="J1229" t="s">
        <v>23</v>
      </c>
      <c r="K1229" t="s">
        <v>260</v>
      </c>
      <c r="L1229" t="s">
        <v>261</v>
      </c>
      <c r="M1229">
        <v>10009</v>
      </c>
      <c r="N1229" t="s">
        <v>144</v>
      </c>
      <c r="O1229" t="s">
        <v>3461</v>
      </c>
      <c r="P1229" t="s">
        <v>42</v>
      </c>
      <c r="Q1229" t="s">
        <v>64</v>
      </c>
      <c r="R1229" t="s">
        <v>3006</v>
      </c>
      <c r="S1229">
        <v>38.82</v>
      </c>
    </row>
    <row r="1230" spans="1:19" x14ac:dyDescent="0.35">
      <c r="A1230">
        <v>1250</v>
      </c>
      <c r="B1230" t="s">
        <v>3460</v>
      </c>
      <c r="C1230" s="1">
        <v>43452</v>
      </c>
      <c r="D1230" s="1">
        <v>43458</v>
      </c>
      <c r="E1230" s="1" t="str">
        <f t="shared" si="19"/>
        <v>FAST</v>
      </c>
      <c r="F1230" t="s">
        <v>46</v>
      </c>
      <c r="G1230" t="s">
        <v>2190</v>
      </c>
      <c r="H1230" t="s">
        <v>2191</v>
      </c>
      <c r="I1230" t="s">
        <v>22</v>
      </c>
      <c r="J1230" t="s">
        <v>23</v>
      </c>
      <c r="K1230" t="s">
        <v>260</v>
      </c>
      <c r="L1230" t="s">
        <v>261</v>
      </c>
      <c r="M1230">
        <v>10009</v>
      </c>
      <c r="N1230" t="s">
        <v>144</v>
      </c>
      <c r="O1230" t="s">
        <v>3462</v>
      </c>
      <c r="P1230" t="s">
        <v>28</v>
      </c>
      <c r="Q1230" t="s">
        <v>32</v>
      </c>
      <c r="R1230" t="s">
        <v>3463</v>
      </c>
      <c r="S1230">
        <v>1141.9380000000001</v>
      </c>
    </row>
    <row r="1231" spans="1:19" x14ac:dyDescent="0.35">
      <c r="A1231">
        <v>1251</v>
      </c>
      <c r="B1231" t="s">
        <v>3460</v>
      </c>
      <c r="C1231" s="1">
        <v>43452</v>
      </c>
      <c r="D1231" s="1">
        <v>43458</v>
      </c>
      <c r="E1231" s="1" t="str">
        <f t="shared" si="19"/>
        <v>FAST</v>
      </c>
      <c r="F1231" t="s">
        <v>46</v>
      </c>
      <c r="G1231" t="s">
        <v>2190</v>
      </c>
      <c r="H1231" t="s">
        <v>2191</v>
      </c>
      <c r="I1231" t="s">
        <v>22</v>
      </c>
      <c r="J1231" t="s">
        <v>23</v>
      </c>
      <c r="K1231" t="s">
        <v>260</v>
      </c>
      <c r="L1231" t="s">
        <v>261</v>
      </c>
      <c r="M1231">
        <v>10009</v>
      </c>
      <c r="N1231" t="s">
        <v>144</v>
      </c>
      <c r="O1231" t="s">
        <v>695</v>
      </c>
      <c r="P1231" t="s">
        <v>42</v>
      </c>
      <c r="Q1231" t="s">
        <v>74</v>
      </c>
      <c r="R1231" t="s">
        <v>696</v>
      </c>
      <c r="S1231">
        <v>1704.56</v>
      </c>
    </row>
    <row r="1232" spans="1:19" x14ac:dyDescent="0.35">
      <c r="A1232">
        <v>1252</v>
      </c>
      <c r="B1232" t="s">
        <v>3460</v>
      </c>
      <c r="C1232" s="1">
        <v>43452</v>
      </c>
      <c r="D1232" s="1">
        <v>43458</v>
      </c>
      <c r="E1232" s="1" t="str">
        <f t="shared" si="19"/>
        <v>FAST</v>
      </c>
      <c r="F1232" t="s">
        <v>46</v>
      </c>
      <c r="G1232" t="s">
        <v>2190</v>
      </c>
      <c r="H1232" t="s">
        <v>2191</v>
      </c>
      <c r="I1232" t="s">
        <v>22</v>
      </c>
      <c r="J1232" t="s">
        <v>23</v>
      </c>
      <c r="K1232" t="s">
        <v>260</v>
      </c>
      <c r="L1232" t="s">
        <v>261</v>
      </c>
      <c r="M1232">
        <v>10009</v>
      </c>
      <c r="N1232" t="s">
        <v>144</v>
      </c>
      <c r="O1232" t="s">
        <v>3464</v>
      </c>
      <c r="P1232" t="s">
        <v>42</v>
      </c>
      <c r="Q1232" t="s">
        <v>64</v>
      </c>
      <c r="R1232" t="s">
        <v>3465</v>
      </c>
      <c r="S1232">
        <v>3.2</v>
      </c>
    </row>
    <row r="1233" spans="1:19" x14ac:dyDescent="0.35">
      <c r="A1233">
        <v>1253</v>
      </c>
      <c r="B1233" t="s">
        <v>3466</v>
      </c>
      <c r="C1233" s="1">
        <v>42555</v>
      </c>
      <c r="D1233" s="1">
        <v>42560</v>
      </c>
      <c r="E1233" s="1" t="str">
        <f t="shared" si="19"/>
        <v>FAST</v>
      </c>
      <c r="F1233" t="s">
        <v>46</v>
      </c>
      <c r="G1233" t="s">
        <v>89</v>
      </c>
      <c r="H1233" t="s">
        <v>90</v>
      </c>
      <c r="I1233" t="s">
        <v>22</v>
      </c>
      <c r="J1233" t="s">
        <v>23</v>
      </c>
      <c r="K1233" t="s">
        <v>2520</v>
      </c>
      <c r="L1233" t="s">
        <v>110</v>
      </c>
      <c r="M1233">
        <v>53209</v>
      </c>
      <c r="N1233" t="s">
        <v>101</v>
      </c>
      <c r="O1233" t="s">
        <v>3467</v>
      </c>
      <c r="P1233" t="s">
        <v>67</v>
      </c>
      <c r="Q1233" t="s">
        <v>68</v>
      </c>
      <c r="R1233" t="s">
        <v>3468</v>
      </c>
      <c r="S1233">
        <v>1099.96</v>
      </c>
    </row>
    <row r="1234" spans="1:19" x14ac:dyDescent="0.35">
      <c r="A1234">
        <v>1254</v>
      </c>
      <c r="B1234" t="s">
        <v>3469</v>
      </c>
      <c r="C1234" s="1">
        <v>43169</v>
      </c>
      <c r="D1234" s="1">
        <v>43173</v>
      </c>
      <c r="E1234" s="1" t="str">
        <f t="shared" si="19"/>
        <v>FAST</v>
      </c>
      <c r="F1234" t="s">
        <v>46</v>
      </c>
      <c r="G1234" t="s">
        <v>3470</v>
      </c>
      <c r="H1234" t="s">
        <v>3471</v>
      </c>
      <c r="I1234" t="s">
        <v>98</v>
      </c>
      <c r="J1234" t="s">
        <v>23</v>
      </c>
      <c r="K1234" t="s">
        <v>2230</v>
      </c>
      <c r="L1234" t="s">
        <v>143</v>
      </c>
      <c r="M1234">
        <v>19013</v>
      </c>
      <c r="N1234" t="s">
        <v>144</v>
      </c>
      <c r="O1234" t="s">
        <v>2640</v>
      </c>
      <c r="P1234" t="s">
        <v>42</v>
      </c>
      <c r="Q1234" t="s">
        <v>64</v>
      </c>
      <c r="R1234" t="s">
        <v>2641</v>
      </c>
      <c r="S1234">
        <v>5.2480000000000002</v>
      </c>
    </row>
    <row r="1235" spans="1:19" x14ac:dyDescent="0.35">
      <c r="A1235">
        <v>1255</v>
      </c>
      <c r="B1235" t="s">
        <v>3469</v>
      </c>
      <c r="C1235" s="1">
        <v>43169</v>
      </c>
      <c r="D1235" s="1">
        <v>43173</v>
      </c>
      <c r="E1235" s="1" t="str">
        <f t="shared" si="19"/>
        <v>FAST</v>
      </c>
      <c r="F1235" t="s">
        <v>46</v>
      </c>
      <c r="G1235" t="s">
        <v>3470</v>
      </c>
      <c r="H1235" t="s">
        <v>3471</v>
      </c>
      <c r="I1235" t="s">
        <v>98</v>
      </c>
      <c r="J1235" t="s">
        <v>23</v>
      </c>
      <c r="K1235" t="s">
        <v>2230</v>
      </c>
      <c r="L1235" t="s">
        <v>143</v>
      </c>
      <c r="M1235">
        <v>19013</v>
      </c>
      <c r="N1235" t="s">
        <v>144</v>
      </c>
      <c r="O1235" t="s">
        <v>1622</v>
      </c>
      <c r="P1235" t="s">
        <v>67</v>
      </c>
      <c r="Q1235" t="s">
        <v>68</v>
      </c>
      <c r="R1235" t="s">
        <v>1623</v>
      </c>
      <c r="S1235">
        <v>35.909999999999997</v>
      </c>
    </row>
    <row r="1236" spans="1:19" x14ac:dyDescent="0.35">
      <c r="A1236">
        <v>1256</v>
      </c>
      <c r="B1236" t="s">
        <v>3469</v>
      </c>
      <c r="C1236" s="1">
        <v>43169</v>
      </c>
      <c r="D1236" s="1">
        <v>43173</v>
      </c>
      <c r="E1236" s="1" t="str">
        <f t="shared" si="19"/>
        <v>FAST</v>
      </c>
      <c r="F1236" t="s">
        <v>46</v>
      </c>
      <c r="G1236" t="s">
        <v>3470</v>
      </c>
      <c r="H1236" t="s">
        <v>3471</v>
      </c>
      <c r="I1236" t="s">
        <v>98</v>
      </c>
      <c r="J1236" t="s">
        <v>23</v>
      </c>
      <c r="K1236" t="s">
        <v>2230</v>
      </c>
      <c r="L1236" t="s">
        <v>143</v>
      </c>
      <c r="M1236">
        <v>19013</v>
      </c>
      <c r="N1236" t="s">
        <v>144</v>
      </c>
      <c r="O1236" t="s">
        <v>3472</v>
      </c>
      <c r="P1236" t="s">
        <v>28</v>
      </c>
      <c r="Q1236" t="s">
        <v>61</v>
      </c>
      <c r="R1236" t="s">
        <v>3473</v>
      </c>
      <c r="S1236">
        <v>6.6959999999999997</v>
      </c>
    </row>
    <row r="1237" spans="1:19" x14ac:dyDescent="0.35">
      <c r="A1237">
        <v>1257</v>
      </c>
      <c r="B1237" t="s">
        <v>3469</v>
      </c>
      <c r="C1237" s="1">
        <v>43169</v>
      </c>
      <c r="D1237" s="1">
        <v>43173</v>
      </c>
      <c r="E1237" s="1" t="str">
        <f t="shared" si="19"/>
        <v>FAST</v>
      </c>
      <c r="F1237" t="s">
        <v>46</v>
      </c>
      <c r="G1237" t="s">
        <v>3470</v>
      </c>
      <c r="H1237" t="s">
        <v>3471</v>
      </c>
      <c r="I1237" t="s">
        <v>98</v>
      </c>
      <c r="J1237" t="s">
        <v>23</v>
      </c>
      <c r="K1237" t="s">
        <v>2230</v>
      </c>
      <c r="L1237" t="s">
        <v>143</v>
      </c>
      <c r="M1237">
        <v>19013</v>
      </c>
      <c r="N1237" t="s">
        <v>144</v>
      </c>
      <c r="O1237" t="s">
        <v>3474</v>
      </c>
      <c r="P1237" t="s">
        <v>28</v>
      </c>
      <c r="Q1237" t="s">
        <v>61</v>
      </c>
      <c r="R1237" t="s">
        <v>3475</v>
      </c>
      <c r="S1237">
        <v>43.872</v>
      </c>
    </row>
    <row r="1238" spans="1:19" x14ac:dyDescent="0.35">
      <c r="A1238">
        <v>1258</v>
      </c>
      <c r="B1238" t="s">
        <v>3476</v>
      </c>
      <c r="C1238" s="1">
        <v>43093</v>
      </c>
      <c r="D1238" s="1">
        <v>43097</v>
      </c>
      <c r="E1238" s="1" t="str">
        <f t="shared" si="19"/>
        <v>SLOW</v>
      </c>
      <c r="F1238" t="s">
        <v>19</v>
      </c>
      <c r="G1238" t="s">
        <v>1492</v>
      </c>
      <c r="H1238" t="s">
        <v>1493</v>
      </c>
      <c r="I1238" t="s">
        <v>98</v>
      </c>
      <c r="J1238" t="s">
        <v>23</v>
      </c>
      <c r="K1238" t="s">
        <v>454</v>
      </c>
      <c r="L1238" t="s">
        <v>84</v>
      </c>
      <c r="M1238">
        <v>28205</v>
      </c>
      <c r="N1238" t="s">
        <v>26</v>
      </c>
      <c r="O1238" t="s">
        <v>2237</v>
      </c>
      <c r="P1238" t="s">
        <v>42</v>
      </c>
      <c r="Q1238" t="s">
        <v>71</v>
      </c>
      <c r="R1238" t="s">
        <v>2238</v>
      </c>
      <c r="S1238">
        <v>27.882000000000001</v>
      </c>
    </row>
    <row r="1239" spans="1:19" x14ac:dyDescent="0.35">
      <c r="A1239">
        <v>1259</v>
      </c>
      <c r="B1239" t="s">
        <v>3476</v>
      </c>
      <c r="C1239" s="1">
        <v>43093</v>
      </c>
      <c r="D1239" s="1">
        <v>43097</v>
      </c>
      <c r="E1239" s="1" t="str">
        <f t="shared" si="19"/>
        <v>SLOW</v>
      </c>
      <c r="F1239" t="s">
        <v>19</v>
      </c>
      <c r="G1239" t="s">
        <v>1492</v>
      </c>
      <c r="H1239" t="s">
        <v>1493</v>
      </c>
      <c r="I1239" t="s">
        <v>98</v>
      </c>
      <c r="J1239" t="s">
        <v>23</v>
      </c>
      <c r="K1239" t="s">
        <v>454</v>
      </c>
      <c r="L1239" t="s">
        <v>84</v>
      </c>
      <c r="M1239">
        <v>28205</v>
      </c>
      <c r="N1239" t="s">
        <v>26</v>
      </c>
      <c r="O1239" t="s">
        <v>3477</v>
      </c>
      <c r="P1239" t="s">
        <v>42</v>
      </c>
      <c r="Q1239" t="s">
        <v>55</v>
      </c>
      <c r="R1239" t="s">
        <v>3478</v>
      </c>
      <c r="S1239">
        <v>540.048</v>
      </c>
    </row>
    <row r="1240" spans="1:19" x14ac:dyDescent="0.35">
      <c r="A1240">
        <v>1260</v>
      </c>
      <c r="B1240" t="s">
        <v>3476</v>
      </c>
      <c r="C1240" s="1">
        <v>43093</v>
      </c>
      <c r="D1240" s="1">
        <v>43097</v>
      </c>
      <c r="E1240" s="1" t="str">
        <f t="shared" si="19"/>
        <v>SLOW</v>
      </c>
      <c r="F1240" t="s">
        <v>19</v>
      </c>
      <c r="G1240" t="s">
        <v>1492</v>
      </c>
      <c r="H1240" t="s">
        <v>1493</v>
      </c>
      <c r="I1240" t="s">
        <v>98</v>
      </c>
      <c r="J1240" t="s">
        <v>23</v>
      </c>
      <c r="K1240" t="s">
        <v>454</v>
      </c>
      <c r="L1240" t="s">
        <v>84</v>
      </c>
      <c r="M1240">
        <v>28205</v>
      </c>
      <c r="N1240" t="s">
        <v>26</v>
      </c>
      <c r="O1240" t="s">
        <v>980</v>
      </c>
      <c r="P1240" t="s">
        <v>67</v>
      </c>
      <c r="Q1240" t="s">
        <v>157</v>
      </c>
      <c r="R1240" t="s">
        <v>981</v>
      </c>
      <c r="S1240">
        <v>255.68</v>
      </c>
    </row>
    <row r="1241" spans="1:19" x14ac:dyDescent="0.35">
      <c r="A1241">
        <v>1261</v>
      </c>
      <c r="B1241" t="s">
        <v>3479</v>
      </c>
      <c r="C1241" s="1">
        <v>43396</v>
      </c>
      <c r="D1241" s="1">
        <v>43400</v>
      </c>
      <c r="E1241" s="1" t="str">
        <f t="shared" si="19"/>
        <v>FAST</v>
      </c>
      <c r="F1241" t="s">
        <v>46</v>
      </c>
      <c r="G1241" t="s">
        <v>3480</v>
      </c>
      <c r="H1241" t="s">
        <v>3481</v>
      </c>
      <c r="I1241" t="s">
        <v>22</v>
      </c>
      <c r="J1241" t="s">
        <v>23</v>
      </c>
      <c r="K1241" t="s">
        <v>1505</v>
      </c>
      <c r="L1241" t="s">
        <v>50</v>
      </c>
      <c r="M1241">
        <v>32216</v>
      </c>
      <c r="N1241" t="s">
        <v>26</v>
      </c>
      <c r="O1241" t="s">
        <v>3482</v>
      </c>
      <c r="P1241" t="s">
        <v>67</v>
      </c>
      <c r="Q1241" t="s">
        <v>68</v>
      </c>
      <c r="R1241" t="s">
        <v>3483</v>
      </c>
      <c r="S1241">
        <v>863.88</v>
      </c>
    </row>
    <row r="1242" spans="1:19" x14ac:dyDescent="0.35">
      <c r="A1242">
        <v>1262</v>
      </c>
      <c r="B1242" t="s">
        <v>3484</v>
      </c>
      <c r="C1242" s="1">
        <v>43036</v>
      </c>
      <c r="D1242" s="1">
        <v>43043</v>
      </c>
      <c r="E1242" s="1" t="str">
        <f t="shared" si="19"/>
        <v>FAST</v>
      </c>
      <c r="F1242" t="s">
        <v>46</v>
      </c>
      <c r="G1242" t="s">
        <v>3485</v>
      </c>
      <c r="H1242" t="s">
        <v>3486</v>
      </c>
      <c r="I1242" t="s">
        <v>37</v>
      </c>
      <c r="J1242" t="s">
        <v>23</v>
      </c>
      <c r="K1242" t="s">
        <v>3487</v>
      </c>
      <c r="L1242" t="s">
        <v>84</v>
      </c>
      <c r="M1242">
        <v>27834</v>
      </c>
      <c r="N1242" t="s">
        <v>26</v>
      </c>
      <c r="O1242" t="s">
        <v>3488</v>
      </c>
      <c r="P1242" t="s">
        <v>42</v>
      </c>
      <c r="Q1242" t="s">
        <v>71</v>
      </c>
      <c r="R1242" t="s">
        <v>3489</v>
      </c>
      <c r="S1242">
        <v>17.616</v>
      </c>
    </row>
    <row r="1243" spans="1:19" x14ac:dyDescent="0.35">
      <c r="A1243">
        <v>1263</v>
      </c>
      <c r="B1243" t="s">
        <v>3490</v>
      </c>
      <c r="C1243" s="1">
        <v>43288</v>
      </c>
      <c r="D1243" s="1">
        <v>43290</v>
      </c>
      <c r="E1243" s="1" t="str">
        <f t="shared" si="19"/>
        <v>SLOW</v>
      </c>
      <c r="F1243" t="s">
        <v>19</v>
      </c>
      <c r="G1243" t="s">
        <v>3227</v>
      </c>
      <c r="H1243" t="s">
        <v>3228</v>
      </c>
      <c r="I1243" t="s">
        <v>22</v>
      </c>
      <c r="J1243" t="s">
        <v>23</v>
      </c>
      <c r="K1243" t="s">
        <v>1161</v>
      </c>
      <c r="L1243" t="s">
        <v>261</v>
      </c>
      <c r="M1243">
        <v>11561</v>
      </c>
      <c r="N1243" t="s">
        <v>144</v>
      </c>
      <c r="O1243" t="s">
        <v>154</v>
      </c>
      <c r="P1243" t="s">
        <v>42</v>
      </c>
      <c r="Q1243" t="s">
        <v>71</v>
      </c>
      <c r="R1243" t="s">
        <v>155</v>
      </c>
      <c r="S1243">
        <v>17.472000000000001</v>
      </c>
    </row>
    <row r="1244" spans="1:19" x14ac:dyDescent="0.35">
      <c r="A1244">
        <v>1264</v>
      </c>
      <c r="B1244" t="s">
        <v>3491</v>
      </c>
      <c r="C1244" s="1">
        <v>43009</v>
      </c>
      <c r="D1244" s="1">
        <v>43010</v>
      </c>
      <c r="E1244" s="1" t="str">
        <f t="shared" si="19"/>
        <v>MODERATE</v>
      </c>
      <c r="F1244" t="s">
        <v>184</v>
      </c>
      <c r="G1244" t="s">
        <v>3492</v>
      </c>
      <c r="H1244" t="s">
        <v>3493</v>
      </c>
      <c r="I1244" t="s">
        <v>22</v>
      </c>
      <c r="J1244" t="s">
        <v>23</v>
      </c>
      <c r="K1244" t="s">
        <v>3257</v>
      </c>
      <c r="L1244" t="s">
        <v>248</v>
      </c>
      <c r="M1244">
        <v>46350</v>
      </c>
      <c r="N1244" t="s">
        <v>101</v>
      </c>
      <c r="O1244" t="s">
        <v>601</v>
      </c>
      <c r="P1244" t="s">
        <v>67</v>
      </c>
      <c r="Q1244" t="s">
        <v>68</v>
      </c>
      <c r="R1244" t="s">
        <v>602</v>
      </c>
      <c r="S1244">
        <v>69.900000000000006</v>
      </c>
    </row>
    <row r="1245" spans="1:19" x14ac:dyDescent="0.35">
      <c r="A1245">
        <v>1265</v>
      </c>
      <c r="B1245" t="s">
        <v>3491</v>
      </c>
      <c r="C1245" s="1">
        <v>43009</v>
      </c>
      <c r="D1245" s="1">
        <v>43010</v>
      </c>
      <c r="E1245" s="1" t="str">
        <f t="shared" si="19"/>
        <v>MODERATE</v>
      </c>
      <c r="F1245" t="s">
        <v>184</v>
      </c>
      <c r="G1245" t="s">
        <v>3492</v>
      </c>
      <c r="H1245" t="s">
        <v>3493</v>
      </c>
      <c r="I1245" t="s">
        <v>22</v>
      </c>
      <c r="J1245" t="s">
        <v>23</v>
      </c>
      <c r="K1245" t="s">
        <v>3257</v>
      </c>
      <c r="L1245" t="s">
        <v>248</v>
      </c>
      <c r="M1245">
        <v>46350</v>
      </c>
      <c r="N1245" t="s">
        <v>101</v>
      </c>
      <c r="O1245" t="s">
        <v>3472</v>
      </c>
      <c r="P1245" t="s">
        <v>28</v>
      </c>
      <c r="Q1245" t="s">
        <v>61</v>
      </c>
      <c r="R1245" t="s">
        <v>3473</v>
      </c>
      <c r="S1245">
        <v>41.85</v>
      </c>
    </row>
    <row r="1246" spans="1:19" x14ac:dyDescent="0.35">
      <c r="A1246">
        <v>1266</v>
      </c>
      <c r="B1246" t="s">
        <v>3494</v>
      </c>
      <c r="C1246" s="1">
        <v>43345</v>
      </c>
      <c r="D1246" s="1">
        <v>43350</v>
      </c>
      <c r="E1246" s="1" t="str">
        <f t="shared" si="19"/>
        <v>FAST</v>
      </c>
      <c r="F1246" t="s">
        <v>46</v>
      </c>
      <c r="G1246" t="s">
        <v>3495</v>
      </c>
      <c r="H1246" t="s">
        <v>3496</v>
      </c>
      <c r="I1246" t="s">
        <v>22</v>
      </c>
      <c r="J1246" t="s">
        <v>23</v>
      </c>
      <c r="K1246" t="s">
        <v>123</v>
      </c>
      <c r="L1246" t="s">
        <v>39</v>
      </c>
      <c r="M1246">
        <v>94122</v>
      </c>
      <c r="N1246" t="s">
        <v>40</v>
      </c>
      <c r="O1246" t="s">
        <v>3497</v>
      </c>
      <c r="P1246" t="s">
        <v>42</v>
      </c>
      <c r="Q1246" t="s">
        <v>64</v>
      </c>
      <c r="R1246" t="s">
        <v>3498</v>
      </c>
      <c r="S1246">
        <v>6.57</v>
      </c>
    </row>
    <row r="1247" spans="1:19" x14ac:dyDescent="0.35">
      <c r="A1247">
        <v>1267</v>
      </c>
      <c r="B1247" t="s">
        <v>3499</v>
      </c>
      <c r="C1247" s="1">
        <v>42362</v>
      </c>
      <c r="D1247" s="1">
        <v>42367</v>
      </c>
      <c r="E1247" s="1" t="str">
        <f t="shared" si="19"/>
        <v>FAST</v>
      </c>
      <c r="F1247" t="s">
        <v>46</v>
      </c>
      <c r="G1247" t="s">
        <v>361</v>
      </c>
      <c r="H1247" t="s">
        <v>362</v>
      </c>
      <c r="I1247" t="s">
        <v>37</v>
      </c>
      <c r="J1247" t="s">
        <v>23</v>
      </c>
      <c r="K1247" t="s">
        <v>38</v>
      </c>
      <c r="L1247" t="s">
        <v>39</v>
      </c>
      <c r="M1247">
        <v>90045</v>
      </c>
      <c r="N1247" t="s">
        <v>40</v>
      </c>
      <c r="O1247" t="s">
        <v>1500</v>
      </c>
      <c r="P1247" t="s">
        <v>42</v>
      </c>
      <c r="Q1247" t="s">
        <v>55</v>
      </c>
      <c r="R1247" t="s">
        <v>1501</v>
      </c>
      <c r="S1247">
        <v>142.86000000000001</v>
      </c>
    </row>
    <row r="1248" spans="1:19" x14ac:dyDescent="0.35">
      <c r="A1248">
        <v>1268</v>
      </c>
      <c r="B1248" t="s">
        <v>3499</v>
      </c>
      <c r="C1248" s="1">
        <v>42362</v>
      </c>
      <c r="D1248" s="1">
        <v>42367</v>
      </c>
      <c r="E1248" s="1" t="str">
        <f t="shared" si="19"/>
        <v>FAST</v>
      </c>
      <c r="F1248" t="s">
        <v>46</v>
      </c>
      <c r="G1248" t="s">
        <v>361</v>
      </c>
      <c r="H1248" t="s">
        <v>362</v>
      </c>
      <c r="I1248" t="s">
        <v>37</v>
      </c>
      <c r="J1248" t="s">
        <v>23</v>
      </c>
      <c r="K1248" t="s">
        <v>38</v>
      </c>
      <c r="L1248" t="s">
        <v>39</v>
      </c>
      <c r="M1248">
        <v>90045</v>
      </c>
      <c r="N1248" t="s">
        <v>40</v>
      </c>
      <c r="O1248" t="s">
        <v>298</v>
      </c>
      <c r="P1248" t="s">
        <v>28</v>
      </c>
      <c r="Q1248" t="s">
        <v>32</v>
      </c>
      <c r="R1248" t="s">
        <v>299</v>
      </c>
      <c r="S1248">
        <v>292.27199999999999</v>
      </c>
    </row>
    <row r="1249" spans="1:19" x14ac:dyDescent="0.35">
      <c r="A1249">
        <v>1269</v>
      </c>
      <c r="B1249" t="s">
        <v>3500</v>
      </c>
      <c r="C1249" s="1">
        <v>43366</v>
      </c>
      <c r="D1249" s="1">
        <v>43370</v>
      </c>
      <c r="E1249" s="1" t="str">
        <f t="shared" si="19"/>
        <v>FAST</v>
      </c>
      <c r="F1249" t="s">
        <v>46</v>
      </c>
      <c r="G1249" t="s">
        <v>3425</v>
      </c>
      <c r="H1249" t="s">
        <v>3426</v>
      </c>
      <c r="I1249" t="s">
        <v>37</v>
      </c>
      <c r="J1249" t="s">
        <v>23</v>
      </c>
      <c r="K1249" t="s">
        <v>1457</v>
      </c>
      <c r="L1249" t="s">
        <v>444</v>
      </c>
      <c r="M1249">
        <v>80027</v>
      </c>
      <c r="N1249" t="s">
        <v>40</v>
      </c>
      <c r="O1249" t="s">
        <v>1524</v>
      </c>
      <c r="P1249" t="s">
        <v>28</v>
      </c>
      <c r="Q1249" t="s">
        <v>61</v>
      </c>
      <c r="R1249" t="s">
        <v>1525</v>
      </c>
      <c r="S1249">
        <v>29.327999999999999</v>
      </c>
    </row>
    <row r="1250" spans="1:19" x14ac:dyDescent="0.35">
      <c r="A1250">
        <v>1270</v>
      </c>
      <c r="B1250" t="s">
        <v>3501</v>
      </c>
      <c r="C1250" s="1">
        <v>43255</v>
      </c>
      <c r="D1250" s="1">
        <v>43259</v>
      </c>
      <c r="E1250" s="1" t="str">
        <f t="shared" si="19"/>
        <v>FAST</v>
      </c>
      <c r="F1250" t="s">
        <v>46</v>
      </c>
      <c r="G1250" t="s">
        <v>3502</v>
      </c>
      <c r="H1250" t="s">
        <v>3503</v>
      </c>
      <c r="I1250" t="s">
        <v>22</v>
      </c>
      <c r="J1250" t="s">
        <v>23</v>
      </c>
      <c r="K1250" t="s">
        <v>2551</v>
      </c>
      <c r="L1250" t="s">
        <v>350</v>
      </c>
      <c r="M1250">
        <v>35630</v>
      </c>
      <c r="N1250" t="s">
        <v>26</v>
      </c>
      <c r="O1250" t="s">
        <v>3504</v>
      </c>
      <c r="P1250" t="s">
        <v>42</v>
      </c>
      <c r="Q1250" t="s">
        <v>86</v>
      </c>
      <c r="R1250" t="s">
        <v>3505</v>
      </c>
      <c r="S1250">
        <v>12.48</v>
      </c>
    </row>
    <row r="1251" spans="1:19" x14ac:dyDescent="0.35">
      <c r="A1251">
        <v>1271</v>
      </c>
      <c r="B1251" t="s">
        <v>3506</v>
      </c>
      <c r="C1251" s="1">
        <v>42846</v>
      </c>
      <c r="D1251" s="1">
        <v>42851</v>
      </c>
      <c r="E1251" s="1" t="str">
        <f t="shared" si="19"/>
        <v>FAST</v>
      </c>
      <c r="F1251" t="s">
        <v>46</v>
      </c>
      <c r="G1251" t="s">
        <v>2147</v>
      </c>
      <c r="H1251" t="s">
        <v>2148</v>
      </c>
      <c r="I1251" t="s">
        <v>37</v>
      </c>
      <c r="J1251" t="s">
        <v>23</v>
      </c>
      <c r="K1251" t="s">
        <v>297</v>
      </c>
      <c r="L1251" t="s">
        <v>205</v>
      </c>
      <c r="M1251">
        <v>60623</v>
      </c>
      <c r="N1251" t="s">
        <v>101</v>
      </c>
      <c r="O1251" t="s">
        <v>3507</v>
      </c>
      <c r="P1251" t="s">
        <v>42</v>
      </c>
      <c r="Q1251" t="s">
        <v>55</v>
      </c>
      <c r="R1251" t="s">
        <v>3508</v>
      </c>
      <c r="S1251">
        <v>102.336</v>
      </c>
    </row>
    <row r="1252" spans="1:19" x14ac:dyDescent="0.35">
      <c r="A1252">
        <v>1272</v>
      </c>
      <c r="B1252" t="s">
        <v>3506</v>
      </c>
      <c r="C1252" s="1">
        <v>42846</v>
      </c>
      <c r="D1252" s="1">
        <v>42851</v>
      </c>
      <c r="E1252" s="1" t="str">
        <f t="shared" si="19"/>
        <v>FAST</v>
      </c>
      <c r="F1252" t="s">
        <v>46</v>
      </c>
      <c r="G1252" t="s">
        <v>2147</v>
      </c>
      <c r="H1252" t="s">
        <v>2148</v>
      </c>
      <c r="I1252" t="s">
        <v>37</v>
      </c>
      <c r="J1252" t="s">
        <v>23</v>
      </c>
      <c r="K1252" t="s">
        <v>297</v>
      </c>
      <c r="L1252" t="s">
        <v>205</v>
      </c>
      <c r="M1252">
        <v>60623</v>
      </c>
      <c r="N1252" t="s">
        <v>101</v>
      </c>
      <c r="O1252" t="s">
        <v>2791</v>
      </c>
      <c r="P1252" t="s">
        <v>42</v>
      </c>
      <c r="Q1252" t="s">
        <v>74</v>
      </c>
      <c r="R1252" t="s">
        <v>2792</v>
      </c>
      <c r="S1252">
        <v>48.792000000000002</v>
      </c>
    </row>
    <row r="1253" spans="1:19" x14ac:dyDescent="0.35">
      <c r="A1253">
        <v>1273</v>
      </c>
      <c r="B1253" t="s">
        <v>3506</v>
      </c>
      <c r="C1253" s="1">
        <v>42846</v>
      </c>
      <c r="D1253" s="1">
        <v>42851</v>
      </c>
      <c r="E1253" s="1" t="str">
        <f t="shared" si="19"/>
        <v>FAST</v>
      </c>
      <c r="F1253" t="s">
        <v>46</v>
      </c>
      <c r="G1253" t="s">
        <v>2147</v>
      </c>
      <c r="H1253" t="s">
        <v>2148</v>
      </c>
      <c r="I1253" t="s">
        <v>37</v>
      </c>
      <c r="J1253" t="s">
        <v>23</v>
      </c>
      <c r="K1253" t="s">
        <v>297</v>
      </c>
      <c r="L1253" t="s">
        <v>205</v>
      </c>
      <c r="M1253">
        <v>60623</v>
      </c>
      <c r="N1253" t="s">
        <v>101</v>
      </c>
      <c r="O1253" t="s">
        <v>3509</v>
      </c>
      <c r="P1253" t="s">
        <v>42</v>
      </c>
      <c r="Q1253" t="s">
        <v>71</v>
      </c>
      <c r="R1253" t="s">
        <v>3510</v>
      </c>
      <c r="S1253">
        <v>44.847999999999999</v>
      </c>
    </row>
    <row r="1254" spans="1:19" x14ac:dyDescent="0.35">
      <c r="A1254">
        <v>1274</v>
      </c>
      <c r="B1254" t="s">
        <v>3511</v>
      </c>
      <c r="C1254" s="1">
        <v>42881</v>
      </c>
      <c r="D1254" s="1">
        <v>42881</v>
      </c>
      <c r="E1254" s="1" t="str">
        <f t="shared" si="19"/>
        <v>MODERATE</v>
      </c>
      <c r="F1254" t="s">
        <v>1276</v>
      </c>
      <c r="G1254" t="s">
        <v>3134</v>
      </c>
      <c r="H1254" t="s">
        <v>3135</v>
      </c>
      <c r="I1254" t="s">
        <v>22</v>
      </c>
      <c r="J1254" t="s">
        <v>23</v>
      </c>
      <c r="K1254" t="s">
        <v>99</v>
      </c>
      <c r="L1254" t="s">
        <v>100</v>
      </c>
      <c r="M1254">
        <v>76106</v>
      </c>
      <c r="N1254" t="s">
        <v>101</v>
      </c>
      <c r="O1254" t="s">
        <v>2897</v>
      </c>
      <c r="P1254" t="s">
        <v>42</v>
      </c>
      <c r="Q1254" t="s">
        <v>86</v>
      </c>
      <c r="R1254" t="s">
        <v>2898</v>
      </c>
      <c r="S1254">
        <v>10.368</v>
      </c>
    </row>
    <row r="1255" spans="1:19" x14ac:dyDescent="0.35">
      <c r="A1255">
        <v>1275</v>
      </c>
      <c r="B1255" t="s">
        <v>3511</v>
      </c>
      <c r="C1255" s="1">
        <v>42881</v>
      </c>
      <c r="D1255" s="1">
        <v>42881</v>
      </c>
      <c r="E1255" s="1" t="str">
        <f t="shared" si="19"/>
        <v>MODERATE</v>
      </c>
      <c r="F1255" t="s">
        <v>1276</v>
      </c>
      <c r="G1255" t="s">
        <v>3134</v>
      </c>
      <c r="H1255" t="s">
        <v>3135</v>
      </c>
      <c r="I1255" t="s">
        <v>22</v>
      </c>
      <c r="J1255" t="s">
        <v>23</v>
      </c>
      <c r="K1255" t="s">
        <v>99</v>
      </c>
      <c r="L1255" t="s">
        <v>100</v>
      </c>
      <c r="M1255">
        <v>76106</v>
      </c>
      <c r="N1255" t="s">
        <v>101</v>
      </c>
      <c r="O1255" t="s">
        <v>3512</v>
      </c>
      <c r="P1255" t="s">
        <v>28</v>
      </c>
      <c r="Q1255" t="s">
        <v>32</v>
      </c>
      <c r="R1255" t="s">
        <v>3513</v>
      </c>
      <c r="S1255">
        <v>388.43</v>
      </c>
    </row>
    <row r="1256" spans="1:19" x14ac:dyDescent="0.35">
      <c r="A1256">
        <v>1276</v>
      </c>
      <c r="B1256" t="s">
        <v>3511</v>
      </c>
      <c r="C1256" s="1">
        <v>42881</v>
      </c>
      <c r="D1256" s="1">
        <v>42881</v>
      </c>
      <c r="E1256" s="1" t="str">
        <f t="shared" si="19"/>
        <v>MODERATE</v>
      </c>
      <c r="F1256" t="s">
        <v>1276</v>
      </c>
      <c r="G1256" t="s">
        <v>3134</v>
      </c>
      <c r="H1256" t="s">
        <v>3135</v>
      </c>
      <c r="I1256" t="s">
        <v>22</v>
      </c>
      <c r="J1256" t="s">
        <v>23</v>
      </c>
      <c r="K1256" t="s">
        <v>99</v>
      </c>
      <c r="L1256" t="s">
        <v>100</v>
      </c>
      <c r="M1256">
        <v>76106</v>
      </c>
      <c r="N1256" t="s">
        <v>101</v>
      </c>
      <c r="O1256" t="s">
        <v>438</v>
      </c>
      <c r="P1256" t="s">
        <v>42</v>
      </c>
      <c r="Q1256" t="s">
        <v>86</v>
      </c>
      <c r="R1256" t="s">
        <v>439</v>
      </c>
      <c r="S1256">
        <v>14.352</v>
      </c>
    </row>
    <row r="1257" spans="1:19" x14ac:dyDescent="0.35">
      <c r="A1257">
        <v>1277</v>
      </c>
      <c r="B1257" t="s">
        <v>3511</v>
      </c>
      <c r="C1257" s="1">
        <v>42881</v>
      </c>
      <c r="D1257" s="1">
        <v>42881</v>
      </c>
      <c r="E1257" s="1" t="str">
        <f t="shared" si="19"/>
        <v>MODERATE</v>
      </c>
      <c r="F1257" t="s">
        <v>1276</v>
      </c>
      <c r="G1257" t="s">
        <v>3134</v>
      </c>
      <c r="H1257" t="s">
        <v>3135</v>
      </c>
      <c r="I1257" t="s">
        <v>22</v>
      </c>
      <c r="J1257" t="s">
        <v>23</v>
      </c>
      <c r="K1257" t="s">
        <v>99</v>
      </c>
      <c r="L1257" t="s">
        <v>100</v>
      </c>
      <c r="M1257">
        <v>76106</v>
      </c>
      <c r="N1257" t="s">
        <v>101</v>
      </c>
      <c r="O1257" t="s">
        <v>3514</v>
      </c>
      <c r="P1257" t="s">
        <v>67</v>
      </c>
      <c r="Q1257" t="s">
        <v>157</v>
      </c>
      <c r="R1257" t="s">
        <v>3515</v>
      </c>
      <c r="S1257">
        <v>63.991999999999997</v>
      </c>
    </row>
    <row r="1258" spans="1:19" x14ac:dyDescent="0.35">
      <c r="A1258">
        <v>1278</v>
      </c>
      <c r="B1258" t="s">
        <v>3516</v>
      </c>
      <c r="C1258" s="1">
        <v>42857</v>
      </c>
      <c r="D1258" s="1">
        <v>42862</v>
      </c>
      <c r="E1258" s="1" t="str">
        <f t="shared" si="19"/>
        <v>FAST</v>
      </c>
      <c r="F1258" t="s">
        <v>46</v>
      </c>
      <c r="G1258" t="s">
        <v>3517</v>
      </c>
      <c r="H1258" t="s">
        <v>3518</v>
      </c>
      <c r="I1258" t="s">
        <v>22</v>
      </c>
      <c r="J1258" t="s">
        <v>23</v>
      </c>
      <c r="K1258" t="s">
        <v>180</v>
      </c>
      <c r="L1258" t="s">
        <v>100</v>
      </c>
      <c r="M1258">
        <v>77070</v>
      </c>
      <c r="N1258" t="s">
        <v>101</v>
      </c>
      <c r="O1258" t="s">
        <v>3519</v>
      </c>
      <c r="P1258" t="s">
        <v>42</v>
      </c>
      <c r="Q1258" t="s">
        <v>64</v>
      </c>
      <c r="R1258" t="s">
        <v>3520</v>
      </c>
      <c r="S1258">
        <v>86.352000000000004</v>
      </c>
    </row>
    <row r="1259" spans="1:19" x14ac:dyDescent="0.35">
      <c r="A1259">
        <v>1279</v>
      </c>
      <c r="B1259" t="s">
        <v>3521</v>
      </c>
      <c r="C1259" s="1">
        <v>42255</v>
      </c>
      <c r="D1259" s="1">
        <v>42258</v>
      </c>
      <c r="E1259" s="1" t="str">
        <f t="shared" si="19"/>
        <v>MODERATE</v>
      </c>
      <c r="F1259" t="s">
        <v>184</v>
      </c>
      <c r="G1259" t="s">
        <v>2833</v>
      </c>
      <c r="H1259" t="s">
        <v>2834</v>
      </c>
      <c r="I1259" t="s">
        <v>37</v>
      </c>
      <c r="J1259" t="s">
        <v>23</v>
      </c>
      <c r="K1259" t="s">
        <v>3522</v>
      </c>
      <c r="L1259" t="s">
        <v>1258</v>
      </c>
      <c r="M1259">
        <v>31204</v>
      </c>
      <c r="N1259" t="s">
        <v>26</v>
      </c>
      <c r="O1259" t="s">
        <v>3523</v>
      </c>
      <c r="P1259" t="s">
        <v>67</v>
      </c>
      <c r="Q1259" t="s">
        <v>157</v>
      </c>
      <c r="R1259" t="s">
        <v>3524</v>
      </c>
      <c r="S1259">
        <v>32.97</v>
      </c>
    </row>
    <row r="1260" spans="1:19" x14ac:dyDescent="0.35">
      <c r="A1260">
        <v>1280</v>
      </c>
      <c r="B1260" t="s">
        <v>3521</v>
      </c>
      <c r="C1260" s="1">
        <v>42255</v>
      </c>
      <c r="D1260" s="1">
        <v>42258</v>
      </c>
      <c r="E1260" s="1" t="str">
        <f t="shared" si="19"/>
        <v>MODERATE</v>
      </c>
      <c r="F1260" t="s">
        <v>184</v>
      </c>
      <c r="G1260" t="s">
        <v>2833</v>
      </c>
      <c r="H1260" t="s">
        <v>2834</v>
      </c>
      <c r="I1260" t="s">
        <v>37</v>
      </c>
      <c r="J1260" t="s">
        <v>23</v>
      </c>
      <c r="K1260" t="s">
        <v>3522</v>
      </c>
      <c r="L1260" t="s">
        <v>1258</v>
      </c>
      <c r="M1260">
        <v>31204</v>
      </c>
      <c r="N1260" t="s">
        <v>26</v>
      </c>
      <c r="O1260" t="s">
        <v>3525</v>
      </c>
      <c r="P1260" t="s">
        <v>67</v>
      </c>
      <c r="Q1260" t="s">
        <v>157</v>
      </c>
      <c r="R1260" t="s">
        <v>3526</v>
      </c>
      <c r="S1260">
        <v>83.88</v>
      </c>
    </row>
    <row r="1261" spans="1:19" x14ac:dyDescent="0.35">
      <c r="A1261">
        <v>1281</v>
      </c>
      <c r="B1261" t="s">
        <v>3527</v>
      </c>
      <c r="C1261" s="1">
        <v>42983</v>
      </c>
      <c r="D1261" s="1">
        <v>42984</v>
      </c>
      <c r="E1261" s="1" t="str">
        <f t="shared" si="19"/>
        <v>MODERATE</v>
      </c>
      <c r="F1261" t="s">
        <v>184</v>
      </c>
      <c r="G1261" t="s">
        <v>2534</v>
      </c>
      <c r="H1261" t="s">
        <v>2535</v>
      </c>
      <c r="I1261" t="s">
        <v>22</v>
      </c>
      <c r="J1261" t="s">
        <v>23</v>
      </c>
      <c r="K1261" t="s">
        <v>3528</v>
      </c>
      <c r="L1261" t="s">
        <v>476</v>
      </c>
      <c r="M1261">
        <v>52402</v>
      </c>
      <c r="N1261" t="s">
        <v>101</v>
      </c>
      <c r="O1261" t="s">
        <v>3529</v>
      </c>
      <c r="P1261" t="s">
        <v>67</v>
      </c>
      <c r="Q1261" t="s">
        <v>68</v>
      </c>
      <c r="R1261" t="s">
        <v>3530</v>
      </c>
      <c r="S1261">
        <v>278.39999999999998</v>
      </c>
    </row>
    <row r="1262" spans="1:19" x14ac:dyDescent="0.35">
      <c r="A1262">
        <v>1282</v>
      </c>
      <c r="B1262" t="s">
        <v>3531</v>
      </c>
      <c r="C1262" s="1">
        <v>43199</v>
      </c>
      <c r="D1262" s="1">
        <v>43201</v>
      </c>
      <c r="E1262" s="1" t="str">
        <f t="shared" si="19"/>
        <v>MODERATE</v>
      </c>
      <c r="F1262" t="s">
        <v>184</v>
      </c>
      <c r="G1262" t="s">
        <v>1654</v>
      </c>
      <c r="H1262" t="s">
        <v>1655</v>
      </c>
      <c r="I1262" t="s">
        <v>22</v>
      </c>
      <c r="J1262" t="s">
        <v>23</v>
      </c>
      <c r="K1262" t="s">
        <v>1505</v>
      </c>
      <c r="L1262" t="s">
        <v>50</v>
      </c>
      <c r="M1262">
        <v>32216</v>
      </c>
      <c r="N1262" t="s">
        <v>26</v>
      </c>
      <c r="O1262" t="s">
        <v>3532</v>
      </c>
      <c r="P1262" t="s">
        <v>42</v>
      </c>
      <c r="Q1262" t="s">
        <v>43</v>
      </c>
      <c r="R1262" t="s">
        <v>3533</v>
      </c>
      <c r="S1262">
        <v>15.12</v>
      </c>
    </row>
    <row r="1263" spans="1:19" x14ac:dyDescent="0.35">
      <c r="A1263">
        <v>1283</v>
      </c>
      <c r="B1263" t="s">
        <v>3531</v>
      </c>
      <c r="C1263" s="1">
        <v>43199</v>
      </c>
      <c r="D1263" s="1">
        <v>43201</v>
      </c>
      <c r="E1263" s="1" t="str">
        <f t="shared" si="19"/>
        <v>MODERATE</v>
      </c>
      <c r="F1263" t="s">
        <v>184</v>
      </c>
      <c r="G1263" t="s">
        <v>1654</v>
      </c>
      <c r="H1263" t="s">
        <v>1655</v>
      </c>
      <c r="I1263" t="s">
        <v>22</v>
      </c>
      <c r="J1263" t="s">
        <v>23</v>
      </c>
      <c r="K1263" t="s">
        <v>1505</v>
      </c>
      <c r="L1263" t="s">
        <v>50</v>
      </c>
      <c r="M1263">
        <v>32216</v>
      </c>
      <c r="N1263" t="s">
        <v>26</v>
      </c>
      <c r="O1263" t="s">
        <v>3534</v>
      </c>
      <c r="P1263" t="s">
        <v>42</v>
      </c>
      <c r="Q1263" t="s">
        <v>71</v>
      </c>
      <c r="R1263" t="s">
        <v>3535</v>
      </c>
      <c r="S1263">
        <v>17.43</v>
      </c>
    </row>
    <row r="1264" spans="1:19" x14ac:dyDescent="0.35">
      <c r="A1264">
        <v>1284</v>
      </c>
      <c r="B1264" t="s">
        <v>3531</v>
      </c>
      <c r="C1264" s="1">
        <v>43199</v>
      </c>
      <c r="D1264" s="1">
        <v>43201</v>
      </c>
      <c r="E1264" s="1" t="str">
        <f t="shared" si="19"/>
        <v>MODERATE</v>
      </c>
      <c r="F1264" t="s">
        <v>184</v>
      </c>
      <c r="G1264" t="s">
        <v>1654</v>
      </c>
      <c r="H1264" t="s">
        <v>1655</v>
      </c>
      <c r="I1264" t="s">
        <v>22</v>
      </c>
      <c r="J1264" t="s">
        <v>23</v>
      </c>
      <c r="K1264" t="s">
        <v>1505</v>
      </c>
      <c r="L1264" t="s">
        <v>50</v>
      </c>
      <c r="M1264">
        <v>32216</v>
      </c>
      <c r="N1264" t="s">
        <v>26</v>
      </c>
      <c r="O1264" t="s">
        <v>3536</v>
      </c>
      <c r="P1264" t="s">
        <v>42</v>
      </c>
      <c r="Q1264" t="s">
        <v>86</v>
      </c>
      <c r="R1264" t="s">
        <v>3537</v>
      </c>
      <c r="S1264">
        <v>251.64</v>
      </c>
    </row>
    <row r="1265" spans="1:19" x14ac:dyDescent="0.35">
      <c r="A1265">
        <v>1285</v>
      </c>
      <c r="B1265" t="s">
        <v>3538</v>
      </c>
      <c r="C1265" s="1">
        <v>42710</v>
      </c>
      <c r="D1265" s="1">
        <v>42716</v>
      </c>
      <c r="E1265" s="1" t="str">
        <f t="shared" si="19"/>
        <v>FAST</v>
      </c>
      <c r="F1265" t="s">
        <v>46</v>
      </c>
      <c r="G1265" t="s">
        <v>1264</v>
      </c>
      <c r="H1265" t="s">
        <v>1265</v>
      </c>
      <c r="I1265" t="s">
        <v>22</v>
      </c>
      <c r="J1265" t="s">
        <v>23</v>
      </c>
      <c r="K1265" t="s">
        <v>1225</v>
      </c>
      <c r="L1265" t="s">
        <v>100</v>
      </c>
      <c r="M1265">
        <v>78745</v>
      </c>
      <c r="N1265" t="s">
        <v>101</v>
      </c>
      <c r="O1265" t="s">
        <v>3539</v>
      </c>
      <c r="P1265" t="s">
        <v>42</v>
      </c>
      <c r="Q1265" t="s">
        <v>71</v>
      </c>
      <c r="R1265" t="s">
        <v>3540</v>
      </c>
      <c r="S1265">
        <v>2.7719999999999998</v>
      </c>
    </row>
    <row r="1266" spans="1:19" x14ac:dyDescent="0.35">
      <c r="A1266">
        <v>1286</v>
      </c>
      <c r="B1266" t="s">
        <v>3541</v>
      </c>
      <c r="C1266" s="1">
        <v>42912</v>
      </c>
      <c r="D1266" s="1">
        <v>42919</v>
      </c>
      <c r="E1266" s="1" t="str">
        <f t="shared" si="19"/>
        <v>FAST</v>
      </c>
      <c r="F1266" t="s">
        <v>46</v>
      </c>
      <c r="G1266" t="s">
        <v>3542</v>
      </c>
      <c r="H1266" t="s">
        <v>3543</v>
      </c>
      <c r="I1266" t="s">
        <v>22</v>
      </c>
      <c r="J1266" t="s">
        <v>23</v>
      </c>
      <c r="K1266" t="s">
        <v>3544</v>
      </c>
      <c r="L1266" t="s">
        <v>1384</v>
      </c>
      <c r="M1266">
        <v>2908</v>
      </c>
      <c r="N1266" t="s">
        <v>144</v>
      </c>
      <c r="O1266" t="s">
        <v>1497</v>
      </c>
      <c r="P1266" t="s">
        <v>42</v>
      </c>
      <c r="Q1266" t="s">
        <v>55</v>
      </c>
      <c r="R1266" t="s">
        <v>1498</v>
      </c>
      <c r="S1266">
        <v>14.9</v>
      </c>
    </row>
    <row r="1267" spans="1:19" x14ac:dyDescent="0.35">
      <c r="A1267">
        <v>1287</v>
      </c>
      <c r="B1267" t="s">
        <v>3545</v>
      </c>
      <c r="C1267" s="1">
        <v>42555</v>
      </c>
      <c r="D1267" s="1">
        <v>42559</v>
      </c>
      <c r="E1267" s="1" t="str">
        <f t="shared" si="19"/>
        <v>FAST</v>
      </c>
      <c r="F1267" t="s">
        <v>46</v>
      </c>
      <c r="G1267" t="s">
        <v>518</v>
      </c>
      <c r="H1267" t="s">
        <v>519</v>
      </c>
      <c r="I1267" t="s">
        <v>98</v>
      </c>
      <c r="J1267" t="s">
        <v>23</v>
      </c>
      <c r="K1267" t="s">
        <v>260</v>
      </c>
      <c r="L1267" t="s">
        <v>261</v>
      </c>
      <c r="M1267">
        <v>10035</v>
      </c>
      <c r="N1267" t="s">
        <v>144</v>
      </c>
      <c r="O1267" t="s">
        <v>3546</v>
      </c>
      <c r="P1267" t="s">
        <v>42</v>
      </c>
      <c r="Q1267" t="s">
        <v>64</v>
      </c>
      <c r="R1267" t="s">
        <v>3547</v>
      </c>
      <c r="S1267">
        <v>15.48</v>
      </c>
    </row>
    <row r="1268" spans="1:19" x14ac:dyDescent="0.35">
      <c r="A1268">
        <v>1288</v>
      </c>
      <c r="B1268" t="s">
        <v>3548</v>
      </c>
      <c r="C1268" s="1">
        <v>43061</v>
      </c>
      <c r="D1268" s="1">
        <v>43065</v>
      </c>
      <c r="E1268" s="1" t="str">
        <f t="shared" si="19"/>
        <v>FAST</v>
      </c>
      <c r="F1268" t="s">
        <v>46</v>
      </c>
      <c r="G1268" t="s">
        <v>3549</v>
      </c>
      <c r="H1268" t="s">
        <v>3550</v>
      </c>
      <c r="I1268" t="s">
        <v>37</v>
      </c>
      <c r="J1268" t="s">
        <v>23</v>
      </c>
      <c r="K1268" t="s">
        <v>260</v>
      </c>
      <c r="L1268" t="s">
        <v>261</v>
      </c>
      <c r="M1268">
        <v>10009</v>
      </c>
      <c r="N1268" t="s">
        <v>144</v>
      </c>
      <c r="O1268" t="s">
        <v>292</v>
      </c>
      <c r="P1268" t="s">
        <v>28</v>
      </c>
      <c r="Q1268" t="s">
        <v>61</v>
      </c>
      <c r="R1268" t="s">
        <v>293</v>
      </c>
      <c r="S1268">
        <v>39.880000000000003</v>
      </c>
    </row>
    <row r="1269" spans="1:19" x14ac:dyDescent="0.35">
      <c r="A1269">
        <v>1289</v>
      </c>
      <c r="B1269" t="s">
        <v>3548</v>
      </c>
      <c r="C1269" s="1">
        <v>43061</v>
      </c>
      <c r="D1269" s="1">
        <v>43065</v>
      </c>
      <c r="E1269" s="1" t="str">
        <f t="shared" si="19"/>
        <v>FAST</v>
      </c>
      <c r="F1269" t="s">
        <v>46</v>
      </c>
      <c r="G1269" t="s">
        <v>3549</v>
      </c>
      <c r="H1269" t="s">
        <v>3550</v>
      </c>
      <c r="I1269" t="s">
        <v>37</v>
      </c>
      <c r="J1269" t="s">
        <v>23</v>
      </c>
      <c r="K1269" t="s">
        <v>260</v>
      </c>
      <c r="L1269" t="s">
        <v>261</v>
      </c>
      <c r="M1269">
        <v>10009</v>
      </c>
      <c r="N1269" t="s">
        <v>144</v>
      </c>
      <c r="O1269" t="s">
        <v>2057</v>
      </c>
      <c r="P1269" t="s">
        <v>42</v>
      </c>
      <c r="Q1269" t="s">
        <v>71</v>
      </c>
      <c r="R1269" t="s">
        <v>2058</v>
      </c>
      <c r="S1269">
        <v>12.192</v>
      </c>
    </row>
    <row r="1270" spans="1:19" x14ac:dyDescent="0.35">
      <c r="A1270">
        <v>1290</v>
      </c>
      <c r="B1270" t="s">
        <v>3548</v>
      </c>
      <c r="C1270" s="1">
        <v>43061</v>
      </c>
      <c r="D1270" s="1">
        <v>43065</v>
      </c>
      <c r="E1270" s="1" t="str">
        <f t="shared" si="19"/>
        <v>FAST</v>
      </c>
      <c r="F1270" t="s">
        <v>46</v>
      </c>
      <c r="G1270" t="s">
        <v>3549</v>
      </c>
      <c r="H1270" t="s">
        <v>3550</v>
      </c>
      <c r="I1270" t="s">
        <v>37</v>
      </c>
      <c r="J1270" t="s">
        <v>23</v>
      </c>
      <c r="K1270" t="s">
        <v>260</v>
      </c>
      <c r="L1270" t="s">
        <v>261</v>
      </c>
      <c r="M1270">
        <v>10009</v>
      </c>
      <c r="N1270" t="s">
        <v>144</v>
      </c>
      <c r="O1270" t="s">
        <v>3551</v>
      </c>
      <c r="P1270" t="s">
        <v>42</v>
      </c>
      <c r="Q1270" t="s">
        <v>64</v>
      </c>
      <c r="R1270" t="s">
        <v>3552</v>
      </c>
      <c r="S1270">
        <v>20.82</v>
      </c>
    </row>
    <row r="1271" spans="1:19" x14ac:dyDescent="0.35">
      <c r="A1271">
        <v>1291</v>
      </c>
      <c r="B1271" t="s">
        <v>3553</v>
      </c>
      <c r="C1271" s="1">
        <v>43049</v>
      </c>
      <c r="D1271" s="1">
        <v>43051</v>
      </c>
      <c r="E1271" s="1" t="str">
        <f t="shared" si="19"/>
        <v>MODERATE</v>
      </c>
      <c r="F1271" t="s">
        <v>184</v>
      </c>
      <c r="G1271" t="s">
        <v>2110</v>
      </c>
      <c r="H1271" t="s">
        <v>2111</v>
      </c>
      <c r="I1271" t="s">
        <v>98</v>
      </c>
      <c r="J1271" t="s">
        <v>23</v>
      </c>
      <c r="K1271" t="s">
        <v>123</v>
      </c>
      <c r="L1271" t="s">
        <v>39</v>
      </c>
      <c r="M1271">
        <v>94122</v>
      </c>
      <c r="N1271" t="s">
        <v>40</v>
      </c>
      <c r="O1271" t="s">
        <v>3554</v>
      </c>
      <c r="P1271" t="s">
        <v>42</v>
      </c>
      <c r="Q1271" t="s">
        <v>71</v>
      </c>
      <c r="R1271" t="s">
        <v>3555</v>
      </c>
      <c r="S1271">
        <v>13.215999999999999</v>
      </c>
    </row>
    <row r="1272" spans="1:19" x14ac:dyDescent="0.35">
      <c r="A1272">
        <v>1292</v>
      </c>
      <c r="B1272" t="s">
        <v>3553</v>
      </c>
      <c r="C1272" s="1">
        <v>43049</v>
      </c>
      <c r="D1272" s="1">
        <v>43051</v>
      </c>
      <c r="E1272" s="1" t="str">
        <f t="shared" si="19"/>
        <v>MODERATE</v>
      </c>
      <c r="F1272" t="s">
        <v>184</v>
      </c>
      <c r="G1272" t="s">
        <v>2110</v>
      </c>
      <c r="H1272" t="s">
        <v>2111</v>
      </c>
      <c r="I1272" t="s">
        <v>98</v>
      </c>
      <c r="J1272" t="s">
        <v>23</v>
      </c>
      <c r="K1272" t="s">
        <v>123</v>
      </c>
      <c r="L1272" t="s">
        <v>39</v>
      </c>
      <c r="M1272">
        <v>94122</v>
      </c>
      <c r="N1272" t="s">
        <v>40</v>
      </c>
      <c r="O1272" t="s">
        <v>3321</v>
      </c>
      <c r="P1272" t="s">
        <v>42</v>
      </c>
      <c r="Q1272" t="s">
        <v>86</v>
      </c>
      <c r="R1272" t="s">
        <v>3322</v>
      </c>
      <c r="S1272">
        <v>32.4</v>
      </c>
    </row>
    <row r="1273" spans="1:19" x14ac:dyDescent="0.35">
      <c r="A1273">
        <v>1293</v>
      </c>
      <c r="B1273" t="s">
        <v>3556</v>
      </c>
      <c r="C1273" s="1">
        <v>42609</v>
      </c>
      <c r="D1273" s="1">
        <v>42614</v>
      </c>
      <c r="E1273" s="1" t="str">
        <f t="shared" si="19"/>
        <v>FAST</v>
      </c>
      <c r="F1273" t="s">
        <v>46</v>
      </c>
      <c r="G1273" t="s">
        <v>523</v>
      </c>
      <c r="H1273" t="s">
        <v>524</v>
      </c>
      <c r="I1273" t="s">
        <v>22</v>
      </c>
      <c r="J1273" t="s">
        <v>23</v>
      </c>
      <c r="K1273" t="s">
        <v>935</v>
      </c>
      <c r="L1273" t="s">
        <v>39</v>
      </c>
      <c r="M1273">
        <v>92105</v>
      </c>
      <c r="N1273" t="s">
        <v>40</v>
      </c>
      <c r="O1273" t="s">
        <v>565</v>
      </c>
      <c r="P1273" t="s">
        <v>42</v>
      </c>
      <c r="Q1273" t="s">
        <v>566</v>
      </c>
      <c r="R1273" t="s">
        <v>567</v>
      </c>
      <c r="S1273">
        <v>32.94</v>
      </c>
    </row>
    <row r="1274" spans="1:19" x14ac:dyDescent="0.35">
      <c r="A1274">
        <v>1294</v>
      </c>
      <c r="B1274" t="s">
        <v>3556</v>
      </c>
      <c r="C1274" s="1">
        <v>42609</v>
      </c>
      <c r="D1274" s="1">
        <v>42614</v>
      </c>
      <c r="E1274" s="1" t="str">
        <f t="shared" si="19"/>
        <v>FAST</v>
      </c>
      <c r="F1274" t="s">
        <v>46</v>
      </c>
      <c r="G1274" t="s">
        <v>523</v>
      </c>
      <c r="H1274" t="s">
        <v>524</v>
      </c>
      <c r="I1274" t="s">
        <v>22</v>
      </c>
      <c r="J1274" t="s">
        <v>23</v>
      </c>
      <c r="K1274" t="s">
        <v>935</v>
      </c>
      <c r="L1274" t="s">
        <v>39</v>
      </c>
      <c r="M1274">
        <v>92105</v>
      </c>
      <c r="N1274" t="s">
        <v>40</v>
      </c>
      <c r="O1274" t="s">
        <v>3557</v>
      </c>
      <c r="P1274" t="s">
        <v>42</v>
      </c>
      <c r="Q1274" t="s">
        <v>86</v>
      </c>
      <c r="R1274" t="s">
        <v>3558</v>
      </c>
      <c r="S1274">
        <v>114.2</v>
      </c>
    </row>
    <row r="1275" spans="1:19" x14ac:dyDescent="0.35">
      <c r="A1275">
        <v>1295</v>
      </c>
      <c r="B1275" t="s">
        <v>3556</v>
      </c>
      <c r="C1275" s="1">
        <v>42609</v>
      </c>
      <c r="D1275" s="1">
        <v>42614</v>
      </c>
      <c r="E1275" s="1" t="str">
        <f t="shared" si="19"/>
        <v>FAST</v>
      </c>
      <c r="F1275" t="s">
        <v>46</v>
      </c>
      <c r="G1275" t="s">
        <v>523</v>
      </c>
      <c r="H1275" t="s">
        <v>524</v>
      </c>
      <c r="I1275" t="s">
        <v>22</v>
      </c>
      <c r="J1275" t="s">
        <v>23</v>
      </c>
      <c r="K1275" t="s">
        <v>935</v>
      </c>
      <c r="L1275" t="s">
        <v>39</v>
      </c>
      <c r="M1275">
        <v>92105</v>
      </c>
      <c r="N1275" t="s">
        <v>40</v>
      </c>
      <c r="O1275" t="s">
        <v>382</v>
      </c>
      <c r="P1275" t="s">
        <v>42</v>
      </c>
      <c r="Q1275" t="s">
        <v>43</v>
      </c>
      <c r="R1275" t="s">
        <v>383</v>
      </c>
      <c r="S1275">
        <v>3.08</v>
      </c>
    </row>
    <row r="1276" spans="1:19" x14ac:dyDescent="0.35">
      <c r="A1276">
        <v>1296</v>
      </c>
      <c r="B1276" t="s">
        <v>3559</v>
      </c>
      <c r="C1276" s="1">
        <v>42515</v>
      </c>
      <c r="D1276" s="1">
        <v>42519</v>
      </c>
      <c r="E1276" s="1" t="str">
        <f t="shared" si="19"/>
        <v>FAST</v>
      </c>
      <c r="F1276" t="s">
        <v>46</v>
      </c>
      <c r="G1276" t="s">
        <v>3560</v>
      </c>
      <c r="H1276" t="s">
        <v>3561</v>
      </c>
      <c r="I1276" t="s">
        <v>22</v>
      </c>
      <c r="J1276" t="s">
        <v>23</v>
      </c>
      <c r="K1276" t="s">
        <v>3562</v>
      </c>
      <c r="L1276" t="s">
        <v>444</v>
      </c>
      <c r="M1276">
        <v>81001</v>
      </c>
      <c r="N1276" t="s">
        <v>40</v>
      </c>
      <c r="O1276" t="s">
        <v>2791</v>
      </c>
      <c r="P1276" t="s">
        <v>42</v>
      </c>
      <c r="Q1276" t="s">
        <v>74</v>
      </c>
      <c r="R1276" t="s">
        <v>2792</v>
      </c>
      <c r="S1276">
        <v>845.72799999999995</v>
      </c>
    </row>
    <row r="1277" spans="1:19" x14ac:dyDescent="0.35">
      <c r="A1277">
        <v>1297</v>
      </c>
      <c r="B1277" t="s">
        <v>3563</v>
      </c>
      <c r="C1277" s="1">
        <v>43464</v>
      </c>
      <c r="D1277" s="1">
        <v>43468</v>
      </c>
      <c r="E1277" s="1" t="str">
        <f t="shared" si="19"/>
        <v>FAST</v>
      </c>
      <c r="F1277" t="s">
        <v>46</v>
      </c>
      <c r="G1277" t="s">
        <v>3564</v>
      </c>
      <c r="H1277" t="s">
        <v>3565</v>
      </c>
      <c r="I1277" t="s">
        <v>37</v>
      </c>
      <c r="J1277" t="s">
        <v>23</v>
      </c>
      <c r="K1277" t="s">
        <v>735</v>
      </c>
      <c r="L1277" t="s">
        <v>39</v>
      </c>
      <c r="M1277">
        <v>94533</v>
      </c>
      <c r="N1277" t="s">
        <v>40</v>
      </c>
      <c r="O1277" t="s">
        <v>2034</v>
      </c>
      <c r="P1277" t="s">
        <v>42</v>
      </c>
      <c r="Q1277" t="s">
        <v>71</v>
      </c>
      <c r="R1277" t="s">
        <v>2035</v>
      </c>
      <c r="S1277">
        <v>13.904</v>
      </c>
    </row>
    <row r="1278" spans="1:19" x14ac:dyDescent="0.35">
      <c r="A1278">
        <v>1298</v>
      </c>
      <c r="B1278" t="s">
        <v>3563</v>
      </c>
      <c r="C1278" s="1">
        <v>43464</v>
      </c>
      <c r="D1278" s="1">
        <v>43468</v>
      </c>
      <c r="E1278" s="1" t="str">
        <f t="shared" si="19"/>
        <v>FAST</v>
      </c>
      <c r="F1278" t="s">
        <v>46</v>
      </c>
      <c r="G1278" t="s">
        <v>3564</v>
      </c>
      <c r="H1278" t="s">
        <v>3565</v>
      </c>
      <c r="I1278" t="s">
        <v>37</v>
      </c>
      <c r="J1278" t="s">
        <v>23</v>
      </c>
      <c r="K1278" t="s">
        <v>735</v>
      </c>
      <c r="L1278" t="s">
        <v>39</v>
      </c>
      <c r="M1278">
        <v>94533</v>
      </c>
      <c r="N1278" t="s">
        <v>40</v>
      </c>
      <c r="O1278" t="s">
        <v>2187</v>
      </c>
      <c r="P1278" t="s">
        <v>42</v>
      </c>
      <c r="Q1278" t="s">
        <v>71</v>
      </c>
      <c r="R1278" t="s">
        <v>3566</v>
      </c>
      <c r="S1278">
        <v>20.72</v>
      </c>
    </row>
    <row r="1279" spans="1:19" x14ac:dyDescent="0.35">
      <c r="A1279">
        <v>1299</v>
      </c>
      <c r="B1279" t="s">
        <v>3567</v>
      </c>
      <c r="C1279" s="1">
        <v>43077</v>
      </c>
      <c r="D1279" s="1">
        <v>43081</v>
      </c>
      <c r="E1279" s="1" t="str">
        <f t="shared" si="19"/>
        <v>SLOW</v>
      </c>
      <c r="F1279" t="s">
        <v>19</v>
      </c>
      <c r="G1279" t="s">
        <v>3568</v>
      </c>
      <c r="H1279" t="s">
        <v>3569</v>
      </c>
      <c r="I1279" t="s">
        <v>37</v>
      </c>
      <c r="J1279" t="s">
        <v>23</v>
      </c>
      <c r="K1279" t="s">
        <v>423</v>
      </c>
      <c r="L1279" t="s">
        <v>223</v>
      </c>
      <c r="M1279">
        <v>55106</v>
      </c>
      <c r="N1279" t="s">
        <v>101</v>
      </c>
      <c r="O1279" t="s">
        <v>1762</v>
      </c>
      <c r="P1279" t="s">
        <v>67</v>
      </c>
      <c r="Q1279" t="s">
        <v>68</v>
      </c>
      <c r="R1279" t="s">
        <v>1763</v>
      </c>
      <c r="S1279">
        <v>114.95</v>
      </c>
    </row>
    <row r="1280" spans="1:19" x14ac:dyDescent="0.35">
      <c r="A1280">
        <v>1300</v>
      </c>
      <c r="B1280" t="s">
        <v>3570</v>
      </c>
      <c r="C1280" s="1">
        <v>42647</v>
      </c>
      <c r="D1280" s="1">
        <v>42650</v>
      </c>
      <c r="E1280" s="1" t="str">
        <f t="shared" si="19"/>
        <v>MODERATE</v>
      </c>
      <c r="F1280" t="s">
        <v>184</v>
      </c>
      <c r="G1280" t="s">
        <v>3300</v>
      </c>
      <c r="H1280" t="s">
        <v>3301</v>
      </c>
      <c r="I1280" t="s">
        <v>22</v>
      </c>
      <c r="J1280" t="s">
        <v>23</v>
      </c>
      <c r="K1280" t="s">
        <v>123</v>
      </c>
      <c r="L1280" t="s">
        <v>39</v>
      </c>
      <c r="M1280">
        <v>94109</v>
      </c>
      <c r="N1280" t="s">
        <v>40</v>
      </c>
      <c r="O1280" t="s">
        <v>623</v>
      </c>
      <c r="P1280" t="s">
        <v>42</v>
      </c>
      <c r="Q1280" t="s">
        <v>55</v>
      </c>
      <c r="R1280" t="s">
        <v>624</v>
      </c>
      <c r="S1280">
        <v>26.96</v>
      </c>
    </row>
    <row r="1281" spans="1:19" x14ac:dyDescent="0.35">
      <c r="A1281">
        <v>1301</v>
      </c>
      <c r="B1281" t="s">
        <v>3571</v>
      </c>
      <c r="C1281" s="1">
        <v>43092</v>
      </c>
      <c r="D1281" s="1">
        <v>43094</v>
      </c>
      <c r="E1281" s="1" t="str">
        <f t="shared" si="19"/>
        <v>SLOW</v>
      </c>
      <c r="F1281" t="s">
        <v>19</v>
      </c>
      <c r="G1281" t="s">
        <v>800</v>
      </c>
      <c r="H1281" t="s">
        <v>801</v>
      </c>
      <c r="I1281" t="s">
        <v>22</v>
      </c>
      <c r="J1281" t="s">
        <v>23</v>
      </c>
      <c r="K1281" t="s">
        <v>312</v>
      </c>
      <c r="L1281" t="s">
        <v>313</v>
      </c>
      <c r="M1281">
        <v>22153</v>
      </c>
      <c r="N1281" t="s">
        <v>26</v>
      </c>
      <c r="O1281" t="s">
        <v>190</v>
      </c>
      <c r="P1281" t="s">
        <v>28</v>
      </c>
      <c r="Q1281" t="s">
        <v>61</v>
      </c>
      <c r="R1281" t="s">
        <v>191</v>
      </c>
      <c r="S1281">
        <v>572.76</v>
      </c>
    </row>
    <row r="1282" spans="1:19" x14ac:dyDescent="0.35">
      <c r="A1282">
        <v>1302</v>
      </c>
      <c r="B1282" t="s">
        <v>3571</v>
      </c>
      <c r="C1282" s="1">
        <v>43092</v>
      </c>
      <c r="D1282" s="1">
        <v>43094</v>
      </c>
      <c r="E1282" s="1" t="str">
        <f t="shared" si="19"/>
        <v>SLOW</v>
      </c>
      <c r="F1282" t="s">
        <v>19</v>
      </c>
      <c r="G1282" t="s">
        <v>800</v>
      </c>
      <c r="H1282" t="s">
        <v>801</v>
      </c>
      <c r="I1282" t="s">
        <v>22</v>
      </c>
      <c r="J1282" t="s">
        <v>23</v>
      </c>
      <c r="K1282" t="s">
        <v>312</v>
      </c>
      <c r="L1282" t="s">
        <v>313</v>
      </c>
      <c r="M1282">
        <v>22153</v>
      </c>
      <c r="N1282" t="s">
        <v>26</v>
      </c>
      <c r="O1282" t="s">
        <v>190</v>
      </c>
      <c r="P1282" t="s">
        <v>28</v>
      </c>
      <c r="Q1282" t="s">
        <v>61</v>
      </c>
      <c r="R1282" t="s">
        <v>191</v>
      </c>
      <c r="S1282">
        <v>286.38</v>
      </c>
    </row>
    <row r="1283" spans="1:19" x14ac:dyDescent="0.35">
      <c r="A1283">
        <v>1303</v>
      </c>
      <c r="B1283" t="s">
        <v>3572</v>
      </c>
      <c r="C1283" s="1">
        <v>42632</v>
      </c>
      <c r="D1283" s="1">
        <v>42637</v>
      </c>
      <c r="E1283" s="1" t="str">
        <f t="shared" ref="E1283:E1346" si="20">IF(F1283="STANDARD CLASS","FAST",IF(F1283="SECOND CLASS","SLOW","MODERATE"))</f>
        <v>SLOW</v>
      </c>
      <c r="F1283" t="s">
        <v>19</v>
      </c>
      <c r="G1283" t="s">
        <v>3573</v>
      </c>
      <c r="H1283" t="s">
        <v>3574</v>
      </c>
      <c r="I1283" t="s">
        <v>98</v>
      </c>
      <c r="J1283" t="s">
        <v>23</v>
      </c>
      <c r="K1283" t="s">
        <v>1115</v>
      </c>
      <c r="L1283" t="s">
        <v>313</v>
      </c>
      <c r="M1283">
        <v>22204</v>
      </c>
      <c r="N1283" t="s">
        <v>26</v>
      </c>
      <c r="O1283" t="s">
        <v>3575</v>
      </c>
      <c r="P1283" t="s">
        <v>28</v>
      </c>
      <c r="Q1283" t="s">
        <v>29</v>
      </c>
      <c r="R1283" t="s">
        <v>3576</v>
      </c>
      <c r="S1283">
        <v>61.96</v>
      </c>
    </row>
    <row r="1284" spans="1:19" x14ac:dyDescent="0.35">
      <c r="A1284">
        <v>1304</v>
      </c>
      <c r="B1284" t="s">
        <v>3577</v>
      </c>
      <c r="C1284" s="1">
        <v>43284</v>
      </c>
      <c r="D1284" s="1">
        <v>43288</v>
      </c>
      <c r="E1284" s="1" t="str">
        <f t="shared" si="20"/>
        <v>FAST</v>
      </c>
      <c r="F1284" t="s">
        <v>46</v>
      </c>
      <c r="G1284" t="s">
        <v>3578</v>
      </c>
      <c r="H1284" t="s">
        <v>3579</v>
      </c>
      <c r="I1284" t="s">
        <v>22</v>
      </c>
      <c r="J1284" t="s">
        <v>23</v>
      </c>
      <c r="K1284" t="s">
        <v>484</v>
      </c>
      <c r="L1284" t="s">
        <v>1258</v>
      </c>
      <c r="M1284">
        <v>31907</v>
      </c>
      <c r="N1284" t="s">
        <v>26</v>
      </c>
      <c r="O1284" t="s">
        <v>3580</v>
      </c>
      <c r="P1284" t="s">
        <v>28</v>
      </c>
      <c r="Q1284" t="s">
        <v>61</v>
      </c>
      <c r="R1284" t="s">
        <v>3581</v>
      </c>
      <c r="S1284">
        <v>23.99</v>
      </c>
    </row>
    <row r="1285" spans="1:19" x14ac:dyDescent="0.35">
      <c r="A1285">
        <v>1305</v>
      </c>
      <c r="B1285" t="s">
        <v>3577</v>
      </c>
      <c r="C1285" s="1">
        <v>43284</v>
      </c>
      <c r="D1285" s="1">
        <v>43288</v>
      </c>
      <c r="E1285" s="1" t="str">
        <f t="shared" si="20"/>
        <v>FAST</v>
      </c>
      <c r="F1285" t="s">
        <v>46</v>
      </c>
      <c r="G1285" t="s">
        <v>3578</v>
      </c>
      <c r="H1285" t="s">
        <v>3579</v>
      </c>
      <c r="I1285" t="s">
        <v>22</v>
      </c>
      <c r="J1285" t="s">
        <v>23</v>
      </c>
      <c r="K1285" t="s">
        <v>484</v>
      </c>
      <c r="L1285" t="s">
        <v>1258</v>
      </c>
      <c r="M1285">
        <v>31907</v>
      </c>
      <c r="N1285" t="s">
        <v>26</v>
      </c>
      <c r="O1285" t="s">
        <v>2556</v>
      </c>
      <c r="P1285" t="s">
        <v>67</v>
      </c>
      <c r="Q1285" t="s">
        <v>68</v>
      </c>
      <c r="R1285" t="s">
        <v>2557</v>
      </c>
      <c r="S1285">
        <v>287.97000000000003</v>
      </c>
    </row>
    <row r="1286" spans="1:19" x14ac:dyDescent="0.35">
      <c r="A1286">
        <v>1306</v>
      </c>
      <c r="B1286" t="s">
        <v>3582</v>
      </c>
      <c r="C1286" s="1">
        <v>42930</v>
      </c>
      <c r="D1286" s="1">
        <v>42932</v>
      </c>
      <c r="E1286" s="1" t="str">
        <f t="shared" si="20"/>
        <v>SLOW</v>
      </c>
      <c r="F1286" t="s">
        <v>19</v>
      </c>
      <c r="G1286" t="s">
        <v>2432</v>
      </c>
      <c r="H1286" t="s">
        <v>2433</v>
      </c>
      <c r="I1286" t="s">
        <v>22</v>
      </c>
      <c r="J1286" t="s">
        <v>23</v>
      </c>
      <c r="K1286" t="s">
        <v>180</v>
      </c>
      <c r="L1286" t="s">
        <v>100</v>
      </c>
      <c r="M1286">
        <v>77036</v>
      </c>
      <c r="N1286" t="s">
        <v>101</v>
      </c>
      <c r="O1286" t="s">
        <v>3583</v>
      </c>
      <c r="P1286" t="s">
        <v>67</v>
      </c>
      <c r="Q1286" t="s">
        <v>68</v>
      </c>
      <c r="R1286" t="s">
        <v>3584</v>
      </c>
      <c r="S1286">
        <v>419.94400000000002</v>
      </c>
    </row>
    <row r="1287" spans="1:19" x14ac:dyDescent="0.35">
      <c r="A1287">
        <v>1307</v>
      </c>
      <c r="B1287" t="s">
        <v>3585</v>
      </c>
      <c r="C1287" s="1">
        <v>42906</v>
      </c>
      <c r="D1287" s="1">
        <v>42907</v>
      </c>
      <c r="E1287" s="1" t="str">
        <f t="shared" si="20"/>
        <v>MODERATE</v>
      </c>
      <c r="F1287" t="s">
        <v>184</v>
      </c>
      <c r="G1287" t="s">
        <v>972</v>
      </c>
      <c r="H1287" t="s">
        <v>973</v>
      </c>
      <c r="I1287" t="s">
        <v>22</v>
      </c>
      <c r="J1287" t="s">
        <v>23</v>
      </c>
      <c r="K1287" t="s">
        <v>590</v>
      </c>
      <c r="L1287" t="s">
        <v>39</v>
      </c>
      <c r="M1287">
        <v>91104</v>
      </c>
      <c r="N1287" t="s">
        <v>40</v>
      </c>
      <c r="O1287" t="s">
        <v>1845</v>
      </c>
      <c r="P1287" t="s">
        <v>42</v>
      </c>
      <c r="Q1287" t="s">
        <v>86</v>
      </c>
      <c r="R1287" t="s">
        <v>1846</v>
      </c>
      <c r="S1287">
        <v>46.76</v>
      </c>
    </row>
    <row r="1288" spans="1:19" x14ac:dyDescent="0.35">
      <c r="A1288">
        <v>1308</v>
      </c>
      <c r="B1288" t="s">
        <v>3585</v>
      </c>
      <c r="C1288" s="1">
        <v>42906</v>
      </c>
      <c r="D1288" s="1">
        <v>42907</v>
      </c>
      <c r="E1288" s="1" t="str">
        <f t="shared" si="20"/>
        <v>MODERATE</v>
      </c>
      <c r="F1288" t="s">
        <v>184</v>
      </c>
      <c r="G1288" t="s">
        <v>972</v>
      </c>
      <c r="H1288" t="s">
        <v>973</v>
      </c>
      <c r="I1288" t="s">
        <v>22</v>
      </c>
      <c r="J1288" t="s">
        <v>23</v>
      </c>
      <c r="K1288" t="s">
        <v>590</v>
      </c>
      <c r="L1288" t="s">
        <v>39</v>
      </c>
      <c r="M1288">
        <v>91104</v>
      </c>
      <c r="N1288" t="s">
        <v>40</v>
      </c>
      <c r="O1288" t="s">
        <v>3017</v>
      </c>
      <c r="P1288" t="s">
        <v>42</v>
      </c>
      <c r="Q1288" t="s">
        <v>71</v>
      </c>
      <c r="R1288" t="s">
        <v>3018</v>
      </c>
      <c r="S1288">
        <v>17.712</v>
      </c>
    </row>
    <row r="1289" spans="1:19" x14ac:dyDescent="0.35">
      <c r="A1289">
        <v>1309</v>
      </c>
      <c r="B1289" t="s">
        <v>3585</v>
      </c>
      <c r="C1289" s="1">
        <v>42906</v>
      </c>
      <c r="D1289" s="1">
        <v>42907</v>
      </c>
      <c r="E1289" s="1" t="str">
        <f t="shared" si="20"/>
        <v>MODERATE</v>
      </c>
      <c r="F1289" t="s">
        <v>184</v>
      </c>
      <c r="G1289" t="s">
        <v>972</v>
      </c>
      <c r="H1289" t="s">
        <v>973</v>
      </c>
      <c r="I1289" t="s">
        <v>22</v>
      </c>
      <c r="J1289" t="s">
        <v>23</v>
      </c>
      <c r="K1289" t="s">
        <v>590</v>
      </c>
      <c r="L1289" t="s">
        <v>39</v>
      </c>
      <c r="M1289">
        <v>91104</v>
      </c>
      <c r="N1289" t="s">
        <v>40</v>
      </c>
      <c r="O1289" t="s">
        <v>3586</v>
      </c>
      <c r="P1289" t="s">
        <v>42</v>
      </c>
      <c r="Q1289" t="s">
        <v>74</v>
      </c>
      <c r="R1289" t="s">
        <v>3587</v>
      </c>
      <c r="S1289">
        <v>21.78</v>
      </c>
    </row>
    <row r="1290" spans="1:19" x14ac:dyDescent="0.35">
      <c r="A1290">
        <v>1310</v>
      </c>
      <c r="B1290" t="s">
        <v>3585</v>
      </c>
      <c r="C1290" s="1">
        <v>42906</v>
      </c>
      <c r="D1290" s="1">
        <v>42907</v>
      </c>
      <c r="E1290" s="1" t="str">
        <f t="shared" si="20"/>
        <v>MODERATE</v>
      </c>
      <c r="F1290" t="s">
        <v>184</v>
      </c>
      <c r="G1290" t="s">
        <v>972</v>
      </c>
      <c r="H1290" t="s">
        <v>973</v>
      </c>
      <c r="I1290" t="s">
        <v>22</v>
      </c>
      <c r="J1290" t="s">
        <v>23</v>
      </c>
      <c r="K1290" t="s">
        <v>590</v>
      </c>
      <c r="L1290" t="s">
        <v>39</v>
      </c>
      <c r="M1290">
        <v>91104</v>
      </c>
      <c r="N1290" t="s">
        <v>40</v>
      </c>
      <c r="O1290" t="s">
        <v>1547</v>
      </c>
      <c r="P1290" t="s">
        <v>42</v>
      </c>
      <c r="Q1290" t="s">
        <v>55</v>
      </c>
      <c r="R1290" t="s">
        <v>1548</v>
      </c>
      <c r="S1290">
        <v>161.94</v>
      </c>
    </row>
    <row r="1291" spans="1:19" x14ac:dyDescent="0.35">
      <c r="A1291">
        <v>1311</v>
      </c>
      <c r="B1291" t="s">
        <v>3585</v>
      </c>
      <c r="C1291" s="1">
        <v>42906</v>
      </c>
      <c r="D1291" s="1">
        <v>42907</v>
      </c>
      <c r="E1291" s="1" t="str">
        <f t="shared" si="20"/>
        <v>MODERATE</v>
      </c>
      <c r="F1291" t="s">
        <v>184</v>
      </c>
      <c r="G1291" t="s">
        <v>972</v>
      </c>
      <c r="H1291" t="s">
        <v>973</v>
      </c>
      <c r="I1291" t="s">
        <v>22</v>
      </c>
      <c r="J1291" t="s">
        <v>23</v>
      </c>
      <c r="K1291" t="s">
        <v>590</v>
      </c>
      <c r="L1291" t="s">
        <v>39</v>
      </c>
      <c r="M1291">
        <v>91104</v>
      </c>
      <c r="N1291" t="s">
        <v>40</v>
      </c>
      <c r="O1291" t="s">
        <v>3588</v>
      </c>
      <c r="P1291" t="s">
        <v>28</v>
      </c>
      <c r="Q1291" t="s">
        <v>32</v>
      </c>
      <c r="R1291" t="s">
        <v>3589</v>
      </c>
      <c r="S1291">
        <v>161.56800000000001</v>
      </c>
    </row>
    <row r="1292" spans="1:19" x14ac:dyDescent="0.35">
      <c r="A1292">
        <v>1312</v>
      </c>
      <c r="B1292" t="s">
        <v>3590</v>
      </c>
      <c r="C1292" s="1">
        <v>43078</v>
      </c>
      <c r="D1292" s="1">
        <v>43082</v>
      </c>
      <c r="E1292" s="1" t="str">
        <f t="shared" si="20"/>
        <v>FAST</v>
      </c>
      <c r="F1292" t="s">
        <v>46</v>
      </c>
      <c r="G1292" t="s">
        <v>2060</v>
      </c>
      <c r="H1292" t="s">
        <v>2061</v>
      </c>
      <c r="I1292" t="s">
        <v>22</v>
      </c>
      <c r="J1292" t="s">
        <v>23</v>
      </c>
      <c r="K1292" t="s">
        <v>1463</v>
      </c>
      <c r="L1292" t="s">
        <v>1233</v>
      </c>
      <c r="M1292">
        <v>1841</v>
      </c>
      <c r="N1292" t="s">
        <v>144</v>
      </c>
      <c r="O1292" t="s">
        <v>3591</v>
      </c>
      <c r="P1292" t="s">
        <v>42</v>
      </c>
      <c r="Q1292" t="s">
        <v>43</v>
      </c>
      <c r="R1292" t="s">
        <v>3592</v>
      </c>
      <c r="S1292">
        <v>3.69</v>
      </c>
    </row>
    <row r="1293" spans="1:19" x14ac:dyDescent="0.35">
      <c r="A1293">
        <v>1313</v>
      </c>
      <c r="B1293" t="s">
        <v>3590</v>
      </c>
      <c r="C1293" s="1">
        <v>43078</v>
      </c>
      <c r="D1293" s="1">
        <v>43082</v>
      </c>
      <c r="E1293" s="1" t="str">
        <f t="shared" si="20"/>
        <v>FAST</v>
      </c>
      <c r="F1293" t="s">
        <v>46</v>
      </c>
      <c r="G1293" t="s">
        <v>2060</v>
      </c>
      <c r="H1293" t="s">
        <v>2061</v>
      </c>
      <c r="I1293" t="s">
        <v>22</v>
      </c>
      <c r="J1293" t="s">
        <v>23</v>
      </c>
      <c r="K1293" t="s">
        <v>1463</v>
      </c>
      <c r="L1293" t="s">
        <v>1233</v>
      </c>
      <c r="M1293">
        <v>1841</v>
      </c>
      <c r="N1293" t="s">
        <v>144</v>
      </c>
      <c r="O1293" t="s">
        <v>3593</v>
      </c>
      <c r="P1293" t="s">
        <v>42</v>
      </c>
      <c r="Q1293" t="s">
        <v>43</v>
      </c>
      <c r="R1293" t="s">
        <v>3594</v>
      </c>
      <c r="S1293">
        <v>122.12</v>
      </c>
    </row>
    <row r="1294" spans="1:19" x14ac:dyDescent="0.35">
      <c r="A1294">
        <v>1314</v>
      </c>
      <c r="B1294" t="s">
        <v>3595</v>
      </c>
      <c r="C1294" s="1">
        <v>43002</v>
      </c>
      <c r="D1294" s="1">
        <v>43009</v>
      </c>
      <c r="E1294" s="1" t="str">
        <f t="shared" si="20"/>
        <v>FAST</v>
      </c>
      <c r="F1294" t="s">
        <v>46</v>
      </c>
      <c r="G1294" t="s">
        <v>107</v>
      </c>
      <c r="H1294" t="s">
        <v>108</v>
      </c>
      <c r="I1294" t="s">
        <v>22</v>
      </c>
      <c r="J1294" t="s">
        <v>23</v>
      </c>
      <c r="K1294" t="s">
        <v>484</v>
      </c>
      <c r="L1294" t="s">
        <v>485</v>
      </c>
      <c r="M1294">
        <v>43229</v>
      </c>
      <c r="N1294" t="s">
        <v>144</v>
      </c>
      <c r="O1294" t="s">
        <v>2453</v>
      </c>
      <c r="P1294" t="s">
        <v>28</v>
      </c>
      <c r="Q1294" t="s">
        <v>32</v>
      </c>
      <c r="R1294" t="s">
        <v>2454</v>
      </c>
      <c r="S1294">
        <v>155.37200000000001</v>
      </c>
    </row>
    <row r="1295" spans="1:19" x14ac:dyDescent="0.35">
      <c r="A1295">
        <v>1315</v>
      </c>
      <c r="B1295" t="s">
        <v>3596</v>
      </c>
      <c r="C1295" s="1">
        <v>43087</v>
      </c>
      <c r="D1295" s="1">
        <v>43092</v>
      </c>
      <c r="E1295" s="1" t="str">
        <f t="shared" si="20"/>
        <v>FAST</v>
      </c>
      <c r="F1295" t="s">
        <v>46</v>
      </c>
      <c r="G1295" t="s">
        <v>3597</v>
      </c>
      <c r="H1295" t="s">
        <v>3598</v>
      </c>
      <c r="I1295" t="s">
        <v>37</v>
      </c>
      <c r="J1295" t="s">
        <v>23</v>
      </c>
      <c r="K1295" t="s">
        <v>38</v>
      </c>
      <c r="L1295" t="s">
        <v>39</v>
      </c>
      <c r="M1295">
        <v>90032</v>
      </c>
      <c r="N1295" t="s">
        <v>40</v>
      </c>
      <c r="O1295" t="s">
        <v>3599</v>
      </c>
      <c r="P1295" t="s">
        <v>42</v>
      </c>
      <c r="Q1295" t="s">
        <v>86</v>
      </c>
      <c r="R1295" t="s">
        <v>3600</v>
      </c>
      <c r="S1295">
        <v>38.880000000000003</v>
      </c>
    </row>
    <row r="1296" spans="1:19" x14ac:dyDescent="0.35">
      <c r="A1296">
        <v>1316</v>
      </c>
      <c r="B1296" t="s">
        <v>3596</v>
      </c>
      <c r="C1296" s="1">
        <v>43087</v>
      </c>
      <c r="D1296" s="1">
        <v>43092</v>
      </c>
      <c r="E1296" s="1" t="str">
        <f t="shared" si="20"/>
        <v>FAST</v>
      </c>
      <c r="F1296" t="s">
        <v>46</v>
      </c>
      <c r="G1296" t="s">
        <v>3597</v>
      </c>
      <c r="H1296" t="s">
        <v>3598</v>
      </c>
      <c r="I1296" t="s">
        <v>37</v>
      </c>
      <c r="J1296" t="s">
        <v>23</v>
      </c>
      <c r="K1296" t="s">
        <v>38</v>
      </c>
      <c r="L1296" t="s">
        <v>39</v>
      </c>
      <c r="M1296">
        <v>90032</v>
      </c>
      <c r="N1296" t="s">
        <v>40</v>
      </c>
      <c r="O1296" t="s">
        <v>3601</v>
      </c>
      <c r="P1296" t="s">
        <v>28</v>
      </c>
      <c r="Q1296" t="s">
        <v>61</v>
      </c>
      <c r="R1296" t="s">
        <v>3602</v>
      </c>
      <c r="S1296">
        <v>183.84</v>
      </c>
    </row>
    <row r="1297" spans="1:19" x14ac:dyDescent="0.35">
      <c r="A1297">
        <v>1317</v>
      </c>
      <c r="B1297" t="s">
        <v>3596</v>
      </c>
      <c r="C1297" s="1">
        <v>43087</v>
      </c>
      <c r="D1297" s="1">
        <v>43092</v>
      </c>
      <c r="E1297" s="1" t="str">
        <f t="shared" si="20"/>
        <v>FAST</v>
      </c>
      <c r="F1297" t="s">
        <v>46</v>
      </c>
      <c r="G1297" t="s">
        <v>3597</v>
      </c>
      <c r="H1297" t="s">
        <v>3598</v>
      </c>
      <c r="I1297" t="s">
        <v>37</v>
      </c>
      <c r="J1297" t="s">
        <v>23</v>
      </c>
      <c r="K1297" t="s">
        <v>38</v>
      </c>
      <c r="L1297" t="s">
        <v>39</v>
      </c>
      <c r="M1297">
        <v>90032</v>
      </c>
      <c r="N1297" t="s">
        <v>40</v>
      </c>
      <c r="O1297" t="s">
        <v>1585</v>
      </c>
      <c r="P1297" t="s">
        <v>42</v>
      </c>
      <c r="Q1297" t="s">
        <v>566</v>
      </c>
      <c r="R1297" t="s">
        <v>1586</v>
      </c>
      <c r="S1297">
        <v>579.29999999999995</v>
      </c>
    </row>
    <row r="1298" spans="1:19" x14ac:dyDescent="0.35">
      <c r="A1298">
        <v>1318</v>
      </c>
      <c r="B1298" t="s">
        <v>3603</v>
      </c>
      <c r="C1298" s="1">
        <v>43444</v>
      </c>
      <c r="D1298" s="1">
        <v>43448</v>
      </c>
      <c r="E1298" s="1" t="str">
        <f t="shared" si="20"/>
        <v>FAST</v>
      </c>
      <c r="F1298" t="s">
        <v>46</v>
      </c>
      <c r="G1298" t="s">
        <v>588</v>
      </c>
      <c r="H1298" t="s">
        <v>589</v>
      </c>
      <c r="I1298" t="s">
        <v>22</v>
      </c>
      <c r="J1298" t="s">
        <v>23</v>
      </c>
      <c r="K1298" t="s">
        <v>142</v>
      </c>
      <c r="L1298" t="s">
        <v>143</v>
      </c>
      <c r="M1298">
        <v>19120</v>
      </c>
      <c r="N1298" t="s">
        <v>144</v>
      </c>
      <c r="O1298" t="s">
        <v>3604</v>
      </c>
      <c r="P1298" t="s">
        <v>67</v>
      </c>
      <c r="Q1298" t="s">
        <v>157</v>
      </c>
      <c r="R1298" t="s">
        <v>3605</v>
      </c>
      <c r="S1298">
        <v>14.2</v>
      </c>
    </row>
    <row r="1299" spans="1:19" x14ac:dyDescent="0.35">
      <c r="A1299">
        <v>1319</v>
      </c>
      <c r="B1299" t="s">
        <v>3606</v>
      </c>
      <c r="C1299" s="1">
        <v>42186</v>
      </c>
      <c r="D1299" s="1">
        <v>42190</v>
      </c>
      <c r="E1299" s="1" t="str">
        <f t="shared" si="20"/>
        <v>FAST</v>
      </c>
      <c r="F1299" t="s">
        <v>46</v>
      </c>
      <c r="G1299" t="s">
        <v>3607</v>
      </c>
      <c r="H1299" t="s">
        <v>3608</v>
      </c>
      <c r="I1299" t="s">
        <v>37</v>
      </c>
      <c r="J1299" t="s">
        <v>23</v>
      </c>
      <c r="K1299" t="s">
        <v>3609</v>
      </c>
      <c r="L1299" t="s">
        <v>50</v>
      </c>
      <c r="M1299">
        <v>32725</v>
      </c>
      <c r="N1299" t="s">
        <v>26</v>
      </c>
      <c r="O1299" t="s">
        <v>3482</v>
      </c>
      <c r="P1299" t="s">
        <v>67</v>
      </c>
      <c r="Q1299" t="s">
        <v>68</v>
      </c>
      <c r="R1299" t="s">
        <v>3483</v>
      </c>
      <c r="S1299">
        <v>575.91999999999996</v>
      </c>
    </row>
    <row r="1300" spans="1:19" x14ac:dyDescent="0.35">
      <c r="A1300">
        <v>1320</v>
      </c>
      <c r="B1300" t="s">
        <v>3606</v>
      </c>
      <c r="C1300" s="1">
        <v>42186</v>
      </c>
      <c r="D1300" s="1">
        <v>42190</v>
      </c>
      <c r="E1300" s="1" t="str">
        <f t="shared" si="20"/>
        <v>FAST</v>
      </c>
      <c r="F1300" t="s">
        <v>46</v>
      </c>
      <c r="G1300" t="s">
        <v>3607</v>
      </c>
      <c r="H1300" t="s">
        <v>3608</v>
      </c>
      <c r="I1300" t="s">
        <v>37</v>
      </c>
      <c r="J1300" t="s">
        <v>23</v>
      </c>
      <c r="K1300" t="s">
        <v>3609</v>
      </c>
      <c r="L1300" t="s">
        <v>50</v>
      </c>
      <c r="M1300">
        <v>32725</v>
      </c>
      <c r="N1300" t="s">
        <v>26</v>
      </c>
      <c r="O1300" t="s">
        <v>2365</v>
      </c>
      <c r="P1300" t="s">
        <v>42</v>
      </c>
      <c r="Q1300" t="s">
        <v>71</v>
      </c>
      <c r="R1300" t="s">
        <v>2366</v>
      </c>
      <c r="S1300">
        <v>5.1840000000000002</v>
      </c>
    </row>
    <row r="1301" spans="1:19" x14ac:dyDescent="0.35">
      <c r="A1301">
        <v>1321</v>
      </c>
      <c r="B1301" t="s">
        <v>3610</v>
      </c>
      <c r="C1301" s="1">
        <v>43134</v>
      </c>
      <c r="D1301" s="1">
        <v>43139</v>
      </c>
      <c r="E1301" s="1" t="str">
        <f t="shared" si="20"/>
        <v>FAST</v>
      </c>
      <c r="F1301" t="s">
        <v>46</v>
      </c>
      <c r="G1301" t="s">
        <v>3611</v>
      </c>
      <c r="H1301" t="s">
        <v>3612</v>
      </c>
      <c r="I1301" t="s">
        <v>22</v>
      </c>
      <c r="J1301" t="s">
        <v>23</v>
      </c>
      <c r="K1301" t="s">
        <v>995</v>
      </c>
      <c r="L1301" t="s">
        <v>485</v>
      </c>
      <c r="M1301">
        <v>45231</v>
      </c>
      <c r="N1301" t="s">
        <v>144</v>
      </c>
      <c r="O1301" t="s">
        <v>2700</v>
      </c>
      <c r="P1301" t="s">
        <v>42</v>
      </c>
      <c r="Q1301" t="s">
        <v>71</v>
      </c>
      <c r="R1301" t="s">
        <v>2701</v>
      </c>
      <c r="S1301">
        <v>5.2290000000000001</v>
      </c>
    </row>
    <row r="1302" spans="1:19" x14ac:dyDescent="0.35">
      <c r="A1302">
        <v>1322</v>
      </c>
      <c r="B1302" t="s">
        <v>3610</v>
      </c>
      <c r="C1302" s="1">
        <v>43134</v>
      </c>
      <c r="D1302" s="1">
        <v>43139</v>
      </c>
      <c r="E1302" s="1" t="str">
        <f t="shared" si="20"/>
        <v>FAST</v>
      </c>
      <c r="F1302" t="s">
        <v>46</v>
      </c>
      <c r="G1302" t="s">
        <v>3611</v>
      </c>
      <c r="H1302" t="s">
        <v>3612</v>
      </c>
      <c r="I1302" t="s">
        <v>22</v>
      </c>
      <c r="J1302" t="s">
        <v>23</v>
      </c>
      <c r="K1302" t="s">
        <v>995</v>
      </c>
      <c r="L1302" t="s">
        <v>485</v>
      </c>
      <c r="M1302">
        <v>45231</v>
      </c>
      <c r="N1302" t="s">
        <v>144</v>
      </c>
      <c r="O1302" t="s">
        <v>1991</v>
      </c>
      <c r="P1302" t="s">
        <v>42</v>
      </c>
      <c r="Q1302" t="s">
        <v>55</v>
      </c>
      <c r="R1302" t="s">
        <v>1992</v>
      </c>
      <c r="S1302">
        <v>285.55200000000002</v>
      </c>
    </row>
    <row r="1303" spans="1:19" x14ac:dyDescent="0.35">
      <c r="A1303">
        <v>1323</v>
      </c>
      <c r="B1303" t="s">
        <v>3613</v>
      </c>
      <c r="C1303" s="1">
        <v>43162</v>
      </c>
      <c r="D1303" s="1">
        <v>43167</v>
      </c>
      <c r="E1303" s="1" t="str">
        <f t="shared" si="20"/>
        <v>FAST</v>
      </c>
      <c r="F1303" t="s">
        <v>46</v>
      </c>
      <c r="G1303" t="s">
        <v>3614</v>
      </c>
      <c r="H1303" t="s">
        <v>3615</v>
      </c>
      <c r="I1303" t="s">
        <v>22</v>
      </c>
      <c r="J1303" t="s">
        <v>23</v>
      </c>
      <c r="K1303" t="s">
        <v>3616</v>
      </c>
      <c r="L1303" t="s">
        <v>25</v>
      </c>
      <c r="M1303">
        <v>42071</v>
      </c>
      <c r="N1303" t="s">
        <v>26</v>
      </c>
      <c r="O1303" t="s">
        <v>3617</v>
      </c>
      <c r="P1303" t="s">
        <v>42</v>
      </c>
      <c r="Q1303" t="s">
        <v>74</v>
      </c>
      <c r="R1303" t="s">
        <v>3618</v>
      </c>
      <c r="S1303">
        <v>72.8</v>
      </c>
    </row>
    <row r="1304" spans="1:19" x14ac:dyDescent="0.35">
      <c r="A1304">
        <v>1324</v>
      </c>
      <c r="B1304" t="s">
        <v>3619</v>
      </c>
      <c r="C1304" s="1">
        <v>43382</v>
      </c>
      <c r="D1304" s="1">
        <v>43383</v>
      </c>
      <c r="E1304" s="1" t="str">
        <f t="shared" si="20"/>
        <v>MODERATE</v>
      </c>
      <c r="F1304" t="s">
        <v>184</v>
      </c>
      <c r="G1304" t="s">
        <v>3620</v>
      </c>
      <c r="H1304" t="s">
        <v>3621</v>
      </c>
      <c r="I1304" t="s">
        <v>22</v>
      </c>
      <c r="J1304" t="s">
        <v>23</v>
      </c>
      <c r="K1304" t="s">
        <v>508</v>
      </c>
      <c r="L1304" t="s">
        <v>84</v>
      </c>
      <c r="M1304">
        <v>28403</v>
      </c>
      <c r="N1304" t="s">
        <v>26</v>
      </c>
      <c r="O1304" t="s">
        <v>3622</v>
      </c>
      <c r="P1304" t="s">
        <v>42</v>
      </c>
      <c r="Q1304" t="s">
        <v>86</v>
      </c>
      <c r="R1304" t="s">
        <v>3623</v>
      </c>
      <c r="S1304">
        <v>10.816000000000001</v>
      </c>
    </row>
    <row r="1305" spans="1:19" x14ac:dyDescent="0.35">
      <c r="A1305">
        <v>1325</v>
      </c>
      <c r="B1305" t="s">
        <v>3624</v>
      </c>
      <c r="C1305" s="1">
        <v>42275</v>
      </c>
      <c r="D1305" s="1">
        <v>42280</v>
      </c>
      <c r="E1305" s="1" t="str">
        <f t="shared" si="20"/>
        <v>FAST</v>
      </c>
      <c r="F1305" t="s">
        <v>46</v>
      </c>
      <c r="G1305" t="s">
        <v>3625</v>
      </c>
      <c r="H1305" t="s">
        <v>3626</v>
      </c>
      <c r="I1305" t="s">
        <v>37</v>
      </c>
      <c r="J1305" t="s">
        <v>23</v>
      </c>
      <c r="K1305" t="s">
        <v>1463</v>
      </c>
      <c r="L1305" t="s">
        <v>1233</v>
      </c>
      <c r="M1305">
        <v>1841</v>
      </c>
      <c r="N1305" t="s">
        <v>144</v>
      </c>
      <c r="O1305" t="s">
        <v>1615</v>
      </c>
      <c r="P1305" t="s">
        <v>42</v>
      </c>
      <c r="Q1305" t="s">
        <v>55</v>
      </c>
      <c r="R1305" t="s">
        <v>1616</v>
      </c>
      <c r="S1305">
        <v>46.26</v>
      </c>
    </row>
    <row r="1306" spans="1:19" x14ac:dyDescent="0.35">
      <c r="A1306">
        <v>1326</v>
      </c>
      <c r="B1306" t="s">
        <v>3627</v>
      </c>
      <c r="C1306" s="1">
        <v>42151</v>
      </c>
      <c r="D1306" s="1">
        <v>42154</v>
      </c>
      <c r="E1306" s="1" t="str">
        <f t="shared" si="20"/>
        <v>MODERATE</v>
      </c>
      <c r="F1306" t="s">
        <v>184</v>
      </c>
      <c r="G1306" t="s">
        <v>811</v>
      </c>
      <c r="H1306" t="s">
        <v>812</v>
      </c>
      <c r="I1306" t="s">
        <v>22</v>
      </c>
      <c r="J1306" t="s">
        <v>23</v>
      </c>
      <c r="K1306" t="s">
        <v>297</v>
      </c>
      <c r="L1306" t="s">
        <v>205</v>
      </c>
      <c r="M1306">
        <v>60653</v>
      </c>
      <c r="N1306" t="s">
        <v>101</v>
      </c>
      <c r="O1306" t="s">
        <v>3628</v>
      </c>
      <c r="P1306" t="s">
        <v>42</v>
      </c>
      <c r="Q1306" t="s">
        <v>71</v>
      </c>
      <c r="R1306" t="s">
        <v>3629</v>
      </c>
      <c r="S1306">
        <v>17.46</v>
      </c>
    </row>
    <row r="1307" spans="1:19" x14ac:dyDescent="0.35">
      <c r="A1307">
        <v>1327</v>
      </c>
      <c r="B1307" t="s">
        <v>3630</v>
      </c>
      <c r="C1307" s="1">
        <v>42535</v>
      </c>
      <c r="D1307" s="1">
        <v>42539</v>
      </c>
      <c r="E1307" s="1" t="str">
        <f t="shared" si="20"/>
        <v>FAST</v>
      </c>
      <c r="F1307" t="s">
        <v>46</v>
      </c>
      <c r="G1307" t="s">
        <v>518</v>
      </c>
      <c r="H1307" t="s">
        <v>519</v>
      </c>
      <c r="I1307" t="s">
        <v>98</v>
      </c>
      <c r="J1307" t="s">
        <v>23</v>
      </c>
      <c r="K1307" t="s">
        <v>142</v>
      </c>
      <c r="L1307" t="s">
        <v>143</v>
      </c>
      <c r="M1307">
        <v>19120</v>
      </c>
      <c r="N1307" t="s">
        <v>144</v>
      </c>
      <c r="O1307" t="s">
        <v>3400</v>
      </c>
      <c r="P1307" t="s">
        <v>28</v>
      </c>
      <c r="Q1307" t="s">
        <v>61</v>
      </c>
      <c r="R1307" t="s">
        <v>3401</v>
      </c>
      <c r="S1307">
        <v>51.072000000000003</v>
      </c>
    </row>
    <row r="1308" spans="1:19" x14ac:dyDescent="0.35">
      <c r="A1308">
        <v>1328</v>
      </c>
      <c r="B1308" t="s">
        <v>3631</v>
      </c>
      <c r="C1308" s="1">
        <v>42824</v>
      </c>
      <c r="D1308" s="1">
        <v>42826</v>
      </c>
      <c r="E1308" s="1" t="str">
        <f t="shared" si="20"/>
        <v>MODERATE</v>
      </c>
      <c r="F1308" t="s">
        <v>184</v>
      </c>
      <c r="G1308" t="s">
        <v>3632</v>
      </c>
      <c r="H1308" t="s">
        <v>3633</v>
      </c>
      <c r="I1308" t="s">
        <v>37</v>
      </c>
      <c r="J1308" t="s">
        <v>23</v>
      </c>
      <c r="K1308" t="s">
        <v>2772</v>
      </c>
      <c r="L1308" t="s">
        <v>736</v>
      </c>
      <c r="M1308">
        <v>6360</v>
      </c>
      <c r="N1308" t="s">
        <v>144</v>
      </c>
      <c r="O1308" t="s">
        <v>2915</v>
      </c>
      <c r="P1308" t="s">
        <v>42</v>
      </c>
      <c r="Q1308" t="s">
        <v>86</v>
      </c>
      <c r="R1308" t="s">
        <v>2916</v>
      </c>
      <c r="S1308">
        <v>11.34</v>
      </c>
    </row>
    <row r="1309" spans="1:19" x14ac:dyDescent="0.35">
      <c r="A1309">
        <v>1329</v>
      </c>
      <c r="B1309" t="s">
        <v>3634</v>
      </c>
      <c r="C1309" s="1">
        <v>43388</v>
      </c>
      <c r="D1309" s="1">
        <v>43391</v>
      </c>
      <c r="E1309" s="1" t="str">
        <f t="shared" si="20"/>
        <v>SLOW</v>
      </c>
      <c r="F1309" t="s">
        <v>19</v>
      </c>
      <c r="G1309" t="s">
        <v>3635</v>
      </c>
      <c r="H1309" t="s">
        <v>3636</v>
      </c>
      <c r="I1309" t="s">
        <v>98</v>
      </c>
      <c r="J1309" t="s">
        <v>23</v>
      </c>
      <c r="K1309" t="s">
        <v>123</v>
      </c>
      <c r="L1309" t="s">
        <v>39</v>
      </c>
      <c r="M1309">
        <v>94110</v>
      </c>
      <c r="N1309" t="s">
        <v>40</v>
      </c>
      <c r="O1309" t="s">
        <v>3637</v>
      </c>
      <c r="P1309" t="s">
        <v>42</v>
      </c>
      <c r="Q1309" t="s">
        <v>64</v>
      </c>
      <c r="R1309" t="s">
        <v>3638</v>
      </c>
      <c r="S1309">
        <v>87.92</v>
      </c>
    </row>
    <row r="1310" spans="1:19" x14ac:dyDescent="0.35">
      <c r="A1310">
        <v>1330</v>
      </c>
      <c r="B1310" t="s">
        <v>3639</v>
      </c>
      <c r="C1310" s="1">
        <v>42878</v>
      </c>
      <c r="D1310" s="1">
        <v>42882</v>
      </c>
      <c r="E1310" s="1" t="str">
        <f t="shared" si="20"/>
        <v>FAST</v>
      </c>
      <c r="F1310" t="s">
        <v>46</v>
      </c>
      <c r="G1310" t="s">
        <v>3640</v>
      </c>
      <c r="H1310" t="s">
        <v>3641</v>
      </c>
      <c r="I1310" t="s">
        <v>22</v>
      </c>
      <c r="J1310" t="s">
        <v>23</v>
      </c>
      <c r="K1310" t="s">
        <v>123</v>
      </c>
      <c r="L1310" t="s">
        <v>39</v>
      </c>
      <c r="M1310">
        <v>94109</v>
      </c>
      <c r="N1310" t="s">
        <v>40</v>
      </c>
      <c r="O1310" t="s">
        <v>3436</v>
      </c>
      <c r="P1310" t="s">
        <v>28</v>
      </c>
      <c r="Q1310" t="s">
        <v>61</v>
      </c>
      <c r="R1310" t="s">
        <v>3437</v>
      </c>
      <c r="S1310">
        <v>37.049999999999997</v>
      </c>
    </row>
    <row r="1311" spans="1:19" x14ac:dyDescent="0.35">
      <c r="A1311">
        <v>1331</v>
      </c>
      <c r="B1311" t="s">
        <v>3642</v>
      </c>
      <c r="C1311" s="1">
        <v>43253</v>
      </c>
      <c r="D1311" s="1">
        <v>43257</v>
      </c>
      <c r="E1311" s="1" t="str">
        <f t="shared" si="20"/>
        <v>FAST</v>
      </c>
      <c r="F1311" t="s">
        <v>46</v>
      </c>
      <c r="G1311" t="s">
        <v>3643</v>
      </c>
      <c r="H1311" t="s">
        <v>3644</v>
      </c>
      <c r="I1311" t="s">
        <v>98</v>
      </c>
      <c r="J1311" t="s">
        <v>23</v>
      </c>
      <c r="K1311" t="s">
        <v>2600</v>
      </c>
      <c r="L1311" t="s">
        <v>485</v>
      </c>
      <c r="M1311">
        <v>44052</v>
      </c>
      <c r="N1311" t="s">
        <v>144</v>
      </c>
      <c r="O1311" t="s">
        <v>1916</v>
      </c>
      <c r="P1311" t="s">
        <v>67</v>
      </c>
      <c r="Q1311" t="s">
        <v>68</v>
      </c>
      <c r="R1311" t="s">
        <v>1917</v>
      </c>
      <c r="S1311">
        <v>2.97</v>
      </c>
    </row>
    <row r="1312" spans="1:19" x14ac:dyDescent="0.35">
      <c r="A1312">
        <v>1332</v>
      </c>
      <c r="B1312" t="s">
        <v>3642</v>
      </c>
      <c r="C1312" s="1">
        <v>43253</v>
      </c>
      <c r="D1312" s="1">
        <v>43257</v>
      </c>
      <c r="E1312" s="1" t="str">
        <f t="shared" si="20"/>
        <v>FAST</v>
      </c>
      <c r="F1312" t="s">
        <v>46</v>
      </c>
      <c r="G1312" t="s">
        <v>3643</v>
      </c>
      <c r="H1312" t="s">
        <v>3644</v>
      </c>
      <c r="I1312" t="s">
        <v>98</v>
      </c>
      <c r="J1312" t="s">
        <v>23</v>
      </c>
      <c r="K1312" t="s">
        <v>2600</v>
      </c>
      <c r="L1312" t="s">
        <v>485</v>
      </c>
      <c r="M1312">
        <v>44052</v>
      </c>
      <c r="N1312" t="s">
        <v>144</v>
      </c>
      <c r="O1312" t="s">
        <v>1745</v>
      </c>
      <c r="P1312" t="s">
        <v>42</v>
      </c>
      <c r="Q1312" t="s">
        <v>55</v>
      </c>
      <c r="R1312" t="s">
        <v>1746</v>
      </c>
      <c r="S1312">
        <v>27.44</v>
      </c>
    </row>
    <row r="1313" spans="1:19" x14ac:dyDescent="0.35">
      <c r="A1313">
        <v>1333</v>
      </c>
      <c r="B1313" t="s">
        <v>3645</v>
      </c>
      <c r="C1313" s="1">
        <v>42051</v>
      </c>
      <c r="D1313" s="1">
        <v>42056</v>
      </c>
      <c r="E1313" s="1" t="str">
        <f t="shared" si="20"/>
        <v>FAST</v>
      </c>
      <c r="F1313" t="s">
        <v>46</v>
      </c>
      <c r="G1313" t="s">
        <v>3646</v>
      </c>
      <c r="H1313" t="s">
        <v>3647</v>
      </c>
      <c r="I1313" t="s">
        <v>22</v>
      </c>
      <c r="J1313" t="s">
        <v>23</v>
      </c>
      <c r="K1313" t="s">
        <v>802</v>
      </c>
      <c r="L1313" t="s">
        <v>100</v>
      </c>
      <c r="M1313">
        <v>75220</v>
      </c>
      <c r="N1313" t="s">
        <v>101</v>
      </c>
      <c r="O1313" t="s">
        <v>2908</v>
      </c>
      <c r="P1313" t="s">
        <v>42</v>
      </c>
      <c r="Q1313" t="s">
        <v>71</v>
      </c>
      <c r="R1313" t="s">
        <v>2909</v>
      </c>
      <c r="S1313">
        <v>1.08</v>
      </c>
    </row>
    <row r="1314" spans="1:19" x14ac:dyDescent="0.35">
      <c r="A1314">
        <v>1334</v>
      </c>
      <c r="B1314" t="s">
        <v>3645</v>
      </c>
      <c r="C1314" s="1">
        <v>42051</v>
      </c>
      <c r="D1314" s="1">
        <v>42056</v>
      </c>
      <c r="E1314" s="1" t="str">
        <f t="shared" si="20"/>
        <v>FAST</v>
      </c>
      <c r="F1314" t="s">
        <v>46</v>
      </c>
      <c r="G1314" t="s">
        <v>3646</v>
      </c>
      <c r="H1314" t="s">
        <v>3647</v>
      </c>
      <c r="I1314" t="s">
        <v>22</v>
      </c>
      <c r="J1314" t="s">
        <v>23</v>
      </c>
      <c r="K1314" t="s">
        <v>802</v>
      </c>
      <c r="L1314" t="s">
        <v>100</v>
      </c>
      <c r="M1314">
        <v>75220</v>
      </c>
      <c r="N1314" t="s">
        <v>101</v>
      </c>
      <c r="O1314" t="s">
        <v>3648</v>
      </c>
      <c r="P1314" t="s">
        <v>42</v>
      </c>
      <c r="Q1314" t="s">
        <v>74</v>
      </c>
      <c r="R1314" t="s">
        <v>3649</v>
      </c>
      <c r="S1314">
        <v>7.96</v>
      </c>
    </row>
    <row r="1315" spans="1:19" x14ac:dyDescent="0.35">
      <c r="A1315">
        <v>1335</v>
      </c>
      <c r="B1315" t="s">
        <v>3650</v>
      </c>
      <c r="C1315" s="1">
        <v>42130</v>
      </c>
      <c r="D1315" s="1">
        <v>42134</v>
      </c>
      <c r="E1315" s="1" t="str">
        <f t="shared" si="20"/>
        <v>FAST</v>
      </c>
      <c r="F1315" t="s">
        <v>46</v>
      </c>
      <c r="G1315" t="s">
        <v>96</v>
      </c>
      <c r="H1315" t="s">
        <v>97</v>
      </c>
      <c r="I1315" t="s">
        <v>98</v>
      </c>
      <c r="J1315" t="s">
        <v>23</v>
      </c>
      <c r="K1315" t="s">
        <v>38</v>
      </c>
      <c r="L1315" t="s">
        <v>39</v>
      </c>
      <c r="M1315">
        <v>90049</v>
      </c>
      <c r="N1315" t="s">
        <v>40</v>
      </c>
      <c r="O1315" t="s">
        <v>2759</v>
      </c>
      <c r="P1315" t="s">
        <v>42</v>
      </c>
      <c r="Q1315" t="s">
        <v>71</v>
      </c>
      <c r="R1315" t="s">
        <v>2760</v>
      </c>
      <c r="S1315">
        <v>140.73599999999999</v>
      </c>
    </row>
    <row r="1316" spans="1:19" x14ac:dyDescent="0.35">
      <c r="A1316">
        <v>1336</v>
      </c>
      <c r="B1316" t="s">
        <v>3651</v>
      </c>
      <c r="C1316" s="1">
        <v>42871</v>
      </c>
      <c r="D1316" s="1">
        <v>42878</v>
      </c>
      <c r="E1316" s="1" t="str">
        <f t="shared" si="20"/>
        <v>FAST</v>
      </c>
      <c r="F1316" t="s">
        <v>46</v>
      </c>
      <c r="G1316" t="s">
        <v>3652</v>
      </c>
      <c r="H1316" t="s">
        <v>3653</v>
      </c>
      <c r="I1316" t="s">
        <v>22</v>
      </c>
      <c r="J1316" t="s">
        <v>23</v>
      </c>
      <c r="K1316" t="s">
        <v>3654</v>
      </c>
      <c r="L1316" t="s">
        <v>736</v>
      </c>
      <c r="M1316">
        <v>6457</v>
      </c>
      <c r="N1316" t="s">
        <v>144</v>
      </c>
      <c r="O1316" t="s">
        <v>3655</v>
      </c>
      <c r="P1316" t="s">
        <v>42</v>
      </c>
      <c r="Q1316" t="s">
        <v>55</v>
      </c>
      <c r="R1316" t="s">
        <v>3656</v>
      </c>
      <c r="S1316">
        <v>552.55999999999995</v>
      </c>
    </row>
    <row r="1317" spans="1:19" x14ac:dyDescent="0.35">
      <c r="A1317">
        <v>1337</v>
      </c>
      <c r="B1317" t="s">
        <v>3657</v>
      </c>
      <c r="C1317" s="1">
        <v>43192</v>
      </c>
      <c r="D1317" s="1">
        <v>43197</v>
      </c>
      <c r="E1317" s="1" t="str">
        <f t="shared" si="20"/>
        <v>FAST</v>
      </c>
      <c r="F1317" t="s">
        <v>46</v>
      </c>
      <c r="G1317" t="s">
        <v>3658</v>
      </c>
      <c r="H1317" t="s">
        <v>3659</v>
      </c>
      <c r="I1317" t="s">
        <v>22</v>
      </c>
      <c r="J1317" t="s">
        <v>23</v>
      </c>
      <c r="K1317" t="s">
        <v>38</v>
      </c>
      <c r="L1317" t="s">
        <v>39</v>
      </c>
      <c r="M1317">
        <v>90008</v>
      </c>
      <c r="N1317" t="s">
        <v>40</v>
      </c>
      <c r="O1317" t="s">
        <v>3472</v>
      </c>
      <c r="P1317" t="s">
        <v>28</v>
      </c>
      <c r="Q1317" t="s">
        <v>61</v>
      </c>
      <c r="R1317" t="s">
        <v>3473</v>
      </c>
      <c r="S1317">
        <v>25.11</v>
      </c>
    </row>
    <row r="1318" spans="1:19" x14ac:dyDescent="0.35">
      <c r="A1318">
        <v>1338</v>
      </c>
      <c r="B1318" t="s">
        <v>3660</v>
      </c>
      <c r="C1318" s="1">
        <v>43190</v>
      </c>
      <c r="D1318" s="1">
        <v>43192</v>
      </c>
      <c r="E1318" s="1" t="str">
        <f t="shared" si="20"/>
        <v>SLOW</v>
      </c>
      <c r="F1318" t="s">
        <v>19</v>
      </c>
      <c r="G1318" t="s">
        <v>3661</v>
      </c>
      <c r="H1318" t="s">
        <v>3662</v>
      </c>
      <c r="I1318" t="s">
        <v>22</v>
      </c>
      <c r="J1318" t="s">
        <v>23</v>
      </c>
      <c r="K1318" t="s">
        <v>260</v>
      </c>
      <c r="L1318" t="s">
        <v>261</v>
      </c>
      <c r="M1318">
        <v>10011</v>
      </c>
      <c r="N1318" t="s">
        <v>144</v>
      </c>
      <c r="O1318" t="s">
        <v>3663</v>
      </c>
      <c r="P1318" t="s">
        <v>28</v>
      </c>
      <c r="Q1318" t="s">
        <v>61</v>
      </c>
      <c r="R1318" t="s">
        <v>3664</v>
      </c>
      <c r="S1318">
        <v>29.78</v>
      </c>
    </row>
    <row r="1319" spans="1:19" x14ac:dyDescent="0.35">
      <c r="A1319">
        <v>1339</v>
      </c>
      <c r="B1319" t="s">
        <v>3660</v>
      </c>
      <c r="C1319" s="1">
        <v>43190</v>
      </c>
      <c r="D1319" s="1">
        <v>43192</v>
      </c>
      <c r="E1319" s="1" t="str">
        <f t="shared" si="20"/>
        <v>SLOW</v>
      </c>
      <c r="F1319" t="s">
        <v>19</v>
      </c>
      <c r="G1319" t="s">
        <v>3661</v>
      </c>
      <c r="H1319" t="s">
        <v>3662</v>
      </c>
      <c r="I1319" t="s">
        <v>22</v>
      </c>
      <c r="J1319" t="s">
        <v>23</v>
      </c>
      <c r="K1319" t="s">
        <v>260</v>
      </c>
      <c r="L1319" t="s">
        <v>261</v>
      </c>
      <c r="M1319">
        <v>10011</v>
      </c>
      <c r="N1319" t="s">
        <v>144</v>
      </c>
      <c r="O1319" t="s">
        <v>3665</v>
      </c>
      <c r="P1319" t="s">
        <v>67</v>
      </c>
      <c r="Q1319" t="s">
        <v>68</v>
      </c>
      <c r="R1319" t="s">
        <v>3666</v>
      </c>
      <c r="S1319">
        <v>677.58</v>
      </c>
    </row>
    <row r="1320" spans="1:19" x14ac:dyDescent="0.35">
      <c r="A1320">
        <v>1340</v>
      </c>
      <c r="B1320" t="s">
        <v>3660</v>
      </c>
      <c r="C1320" s="1">
        <v>43190</v>
      </c>
      <c r="D1320" s="1">
        <v>43192</v>
      </c>
      <c r="E1320" s="1" t="str">
        <f t="shared" si="20"/>
        <v>SLOW</v>
      </c>
      <c r="F1320" t="s">
        <v>19</v>
      </c>
      <c r="G1320" t="s">
        <v>3661</v>
      </c>
      <c r="H1320" t="s">
        <v>3662</v>
      </c>
      <c r="I1320" t="s">
        <v>22</v>
      </c>
      <c r="J1320" t="s">
        <v>23</v>
      </c>
      <c r="K1320" t="s">
        <v>260</v>
      </c>
      <c r="L1320" t="s">
        <v>261</v>
      </c>
      <c r="M1320">
        <v>10011</v>
      </c>
      <c r="N1320" t="s">
        <v>144</v>
      </c>
      <c r="O1320" t="s">
        <v>3667</v>
      </c>
      <c r="P1320" t="s">
        <v>42</v>
      </c>
      <c r="Q1320" t="s">
        <v>86</v>
      </c>
      <c r="R1320" t="s">
        <v>3668</v>
      </c>
      <c r="S1320">
        <v>75.040000000000006</v>
      </c>
    </row>
    <row r="1321" spans="1:19" x14ac:dyDescent="0.35">
      <c r="A1321">
        <v>1341</v>
      </c>
      <c r="B1321" t="s">
        <v>3669</v>
      </c>
      <c r="C1321" s="1">
        <v>43102</v>
      </c>
      <c r="D1321" s="1">
        <v>43104</v>
      </c>
      <c r="E1321" s="1" t="str">
        <f t="shared" si="20"/>
        <v>MODERATE</v>
      </c>
      <c r="F1321" t="s">
        <v>184</v>
      </c>
      <c r="G1321" t="s">
        <v>3670</v>
      </c>
      <c r="H1321" t="s">
        <v>3671</v>
      </c>
      <c r="I1321" t="s">
        <v>37</v>
      </c>
      <c r="J1321" t="s">
        <v>23</v>
      </c>
      <c r="K1321" t="s">
        <v>1505</v>
      </c>
      <c r="L1321" t="s">
        <v>84</v>
      </c>
      <c r="M1321">
        <v>28540</v>
      </c>
      <c r="N1321" t="s">
        <v>26</v>
      </c>
      <c r="O1321" t="s">
        <v>3672</v>
      </c>
      <c r="P1321" t="s">
        <v>67</v>
      </c>
      <c r="Q1321" t="s">
        <v>671</v>
      </c>
      <c r="R1321" t="s">
        <v>3673</v>
      </c>
      <c r="S1321">
        <v>695.7</v>
      </c>
    </row>
    <row r="1322" spans="1:19" x14ac:dyDescent="0.35">
      <c r="A1322">
        <v>1342</v>
      </c>
      <c r="B1322" t="s">
        <v>3669</v>
      </c>
      <c r="C1322" s="1">
        <v>43102</v>
      </c>
      <c r="D1322" s="1">
        <v>43104</v>
      </c>
      <c r="E1322" s="1" t="str">
        <f t="shared" si="20"/>
        <v>MODERATE</v>
      </c>
      <c r="F1322" t="s">
        <v>184</v>
      </c>
      <c r="G1322" t="s">
        <v>3670</v>
      </c>
      <c r="H1322" t="s">
        <v>3671</v>
      </c>
      <c r="I1322" t="s">
        <v>37</v>
      </c>
      <c r="J1322" t="s">
        <v>23</v>
      </c>
      <c r="K1322" t="s">
        <v>1505</v>
      </c>
      <c r="L1322" t="s">
        <v>84</v>
      </c>
      <c r="M1322">
        <v>28540</v>
      </c>
      <c r="N1322" t="s">
        <v>26</v>
      </c>
      <c r="O1322" t="s">
        <v>3334</v>
      </c>
      <c r="P1322" t="s">
        <v>42</v>
      </c>
      <c r="Q1322" t="s">
        <v>71</v>
      </c>
      <c r="R1322" t="s">
        <v>3335</v>
      </c>
      <c r="S1322">
        <v>15.66</v>
      </c>
    </row>
    <row r="1323" spans="1:19" x14ac:dyDescent="0.35">
      <c r="A1323">
        <v>1343</v>
      </c>
      <c r="B1323" t="s">
        <v>3669</v>
      </c>
      <c r="C1323" s="1">
        <v>43102</v>
      </c>
      <c r="D1323" s="1">
        <v>43104</v>
      </c>
      <c r="E1323" s="1" t="str">
        <f t="shared" si="20"/>
        <v>MODERATE</v>
      </c>
      <c r="F1323" t="s">
        <v>184</v>
      </c>
      <c r="G1323" t="s">
        <v>3670</v>
      </c>
      <c r="H1323" t="s">
        <v>3671</v>
      </c>
      <c r="I1323" t="s">
        <v>37</v>
      </c>
      <c r="J1323" t="s">
        <v>23</v>
      </c>
      <c r="K1323" t="s">
        <v>1505</v>
      </c>
      <c r="L1323" t="s">
        <v>84</v>
      </c>
      <c r="M1323">
        <v>28540</v>
      </c>
      <c r="N1323" t="s">
        <v>26</v>
      </c>
      <c r="O1323" t="s">
        <v>164</v>
      </c>
      <c r="P1323" t="s">
        <v>42</v>
      </c>
      <c r="Q1323" t="s">
        <v>71</v>
      </c>
      <c r="R1323" t="s">
        <v>165</v>
      </c>
      <c r="S1323">
        <v>28.853999999999999</v>
      </c>
    </row>
    <row r="1324" spans="1:19" x14ac:dyDescent="0.35">
      <c r="A1324">
        <v>1344</v>
      </c>
      <c r="B1324" t="s">
        <v>3674</v>
      </c>
      <c r="C1324" s="1">
        <v>42518</v>
      </c>
      <c r="D1324" s="1">
        <v>42522</v>
      </c>
      <c r="E1324" s="1" t="str">
        <f t="shared" si="20"/>
        <v>FAST</v>
      </c>
      <c r="F1324" t="s">
        <v>46</v>
      </c>
      <c r="G1324" t="s">
        <v>397</v>
      </c>
      <c r="H1324" t="s">
        <v>398</v>
      </c>
      <c r="I1324" t="s">
        <v>22</v>
      </c>
      <c r="J1324" t="s">
        <v>23</v>
      </c>
      <c r="K1324" t="s">
        <v>3675</v>
      </c>
      <c r="L1324" t="s">
        <v>261</v>
      </c>
      <c r="M1324">
        <v>11520</v>
      </c>
      <c r="N1324" t="s">
        <v>144</v>
      </c>
      <c r="O1324" t="s">
        <v>3676</v>
      </c>
      <c r="P1324" t="s">
        <v>42</v>
      </c>
      <c r="Q1324" t="s">
        <v>64</v>
      </c>
      <c r="R1324" t="s">
        <v>3677</v>
      </c>
      <c r="S1324">
        <v>47.82</v>
      </c>
    </row>
    <row r="1325" spans="1:19" x14ac:dyDescent="0.35">
      <c r="A1325">
        <v>1345</v>
      </c>
      <c r="B1325" t="s">
        <v>3674</v>
      </c>
      <c r="C1325" s="1">
        <v>42518</v>
      </c>
      <c r="D1325" s="1">
        <v>42522</v>
      </c>
      <c r="E1325" s="1" t="str">
        <f t="shared" si="20"/>
        <v>FAST</v>
      </c>
      <c r="F1325" t="s">
        <v>46</v>
      </c>
      <c r="G1325" t="s">
        <v>397</v>
      </c>
      <c r="H1325" t="s">
        <v>398</v>
      </c>
      <c r="I1325" t="s">
        <v>22</v>
      </c>
      <c r="J1325" t="s">
        <v>23</v>
      </c>
      <c r="K1325" t="s">
        <v>3675</v>
      </c>
      <c r="L1325" t="s">
        <v>261</v>
      </c>
      <c r="M1325">
        <v>11520</v>
      </c>
      <c r="N1325" t="s">
        <v>144</v>
      </c>
      <c r="O1325" t="s">
        <v>3678</v>
      </c>
      <c r="P1325" t="s">
        <v>42</v>
      </c>
      <c r="Q1325" t="s">
        <v>43</v>
      </c>
      <c r="R1325" t="s">
        <v>3679</v>
      </c>
      <c r="S1325">
        <v>13.05</v>
      </c>
    </row>
    <row r="1326" spans="1:19" x14ac:dyDescent="0.35">
      <c r="A1326">
        <v>1346</v>
      </c>
      <c r="B1326" t="s">
        <v>3680</v>
      </c>
      <c r="C1326" s="1">
        <v>42080</v>
      </c>
      <c r="D1326" s="1">
        <v>42087</v>
      </c>
      <c r="E1326" s="1" t="str">
        <f t="shared" si="20"/>
        <v>FAST</v>
      </c>
      <c r="F1326" t="s">
        <v>46</v>
      </c>
      <c r="G1326" t="s">
        <v>1734</v>
      </c>
      <c r="H1326" t="s">
        <v>1735</v>
      </c>
      <c r="I1326" t="s">
        <v>22</v>
      </c>
      <c r="J1326" t="s">
        <v>23</v>
      </c>
      <c r="K1326" t="s">
        <v>920</v>
      </c>
      <c r="L1326" t="s">
        <v>223</v>
      </c>
      <c r="M1326">
        <v>55044</v>
      </c>
      <c r="N1326" t="s">
        <v>101</v>
      </c>
      <c r="O1326" t="s">
        <v>2270</v>
      </c>
      <c r="P1326" t="s">
        <v>42</v>
      </c>
      <c r="Q1326" t="s">
        <v>74</v>
      </c>
      <c r="R1326" t="s">
        <v>2271</v>
      </c>
      <c r="S1326">
        <v>93.78</v>
      </c>
    </row>
    <row r="1327" spans="1:19" x14ac:dyDescent="0.35">
      <c r="A1327">
        <v>1347</v>
      </c>
      <c r="B1327" t="s">
        <v>3680</v>
      </c>
      <c r="C1327" s="1">
        <v>42080</v>
      </c>
      <c r="D1327" s="1">
        <v>42087</v>
      </c>
      <c r="E1327" s="1" t="str">
        <f t="shared" si="20"/>
        <v>FAST</v>
      </c>
      <c r="F1327" t="s">
        <v>46</v>
      </c>
      <c r="G1327" t="s">
        <v>1734</v>
      </c>
      <c r="H1327" t="s">
        <v>1735</v>
      </c>
      <c r="I1327" t="s">
        <v>22</v>
      </c>
      <c r="J1327" t="s">
        <v>23</v>
      </c>
      <c r="K1327" t="s">
        <v>920</v>
      </c>
      <c r="L1327" t="s">
        <v>223</v>
      </c>
      <c r="M1327">
        <v>55044</v>
      </c>
      <c r="N1327" t="s">
        <v>101</v>
      </c>
      <c r="O1327" t="s">
        <v>3681</v>
      </c>
      <c r="P1327" t="s">
        <v>42</v>
      </c>
      <c r="Q1327" t="s">
        <v>86</v>
      </c>
      <c r="R1327" t="s">
        <v>3682</v>
      </c>
      <c r="S1327">
        <v>47.18</v>
      </c>
    </row>
    <row r="1328" spans="1:19" x14ac:dyDescent="0.35">
      <c r="A1328">
        <v>1348</v>
      </c>
      <c r="B1328" t="s">
        <v>3680</v>
      </c>
      <c r="C1328" s="1">
        <v>42080</v>
      </c>
      <c r="D1328" s="1">
        <v>42087</v>
      </c>
      <c r="E1328" s="1" t="str">
        <f t="shared" si="20"/>
        <v>FAST</v>
      </c>
      <c r="F1328" t="s">
        <v>46</v>
      </c>
      <c r="G1328" t="s">
        <v>1734</v>
      </c>
      <c r="H1328" t="s">
        <v>1735</v>
      </c>
      <c r="I1328" t="s">
        <v>22</v>
      </c>
      <c r="J1328" t="s">
        <v>23</v>
      </c>
      <c r="K1328" t="s">
        <v>920</v>
      </c>
      <c r="L1328" t="s">
        <v>223</v>
      </c>
      <c r="M1328">
        <v>55044</v>
      </c>
      <c r="N1328" t="s">
        <v>101</v>
      </c>
      <c r="O1328" t="s">
        <v>3683</v>
      </c>
      <c r="P1328" t="s">
        <v>42</v>
      </c>
      <c r="Q1328" t="s">
        <v>64</v>
      </c>
      <c r="R1328" t="s">
        <v>3684</v>
      </c>
      <c r="S1328">
        <v>19.68</v>
      </c>
    </row>
    <row r="1329" spans="1:19" x14ac:dyDescent="0.35">
      <c r="A1329">
        <v>1349</v>
      </c>
      <c r="B1329" t="s">
        <v>3680</v>
      </c>
      <c r="C1329" s="1">
        <v>42080</v>
      </c>
      <c r="D1329" s="1">
        <v>42087</v>
      </c>
      <c r="E1329" s="1" t="str">
        <f t="shared" si="20"/>
        <v>FAST</v>
      </c>
      <c r="F1329" t="s">
        <v>46</v>
      </c>
      <c r="G1329" t="s">
        <v>1734</v>
      </c>
      <c r="H1329" t="s">
        <v>1735</v>
      </c>
      <c r="I1329" t="s">
        <v>22</v>
      </c>
      <c r="J1329" t="s">
        <v>23</v>
      </c>
      <c r="K1329" t="s">
        <v>920</v>
      </c>
      <c r="L1329" t="s">
        <v>223</v>
      </c>
      <c r="M1329">
        <v>55044</v>
      </c>
      <c r="N1329" t="s">
        <v>101</v>
      </c>
      <c r="O1329" t="s">
        <v>3685</v>
      </c>
      <c r="P1329" t="s">
        <v>42</v>
      </c>
      <c r="Q1329" t="s">
        <v>71</v>
      </c>
      <c r="R1329" t="s">
        <v>3686</v>
      </c>
      <c r="S1329">
        <v>53.4</v>
      </c>
    </row>
    <row r="1330" spans="1:19" x14ac:dyDescent="0.35">
      <c r="A1330">
        <v>1350</v>
      </c>
      <c r="B1330" t="s">
        <v>3680</v>
      </c>
      <c r="C1330" s="1">
        <v>42080</v>
      </c>
      <c r="D1330" s="1">
        <v>42087</v>
      </c>
      <c r="E1330" s="1" t="str">
        <f t="shared" si="20"/>
        <v>FAST</v>
      </c>
      <c r="F1330" t="s">
        <v>46</v>
      </c>
      <c r="G1330" t="s">
        <v>1734</v>
      </c>
      <c r="H1330" t="s">
        <v>1735</v>
      </c>
      <c r="I1330" t="s">
        <v>22</v>
      </c>
      <c r="J1330" t="s">
        <v>23</v>
      </c>
      <c r="K1330" t="s">
        <v>920</v>
      </c>
      <c r="L1330" t="s">
        <v>223</v>
      </c>
      <c r="M1330">
        <v>55044</v>
      </c>
      <c r="N1330" t="s">
        <v>101</v>
      </c>
      <c r="O1330" t="s">
        <v>3687</v>
      </c>
      <c r="P1330" t="s">
        <v>42</v>
      </c>
      <c r="Q1330" t="s">
        <v>71</v>
      </c>
      <c r="R1330" t="s">
        <v>3688</v>
      </c>
      <c r="S1330">
        <v>35.880000000000003</v>
      </c>
    </row>
    <row r="1331" spans="1:19" x14ac:dyDescent="0.35">
      <c r="A1331">
        <v>1351</v>
      </c>
      <c r="B1331" t="s">
        <v>3689</v>
      </c>
      <c r="C1331" s="1">
        <v>42280</v>
      </c>
      <c r="D1331" s="1">
        <v>42285</v>
      </c>
      <c r="E1331" s="1" t="str">
        <f t="shared" si="20"/>
        <v>SLOW</v>
      </c>
      <c r="F1331" t="s">
        <v>19</v>
      </c>
      <c r="G1331" t="s">
        <v>3690</v>
      </c>
      <c r="H1331" t="s">
        <v>3691</v>
      </c>
      <c r="I1331" t="s">
        <v>22</v>
      </c>
      <c r="J1331" t="s">
        <v>23</v>
      </c>
      <c r="K1331" t="s">
        <v>2354</v>
      </c>
      <c r="L1331" t="s">
        <v>205</v>
      </c>
      <c r="M1331">
        <v>60201</v>
      </c>
      <c r="N1331" t="s">
        <v>101</v>
      </c>
      <c r="O1331" t="s">
        <v>3154</v>
      </c>
      <c r="P1331" t="s">
        <v>28</v>
      </c>
      <c r="Q1331" t="s">
        <v>32</v>
      </c>
      <c r="R1331" t="s">
        <v>3155</v>
      </c>
      <c r="S1331">
        <v>258.279</v>
      </c>
    </row>
    <row r="1332" spans="1:19" x14ac:dyDescent="0.35">
      <c r="A1332">
        <v>1352</v>
      </c>
      <c r="B1332" t="s">
        <v>3692</v>
      </c>
      <c r="C1332" s="1">
        <v>42822</v>
      </c>
      <c r="D1332" s="1">
        <v>42825</v>
      </c>
      <c r="E1332" s="1" t="str">
        <f t="shared" si="20"/>
        <v>MODERATE</v>
      </c>
      <c r="F1332" t="s">
        <v>184</v>
      </c>
      <c r="G1332" t="s">
        <v>3670</v>
      </c>
      <c r="H1332" t="s">
        <v>3671</v>
      </c>
      <c r="I1332" t="s">
        <v>37</v>
      </c>
      <c r="J1332" t="s">
        <v>23</v>
      </c>
      <c r="K1332" t="s">
        <v>1115</v>
      </c>
      <c r="L1332" t="s">
        <v>313</v>
      </c>
      <c r="M1332">
        <v>22204</v>
      </c>
      <c r="N1332" t="s">
        <v>26</v>
      </c>
      <c r="O1332" t="s">
        <v>3693</v>
      </c>
      <c r="P1332" t="s">
        <v>42</v>
      </c>
      <c r="Q1332" t="s">
        <v>55</v>
      </c>
      <c r="R1332" t="s">
        <v>3694</v>
      </c>
      <c r="S1332">
        <v>31.4</v>
      </c>
    </row>
    <row r="1333" spans="1:19" x14ac:dyDescent="0.35">
      <c r="A1333">
        <v>1353</v>
      </c>
      <c r="B1333" t="s">
        <v>3695</v>
      </c>
      <c r="C1333" s="1">
        <v>43224</v>
      </c>
      <c r="D1333" s="1">
        <v>43229</v>
      </c>
      <c r="E1333" s="1" t="str">
        <f t="shared" si="20"/>
        <v>FAST</v>
      </c>
      <c r="F1333" t="s">
        <v>46</v>
      </c>
      <c r="G1333" t="s">
        <v>2880</v>
      </c>
      <c r="H1333" t="s">
        <v>2881</v>
      </c>
      <c r="I1333" t="s">
        <v>37</v>
      </c>
      <c r="J1333" t="s">
        <v>23</v>
      </c>
      <c r="K1333" t="s">
        <v>123</v>
      </c>
      <c r="L1333" t="s">
        <v>39</v>
      </c>
      <c r="M1333">
        <v>94109</v>
      </c>
      <c r="N1333" t="s">
        <v>40</v>
      </c>
      <c r="O1333" t="s">
        <v>2000</v>
      </c>
      <c r="P1333" t="s">
        <v>67</v>
      </c>
      <c r="Q1333" t="s">
        <v>68</v>
      </c>
      <c r="R1333" t="s">
        <v>2001</v>
      </c>
      <c r="S1333">
        <v>183.96</v>
      </c>
    </row>
    <row r="1334" spans="1:19" x14ac:dyDescent="0.35">
      <c r="A1334">
        <v>1354</v>
      </c>
      <c r="B1334" t="s">
        <v>3695</v>
      </c>
      <c r="C1334" s="1">
        <v>43224</v>
      </c>
      <c r="D1334" s="1">
        <v>43229</v>
      </c>
      <c r="E1334" s="1" t="str">
        <f t="shared" si="20"/>
        <v>FAST</v>
      </c>
      <c r="F1334" t="s">
        <v>46</v>
      </c>
      <c r="G1334" t="s">
        <v>2880</v>
      </c>
      <c r="H1334" t="s">
        <v>2881</v>
      </c>
      <c r="I1334" t="s">
        <v>37</v>
      </c>
      <c r="J1334" t="s">
        <v>23</v>
      </c>
      <c r="K1334" t="s">
        <v>123</v>
      </c>
      <c r="L1334" t="s">
        <v>39</v>
      </c>
      <c r="M1334">
        <v>94109</v>
      </c>
      <c r="N1334" t="s">
        <v>40</v>
      </c>
      <c r="O1334" t="s">
        <v>2735</v>
      </c>
      <c r="P1334" t="s">
        <v>42</v>
      </c>
      <c r="Q1334" t="s">
        <v>86</v>
      </c>
      <c r="R1334" t="s">
        <v>2736</v>
      </c>
      <c r="S1334">
        <v>17.61</v>
      </c>
    </row>
    <row r="1335" spans="1:19" x14ac:dyDescent="0.35">
      <c r="A1335">
        <v>1355</v>
      </c>
      <c r="B1335" t="s">
        <v>3695</v>
      </c>
      <c r="C1335" s="1">
        <v>43224</v>
      </c>
      <c r="D1335" s="1">
        <v>43229</v>
      </c>
      <c r="E1335" s="1" t="str">
        <f t="shared" si="20"/>
        <v>FAST</v>
      </c>
      <c r="F1335" t="s">
        <v>46</v>
      </c>
      <c r="G1335" t="s">
        <v>2880</v>
      </c>
      <c r="H1335" t="s">
        <v>2881</v>
      </c>
      <c r="I1335" t="s">
        <v>37</v>
      </c>
      <c r="J1335" t="s">
        <v>23</v>
      </c>
      <c r="K1335" t="s">
        <v>123</v>
      </c>
      <c r="L1335" t="s">
        <v>39</v>
      </c>
      <c r="M1335">
        <v>94109</v>
      </c>
      <c r="N1335" t="s">
        <v>40</v>
      </c>
      <c r="O1335" t="s">
        <v>890</v>
      </c>
      <c r="P1335" t="s">
        <v>28</v>
      </c>
      <c r="Q1335" t="s">
        <v>52</v>
      </c>
      <c r="R1335" t="s">
        <v>891</v>
      </c>
      <c r="S1335">
        <v>300.904</v>
      </c>
    </row>
    <row r="1336" spans="1:19" x14ac:dyDescent="0.35">
      <c r="A1336">
        <v>1356</v>
      </c>
      <c r="B1336" t="s">
        <v>3696</v>
      </c>
      <c r="C1336" s="1">
        <v>42190</v>
      </c>
      <c r="D1336" s="1">
        <v>42190</v>
      </c>
      <c r="E1336" s="1" t="str">
        <f t="shared" si="20"/>
        <v>MODERATE</v>
      </c>
      <c r="F1336" t="s">
        <v>1276</v>
      </c>
      <c r="G1336" t="s">
        <v>3502</v>
      </c>
      <c r="H1336" t="s">
        <v>3503</v>
      </c>
      <c r="I1336" t="s">
        <v>22</v>
      </c>
      <c r="J1336" t="s">
        <v>23</v>
      </c>
      <c r="K1336" t="s">
        <v>180</v>
      </c>
      <c r="L1336" t="s">
        <v>100</v>
      </c>
      <c r="M1336">
        <v>77036</v>
      </c>
      <c r="N1336" t="s">
        <v>101</v>
      </c>
      <c r="O1336" t="s">
        <v>826</v>
      </c>
      <c r="P1336" t="s">
        <v>42</v>
      </c>
      <c r="Q1336" t="s">
        <v>55</v>
      </c>
      <c r="R1336" t="s">
        <v>827</v>
      </c>
      <c r="S1336">
        <v>220.77600000000001</v>
      </c>
    </row>
    <row r="1337" spans="1:19" x14ac:dyDescent="0.35">
      <c r="A1337">
        <v>1357</v>
      </c>
      <c r="B1337" t="s">
        <v>3696</v>
      </c>
      <c r="C1337" s="1">
        <v>42190</v>
      </c>
      <c r="D1337" s="1">
        <v>42190</v>
      </c>
      <c r="E1337" s="1" t="str">
        <f t="shared" si="20"/>
        <v>MODERATE</v>
      </c>
      <c r="F1337" t="s">
        <v>1276</v>
      </c>
      <c r="G1337" t="s">
        <v>3502</v>
      </c>
      <c r="H1337" t="s">
        <v>3503</v>
      </c>
      <c r="I1337" t="s">
        <v>22</v>
      </c>
      <c r="J1337" t="s">
        <v>23</v>
      </c>
      <c r="K1337" t="s">
        <v>180</v>
      </c>
      <c r="L1337" t="s">
        <v>100</v>
      </c>
      <c r="M1337">
        <v>77036</v>
      </c>
      <c r="N1337" t="s">
        <v>101</v>
      </c>
      <c r="O1337" t="s">
        <v>3507</v>
      </c>
      <c r="P1337" t="s">
        <v>42</v>
      </c>
      <c r="Q1337" t="s">
        <v>55</v>
      </c>
      <c r="R1337" t="s">
        <v>3508</v>
      </c>
      <c r="S1337">
        <v>281.42399999999998</v>
      </c>
    </row>
    <row r="1338" spans="1:19" x14ac:dyDescent="0.35">
      <c r="A1338">
        <v>1358</v>
      </c>
      <c r="B1338" t="s">
        <v>3697</v>
      </c>
      <c r="C1338" s="1">
        <v>42860</v>
      </c>
      <c r="D1338" s="1">
        <v>42862</v>
      </c>
      <c r="E1338" s="1" t="str">
        <f t="shared" si="20"/>
        <v>MODERATE</v>
      </c>
      <c r="F1338" t="s">
        <v>184</v>
      </c>
      <c r="G1338" t="s">
        <v>3698</v>
      </c>
      <c r="H1338" t="s">
        <v>3699</v>
      </c>
      <c r="I1338" t="s">
        <v>22</v>
      </c>
      <c r="J1338" t="s">
        <v>23</v>
      </c>
      <c r="K1338" t="s">
        <v>1457</v>
      </c>
      <c r="L1338" t="s">
        <v>25</v>
      </c>
      <c r="M1338">
        <v>40214</v>
      </c>
      <c r="N1338" t="s">
        <v>26</v>
      </c>
      <c r="O1338" t="s">
        <v>3700</v>
      </c>
      <c r="P1338" t="s">
        <v>42</v>
      </c>
      <c r="Q1338" t="s">
        <v>86</v>
      </c>
      <c r="R1338" t="s">
        <v>3701</v>
      </c>
      <c r="S1338">
        <v>79.14</v>
      </c>
    </row>
    <row r="1339" spans="1:19" x14ac:dyDescent="0.35">
      <c r="A1339">
        <v>1359</v>
      </c>
      <c r="B1339" t="s">
        <v>3702</v>
      </c>
      <c r="C1339" s="1">
        <v>43216</v>
      </c>
      <c r="D1339" s="1">
        <v>43217</v>
      </c>
      <c r="E1339" s="1" t="str">
        <f t="shared" si="20"/>
        <v>MODERATE</v>
      </c>
      <c r="F1339" t="s">
        <v>184</v>
      </c>
      <c r="G1339" t="s">
        <v>3703</v>
      </c>
      <c r="H1339" t="s">
        <v>3704</v>
      </c>
      <c r="I1339" t="s">
        <v>22</v>
      </c>
      <c r="J1339" t="s">
        <v>23</v>
      </c>
      <c r="K1339" t="s">
        <v>99</v>
      </c>
      <c r="L1339" t="s">
        <v>100</v>
      </c>
      <c r="M1339">
        <v>76106</v>
      </c>
      <c r="N1339" t="s">
        <v>101</v>
      </c>
      <c r="O1339" t="s">
        <v>2025</v>
      </c>
      <c r="P1339" t="s">
        <v>28</v>
      </c>
      <c r="Q1339" t="s">
        <v>61</v>
      </c>
      <c r="R1339" t="s">
        <v>2026</v>
      </c>
      <c r="S1339">
        <v>1.988</v>
      </c>
    </row>
    <row r="1340" spans="1:19" x14ac:dyDescent="0.35">
      <c r="A1340">
        <v>1360</v>
      </c>
      <c r="B1340" t="s">
        <v>3705</v>
      </c>
      <c r="C1340" s="1">
        <v>42273</v>
      </c>
      <c r="D1340" s="1">
        <v>42278</v>
      </c>
      <c r="E1340" s="1" t="str">
        <f t="shared" si="20"/>
        <v>SLOW</v>
      </c>
      <c r="F1340" t="s">
        <v>19</v>
      </c>
      <c r="G1340" t="s">
        <v>3706</v>
      </c>
      <c r="H1340" t="s">
        <v>3707</v>
      </c>
      <c r="I1340" t="s">
        <v>22</v>
      </c>
      <c r="J1340" t="s">
        <v>23</v>
      </c>
      <c r="K1340" t="s">
        <v>38</v>
      </c>
      <c r="L1340" t="s">
        <v>39</v>
      </c>
      <c r="M1340">
        <v>90049</v>
      </c>
      <c r="N1340" t="s">
        <v>40</v>
      </c>
      <c r="O1340" t="s">
        <v>3708</v>
      </c>
      <c r="P1340" t="s">
        <v>28</v>
      </c>
      <c r="Q1340" t="s">
        <v>32</v>
      </c>
      <c r="R1340" t="s">
        <v>3709</v>
      </c>
      <c r="S1340">
        <v>145.56800000000001</v>
      </c>
    </row>
    <row r="1341" spans="1:19" x14ac:dyDescent="0.35">
      <c r="A1341">
        <v>1361</v>
      </c>
      <c r="B1341" t="s">
        <v>3710</v>
      </c>
      <c r="C1341" s="1">
        <v>43392</v>
      </c>
      <c r="D1341" s="1">
        <v>43398</v>
      </c>
      <c r="E1341" s="1" t="str">
        <f t="shared" si="20"/>
        <v>FAST</v>
      </c>
      <c r="F1341" t="s">
        <v>46</v>
      </c>
      <c r="G1341" t="s">
        <v>3711</v>
      </c>
      <c r="H1341" t="s">
        <v>3712</v>
      </c>
      <c r="I1341" t="s">
        <v>37</v>
      </c>
      <c r="J1341" t="s">
        <v>23</v>
      </c>
      <c r="K1341" t="s">
        <v>142</v>
      </c>
      <c r="L1341" t="s">
        <v>143</v>
      </c>
      <c r="M1341">
        <v>19120</v>
      </c>
      <c r="N1341" t="s">
        <v>144</v>
      </c>
      <c r="O1341" t="s">
        <v>2561</v>
      </c>
      <c r="P1341" t="s">
        <v>42</v>
      </c>
      <c r="Q1341" t="s">
        <v>64</v>
      </c>
      <c r="R1341" t="s">
        <v>2562</v>
      </c>
      <c r="S1341">
        <v>123.256</v>
      </c>
    </row>
    <row r="1342" spans="1:19" x14ac:dyDescent="0.35">
      <c r="A1342">
        <v>1362</v>
      </c>
      <c r="B1342" t="s">
        <v>3710</v>
      </c>
      <c r="C1342" s="1">
        <v>43392</v>
      </c>
      <c r="D1342" s="1">
        <v>43398</v>
      </c>
      <c r="E1342" s="1" t="str">
        <f t="shared" si="20"/>
        <v>FAST</v>
      </c>
      <c r="F1342" t="s">
        <v>46</v>
      </c>
      <c r="G1342" t="s">
        <v>3711</v>
      </c>
      <c r="H1342" t="s">
        <v>3712</v>
      </c>
      <c r="I1342" t="s">
        <v>37</v>
      </c>
      <c r="J1342" t="s">
        <v>23</v>
      </c>
      <c r="K1342" t="s">
        <v>142</v>
      </c>
      <c r="L1342" t="s">
        <v>143</v>
      </c>
      <c r="M1342">
        <v>19120</v>
      </c>
      <c r="N1342" t="s">
        <v>144</v>
      </c>
      <c r="O1342" t="s">
        <v>3713</v>
      </c>
      <c r="P1342" t="s">
        <v>42</v>
      </c>
      <c r="Q1342" t="s">
        <v>86</v>
      </c>
      <c r="R1342" t="s">
        <v>3714</v>
      </c>
      <c r="S1342">
        <v>23.68</v>
      </c>
    </row>
    <row r="1343" spans="1:19" x14ac:dyDescent="0.35">
      <c r="A1343">
        <v>1363</v>
      </c>
      <c r="B1343" t="s">
        <v>3710</v>
      </c>
      <c r="C1343" s="1">
        <v>43392</v>
      </c>
      <c r="D1343" s="1">
        <v>43398</v>
      </c>
      <c r="E1343" s="1" t="str">
        <f t="shared" si="20"/>
        <v>FAST</v>
      </c>
      <c r="F1343" t="s">
        <v>46</v>
      </c>
      <c r="G1343" t="s">
        <v>3711</v>
      </c>
      <c r="H1343" t="s">
        <v>3712</v>
      </c>
      <c r="I1343" t="s">
        <v>37</v>
      </c>
      <c r="J1343" t="s">
        <v>23</v>
      </c>
      <c r="K1343" t="s">
        <v>142</v>
      </c>
      <c r="L1343" t="s">
        <v>143</v>
      </c>
      <c r="M1343">
        <v>19120</v>
      </c>
      <c r="N1343" t="s">
        <v>144</v>
      </c>
      <c r="O1343" t="s">
        <v>3715</v>
      </c>
      <c r="P1343" t="s">
        <v>67</v>
      </c>
      <c r="Q1343" t="s">
        <v>68</v>
      </c>
      <c r="R1343" t="s">
        <v>3716</v>
      </c>
      <c r="S1343">
        <v>309.57600000000002</v>
      </c>
    </row>
    <row r="1344" spans="1:19" x14ac:dyDescent="0.35">
      <c r="A1344">
        <v>1364</v>
      </c>
      <c r="B1344" t="s">
        <v>3717</v>
      </c>
      <c r="C1344" s="1">
        <v>43414</v>
      </c>
      <c r="D1344" s="1">
        <v>43415</v>
      </c>
      <c r="E1344" s="1" t="str">
        <f t="shared" si="20"/>
        <v>MODERATE</v>
      </c>
      <c r="F1344" t="s">
        <v>184</v>
      </c>
      <c r="G1344" t="s">
        <v>3718</v>
      </c>
      <c r="H1344" t="s">
        <v>3719</v>
      </c>
      <c r="I1344" t="s">
        <v>37</v>
      </c>
      <c r="J1344" t="s">
        <v>23</v>
      </c>
      <c r="K1344" t="s">
        <v>1297</v>
      </c>
      <c r="L1344" t="s">
        <v>304</v>
      </c>
      <c r="M1344">
        <v>85705</v>
      </c>
      <c r="N1344" t="s">
        <v>40</v>
      </c>
      <c r="O1344" t="s">
        <v>2413</v>
      </c>
      <c r="P1344" t="s">
        <v>42</v>
      </c>
      <c r="Q1344" t="s">
        <v>71</v>
      </c>
      <c r="R1344" t="s">
        <v>2414</v>
      </c>
      <c r="S1344">
        <v>38.387999999999998</v>
      </c>
    </row>
    <row r="1345" spans="1:19" x14ac:dyDescent="0.35">
      <c r="A1345">
        <v>1365</v>
      </c>
      <c r="B1345" t="s">
        <v>3717</v>
      </c>
      <c r="C1345" s="1">
        <v>43414</v>
      </c>
      <c r="D1345" s="1">
        <v>43415</v>
      </c>
      <c r="E1345" s="1" t="str">
        <f t="shared" si="20"/>
        <v>MODERATE</v>
      </c>
      <c r="F1345" t="s">
        <v>184</v>
      </c>
      <c r="G1345" t="s">
        <v>3718</v>
      </c>
      <c r="H1345" t="s">
        <v>3719</v>
      </c>
      <c r="I1345" t="s">
        <v>37</v>
      </c>
      <c r="J1345" t="s">
        <v>23</v>
      </c>
      <c r="K1345" t="s">
        <v>1297</v>
      </c>
      <c r="L1345" t="s">
        <v>304</v>
      </c>
      <c r="M1345">
        <v>85705</v>
      </c>
      <c r="N1345" t="s">
        <v>40</v>
      </c>
      <c r="O1345" t="s">
        <v>3720</v>
      </c>
      <c r="P1345" t="s">
        <v>67</v>
      </c>
      <c r="Q1345" t="s">
        <v>671</v>
      </c>
      <c r="R1345" t="s">
        <v>3721</v>
      </c>
      <c r="S1345">
        <v>95.994</v>
      </c>
    </row>
    <row r="1346" spans="1:19" x14ac:dyDescent="0.35">
      <c r="A1346">
        <v>1366</v>
      </c>
      <c r="B1346" t="s">
        <v>3717</v>
      </c>
      <c r="C1346" s="1">
        <v>43414</v>
      </c>
      <c r="D1346" s="1">
        <v>43415</v>
      </c>
      <c r="E1346" s="1" t="str">
        <f t="shared" si="20"/>
        <v>MODERATE</v>
      </c>
      <c r="F1346" t="s">
        <v>184</v>
      </c>
      <c r="G1346" t="s">
        <v>3718</v>
      </c>
      <c r="H1346" t="s">
        <v>3719</v>
      </c>
      <c r="I1346" t="s">
        <v>37</v>
      </c>
      <c r="J1346" t="s">
        <v>23</v>
      </c>
      <c r="K1346" t="s">
        <v>1297</v>
      </c>
      <c r="L1346" t="s">
        <v>304</v>
      </c>
      <c r="M1346">
        <v>85705</v>
      </c>
      <c r="N1346" t="s">
        <v>40</v>
      </c>
      <c r="O1346" t="s">
        <v>3722</v>
      </c>
      <c r="P1346" t="s">
        <v>67</v>
      </c>
      <c r="Q1346" t="s">
        <v>157</v>
      </c>
      <c r="R1346" t="s">
        <v>3723</v>
      </c>
      <c r="S1346">
        <v>239.952</v>
      </c>
    </row>
    <row r="1347" spans="1:19" x14ac:dyDescent="0.35">
      <c r="A1347">
        <v>1367</v>
      </c>
      <c r="B1347" t="s">
        <v>3717</v>
      </c>
      <c r="C1347" s="1">
        <v>43414</v>
      </c>
      <c r="D1347" s="1">
        <v>43415</v>
      </c>
      <c r="E1347" s="1" t="str">
        <f t="shared" ref="E1347:E1410" si="21">IF(F1347="STANDARD CLASS","FAST",IF(F1347="SECOND CLASS","SLOW","MODERATE"))</f>
        <v>MODERATE</v>
      </c>
      <c r="F1347" t="s">
        <v>184</v>
      </c>
      <c r="G1347" t="s">
        <v>3718</v>
      </c>
      <c r="H1347" t="s">
        <v>3719</v>
      </c>
      <c r="I1347" t="s">
        <v>37</v>
      </c>
      <c r="J1347" t="s">
        <v>23</v>
      </c>
      <c r="K1347" t="s">
        <v>1297</v>
      </c>
      <c r="L1347" t="s">
        <v>304</v>
      </c>
      <c r="M1347">
        <v>85705</v>
      </c>
      <c r="N1347" t="s">
        <v>40</v>
      </c>
      <c r="O1347" t="s">
        <v>848</v>
      </c>
      <c r="P1347" t="s">
        <v>67</v>
      </c>
      <c r="Q1347" t="s">
        <v>68</v>
      </c>
      <c r="R1347" t="s">
        <v>849</v>
      </c>
      <c r="S1347">
        <v>201.584</v>
      </c>
    </row>
    <row r="1348" spans="1:19" x14ac:dyDescent="0.35">
      <c r="A1348">
        <v>1368</v>
      </c>
      <c r="B1348" t="s">
        <v>3717</v>
      </c>
      <c r="C1348" s="1">
        <v>43414</v>
      </c>
      <c r="D1348" s="1">
        <v>43415</v>
      </c>
      <c r="E1348" s="1" t="str">
        <f t="shared" si="21"/>
        <v>MODERATE</v>
      </c>
      <c r="F1348" t="s">
        <v>184</v>
      </c>
      <c r="G1348" t="s">
        <v>3718</v>
      </c>
      <c r="H1348" t="s">
        <v>3719</v>
      </c>
      <c r="I1348" t="s">
        <v>37</v>
      </c>
      <c r="J1348" t="s">
        <v>23</v>
      </c>
      <c r="K1348" t="s">
        <v>1297</v>
      </c>
      <c r="L1348" t="s">
        <v>304</v>
      </c>
      <c r="M1348">
        <v>85705</v>
      </c>
      <c r="N1348" t="s">
        <v>40</v>
      </c>
      <c r="O1348" t="s">
        <v>1183</v>
      </c>
      <c r="P1348" t="s">
        <v>28</v>
      </c>
      <c r="Q1348" t="s">
        <v>32</v>
      </c>
      <c r="R1348" t="s">
        <v>1184</v>
      </c>
      <c r="S1348">
        <v>899.13599999999997</v>
      </c>
    </row>
    <row r="1349" spans="1:19" x14ac:dyDescent="0.35">
      <c r="A1349">
        <v>1369</v>
      </c>
      <c r="B1349" t="s">
        <v>3724</v>
      </c>
      <c r="C1349" s="1">
        <v>43289</v>
      </c>
      <c r="D1349" s="1">
        <v>43292</v>
      </c>
      <c r="E1349" s="1" t="str">
        <f t="shared" si="21"/>
        <v>MODERATE</v>
      </c>
      <c r="F1349" t="s">
        <v>184</v>
      </c>
      <c r="G1349" t="s">
        <v>3725</v>
      </c>
      <c r="H1349" t="s">
        <v>3726</v>
      </c>
      <c r="I1349" t="s">
        <v>98</v>
      </c>
      <c r="J1349" t="s">
        <v>23</v>
      </c>
      <c r="K1349" t="s">
        <v>3727</v>
      </c>
      <c r="L1349" t="s">
        <v>39</v>
      </c>
      <c r="M1349">
        <v>90660</v>
      </c>
      <c r="N1349" t="s">
        <v>40</v>
      </c>
      <c r="O1349" t="s">
        <v>1134</v>
      </c>
      <c r="P1349" t="s">
        <v>28</v>
      </c>
      <c r="Q1349" t="s">
        <v>61</v>
      </c>
      <c r="R1349" t="s">
        <v>1135</v>
      </c>
      <c r="S1349">
        <v>145.9</v>
      </c>
    </row>
    <row r="1350" spans="1:19" x14ac:dyDescent="0.35">
      <c r="A1350">
        <v>1370</v>
      </c>
      <c r="B1350" t="s">
        <v>3728</v>
      </c>
      <c r="C1350" s="1">
        <v>42728</v>
      </c>
      <c r="D1350" s="1">
        <v>42732</v>
      </c>
      <c r="E1350" s="1" t="str">
        <f t="shared" si="21"/>
        <v>FAST</v>
      </c>
      <c r="F1350" t="s">
        <v>46</v>
      </c>
      <c r="G1350" t="s">
        <v>3652</v>
      </c>
      <c r="H1350" t="s">
        <v>3653</v>
      </c>
      <c r="I1350" t="s">
        <v>22</v>
      </c>
      <c r="J1350" t="s">
        <v>23</v>
      </c>
      <c r="K1350" t="s">
        <v>1069</v>
      </c>
      <c r="L1350" t="s">
        <v>444</v>
      </c>
      <c r="M1350">
        <v>80906</v>
      </c>
      <c r="N1350" t="s">
        <v>40</v>
      </c>
      <c r="O1350" t="s">
        <v>753</v>
      </c>
      <c r="P1350" t="s">
        <v>28</v>
      </c>
      <c r="Q1350" t="s">
        <v>29</v>
      </c>
      <c r="R1350" t="s">
        <v>754</v>
      </c>
      <c r="S1350">
        <v>590.05799999999999</v>
      </c>
    </row>
    <row r="1351" spans="1:19" x14ac:dyDescent="0.35">
      <c r="A1351">
        <v>1371</v>
      </c>
      <c r="B1351" t="s">
        <v>3728</v>
      </c>
      <c r="C1351" s="1">
        <v>42728</v>
      </c>
      <c r="D1351" s="1">
        <v>42732</v>
      </c>
      <c r="E1351" s="1" t="str">
        <f t="shared" si="21"/>
        <v>FAST</v>
      </c>
      <c r="F1351" t="s">
        <v>46</v>
      </c>
      <c r="G1351" t="s">
        <v>3652</v>
      </c>
      <c r="H1351" t="s">
        <v>3653</v>
      </c>
      <c r="I1351" t="s">
        <v>22</v>
      </c>
      <c r="J1351" t="s">
        <v>23</v>
      </c>
      <c r="K1351" t="s">
        <v>1069</v>
      </c>
      <c r="L1351" t="s">
        <v>444</v>
      </c>
      <c r="M1351">
        <v>80906</v>
      </c>
      <c r="N1351" t="s">
        <v>40</v>
      </c>
      <c r="O1351" t="s">
        <v>2424</v>
      </c>
      <c r="P1351" t="s">
        <v>42</v>
      </c>
      <c r="Q1351" t="s">
        <v>64</v>
      </c>
      <c r="R1351" t="s">
        <v>2425</v>
      </c>
      <c r="S1351">
        <v>14.04</v>
      </c>
    </row>
    <row r="1352" spans="1:19" x14ac:dyDescent="0.35">
      <c r="A1352">
        <v>1372</v>
      </c>
      <c r="B1352" t="s">
        <v>3729</v>
      </c>
      <c r="C1352" s="1">
        <v>43166</v>
      </c>
      <c r="D1352" s="1">
        <v>43171</v>
      </c>
      <c r="E1352" s="1" t="str">
        <f t="shared" si="21"/>
        <v>FAST</v>
      </c>
      <c r="F1352" t="s">
        <v>46</v>
      </c>
      <c r="G1352" t="s">
        <v>3730</v>
      </c>
      <c r="H1352" t="s">
        <v>3731</v>
      </c>
      <c r="I1352" t="s">
        <v>98</v>
      </c>
      <c r="J1352" t="s">
        <v>23</v>
      </c>
      <c r="K1352" t="s">
        <v>3181</v>
      </c>
      <c r="L1352" t="s">
        <v>2708</v>
      </c>
      <c r="M1352">
        <v>20735</v>
      </c>
      <c r="N1352" t="s">
        <v>144</v>
      </c>
      <c r="O1352" t="s">
        <v>3732</v>
      </c>
      <c r="P1352" t="s">
        <v>67</v>
      </c>
      <c r="Q1352" t="s">
        <v>157</v>
      </c>
      <c r="R1352" t="s">
        <v>3733</v>
      </c>
      <c r="S1352">
        <v>49.08</v>
      </c>
    </row>
    <row r="1353" spans="1:19" x14ac:dyDescent="0.35">
      <c r="A1353">
        <v>1373</v>
      </c>
      <c r="B1353" t="s">
        <v>3734</v>
      </c>
      <c r="C1353" s="1">
        <v>42095</v>
      </c>
      <c r="D1353" s="1">
        <v>42100</v>
      </c>
      <c r="E1353" s="1" t="str">
        <f t="shared" si="21"/>
        <v>SLOW</v>
      </c>
      <c r="F1353" t="s">
        <v>19</v>
      </c>
      <c r="G1353" t="s">
        <v>284</v>
      </c>
      <c r="H1353" t="s">
        <v>285</v>
      </c>
      <c r="I1353" t="s">
        <v>22</v>
      </c>
      <c r="J1353" t="s">
        <v>23</v>
      </c>
      <c r="K1353" t="s">
        <v>2085</v>
      </c>
      <c r="L1353" t="s">
        <v>39</v>
      </c>
      <c r="M1353">
        <v>94591</v>
      </c>
      <c r="N1353" t="s">
        <v>40</v>
      </c>
      <c r="O1353" t="s">
        <v>2231</v>
      </c>
      <c r="P1353" t="s">
        <v>42</v>
      </c>
      <c r="Q1353" t="s">
        <v>43</v>
      </c>
      <c r="R1353" t="s">
        <v>2232</v>
      </c>
      <c r="S1353">
        <v>29.6</v>
      </c>
    </row>
    <row r="1354" spans="1:19" x14ac:dyDescent="0.35">
      <c r="A1354">
        <v>1374</v>
      </c>
      <c r="B1354" t="s">
        <v>3734</v>
      </c>
      <c r="C1354" s="1">
        <v>42095</v>
      </c>
      <c r="D1354" s="1">
        <v>42100</v>
      </c>
      <c r="E1354" s="1" t="str">
        <f t="shared" si="21"/>
        <v>SLOW</v>
      </c>
      <c r="F1354" t="s">
        <v>19</v>
      </c>
      <c r="G1354" t="s">
        <v>284</v>
      </c>
      <c r="H1354" t="s">
        <v>285</v>
      </c>
      <c r="I1354" t="s">
        <v>22</v>
      </c>
      <c r="J1354" t="s">
        <v>23</v>
      </c>
      <c r="K1354" t="s">
        <v>2085</v>
      </c>
      <c r="L1354" t="s">
        <v>39</v>
      </c>
      <c r="M1354">
        <v>94591</v>
      </c>
      <c r="N1354" t="s">
        <v>40</v>
      </c>
      <c r="O1354" t="s">
        <v>3735</v>
      </c>
      <c r="P1354" t="s">
        <v>42</v>
      </c>
      <c r="Q1354" t="s">
        <v>71</v>
      </c>
      <c r="R1354" t="s">
        <v>3736</v>
      </c>
      <c r="S1354">
        <v>17.088000000000001</v>
      </c>
    </row>
    <row r="1355" spans="1:19" x14ac:dyDescent="0.35">
      <c r="A1355">
        <v>1375</v>
      </c>
      <c r="B1355" t="s">
        <v>3737</v>
      </c>
      <c r="C1355" s="1">
        <v>42627</v>
      </c>
      <c r="D1355" s="1">
        <v>42632</v>
      </c>
      <c r="E1355" s="1" t="str">
        <f t="shared" si="21"/>
        <v>FAST</v>
      </c>
      <c r="F1355" t="s">
        <v>46</v>
      </c>
      <c r="G1355" t="s">
        <v>2032</v>
      </c>
      <c r="H1355" t="s">
        <v>2033</v>
      </c>
      <c r="I1355" t="s">
        <v>22</v>
      </c>
      <c r="J1355" t="s">
        <v>23</v>
      </c>
      <c r="K1355" t="s">
        <v>3738</v>
      </c>
      <c r="L1355" t="s">
        <v>117</v>
      </c>
      <c r="M1355">
        <v>84604</v>
      </c>
      <c r="N1355" t="s">
        <v>40</v>
      </c>
      <c r="O1355" t="s">
        <v>3739</v>
      </c>
      <c r="P1355" t="s">
        <v>28</v>
      </c>
      <c r="Q1355" t="s">
        <v>52</v>
      </c>
      <c r="R1355" t="s">
        <v>3740</v>
      </c>
      <c r="S1355">
        <v>912.75</v>
      </c>
    </row>
    <row r="1356" spans="1:19" x14ac:dyDescent="0.35">
      <c r="A1356">
        <v>1376</v>
      </c>
      <c r="B1356" t="s">
        <v>3741</v>
      </c>
      <c r="C1356" s="1">
        <v>42220</v>
      </c>
      <c r="D1356" s="1">
        <v>42225</v>
      </c>
      <c r="E1356" s="1" t="str">
        <f t="shared" si="21"/>
        <v>SLOW</v>
      </c>
      <c r="F1356" t="s">
        <v>19</v>
      </c>
      <c r="G1356" t="s">
        <v>875</v>
      </c>
      <c r="H1356" t="s">
        <v>876</v>
      </c>
      <c r="I1356" t="s">
        <v>22</v>
      </c>
      <c r="J1356" t="s">
        <v>23</v>
      </c>
      <c r="K1356" t="s">
        <v>3742</v>
      </c>
      <c r="L1356" t="s">
        <v>117</v>
      </c>
      <c r="M1356">
        <v>84062</v>
      </c>
      <c r="N1356" t="s">
        <v>40</v>
      </c>
      <c r="O1356" t="s">
        <v>3743</v>
      </c>
      <c r="P1356" t="s">
        <v>42</v>
      </c>
      <c r="Q1356" t="s">
        <v>74</v>
      </c>
      <c r="R1356" t="s">
        <v>3744</v>
      </c>
      <c r="S1356">
        <v>1089.75</v>
      </c>
    </row>
    <row r="1357" spans="1:19" x14ac:dyDescent="0.35">
      <c r="A1357">
        <v>1377</v>
      </c>
      <c r="B1357" t="s">
        <v>3741</v>
      </c>
      <c r="C1357" s="1">
        <v>42220</v>
      </c>
      <c r="D1357" s="1">
        <v>42225</v>
      </c>
      <c r="E1357" s="1" t="str">
        <f t="shared" si="21"/>
        <v>SLOW</v>
      </c>
      <c r="F1357" t="s">
        <v>19</v>
      </c>
      <c r="G1357" t="s">
        <v>875</v>
      </c>
      <c r="H1357" t="s">
        <v>876</v>
      </c>
      <c r="I1357" t="s">
        <v>22</v>
      </c>
      <c r="J1357" t="s">
        <v>23</v>
      </c>
      <c r="K1357" t="s">
        <v>3742</v>
      </c>
      <c r="L1357" t="s">
        <v>117</v>
      </c>
      <c r="M1357">
        <v>84062</v>
      </c>
      <c r="N1357" t="s">
        <v>40</v>
      </c>
      <c r="O1357" t="s">
        <v>3745</v>
      </c>
      <c r="P1357" t="s">
        <v>42</v>
      </c>
      <c r="Q1357" t="s">
        <v>86</v>
      </c>
      <c r="R1357" t="s">
        <v>3746</v>
      </c>
      <c r="S1357">
        <v>447.84</v>
      </c>
    </row>
    <row r="1358" spans="1:19" x14ac:dyDescent="0.35">
      <c r="A1358">
        <v>1378</v>
      </c>
      <c r="B1358" t="s">
        <v>3741</v>
      </c>
      <c r="C1358" s="1">
        <v>42220</v>
      </c>
      <c r="D1358" s="1">
        <v>42225</v>
      </c>
      <c r="E1358" s="1" t="str">
        <f t="shared" si="21"/>
        <v>SLOW</v>
      </c>
      <c r="F1358" t="s">
        <v>19</v>
      </c>
      <c r="G1358" t="s">
        <v>875</v>
      </c>
      <c r="H1358" t="s">
        <v>876</v>
      </c>
      <c r="I1358" t="s">
        <v>22</v>
      </c>
      <c r="J1358" t="s">
        <v>23</v>
      </c>
      <c r="K1358" t="s">
        <v>3742</v>
      </c>
      <c r="L1358" t="s">
        <v>117</v>
      </c>
      <c r="M1358">
        <v>84062</v>
      </c>
      <c r="N1358" t="s">
        <v>40</v>
      </c>
      <c r="O1358" t="s">
        <v>3747</v>
      </c>
      <c r="P1358" t="s">
        <v>42</v>
      </c>
      <c r="Q1358" t="s">
        <v>64</v>
      </c>
      <c r="R1358" t="s">
        <v>3748</v>
      </c>
      <c r="S1358">
        <v>16.399999999999999</v>
      </c>
    </row>
    <row r="1359" spans="1:19" x14ac:dyDescent="0.35">
      <c r="A1359">
        <v>1379</v>
      </c>
      <c r="B1359" t="s">
        <v>3741</v>
      </c>
      <c r="C1359" s="1">
        <v>42220</v>
      </c>
      <c r="D1359" s="1">
        <v>42225</v>
      </c>
      <c r="E1359" s="1" t="str">
        <f t="shared" si="21"/>
        <v>SLOW</v>
      </c>
      <c r="F1359" t="s">
        <v>19</v>
      </c>
      <c r="G1359" t="s">
        <v>875</v>
      </c>
      <c r="H1359" t="s">
        <v>876</v>
      </c>
      <c r="I1359" t="s">
        <v>22</v>
      </c>
      <c r="J1359" t="s">
        <v>23</v>
      </c>
      <c r="K1359" t="s">
        <v>3742</v>
      </c>
      <c r="L1359" t="s">
        <v>117</v>
      </c>
      <c r="M1359">
        <v>84062</v>
      </c>
      <c r="N1359" t="s">
        <v>40</v>
      </c>
      <c r="O1359" t="s">
        <v>3749</v>
      </c>
      <c r="P1359" t="s">
        <v>67</v>
      </c>
      <c r="Q1359" t="s">
        <v>68</v>
      </c>
      <c r="R1359" t="s">
        <v>3750</v>
      </c>
      <c r="S1359">
        <v>399.96</v>
      </c>
    </row>
    <row r="1360" spans="1:19" x14ac:dyDescent="0.35">
      <c r="A1360">
        <v>1380</v>
      </c>
      <c r="B1360" t="s">
        <v>3741</v>
      </c>
      <c r="C1360" s="1">
        <v>42220</v>
      </c>
      <c r="D1360" s="1">
        <v>42225</v>
      </c>
      <c r="E1360" s="1" t="str">
        <f t="shared" si="21"/>
        <v>SLOW</v>
      </c>
      <c r="F1360" t="s">
        <v>19</v>
      </c>
      <c r="G1360" t="s">
        <v>875</v>
      </c>
      <c r="H1360" t="s">
        <v>876</v>
      </c>
      <c r="I1360" t="s">
        <v>22</v>
      </c>
      <c r="J1360" t="s">
        <v>23</v>
      </c>
      <c r="K1360" t="s">
        <v>3742</v>
      </c>
      <c r="L1360" t="s">
        <v>117</v>
      </c>
      <c r="M1360">
        <v>84062</v>
      </c>
      <c r="N1360" t="s">
        <v>40</v>
      </c>
      <c r="O1360" t="s">
        <v>3751</v>
      </c>
      <c r="P1360" t="s">
        <v>42</v>
      </c>
      <c r="Q1360" t="s">
        <v>55</v>
      </c>
      <c r="R1360" t="s">
        <v>3752</v>
      </c>
      <c r="S1360">
        <v>158.9</v>
      </c>
    </row>
    <row r="1361" spans="1:19" x14ac:dyDescent="0.35">
      <c r="A1361">
        <v>1381</v>
      </c>
      <c r="B1361" t="s">
        <v>3741</v>
      </c>
      <c r="C1361" s="1">
        <v>42220</v>
      </c>
      <c r="D1361" s="1">
        <v>42225</v>
      </c>
      <c r="E1361" s="1" t="str">
        <f t="shared" si="21"/>
        <v>SLOW</v>
      </c>
      <c r="F1361" t="s">
        <v>19</v>
      </c>
      <c r="G1361" t="s">
        <v>875</v>
      </c>
      <c r="H1361" t="s">
        <v>876</v>
      </c>
      <c r="I1361" t="s">
        <v>22</v>
      </c>
      <c r="J1361" t="s">
        <v>23</v>
      </c>
      <c r="K1361" t="s">
        <v>3742</v>
      </c>
      <c r="L1361" t="s">
        <v>117</v>
      </c>
      <c r="M1361">
        <v>84062</v>
      </c>
      <c r="N1361" t="s">
        <v>40</v>
      </c>
      <c r="O1361" t="s">
        <v>404</v>
      </c>
      <c r="P1361" t="s">
        <v>42</v>
      </c>
      <c r="Q1361" t="s">
        <v>71</v>
      </c>
      <c r="R1361" t="s">
        <v>405</v>
      </c>
      <c r="S1361">
        <v>13.183999999999999</v>
      </c>
    </row>
    <row r="1362" spans="1:19" x14ac:dyDescent="0.35">
      <c r="A1362">
        <v>1382</v>
      </c>
      <c r="B1362" t="s">
        <v>3753</v>
      </c>
      <c r="C1362" s="1">
        <v>42981</v>
      </c>
      <c r="D1362" s="1">
        <v>42987</v>
      </c>
      <c r="E1362" s="1" t="str">
        <f t="shared" si="21"/>
        <v>FAST</v>
      </c>
      <c r="F1362" t="s">
        <v>46</v>
      </c>
      <c r="G1362" t="s">
        <v>3754</v>
      </c>
      <c r="H1362" t="s">
        <v>3755</v>
      </c>
      <c r="I1362" t="s">
        <v>98</v>
      </c>
      <c r="J1362" t="s">
        <v>23</v>
      </c>
      <c r="K1362" t="s">
        <v>443</v>
      </c>
      <c r="L1362" t="s">
        <v>205</v>
      </c>
      <c r="M1362">
        <v>60505</v>
      </c>
      <c r="N1362" t="s">
        <v>101</v>
      </c>
      <c r="O1362" t="s">
        <v>2241</v>
      </c>
      <c r="P1362" t="s">
        <v>28</v>
      </c>
      <c r="Q1362" t="s">
        <v>61</v>
      </c>
      <c r="R1362" t="s">
        <v>2242</v>
      </c>
      <c r="S1362">
        <v>83.951999999999998</v>
      </c>
    </row>
    <row r="1363" spans="1:19" x14ac:dyDescent="0.35">
      <c r="A1363">
        <v>1383</v>
      </c>
      <c r="B1363" t="s">
        <v>3756</v>
      </c>
      <c r="C1363" s="1">
        <v>42771</v>
      </c>
      <c r="D1363" s="1">
        <v>42771</v>
      </c>
      <c r="E1363" s="1" t="str">
        <f t="shared" si="21"/>
        <v>MODERATE</v>
      </c>
      <c r="F1363" t="s">
        <v>1276</v>
      </c>
      <c r="G1363" t="s">
        <v>3757</v>
      </c>
      <c r="H1363" t="s">
        <v>3758</v>
      </c>
      <c r="I1363" t="s">
        <v>98</v>
      </c>
      <c r="J1363" t="s">
        <v>23</v>
      </c>
      <c r="K1363" t="s">
        <v>3759</v>
      </c>
      <c r="L1363" t="s">
        <v>1258</v>
      </c>
      <c r="M1363">
        <v>30080</v>
      </c>
      <c r="N1363" t="s">
        <v>26</v>
      </c>
      <c r="O1363" t="s">
        <v>3362</v>
      </c>
      <c r="P1363" t="s">
        <v>42</v>
      </c>
      <c r="Q1363" t="s">
        <v>55</v>
      </c>
      <c r="R1363" t="s">
        <v>3363</v>
      </c>
      <c r="S1363">
        <v>80.98</v>
      </c>
    </row>
    <row r="1364" spans="1:19" x14ac:dyDescent="0.35">
      <c r="A1364">
        <v>1384</v>
      </c>
      <c r="B1364" t="s">
        <v>3756</v>
      </c>
      <c r="C1364" s="1">
        <v>42771</v>
      </c>
      <c r="D1364" s="1">
        <v>42771</v>
      </c>
      <c r="E1364" s="1" t="str">
        <f t="shared" si="21"/>
        <v>MODERATE</v>
      </c>
      <c r="F1364" t="s">
        <v>1276</v>
      </c>
      <c r="G1364" t="s">
        <v>3757</v>
      </c>
      <c r="H1364" t="s">
        <v>3758</v>
      </c>
      <c r="I1364" t="s">
        <v>98</v>
      </c>
      <c r="J1364" t="s">
        <v>23</v>
      </c>
      <c r="K1364" t="s">
        <v>3759</v>
      </c>
      <c r="L1364" t="s">
        <v>1258</v>
      </c>
      <c r="M1364">
        <v>30080</v>
      </c>
      <c r="N1364" t="s">
        <v>26</v>
      </c>
      <c r="O1364" t="s">
        <v>3760</v>
      </c>
      <c r="P1364" t="s">
        <v>42</v>
      </c>
      <c r="Q1364" t="s">
        <v>86</v>
      </c>
      <c r="R1364" t="s">
        <v>3761</v>
      </c>
      <c r="S1364">
        <v>348.84</v>
      </c>
    </row>
    <row r="1365" spans="1:19" x14ac:dyDescent="0.35">
      <c r="A1365">
        <v>1385</v>
      </c>
      <c r="B1365" t="s">
        <v>3756</v>
      </c>
      <c r="C1365" s="1">
        <v>42771</v>
      </c>
      <c r="D1365" s="1">
        <v>42771</v>
      </c>
      <c r="E1365" s="1" t="str">
        <f t="shared" si="21"/>
        <v>MODERATE</v>
      </c>
      <c r="F1365" t="s">
        <v>1276</v>
      </c>
      <c r="G1365" t="s">
        <v>3757</v>
      </c>
      <c r="H1365" t="s">
        <v>3758</v>
      </c>
      <c r="I1365" t="s">
        <v>98</v>
      </c>
      <c r="J1365" t="s">
        <v>23</v>
      </c>
      <c r="K1365" t="s">
        <v>3759</v>
      </c>
      <c r="L1365" t="s">
        <v>1258</v>
      </c>
      <c r="M1365">
        <v>30080</v>
      </c>
      <c r="N1365" t="s">
        <v>26</v>
      </c>
      <c r="O1365" t="s">
        <v>3762</v>
      </c>
      <c r="P1365" t="s">
        <v>42</v>
      </c>
      <c r="Q1365" t="s">
        <v>263</v>
      </c>
      <c r="R1365" t="s">
        <v>3763</v>
      </c>
      <c r="S1365">
        <v>9.4499999999999993</v>
      </c>
    </row>
    <row r="1366" spans="1:19" x14ac:dyDescent="0.35">
      <c r="A1366">
        <v>1386</v>
      </c>
      <c r="B1366" t="s">
        <v>3756</v>
      </c>
      <c r="C1366" s="1">
        <v>42771</v>
      </c>
      <c r="D1366" s="1">
        <v>42771</v>
      </c>
      <c r="E1366" s="1" t="str">
        <f t="shared" si="21"/>
        <v>MODERATE</v>
      </c>
      <c r="F1366" t="s">
        <v>1276</v>
      </c>
      <c r="G1366" t="s">
        <v>3757</v>
      </c>
      <c r="H1366" t="s">
        <v>3758</v>
      </c>
      <c r="I1366" t="s">
        <v>98</v>
      </c>
      <c r="J1366" t="s">
        <v>23</v>
      </c>
      <c r="K1366" t="s">
        <v>3759</v>
      </c>
      <c r="L1366" t="s">
        <v>1258</v>
      </c>
      <c r="M1366">
        <v>30080</v>
      </c>
      <c r="N1366" t="s">
        <v>26</v>
      </c>
      <c r="O1366" t="s">
        <v>1070</v>
      </c>
      <c r="P1366" t="s">
        <v>28</v>
      </c>
      <c r="Q1366" t="s">
        <v>61</v>
      </c>
      <c r="R1366" t="s">
        <v>3764</v>
      </c>
      <c r="S1366">
        <v>18.84</v>
      </c>
    </row>
    <row r="1367" spans="1:19" x14ac:dyDescent="0.35">
      <c r="A1367">
        <v>1387</v>
      </c>
      <c r="B1367" t="s">
        <v>3756</v>
      </c>
      <c r="C1367" s="1">
        <v>42771</v>
      </c>
      <c r="D1367" s="1">
        <v>42771</v>
      </c>
      <c r="E1367" s="1" t="str">
        <f t="shared" si="21"/>
        <v>MODERATE</v>
      </c>
      <c r="F1367" t="s">
        <v>1276</v>
      </c>
      <c r="G1367" t="s">
        <v>3757</v>
      </c>
      <c r="H1367" t="s">
        <v>3758</v>
      </c>
      <c r="I1367" t="s">
        <v>98</v>
      </c>
      <c r="J1367" t="s">
        <v>23</v>
      </c>
      <c r="K1367" t="s">
        <v>3759</v>
      </c>
      <c r="L1367" t="s">
        <v>1258</v>
      </c>
      <c r="M1367">
        <v>30080</v>
      </c>
      <c r="N1367" t="s">
        <v>26</v>
      </c>
      <c r="O1367" t="s">
        <v>2210</v>
      </c>
      <c r="P1367" t="s">
        <v>28</v>
      </c>
      <c r="Q1367" t="s">
        <v>29</v>
      </c>
      <c r="R1367" t="s">
        <v>2211</v>
      </c>
      <c r="S1367">
        <v>239.98</v>
      </c>
    </row>
    <row r="1368" spans="1:19" x14ac:dyDescent="0.35">
      <c r="A1368">
        <v>1388</v>
      </c>
      <c r="B1368" t="s">
        <v>3756</v>
      </c>
      <c r="C1368" s="1">
        <v>42771</v>
      </c>
      <c r="D1368" s="1">
        <v>42771</v>
      </c>
      <c r="E1368" s="1" t="str">
        <f t="shared" si="21"/>
        <v>MODERATE</v>
      </c>
      <c r="F1368" t="s">
        <v>1276</v>
      </c>
      <c r="G1368" t="s">
        <v>3757</v>
      </c>
      <c r="H1368" t="s">
        <v>3758</v>
      </c>
      <c r="I1368" t="s">
        <v>98</v>
      </c>
      <c r="J1368" t="s">
        <v>23</v>
      </c>
      <c r="K1368" t="s">
        <v>3759</v>
      </c>
      <c r="L1368" t="s">
        <v>1258</v>
      </c>
      <c r="M1368">
        <v>30080</v>
      </c>
      <c r="N1368" t="s">
        <v>26</v>
      </c>
      <c r="O1368" t="s">
        <v>3765</v>
      </c>
      <c r="P1368" t="s">
        <v>42</v>
      </c>
      <c r="Q1368" t="s">
        <v>169</v>
      </c>
      <c r="R1368" t="s">
        <v>3766</v>
      </c>
      <c r="S1368">
        <v>167.96</v>
      </c>
    </row>
    <row r="1369" spans="1:19" x14ac:dyDescent="0.35">
      <c r="A1369">
        <v>1389</v>
      </c>
      <c r="B1369" t="s">
        <v>3756</v>
      </c>
      <c r="C1369" s="1">
        <v>42771</v>
      </c>
      <c r="D1369" s="1">
        <v>42771</v>
      </c>
      <c r="E1369" s="1" t="str">
        <f t="shared" si="21"/>
        <v>MODERATE</v>
      </c>
      <c r="F1369" t="s">
        <v>1276</v>
      </c>
      <c r="G1369" t="s">
        <v>3757</v>
      </c>
      <c r="H1369" t="s">
        <v>3758</v>
      </c>
      <c r="I1369" t="s">
        <v>98</v>
      </c>
      <c r="J1369" t="s">
        <v>23</v>
      </c>
      <c r="K1369" t="s">
        <v>3759</v>
      </c>
      <c r="L1369" t="s">
        <v>1258</v>
      </c>
      <c r="M1369">
        <v>30080</v>
      </c>
      <c r="N1369" t="s">
        <v>26</v>
      </c>
      <c r="O1369" t="s">
        <v>601</v>
      </c>
      <c r="P1369" t="s">
        <v>67</v>
      </c>
      <c r="Q1369" t="s">
        <v>68</v>
      </c>
      <c r="R1369" t="s">
        <v>602</v>
      </c>
      <c r="S1369">
        <v>104.85</v>
      </c>
    </row>
    <row r="1370" spans="1:19" x14ac:dyDescent="0.35">
      <c r="A1370">
        <v>1390</v>
      </c>
      <c r="B1370" t="s">
        <v>3756</v>
      </c>
      <c r="C1370" s="1">
        <v>42771</v>
      </c>
      <c r="D1370" s="1">
        <v>42771</v>
      </c>
      <c r="E1370" s="1" t="str">
        <f t="shared" si="21"/>
        <v>MODERATE</v>
      </c>
      <c r="F1370" t="s">
        <v>1276</v>
      </c>
      <c r="G1370" t="s">
        <v>3757</v>
      </c>
      <c r="H1370" t="s">
        <v>3758</v>
      </c>
      <c r="I1370" t="s">
        <v>98</v>
      </c>
      <c r="J1370" t="s">
        <v>23</v>
      </c>
      <c r="K1370" t="s">
        <v>3759</v>
      </c>
      <c r="L1370" t="s">
        <v>1258</v>
      </c>
      <c r="M1370">
        <v>30080</v>
      </c>
      <c r="N1370" t="s">
        <v>26</v>
      </c>
      <c r="O1370" t="s">
        <v>1179</v>
      </c>
      <c r="P1370" t="s">
        <v>67</v>
      </c>
      <c r="Q1370" t="s">
        <v>68</v>
      </c>
      <c r="R1370" t="s">
        <v>1180</v>
      </c>
      <c r="S1370">
        <v>484.83</v>
      </c>
    </row>
    <row r="1371" spans="1:19" x14ac:dyDescent="0.35">
      <c r="A1371">
        <v>1391</v>
      </c>
      <c r="B1371" t="s">
        <v>3756</v>
      </c>
      <c r="C1371" s="1">
        <v>42771</v>
      </c>
      <c r="D1371" s="1">
        <v>42771</v>
      </c>
      <c r="E1371" s="1" t="str">
        <f t="shared" si="21"/>
        <v>MODERATE</v>
      </c>
      <c r="F1371" t="s">
        <v>1276</v>
      </c>
      <c r="G1371" t="s">
        <v>3757</v>
      </c>
      <c r="H1371" t="s">
        <v>3758</v>
      </c>
      <c r="I1371" t="s">
        <v>98</v>
      </c>
      <c r="J1371" t="s">
        <v>23</v>
      </c>
      <c r="K1371" t="s">
        <v>3759</v>
      </c>
      <c r="L1371" t="s">
        <v>1258</v>
      </c>
      <c r="M1371">
        <v>30080</v>
      </c>
      <c r="N1371" t="s">
        <v>26</v>
      </c>
      <c r="O1371" t="s">
        <v>1710</v>
      </c>
      <c r="P1371" t="s">
        <v>42</v>
      </c>
      <c r="Q1371" t="s">
        <v>86</v>
      </c>
      <c r="R1371" t="s">
        <v>1711</v>
      </c>
      <c r="S1371">
        <v>122.97</v>
      </c>
    </row>
    <row r="1372" spans="1:19" x14ac:dyDescent="0.35">
      <c r="A1372">
        <v>1392</v>
      </c>
      <c r="B1372" t="s">
        <v>3756</v>
      </c>
      <c r="C1372" s="1">
        <v>42771</v>
      </c>
      <c r="D1372" s="1">
        <v>42771</v>
      </c>
      <c r="E1372" s="1" t="str">
        <f t="shared" si="21"/>
        <v>MODERATE</v>
      </c>
      <c r="F1372" t="s">
        <v>1276</v>
      </c>
      <c r="G1372" t="s">
        <v>3757</v>
      </c>
      <c r="H1372" t="s">
        <v>3758</v>
      </c>
      <c r="I1372" t="s">
        <v>98</v>
      </c>
      <c r="J1372" t="s">
        <v>23</v>
      </c>
      <c r="K1372" t="s">
        <v>3759</v>
      </c>
      <c r="L1372" t="s">
        <v>1258</v>
      </c>
      <c r="M1372">
        <v>30080</v>
      </c>
      <c r="N1372" t="s">
        <v>26</v>
      </c>
      <c r="O1372" t="s">
        <v>948</v>
      </c>
      <c r="P1372" t="s">
        <v>42</v>
      </c>
      <c r="Q1372" t="s">
        <v>55</v>
      </c>
      <c r="R1372" t="s">
        <v>949</v>
      </c>
      <c r="S1372">
        <v>154.44</v>
      </c>
    </row>
    <row r="1373" spans="1:19" x14ac:dyDescent="0.35">
      <c r="A1373">
        <v>1393</v>
      </c>
      <c r="B1373" t="s">
        <v>3756</v>
      </c>
      <c r="C1373" s="1">
        <v>42771</v>
      </c>
      <c r="D1373" s="1">
        <v>42771</v>
      </c>
      <c r="E1373" s="1" t="str">
        <f t="shared" si="21"/>
        <v>MODERATE</v>
      </c>
      <c r="F1373" t="s">
        <v>1276</v>
      </c>
      <c r="G1373" t="s">
        <v>3757</v>
      </c>
      <c r="H1373" t="s">
        <v>3758</v>
      </c>
      <c r="I1373" t="s">
        <v>98</v>
      </c>
      <c r="J1373" t="s">
        <v>23</v>
      </c>
      <c r="K1373" t="s">
        <v>3759</v>
      </c>
      <c r="L1373" t="s">
        <v>1258</v>
      </c>
      <c r="M1373">
        <v>30080</v>
      </c>
      <c r="N1373" t="s">
        <v>26</v>
      </c>
      <c r="O1373" t="s">
        <v>290</v>
      </c>
      <c r="P1373" t="s">
        <v>42</v>
      </c>
      <c r="Q1373" t="s">
        <v>86</v>
      </c>
      <c r="R1373" t="s">
        <v>291</v>
      </c>
      <c r="S1373">
        <v>342.37</v>
      </c>
    </row>
    <row r="1374" spans="1:19" x14ac:dyDescent="0.35">
      <c r="A1374">
        <v>1395</v>
      </c>
      <c r="B1374" t="s">
        <v>3769</v>
      </c>
      <c r="C1374" s="1">
        <v>43382</v>
      </c>
      <c r="D1374" s="1">
        <v>43387</v>
      </c>
      <c r="E1374" s="1" t="str">
        <f t="shared" si="21"/>
        <v>FAST</v>
      </c>
      <c r="F1374" t="s">
        <v>46</v>
      </c>
      <c r="G1374" t="s">
        <v>2604</v>
      </c>
      <c r="H1374" t="s">
        <v>2605</v>
      </c>
      <c r="I1374" t="s">
        <v>37</v>
      </c>
      <c r="J1374" t="s">
        <v>23</v>
      </c>
      <c r="K1374" t="s">
        <v>443</v>
      </c>
      <c r="L1374" t="s">
        <v>205</v>
      </c>
      <c r="M1374">
        <v>60505</v>
      </c>
      <c r="N1374" t="s">
        <v>101</v>
      </c>
      <c r="O1374" t="s">
        <v>3770</v>
      </c>
      <c r="P1374" t="s">
        <v>28</v>
      </c>
      <c r="Q1374" t="s">
        <v>52</v>
      </c>
      <c r="R1374" t="s">
        <v>3771</v>
      </c>
      <c r="S1374">
        <v>652.45000000000005</v>
      </c>
    </row>
    <row r="1375" spans="1:19" x14ac:dyDescent="0.35">
      <c r="A1375">
        <v>1396</v>
      </c>
      <c r="B1375" t="s">
        <v>3769</v>
      </c>
      <c r="C1375" s="1">
        <v>43382</v>
      </c>
      <c r="D1375" s="1">
        <v>43387</v>
      </c>
      <c r="E1375" s="1" t="str">
        <f t="shared" si="21"/>
        <v>FAST</v>
      </c>
      <c r="F1375" t="s">
        <v>46</v>
      </c>
      <c r="G1375" t="s">
        <v>2604</v>
      </c>
      <c r="H1375" t="s">
        <v>2605</v>
      </c>
      <c r="I1375" t="s">
        <v>37</v>
      </c>
      <c r="J1375" t="s">
        <v>23</v>
      </c>
      <c r="K1375" t="s">
        <v>443</v>
      </c>
      <c r="L1375" t="s">
        <v>205</v>
      </c>
      <c r="M1375">
        <v>60505</v>
      </c>
      <c r="N1375" t="s">
        <v>101</v>
      </c>
      <c r="O1375" t="s">
        <v>3772</v>
      </c>
      <c r="P1375" t="s">
        <v>28</v>
      </c>
      <c r="Q1375" t="s">
        <v>52</v>
      </c>
      <c r="R1375" t="s">
        <v>3773</v>
      </c>
      <c r="S1375">
        <v>66.644999999999996</v>
      </c>
    </row>
    <row r="1376" spans="1:19" x14ac:dyDescent="0.35">
      <c r="A1376">
        <v>1397</v>
      </c>
      <c r="B1376" t="s">
        <v>3774</v>
      </c>
      <c r="C1376" s="1">
        <v>43063</v>
      </c>
      <c r="D1376" s="1">
        <v>43065</v>
      </c>
      <c r="E1376" s="1" t="str">
        <f t="shared" si="21"/>
        <v>MODERATE</v>
      </c>
      <c r="F1376" t="s">
        <v>184</v>
      </c>
      <c r="G1376" t="s">
        <v>3270</v>
      </c>
      <c r="H1376" t="s">
        <v>3271</v>
      </c>
      <c r="I1376" t="s">
        <v>22</v>
      </c>
      <c r="J1376" t="s">
        <v>23</v>
      </c>
      <c r="K1376" t="s">
        <v>260</v>
      </c>
      <c r="L1376" t="s">
        <v>261</v>
      </c>
      <c r="M1376">
        <v>10035</v>
      </c>
      <c r="N1376" t="s">
        <v>144</v>
      </c>
      <c r="O1376" t="s">
        <v>3775</v>
      </c>
      <c r="P1376" t="s">
        <v>42</v>
      </c>
      <c r="Q1376" t="s">
        <v>71</v>
      </c>
      <c r="R1376" t="s">
        <v>3776</v>
      </c>
      <c r="S1376">
        <v>17.216000000000001</v>
      </c>
    </row>
    <row r="1377" spans="1:19" x14ac:dyDescent="0.35">
      <c r="A1377">
        <v>1398</v>
      </c>
      <c r="B1377" t="s">
        <v>3774</v>
      </c>
      <c r="C1377" s="1">
        <v>43063</v>
      </c>
      <c r="D1377" s="1">
        <v>43065</v>
      </c>
      <c r="E1377" s="1" t="str">
        <f t="shared" si="21"/>
        <v>MODERATE</v>
      </c>
      <c r="F1377" t="s">
        <v>184</v>
      </c>
      <c r="G1377" t="s">
        <v>3270</v>
      </c>
      <c r="H1377" t="s">
        <v>3271</v>
      </c>
      <c r="I1377" t="s">
        <v>22</v>
      </c>
      <c r="J1377" t="s">
        <v>23</v>
      </c>
      <c r="K1377" t="s">
        <v>260</v>
      </c>
      <c r="L1377" t="s">
        <v>261</v>
      </c>
      <c r="M1377">
        <v>10035</v>
      </c>
      <c r="N1377" t="s">
        <v>144</v>
      </c>
      <c r="O1377" t="s">
        <v>2346</v>
      </c>
      <c r="P1377" t="s">
        <v>42</v>
      </c>
      <c r="Q1377" t="s">
        <v>86</v>
      </c>
      <c r="R1377" t="s">
        <v>2347</v>
      </c>
      <c r="S1377">
        <v>11.56</v>
      </c>
    </row>
    <row r="1378" spans="1:19" x14ac:dyDescent="0.35">
      <c r="A1378">
        <v>1399</v>
      </c>
      <c r="B1378" t="s">
        <v>3774</v>
      </c>
      <c r="C1378" s="1">
        <v>43063</v>
      </c>
      <c r="D1378" s="1">
        <v>43065</v>
      </c>
      <c r="E1378" s="1" t="str">
        <f t="shared" si="21"/>
        <v>MODERATE</v>
      </c>
      <c r="F1378" t="s">
        <v>184</v>
      </c>
      <c r="G1378" t="s">
        <v>3270</v>
      </c>
      <c r="H1378" t="s">
        <v>3271</v>
      </c>
      <c r="I1378" t="s">
        <v>22</v>
      </c>
      <c r="J1378" t="s">
        <v>23</v>
      </c>
      <c r="K1378" t="s">
        <v>260</v>
      </c>
      <c r="L1378" t="s">
        <v>261</v>
      </c>
      <c r="M1378">
        <v>10035</v>
      </c>
      <c r="N1378" t="s">
        <v>144</v>
      </c>
      <c r="O1378" t="s">
        <v>742</v>
      </c>
      <c r="P1378" t="s">
        <v>67</v>
      </c>
      <c r="Q1378" t="s">
        <v>157</v>
      </c>
      <c r="R1378" t="s">
        <v>743</v>
      </c>
      <c r="S1378">
        <v>88.4</v>
      </c>
    </row>
    <row r="1379" spans="1:19" x14ac:dyDescent="0.35">
      <c r="A1379">
        <v>1400</v>
      </c>
      <c r="B1379" t="s">
        <v>3774</v>
      </c>
      <c r="C1379" s="1">
        <v>43063</v>
      </c>
      <c r="D1379" s="1">
        <v>43065</v>
      </c>
      <c r="E1379" s="1" t="str">
        <f t="shared" si="21"/>
        <v>MODERATE</v>
      </c>
      <c r="F1379" t="s">
        <v>184</v>
      </c>
      <c r="G1379" t="s">
        <v>3270</v>
      </c>
      <c r="H1379" t="s">
        <v>3271</v>
      </c>
      <c r="I1379" t="s">
        <v>22</v>
      </c>
      <c r="J1379" t="s">
        <v>23</v>
      </c>
      <c r="K1379" t="s">
        <v>260</v>
      </c>
      <c r="L1379" t="s">
        <v>261</v>
      </c>
      <c r="M1379">
        <v>10035</v>
      </c>
      <c r="N1379" t="s">
        <v>144</v>
      </c>
      <c r="O1379" t="s">
        <v>3777</v>
      </c>
      <c r="P1379" t="s">
        <v>42</v>
      </c>
      <c r="Q1379" t="s">
        <v>86</v>
      </c>
      <c r="R1379" t="s">
        <v>3778</v>
      </c>
      <c r="S1379">
        <v>6.48</v>
      </c>
    </row>
    <row r="1380" spans="1:19" x14ac:dyDescent="0.35">
      <c r="A1380">
        <v>1401</v>
      </c>
      <c r="B1380" t="s">
        <v>3779</v>
      </c>
      <c r="C1380" s="1">
        <v>43040</v>
      </c>
      <c r="D1380" s="1">
        <v>43044</v>
      </c>
      <c r="E1380" s="1" t="str">
        <f t="shared" si="21"/>
        <v>FAST</v>
      </c>
      <c r="F1380" t="s">
        <v>46</v>
      </c>
      <c r="G1380" t="s">
        <v>3780</v>
      </c>
      <c r="H1380" t="s">
        <v>3781</v>
      </c>
      <c r="I1380" t="s">
        <v>98</v>
      </c>
      <c r="J1380" t="s">
        <v>23</v>
      </c>
      <c r="K1380" t="s">
        <v>1956</v>
      </c>
      <c r="L1380" t="s">
        <v>313</v>
      </c>
      <c r="M1380">
        <v>24153</v>
      </c>
      <c r="N1380" t="s">
        <v>26</v>
      </c>
      <c r="O1380" t="s">
        <v>242</v>
      </c>
      <c r="P1380" t="s">
        <v>67</v>
      </c>
      <c r="Q1380" t="s">
        <v>68</v>
      </c>
      <c r="R1380" t="s">
        <v>243</v>
      </c>
      <c r="S1380">
        <v>21.8</v>
      </c>
    </row>
    <row r="1381" spans="1:19" x14ac:dyDescent="0.35">
      <c r="A1381">
        <v>1402</v>
      </c>
      <c r="B1381" t="s">
        <v>3779</v>
      </c>
      <c r="C1381" s="1">
        <v>43040</v>
      </c>
      <c r="D1381" s="1">
        <v>43044</v>
      </c>
      <c r="E1381" s="1" t="str">
        <f t="shared" si="21"/>
        <v>FAST</v>
      </c>
      <c r="F1381" t="s">
        <v>46</v>
      </c>
      <c r="G1381" t="s">
        <v>3780</v>
      </c>
      <c r="H1381" t="s">
        <v>3781</v>
      </c>
      <c r="I1381" t="s">
        <v>98</v>
      </c>
      <c r="J1381" t="s">
        <v>23</v>
      </c>
      <c r="K1381" t="s">
        <v>1956</v>
      </c>
      <c r="L1381" t="s">
        <v>313</v>
      </c>
      <c r="M1381">
        <v>24153</v>
      </c>
      <c r="N1381" t="s">
        <v>26</v>
      </c>
      <c r="O1381" t="s">
        <v>2138</v>
      </c>
      <c r="P1381" t="s">
        <v>42</v>
      </c>
      <c r="Q1381" t="s">
        <v>169</v>
      </c>
      <c r="R1381" t="s">
        <v>2139</v>
      </c>
      <c r="S1381">
        <v>251.79</v>
      </c>
    </row>
    <row r="1382" spans="1:19" x14ac:dyDescent="0.35">
      <c r="A1382">
        <v>1403</v>
      </c>
      <c r="B1382" t="s">
        <v>3782</v>
      </c>
      <c r="C1382" s="1">
        <v>42844</v>
      </c>
      <c r="D1382" s="1">
        <v>42850</v>
      </c>
      <c r="E1382" s="1" t="str">
        <f t="shared" si="21"/>
        <v>FAST</v>
      </c>
      <c r="F1382" t="s">
        <v>46</v>
      </c>
      <c r="G1382" t="s">
        <v>385</v>
      </c>
      <c r="H1382" t="s">
        <v>386</v>
      </c>
      <c r="I1382" t="s">
        <v>98</v>
      </c>
      <c r="J1382" t="s">
        <v>23</v>
      </c>
      <c r="K1382" t="s">
        <v>484</v>
      </c>
      <c r="L1382" t="s">
        <v>485</v>
      </c>
      <c r="M1382">
        <v>43229</v>
      </c>
      <c r="N1382" t="s">
        <v>144</v>
      </c>
      <c r="O1382" t="s">
        <v>3783</v>
      </c>
      <c r="P1382" t="s">
        <v>28</v>
      </c>
      <c r="Q1382" t="s">
        <v>52</v>
      </c>
      <c r="R1382" t="s">
        <v>3784</v>
      </c>
      <c r="S1382">
        <v>205.17599999999999</v>
      </c>
    </row>
    <row r="1383" spans="1:19" x14ac:dyDescent="0.35">
      <c r="A1383">
        <v>1404</v>
      </c>
      <c r="B1383" t="s">
        <v>3782</v>
      </c>
      <c r="C1383" s="1">
        <v>42844</v>
      </c>
      <c r="D1383" s="1">
        <v>42850</v>
      </c>
      <c r="E1383" s="1" t="str">
        <f t="shared" si="21"/>
        <v>FAST</v>
      </c>
      <c r="F1383" t="s">
        <v>46</v>
      </c>
      <c r="G1383" t="s">
        <v>385</v>
      </c>
      <c r="H1383" t="s">
        <v>386</v>
      </c>
      <c r="I1383" t="s">
        <v>98</v>
      </c>
      <c r="J1383" t="s">
        <v>23</v>
      </c>
      <c r="K1383" t="s">
        <v>484</v>
      </c>
      <c r="L1383" t="s">
        <v>485</v>
      </c>
      <c r="M1383">
        <v>43229</v>
      </c>
      <c r="N1383" t="s">
        <v>144</v>
      </c>
      <c r="O1383" t="s">
        <v>3785</v>
      </c>
      <c r="P1383" t="s">
        <v>42</v>
      </c>
      <c r="Q1383" t="s">
        <v>86</v>
      </c>
      <c r="R1383" t="s">
        <v>3786</v>
      </c>
      <c r="S1383">
        <v>419.4</v>
      </c>
    </row>
    <row r="1384" spans="1:19" x14ac:dyDescent="0.35">
      <c r="A1384">
        <v>1405</v>
      </c>
      <c r="B1384" t="s">
        <v>3787</v>
      </c>
      <c r="C1384" s="1">
        <v>42100</v>
      </c>
      <c r="D1384" s="1">
        <v>42102</v>
      </c>
      <c r="E1384" s="1" t="str">
        <f t="shared" si="21"/>
        <v>MODERATE</v>
      </c>
      <c r="F1384" t="s">
        <v>184</v>
      </c>
      <c r="G1384" t="s">
        <v>1481</v>
      </c>
      <c r="H1384" t="s">
        <v>1482</v>
      </c>
      <c r="I1384" t="s">
        <v>98</v>
      </c>
      <c r="J1384" t="s">
        <v>23</v>
      </c>
      <c r="K1384" t="s">
        <v>142</v>
      </c>
      <c r="L1384" t="s">
        <v>143</v>
      </c>
      <c r="M1384">
        <v>19143</v>
      </c>
      <c r="N1384" t="s">
        <v>144</v>
      </c>
      <c r="O1384" t="s">
        <v>1939</v>
      </c>
      <c r="P1384" t="s">
        <v>42</v>
      </c>
      <c r="Q1384" t="s">
        <v>566</v>
      </c>
      <c r="R1384" t="s">
        <v>1940</v>
      </c>
      <c r="S1384">
        <v>10.304</v>
      </c>
    </row>
    <row r="1385" spans="1:19" x14ac:dyDescent="0.35">
      <c r="A1385">
        <v>1406</v>
      </c>
      <c r="B1385" t="s">
        <v>3787</v>
      </c>
      <c r="C1385" s="1">
        <v>42100</v>
      </c>
      <c r="D1385" s="1">
        <v>42102</v>
      </c>
      <c r="E1385" s="1" t="str">
        <f t="shared" si="21"/>
        <v>MODERATE</v>
      </c>
      <c r="F1385" t="s">
        <v>184</v>
      </c>
      <c r="G1385" t="s">
        <v>1481</v>
      </c>
      <c r="H1385" t="s">
        <v>1482</v>
      </c>
      <c r="I1385" t="s">
        <v>98</v>
      </c>
      <c r="J1385" t="s">
        <v>23</v>
      </c>
      <c r="K1385" t="s">
        <v>142</v>
      </c>
      <c r="L1385" t="s">
        <v>143</v>
      </c>
      <c r="M1385">
        <v>19143</v>
      </c>
      <c r="N1385" t="s">
        <v>144</v>
      </c>
      <c r="O1385" t="s">
        <v>3788</v>
      </c>
      <c r="P1385" t="s">
        <v>28</v>
      </c>
      <c r="Q1385" t="s">
        <v>52</v>
      </c>
      <c r="R1385" t="s">
        <v>3242</v>
      </c>
      <c r="S1385">
        <v>154.76400000000001</v>
      </c>
    </row>
    <row r="1386" spans="1:19" x14ac:dyDescent="0.35">
      <c r="A1386">
        <v>1407</v>
      </c>
      <c r="B1386" t="s">
        <v>3787</v>
      </c>
      <c r="C1386" s="1">
        <v>42100</v>
      </c>
      <c r="D1386" s="1">
        <v>42102</v>
      </c>
      <c r="E1386" s="1" t="str">
        <f t="shared" si="21"/>
        <v>MODERATE</v>
      </c>
      <c r="F1386" t="s">
        <v>184</v>
      </c>
      <c r="G1386" t="s">
        <v>1481</v>
      </c>
      <c r="H1386" t="s">
        <v>1482</v>
      </c>
      <c r="I1386" t="s">
        <v>98</v>
      </c>
      <c r="J1386" t="s">
        <v>23</v>
      </c>
      <c r="K1386" t="s">
        <v>142</v>
      </c>
      <c r="L1386" t="s">
        <v>143</v>
      </c>
      <c r="M1386">
        <v>19143</v>
      </c>
      <c r="N1386" t="s">
        <v>144</v>
      </c>
      <c r="O1386" t="s">
        <v>719</v>
      </c>
      <c r="P1386" t="s">
        <v>67</v>
      </c>
      <c r="Q1386" t="s">
        <v>157</v>
      </c>
      <c r="R1386" t="s">
        <v>720</v>
      </c>
      <c r="S1386">
        <v>116.78400000000001</v>
      </c>
    </row>
    <row r="1387" spans="1:19" x14ac:dyDescent="0.35">
      <c r="A1387">
        <v>1408</v>
      </c>
      <c r="B1387" t="s">
        <v>3789</v>
      </c>
      <c r="C1387" s="1">
        <v>42980</v>
      </c>
      <c r="D1387" s="1">
        <v>42984</v>
      </c>
      <c r="E1387" s="1" t="str">
        <f t="shared" si="21"/>
        <v>FAST</v>
      </c>
      <c r="F1387" t="s">
        <v>46</v>
      </c>
      <c r="G1387" t="s">
        <v>310</v>
      </c>
      <c r="H1387" t="s">
        <v>311</v>
      </c>
      <c r="I1387" t="s">
        <v>22</v>
      </c>
      <c r="J1387" t="s">
        <v>23</v>
      </c>
      <c r="K1387" t="s">
        <v>260</v>
      </c>
      <c r="L1387" t="s">
        <v>261</v>
      </c>
      <c r="M1387">
        <v>10024</v>
      </c>
      <c r="N1387" t="s">
        <v>144</v>
      </c>
      <c r="O1387" t="s">
        <v>3790</v>
      </c>
      <c r="P1387" t="s">
        <v>42</v>
      </c>
      <c r="Q1387" t="s">
        <v>64</v>
      </c>
      <c r="R1387" t="s">
        <v>3791</v>
      </c>
      <c r="S1387">
        <v>75.48</v>
      </c>
    </row>
    <row r="1388" spans="1:19" x14ac:dyDescent="0.35">
      <c r="A1388">
        <v>1409</v>
      </c>
      <c r="B1388" t="s">
        <v>3789</v>
      </c>
      <c r="C1388" s="1">
        <v>42980</v>
      </c>
      <c r="D1388" s="1">
        <v>42984</v>
      </c>
      <c r="E1388" s="1" t="str">
        <f t="shared" si="21"/>
        <v>FAST</v>
      </c>
      <c r="F1388" t="s">
        <v>46</v>
      </c>
      <c r="G1388" t="s">
        <v>310</v>
      </c>
      <c r="H1388" t="s">
        <v>311</v>
      </c>
      <c r="I1388" t="s">
        <v>22</v>
      </c>
      <c r="J1388" t="s">
        <v>23</v>
      </c>
      <c r="K1388" t="s">
        <v>260</v>
      </c>
      <c r="L1388" t="s">
        <v>261</v>
      </c>
      <c r="M1388">
        <v>10024</v>
      </c>
      <c r="N1388" t="s">
        <v>144</v>
      </c>
      <c r="O1388" t="s">
        <v>1174</v>
      </c>
      <c r="P1388" t="s">
        <v>28</v>
      </c>
      <c r="Q1388" t="s">
        <v>61</v>
      </c>
      <c r="R1388" t="s">
        <v>1175</v>
      </c>
      <c r="S1388">
        <v>39.979999999999997</v>
      </c>
    </row>
    <row r="1389" spans="1:19" x14ac:dyDescent="0.35">
      <c r="A1389">
        <v>1410</v>
      </c>
      <c r="B1389" t="s">
        <v>3792</v>
      </c>
      <c r="C1389" s="1">
        <v>43003</v>
      </c>
      <c r="D1389" s="1">
        <v>43008</v>
      </c>
      <c r="E1389" s="1" t="str">
        <f t="shared" si="21"/>
        <v>FAST</v>
      </c>
      <c r="F1389" t="s">
        <v>46</v>
      </c>
      <c r="G1389" t="s">
        <v>3793</v>
      </c>
      <c r="H1389" t="s">
        <v>3794</v>
      </c>
      <c r="I1389" t="s">
        <v>22</v>
      </c>
      <c r="J1389" t="s">
        <v>23</v>
      </c>
      <c r="K1389" t="s">
        <v>531</v>
      </c>
      <c r="L1389" t="s">
        <v>304</v>
      </c>
      <c r="M1389">
        <v>85023</v>
      </c>
      <c r="N1389" t="s">
        <v>40</v>
      </c>
      <c r="O1389" t="s">
        <v>2847</v>
      </c>
      <c r="P1389" t="s">
        <v>28</v>
      </c>
      <c r="Q1389" t="s">
        <v>52</v>
      </c>
      <c r="R1389" t="s">
        <v>2848</v>
      </c>
      <c r="S1389">
        <v>393.16500000000002</v>
      </c>
    </row>
    <row r="1390" spans="1:19" x14ac:dyDescent="0.35">
      <c r="A1390">
        <v>1411</v>
      </c>
      <c r="B1390" t="s">
        <v>3795</v>
      </c>
      <c r="C1390" s="1">
        <v>43408</v>
      </c>
      <c r="D1390" s="1">
        <v>43415</v>
      </c>
      <c r="E1390" s="1" t="str">
        <f t="shared" si="21"/>
        <v>FAST</v>
      </c>
      <c r="F1390" t="s">
        <v>46</v>
      </c>
      <c r="G1390" t="s">
        <v>3725</v>
      </c>
      <c r="H1390" t="s">
        <v>3726</v>
      </c>
      <c r="I1390" t="s">
        <v>98</v>
      </c>
      <c r="J1390" t="s">
        <v>23</v>
      </c>
      <c r="K1390" t="s">
        <v>747</v>
      </c>
      <c r="L1390" t="s">
        <v>100</v>
      </c>
      <c r="M1390">
        <v>75051</v>
      </c>
      <c r="N1390" t="s">
        <v>101</v>
      </c>
      <c r="O1390" t="s">
        <v>1647</v>
      </c>
      <c r="P1390" t="s">
        <v>42</v>
      </c>
      <c r="Q1390" t="s">
        <v>43</v>
      </c>
      <c r="R1390" t="s">
        <v>1648</v>
      </c>
      <c r="S1390">
        <v>23.68</v>
      </c>
    </row>
    <row r="1391" spans="1:19" x14ac:dyDescent="0.35">
      <c r="A1391">
        <v>1412</v>
      </c>
      <c r="B1391" t="s">
        <v>3796</v>
      </c>
      <c r="C1391" s="1">
        <v>42925</v>
      </c>
      <c r="D1391" s="1">
        <v>42929</v>
      </c>
      <c r="E1391" s="1" t="str">
        <f t="shared" si="21"/>
        <v>FAST</v>
      </c>
      <c r="F1391" t="s">
        <v>46</v>
      </c>
      <c r="G1391" t="s">
        <v>569</v>
      </c>
      <c r="H1391" t="s">
        <v>570</v>
      </c>
      <c r="I1391" t="s">
        <v>37</v>
      </c>
      <c r="J1391" t="s">
        <v>23</v>
      </c>
      <c r="K1391" t="s">
        <v>260</v>
      </c>
      <c r="L1391" t="s">
        <v>261</v>
      </c>
      <c r="M1391">
        <v>10035</v>
      </c>
      <c r="N1391" t="s">
        <v>144</v>
      </c>
      <c r="O1391" t="s">
        <v>2427</v>
      </c>
      <c r="P1391" t="s">
        <v>28</v>
      </c>
      <c r="Q1391" t="s">
        <v>32</v>
      </c>
      <c r="R1391" t="s">
        <v>2428</v>
      </c>
      <c r="S1391">
        <v>408.00599999999997</v>
      </c>
    </row>
    <row r="1392" spans="1:19" x14ac:dyDescent="0.35">
      <c r="A1392">
        <v>1413</v>
      </c>
      <c r="B1392" t="s">
        <v>3796</v>
      </c>
      <c r="C1392" s="1">
        <v>42925</v>
      </c>
      <c r="D1392" s="1">
        <v>42929</v>
      </c>
      <c r="E1392" s="1" t="str">
        <f t="shared" si="21"/>
        <v>FAST</v>
      </c>
      <c r="F1392" t="s">
        <v>46</v>
      </c>
      <c r="G1392" t="s">
        <v>569</v>
      </c>
      <c r="H1392" t="s">
        <v>570</v>
      </c>
      <c r="I1392" t="s">
        <v>37</v>
      </c>
      <c r="J1392" t="s">
        <v>23</v>
      </c>
      <c r="K1392" t="s">
        <v>260</v>
      </c>
      <c r="L1392" t="s">
        <v>261</v>
      </c>
      <c r="M1392">
        <v>10035</v>
      </c>
      <c r="N1392" t="s">
        <v>144</v>
      </c>
      <c r="O1392" t="s">
        <v>1838</v>
      </c>
      <c r="P1392" t="s">
        <v>28</v>
      </c>
      <c r="Q1392" t="s">
        <v>61</v>
      </c>
      <c r="R1392" t="s">
        <v>1839</v>
      </c>
      <c r="S1392">
        <v>165.28</v>
      </c>
    </row>
    <row r="1393" spans="1:19" x14ac:dyDescent="0.35">
      <c r="A1393">
        <v>1414</v>
      </c>
      <c r="B1393" t="s">
        <v>3797</v>
      </c>
      <c r="C1393" s="1">
        <v>42185</v>
      </c>
      <c r="D1393" s="1">
        <v>42190</v>
      </c>
      <c r="E1393" s="1" t="str">
        <f t="shared" si="21"/>
        <v>FAST</v>
      </c>
      <c r="F1393" t="s">
        <v>46</v>
      </c>
      <c r="G1393" t="s">
        <v>3798</v>
      </c>
      <c r="H1393" t="s">
        <v>3799</v>
      </c>
      <c r="I1393" t="s">
        <v>22</v>
      </c>
      <c r="J1393" t="s">
        <v>23</v>
      </c>
      <c r="K1393" t="s">
        <v>260</v>
      </c>
      <c r="L1393" t="s">
        <v>261</v>
      </c>
      <c r="M1393">
        <v>10024</v>
      </c>
      <c r="N1393" t="s">
        <v>144</v>
      </c>
      <c r="O1393" t="s">
        <v>3800</v>
      </c>
      <c r="P1393" t="s">
        <v>42</v>
      </c>
      <c r="Q1393" t="s">
        <v>71</v>
      </c>
      <c r="R1393" t="s">
        <v>3801</v>
      </c>
      <c r="S1393">
        <v>334.76799999999997</v>
      </c>
    </row>
    <row r="1394" spans="1:19" x14ac:dyDescent="0.35">
      <c r="A1394">
        <v>1415</v>
      </c>
      <c r="B1394" t="s">
        <v>3802</v>
      </c>
      <c r="C1394" s="1">
        <v>43128</v>
      </c>
      <c r="D1394" s="1">
        <v>43131</v>
      </c>
      <c r="E1394" s="1" t="str">
        <f t="shared" si="21"/>
        <v>SLOW</v>
      </c>
      <c r="F1394" t="s">
        <v>19</v>
      </c>
      <c r="G1394" t="s">
        <v>3803</v>
      </c>
      <c r="H1394" t="s">
        <v>3804</v>
      </c>
      <c r="I1394" t="s">
        <v>98</v>
      </c>
      <c r="J1394" t="s">
        <v>23</v>
      </c>
      <c r="K1394" t="s">
        <v>1691</v>
      </c>
      <c r="L1394" t="s">
        <v>39</v>
      </c>
      <c r="M1394">
        <v>92627</v>
      </c>
      <c r="N1394" t="s">
        <v>40</v>
      </c>
      <c r="O1394" t="s">
        <v>3514</v>
      </c>
      <c r="P1394" t="s">
        <v>67</v>
      </c>
      <c r="Q1394" t="s">
        <v>157</v>
      </c>
      <c r="R1394" t="s">
        <v>3515</v>
      </c>
      <c r="S1394">
        <v>239.97</v>
      </c>
    </row>
    <row r="1395" spans="1:19" x14ac:dyDescent="0.35">
      <c r="A1395">
        <v>1416</v>
      </c>
      <c r="B1395" t="s">
        <v>3802</v>
      </c>
      <c r="C1395" s="1">
        <v>43128</v>
      </c>
      <c r="D1395" s="1">
        <v>43131</v>
      </c>
      <c r="E1395" s="1" t="str">
        <f t="shared" si="21"/>
        <v>SLOW</v>
      </c>
      <c r="F1395" t="s">
        <v>19</v>
      </c>
      <c r="G1395" t="s">
        <v>3803</v>
      </c>
      <c r="H1395" t="s">
        <v>3804</v>
      </c>
      <c r="I1395" t="s">
        <v>98</v>
      </c>
      <c r="J1395" t="s">
        <v>23</v>
      </c>
      <c r="K1395" t="s">
        <v>1691</v>
      </c>
      <c r="L1395" t="s">
        <v>39</v>
      </c>
      <c r="M1395">
        <v>92627</v>
      </c>
      <c r="N1395" t="s">
        <v>40</v>
      </c>
      <c r="O1395" t="s">
        <v>3805</v>
      </c>
      <c r="P1395" t="s">
        <v>28</v>
      </c>
      <c r="Q1395" t="s">
        <v>61</v>
      </c>
      <c r="R1395" t="s">
        <v>3806</v>
      </c>
      <c r="S1395">
        <v>37.74</v>
      </c>
    </row>
    <row r="1396" spans="1:19" x14ac:dyDescent="0.35">
      <c r="A1396">
        <v>1417</v>
      </c>
      <c r="B1396" t="s">
        <v>3807</v>
      </c>
      <c r="C1396" s="1">
        <v>42634</v>
      </c>
      <c r="D1396" s="1">
        <v>42637</v>
      </c>
      <c r="E1396" s="1" t="str">
        <f t="shared" si="21"/>
        <v>MODERATE</v>
      </c>
      <c r="F1396" t="s">
        <v>184</v>
      </c>
      <c r="G1396" t="s">
        <v>3808</v>
      </c>
      <c r="H1396" t="s">
        <v>3809</v>
      </c>
      <c r="I1396" t="s">
        <v>37</v>
      </c>
      <c r="J1396" t="s">
        <v>23</v>
      </c>
      <c r="K1396" t="s">
        <v>180</v>
      </c>
      <c r="L1396" t="s">
        <v>100</v>
      </c>
      <c r="M1396">
        <v>77041</v>
      </c>
      <c r="N1396" t="s">
        <v>101</v>
      </c>
      <c r="O1396" t="s">
        <v>3810</v>
      </c>
      <c r="P1396" t="s">
        <v>67</v>
      </c>
      <c r="Q1396" t="s">
        <v>68</v>
      </c>
      <c r="R1396" t="s">
        <v>3811</v>
      </c>
      <c r="S1396">
        <v>946.34400000000005</v>
      </c>
    </row>
    <row r="1397" spans="1:19" x14ac:dyDescent="0.35">
      <c r="A1397">
        <v>1418</v>
      </c>
      <c r="B1397" t="s">
        <v>3807</v>
      </c>
      <c r="C1397" s="1">
        <v>42634</v>
      </c>
      <c r="D1397" s="1">
        <v>42637</v>
      </c>
      <c r="E1397" s="1" t="str">
        <f t="shared" si="21"/>
        <v>MODERATE</v>
      </c>
      <c r="F1397" t="s">
        <v>184</v>
      </c>
      <c r="G1397" t="s">
        <v>3808</v>
      </c>
      <c r="H1397" t="s">
        <v>3809</v>
      </c>
      <c r="I1397" t="s">
        <v>37</v>
      </c>
      <c r="J1397" t="s">
        <v>23</v>
      </c>
      <c r="K1397" t="s">
        <v>180</v>
      </c>
      <c r="L1397" t="s">
        <v>100</v>
      </c>
      <c r="M1397">
        <v>77041</v>
      </c>
      <c r="N1397" t="s">
        <v>101</v>
      </c>
      <c r="O1397" t="s">
        <v>2801</v>
      </c>
      <c r="P1397" t="s">
        <v>67</v>
      </c>
      <c r="Q1397" t="s">
        <v>157</v>
      </c>
      <c r="R1397" t="s">
        <v>2802</v>
      </c>
      <c r="S1397">
        <v>151.19999999999999</v>
      </c>
    </row>
    <row r="1398" spans="1:19" x14ac:dyDescent="0.35">
      <c r="A1398">
        <v>1419</v>
      </c>
      <c r="B1398" t="s">
        <v>3807</v>
      </c>
      <c r="C1398" s="1">
        <v>42634</v>
      </c>
      <c r="D1398" s="1">
        <v>42637</v>
      </c>
      <c r="E1398" s="1" t="str">
        <f t="shared" si="21"/>
        <v>MODERATE</v>
      </c>
      <c r="F1398" t="s">
        <v>184</v>
      </c>
      <c r="G1398" t="s">
        <v>3808</v>
      </c>
      <c r="H1398" t="s">
        <v>3809</v>
      </c>
      <c r="I1398" t="s">
        <v>37</v>
      </c>
      <c r="J1398" t="s">
        <v>23</v>
      </c>
      <c r="K1398" t="s">
        <v>180</v>
      </c>
      <c r="L1398" t="s">
        <v>100</v>
      </c>
      <c r="M1398">
        <v>77041</v>
      </c>
      <c r="N1398" t="s">
        <v>101</v>
      </c>
      <c r="O1398" t="s">
        <v>253</v>
      </c>
      <c r="P1398" t="s">
        <v>28</v>
      </c>
      <c r="Q1398" t="s">
        <v>61</v>
      </c>
      <c r="R1398" t="s">
        <v>254</v>
      </c>
      <c r="S1398">
        <v>4.9279999999999999</v>
      </c>
    </row>
    <row r="1399" spans="1:19" x14ac:dyDescent="0.35">
      <c r="A1399">
        <v>1420</v>
      </c>
      <c r="B1399" t="s">
        <v>3812</v>
      </c>
      <c r="C1399" s="1">
        <v>42639</v>
      </c>
      <c r="D1399" s="1">
        <v>42643</v>
      </c>
      <c r="E1399" s="1" t="str">
        <f t="shared" si="21"/>
        <v>FAST</v>
      </c>
      <c r="F1399" t="s">
        <v>46</v>
      </c>
      <c r="G1399" t="s">
        <v>3813</v>
      </c>
      <c r="H1399" t="s">
        <v>3814</v>
      </c>
      <c r="I1399" t="s">
        <v>37</v>
      </c>
      <c r="J1399" t="s">
        <v>23</v>
      </c>
      <c r="K1399" t="s">
        <v>1803</v>
      </c>
      <c r="L1399" t="s">
        <v>304</v>
      </c>
      <c r="M1399">
        <v>85204</v>
      </c>
      <c r="N1399" t="s">
        <v>40</v>
      </c>
      <c r="O1399" t="s">
        <v>3815</v>
      </c>
      <c r="P1399" t="s">
        <v>42</v>
      </c>
      <c r="Q1399" t="s">
        <v>86</v>
      </c>
      <c r="R1399" t="s">
        <v>3816</v>
      </c>
      <c r="S1399">
        <v>86.272000000000006</v>
      </c>
    </row>
    <row r="1400" spans="1:19" x14ac:dyDescent="0.35">
      <c r="A1400">
        <v>1421</v>
      </c>
      <c r="B1400" t="s">
        <v>3812</v>
      </c>
      <c r="C1400" s="1">
        <v>42639</v>
      </c>
      <c r="D1400" s="1">
        <v>42643</v>
      </c>
      <c r="E1400" s="1" t="str">
        <f t="shared" si="21"/>
        <v>FAST</v>
      </c>
      <c r="F1400" t="s">
        <v>46</v>
      </c>
      <c r="G1400" t="s">
        <v>3813</v>
      </c>
      <c r="H1400" t="s">
        <v>3814</v>
      </c>
      <c r="I1400" t="s">
        <v>37</v>
      </c>
      <c r="J1400" t="s">
        <v>23</v>
      </c>
      <c r="K1400" t="s">
        <v>1803</v>
      </c>
      <c r="L1400" t="s">
        <v>304</v>
      </c>
      <c r="M1400">
        <v>85204</v>
      </c>
      <c r="N1400" t="s">
        <v>40</v>
      </c>
      <c r="O1400" t="s">
        <v>1051</v>
      </c>
      <c r="P1400" t="s">
        <v>42</v>
      </c>
      <c r="Q1400" t="s">
        <v>71</v>
      </c>
      <c r="R1400" t="s">
        <v>1052</v>
      </c>
      <c r="S1400">
        <v>72.587999999999994</v>
      </c>
    </row>
    <row r="1401" spans="1:19" x14ac:dyDescent="0.35">
      <c r="A1401">
        <v>1423</v>
      </c>
      <c r="B1401" t="s">
        <v>3812</v>
      </c>
      <c r="C1401" s="1">
        <v>42639</v>
      </c>
      <c r="D1401" s="1">
        <v>42643</v>
      </c>
      <c r="E1401" s="1" t="str">
        <f t="shared" si="21"/>
        <v>FAST</v>
      </c>
      <c r="F1401" t="s">
        <v>46</v>
      </c>
      <c r="G1401" t="s">
        <v>3813</v>
      </c>
      <c r="H1401" t="s">
        <v>3814</v>
      </c>
      <c r="I1401" t="s">
        <v>37</v>
      </c>
      <c r="J1401" t="s">
        <v>23</v>
      </c>
      <c r="K1401" t="s">
        <v>1803</v>
      </c>
      <c r="L1401" t="s">
        <v>304</v>
      </c>
      <c r="M1401">
        <v>85204</v>
      </c>
      <c r="N1401" t="s">
        <v>40</v>
      </c>
      <c r="O1401" t="s">
        <v>2685</v>
      </c>
      <c r="P1401" t="s">
        <v>42</v>
      </c>
      <c r="Q1401" t="s">
        <v>71</v>
      </c>
      <c r="R1401" t="s">
        <v>2686</v>
      </c>
      <c r="S1401">
        <v>77.031000000000006</v>
      </c>
    </row>
    <row r="1402" spans="1:19" x14ac:dyDescent="0.35">
      <c r="A1402">
        <v>1425</v>
      </c>
      <c r="B1402" t="s">
        <v>3812</v>
      </c>
      <c r="C1402" s="1">
        <v>42639</v>
      </c>
      <c r="D1402" s="1">
        <v>42643</v>
      </c>
      <c r="E1402" s="1" t="str">
        <f t="shared" si="21"/>
        <v>FAST</v>
      </c>
      <c r="F1402" t="s">
        <v>46</v>
      </c>
      <c r="G1402" t="s">
        <v>3813</v>
      </c>
      <c r="H1402" t="s">
        <v>3814</v>
      </c>
      <c r="I1402" t="s">
        <v>37</v>
      </c>
      <c r="J1402" t="s">
        <v>23</v>
      </c>
      <c r="K1402" t="s">
        <v>1803</v>
      </c>
      <c r="L1402" t="s">
        <v>304</v>
      </c>
      <c r="M1402">
        <v>85204</v>
      </c>
      <c r="N1402" t="s">
        <v>40</v>
      </c>
      <c r="O1402" t="s">
        <v>3817</v>
      </c>
      <c r="P1402" t="s">
        <v>67</v>
      </c>
      <c r="Q1402" t="s">
        <v>68</v>
      </c>
      <c r="R1402" t="s">
        <v>3818</v>
      </c>
      <c r="S1402">
        <v>263.95999999999998</v>
      </c>
    </row>
    <row r="1403" spans="1:19" x14ac:dyDescent="0.35">
      <c r="A1403">
        <v>1426</v>
      </c>
      <c r="B1403" t="s">
        <v>3812</v>
      </c>
      <c r="C1403" s="1">
        <v>42639</v>
      </c>
      <c r="D1403" s="1">
        <v>42643</v>
      </c>
      <c r="E1403" s="1" t="str">
        <f t="shared" si="21"/>
        <v>FAST</v>
      </c>
      <c r="F1403" t="s">
        <v>46</v>
      </c>
      <c r="G1403" t="s">
        <v>3813</v>
      </c>
      <c r="H1403" t="s">
        <v>3814</v>
      </c>
      <c r="I1403" t="s">
        <v>37</v>
      </c>
      <c r="J1403" t="s">
        <v>23</v>
      </c>
      <c r="K1403" t="s">
        <v>1803</v>
      </c>
      <c r="L1403" t="s">
        <v>304</v>
      </c>
      <c r="M1403">
        <v>85204</v>
      </c>
      <c r="N1403" t="s">
        <v>40</v>
      </c>
      <c r="O1403" t="s">
        <v>1609</v>
      </c>
      <c r="P1403" t="s">
        <v>42</v>
      </c>
      <c r="Q1403" t="s">
        <v>55</v>
      </c>
      <c r="R1403" t="s">
        <v>1610</v>
      </c>
      <c r="S1403">
        <v>363.64800000000002</v>
      </c>
    </row>
    <row r="1404" spans="1:19" x14ac:dyDescent="0.35">
      <c r="A1404">
        <v>1427</v>
      </c>
      <c r="B1404" t="s">
        <v>3819</v>
      </c>
      <c r="C1404" s="1">
        <v>42674</v>
      </c>
      <c r="D1404" s="1">
        <v>42678</v>
      </c>
      <c r="E1404" s="1" t="str">
        <f t="shared" si="21"/>
        <v>SLOW</v>
      </c>
      <c r="F1404" t="s">
        <v>19</v>
      </c>
      <c r="G1404" t="s">
        <v>3820</v>
      </c>
      <c r="H1404" t="s">
        <v>3821</v>
      </c>
      <c r="I1404" t="s">
        <v>37</v>
      </c>
      <c r="J1404" t="s">
        <v>23</v>
      </c>
      <c r="K1404" t="s">
        <v>2612</v>
      </c>
      <c r="L1404" t="s">
        <v>39</v>
      </c>
      <c r="M1404">
        <v>93905</v>
      </c>
      <c r="N1404" t="s">
        <v>40</v>
      </c>
      <c r="O1404" t="s">
        <v>2018</v>
      </c>
      <c r="P1404" t="s">
        <v>42</v>
      </c>
      <c r="Q1404" t="s">
        <v>71</v>
      </c>
      <c r="R1404" t="s">
        <v>2019</v>
      </c>
      <c r="S1404">
        <v>9.7279999999999998</v>
      </c>
    </row>
    <row r="1405" spans="1:19" x14ac:dyDescent="0.35">
      <c r="A1405">
        <v>1428</v>
      </c>
      <c r="B1405" t="s">
        <v>3819</v>
      </c>
      <c r="C1405" s="1">
        <v>42674</v>
      </c>
      <c r="D1405" s="1">
        <v>42678</v>
      </c>
      <c r="E1405" s="1" t="str">
        <f t="shared" si="21"/>
        <v>SLOW</v>
      </c>
      <c r="F1405" t="s">
        <v>19</v>
      </c>
      <c r="G1405" t="s">
        <v>3820</v>
      </c>
      <c r="H1405" t="s">
        <v>3821</v>
      </c>
      <c r="I1405" t="s">
        <v>37</v>
      </c>
      <c r="J1405" t="s">
        <v>23</v>
      </c>
      <c r="K1405" t="s">
        <v>2612</v>
      </c>
      <c r="L1405" t="s">
        <v>39</v>
      </c>
      <c r="M1405">
        <v>93905</v>
      </c>
      <c r="N1405" t="s">
        <v>40</v>
      </c>
      <c r="O1405" t="s">
        <v>488</v>
      </c>
      <c r="P1405" t="s">
        <v>42</v>
      </c>
      <c r="Q1405" t="s">
        <v>169</v>
      </c>
      <c r="R1405" t="s">
        <v>489</v>
      </c>
      <c r="S1405">
        <v>14.75</v>
      </c>
    </row>
    <row r="1406" spans="1:19" x14ac:dyDescent="0.35">
      <c r="A1406">
        <v>1429</v>
      </c>
      <c r="B1406" t="s">
        <v>3819</v>
      </c>
      <c r="C1406" s="1">
        <v>42674</v>
      </c>
      <c r="D1406" s="1">
        <v>42678</v>
      </c>
      <c r="E1406" s="1" t="str">
        <f t="shared" si="21"/>
        <v>SLOW</v>
      </c>
      <c r="F1406" t="s">
        <v>19</v>
      </c>
      <c r="G1406" t="s">
        <v>3820</v>
      </c>
      <c r="H1406" t="s">
        <v>3821</v>
      </c>
      <c r="I1406" t="s">
        <v>37</v>
      </c>
      <c r="J1406" t="s">
        <v>23</v>
      </c>
      <c r="K1406" t="s">
        <v>2612</v>
      </c>
      <c r="L1406" t="s">
        <v>39</v>
      </c>
      <c r="M1406">
        <v>93905</v>
      </c>
      <c r="N1406" t="s">
        <v>40</v>
      </c>
      <c r="O1406" t="s">
        <v>3822</v>
      </c>
      <c r="P1406" t="s">
        <v>42</v>
      </c>
      <c r="Q1406" t="s">
        <v>71</v>
      </c>
      <c r="R1406" t="s">
        <v>3823</v>
      </c>
      <c r="S1406">
        <v>29.8</v>
      </c>
    </row>
    <row r="1407" spans="1:19" x14ac:dyDescent="0.35">
      <c r="A1407">
        <v>1430</v>
      </c>
      <c r="B1407" t="s">
        <v>3819</v>
      </c>
      <c r="C1407" s="1">
        <v>42674</v>
      </c>
      <c r="D1407" s="1">
        <v>42678</v>
      </c>
      <c r="E1407" s="1" t="str">
        <f t="shared" si="21"/>
        <v>SLOW</v>
      </c>
      <c r="F1407" t="s">
        <v>19</v>
      </c>
      <c r="G1407" t="s">
        <v>3820</v>
      </c>
      <c r="H1407" t="s">
        <v>3821</v>
      </c>
      <c r="I1407" t="s">
        <v>37</v>
      </c>
      <c r="J1407" t="s">
        <v>23</v>
      </c>
      <c r="K1407" t="s">
        <v>2612</v>
      </c>
      <c r="L1407" t="s">
        <v>39</v>
      </c>
      <c r="M1407">
        <v>93905</v>
      </c>
      <c r="N1407" t="s">
        <v>40</v>
      </c>
      <c r="O1407" t="s">
        <v>2233</v>
      </c>
      <c r="P1407" t="s">
        <v>42</v>
      </c>
      <c r="Q1407" t="s">
        <v>43</v>
      </c>
      <c r="R1407" t="s">
        <v>2234</v>
      </c>
      <c r="S1407">
        <v>427.42</v>
      </c>
    </row>
    <row r="1408" spans="1:19" x14ac:dyDescent="0.35">
      <c r="A1408">
        <v>1431</v>
      </c>
      <c r="B1408" t="s">
        <v>3824</v>
      </c>
      <c r="C1408" s="1">
        <v>43430</v>
      </c>
      <c r="D1408" s="1">
        <v>43434</v>
      </c>
      <c r="E1408" s="1" t="str">
        <f t="shared" si="21"/>
        <v>FAST</v>
      </c>
      <c r="F1408" t="s">
        <v>46</v>
      </c>
      <c r="G1408" t="s">
        <v>2446</v>
      </c>
      <c r="H1408" t="s">
        <v>2447</v>
      </c>
      <c r="I1408" t="s">
        <v>22</v>
      </c>
      <c r="J1408" t="s">
        <v>23</v>
      </c>
      <c r="K1408" t="s">
        <v>484</v>
      </c>
      <c r="L1408" t="s">
        <v>485</v>
      </c>
      <c r="M1408">
        <v>43229</v>
      </c>
      <c r="N1408" t="s">
        <v>144</v>
      </c>
      <c r="O1408" t="s">
        <v>2000</v>
      </c>
      <c r="P1408" t="s">
        <v>67</v>
      </c>
      <c r="Q1408" t="s">
        <v>68</v>
      </c>
      <c r="R1408" t="s">
        <v>2001</v>
      </c>
      <c r="S1408">
        <v>220.75200000000001</v>
      </c>
    </row>
    <row r="1409" spans="1:19" x14ac:dyDescent="0.35">
      <c r="A1409">
        <v>1432</v>
      </c>
      <c r="B1409" t="s">
        <v>3825</v>
      </c>
      <c r="C1409" s="1">
        <v>42357</v>
      </c>
      <c r="D1409" s="1">
        <v>42359</v>
      </c>
      <c r="E1409" s="1" t="str">
        <f t="shared" si="21"/>
        <v>SLOW</v>
      </c>
      <c r="F1409" t="s">
        <v>19</v>
      </c>
      <c r="G1409" t="s">
        <v>89</v>
      </c>
      <c r="H1409" t="s">
        <v>90</v>
      </c>
      <c r="I1409" t="s">
        <v>22</v>
      </c>
      <c r="J1409" t="s">
        <v>23</v>
      </c>
      <c r="K1409" t="s">
        <v>2551</v>
      </c>
      <c r="L1409" t="s">
        <v>350</v>
      </c>
      <c r="M1409">
        <v>35630</v>
      </c>
      <c r="N1409" t="s">
        <v>26</v>
      </c>
      <c r="O1409" t="s">
        <v>3826</v>
      </c>
      <c r="P1409" t="s">
        <v>42</v>
      </c>
      <c r="Q1409" t="s">
        <v>71</v>
      </c>
      <c r="R1409" t="s">
        <v>3827</v>
      </c>
      <c r="S1409">
        <v>152.76</v>
      </c>
    </row>
    <row r="1410" spans="1:19" x14ac:dyDescent="0.35">
      <c r="A1410">
        <v>1433</v>
      </c>
      <c r="B1410" t="s">
        <v>3825</v>
      </c>
      <c r="C1410" s="1">
        <v>42357</v>
      </c>
      <c r="D1410" s="1">
        <v>42359</v>
      </c>
      <c r="E1410" s="1" t="str">
        <f t="shared" si="21"/>
        <v>SLOW</v>
      </c>
      <c r="F1410" t="s">
        <v>19</v>
      </c>
      <c r="G1410" t="s">
        <v>89</v>
      </c>
      <c r="H1410" t="s">
        <v>90</v>
      </c>
      <c r="I1410" t="s">
        <v>22</v>
      </c>
      <c r="J1410" t="s">
        <v>23</v>
      </c>
      <c r="K1410" t="s">
        <v>2551</v>
      </c>
      <c r="L1410" t="s">
        <v>350</v>
      </c>
      <c r="M1410">
        <v>35630</v>
      </c>
      <c r="N1410" t="s">
        <v>26</v>
      </c>
      <c r="O1410" t="s">
        <v>1979</v>
      </c>
      <c r="P1410" t="s">
        <v>42</v>
      </c>
      <c r="Q1410" t="s">
        <v>566</v>
      </c>
      <c r="R1410" t="s">
        <v>1980</v>
      </c>
      <c r="S1410">
        <v>7.27</v>
      </c>
    </row>
    <row r="1411" spans="1:19" x14ac:dyDescent="0.35">
      <c r="A1411">
        <v>1434</v>
      </c>
      <c r="B1411" t="s">
        <v>3825</v>
      </c>
      <c r="C1411" s="1">
        <v>42357</v>
      </c>
      <c r="D1411" s="1">
        <v>42359</v>
      </c>
      <c r="E1411" s="1" t="str">
        <f t="shared" ref="E1411:E1474" si="22">IF(F1411="STANDARD CLASS","FAST",IF(F1411="SECOND CLASS","SLOW","MODERATE"))</f>
        <v>SLOW</v>
      </c>
      <c r="F1411" t="s">
        <v>19</v>
      </c>
      <c r="G1411" t="s">
        <v>89</v>
      </c>
      <c r="H1411" t="s">
        <v>90</v>
      </c>
      <c r="I1411" t="s">
        <v>22</v>
      </c>
      <c r="J1411" t="s">
        <v>23</v>
      </c>
      <c r="K1411" t="s">
        <v>2551</v>
      </c>
      <c r="L1411" t="s">
        <v>350</v>
      </c>
      <c r="M1411">
        <v>35630</v>
      </c>
      <c r="N1411" t="s">
        <v>26</v>
      </c>
      <c r="O1411" t="s">
        <v>330</v>
      </c>
      <c r="P1411" t="s">
        <v>28</v>
      </c>
      <c r="Q1411" t="s">
        <v>32</v>
      </c>
      <c r="R1411" t="s">
        <v>331</v>
      </c>
      <c r="S1411">
        <v>1819.86</v>
      </c>
    </row>
    <row r="1412" spans="1:19" x14ac:dyDescent="0.35">
      <c r="A1412">
        <v>1435</v>
      </c>
      <c r="B1412" t="s">
        <v>3828</v>
      </c>
      <c r="C1412" s="1">
        <v>43095</v>
      </c>
      <c r="D1412" s="1">
        <v>43099</v>
      </c>
      <c r="E1412" s="1" t="str">
        <f t="shared" si="22"/>
        <v>FAST</v>
      </c>
      <c r="F1412" t="s">
        <v>46</v>
      </c>
      <c r="G1412" t="s">
        <v>1898</v>
      </c>
      <c r="H1412" t="s">
        <v>1899</v>
      </c>
      <c r="I1412" t="s">
        <v>22</v>
      </c>
      <c r="J1412" t="s">
        <v>23</v>
      </c>
      <c r="K1412" t="s">
        <v>91</v>
      </c>
      <c r="L1412" t="s">
        <v>92</v>
      </c>
      <c r="M1412">
        <v>98105</v>
      </c>
      <c r="N1412" t="s">
        <v>40</v>
      </c>
      <c r="O1412" t="s">
        <v>3829</v>
      </c>
      <c r="P1412" t="s">
        <v>42</v>
      </c>
      <c r="Q1412" t="s">
        <v>86</v>
      </c>
      <c r="R1412" t="s">
        <v>3830</v>
      </c>
      <c r="S1412">
        <v>33.9</v>
      </c>
    </row>
    <row r="1413" spans="1:19" x14ac:dyDescent="0.35">
      <c r="A1413">
        <v>1436</v>
      </c>
      <c r="B1413" t="s">
        <v>3831</v>
      </c>
      <c r="C1413" s="1">
        <v>43271</v>
      </c>
      <c r="D1413" s="1">
        <v>43278</v>
      </c>
      <c r="E1413" s="1" t="str">
        <f t="shared" si="22"/>
        <v>FAST</v>
      </c>
      <c r="F1413" t="s">
        <v>46</v>
      </c>
      <c r="G1413" t="s">
        <v>3832</v>
      </c>
      <c r="H1413" t="s">
        <v>3833</v>
      </c>
      <c r="I1413" t="s">
        <v>22</v>
      </c>
      <c r="J1413" t="s">
        <v>23</v>
      </c>
      <c r="K1413" t="s">
        <v>3834</v>
      </c>
      <c r="L1413" t="s">
        <v>485</v>
      </c>
      <c r="M1413">
        <v>44134</v>
      </c>
      <c r="N1413" t="s">
        <v>144</v>
      </c>
      <c r="O1413" t="s">
        <v>3835</v>
      </c>
      <c r="P1413" t="s">
        <v>42</v>
      </c>
      <c r="Q1413" t="s">
        <v>86</v>
      </c>
      <c r="R1413" t="s">
        <v>3836</v>
      </c>
      <c r="S1413">
        <v>31.103999999999999</v>
      </c>
    </row>
    <row r="1414" spans="1:19" x14ac:dyDescent="0.35">
      <c r="A1414">
        <v>1437</v>
      </c>
      <c r="B1414" t="s">
        <v>3831</v>
      </c>
      <c r="C1414" s="1">
        <v>43271</v>
      </c>
      <c r="D1414" s="1">
        <v>43278</v>
      </c>
      <c r="E1414" s="1" t="str">
        <f t="shared" si="22"/>
        <v>FAST</v>
      </c>
      <c r="F1414" t="s">
        <v>46</v>
      </c>
      <c r="G1414" t="s">
        <v>3832</v>
      </c>
      <c r="H1414" t="s">
        <v>3833</v>
      </c>
      <c r="I1414" t="s">
        <v>22</v>
      </c>
      <c r="J1414" t="s">
        <v>23</v>
      </c>
      <c r="K1414" t="s">
        <v>3834</v>
      </c>
      <c r="L1414" t="s">
        <v>485</v>
      </c>
      <c r="M1414">
        <v>44134</v>
      </c>
      <c r="N1414" t="s">
        <v>144</v>
      </c>
      <c r="O1414" t="s">
        <v>3683</v>
      </c>
      <c r="P1414" t="s">
        <v>42</v>
      </c>
      <c r="Q1414" t="s">
        <v>64</v>
      </c>
      <c r="R1414" t="s">
        <v>3684</v>
      </c>
      <c r="S1414">
        <v>5.2480000000000002</v>
      </c>
    </row>
    <row r="1415" spans="1:19" x14ac:dyDescent="0.35">
      <c r="A1415">
        <v>1438</v>
      </c>
      <c r="B1415" t="s">
        <v>3837</v>
      </c>
      <c r="C1415" s="1">
        <v>42658</v>
      </c>
      <c r="D1415" s="1">
        <v>42658</v>
      </c>
      <c r="E1415" s="1" t="str">
        <f t="shared" si="22"/>
        <v>MODERATE</v>
      </c>
      <c r="F1415" t="s">
        <v>1276</v>
      </c>
      <c r="G1415" t="s">
        <v>326</v>
      </c>
      <c r="H1415" t="s">
        <v>327</v>
      </c>
      <c r="I1415" t="s">
        <v>22</v>
      </c>
      <c r="J1415" t="s">
        <v>23</v>
      </c>
      <c r="K1415" t="s">
        <v>1594</v>
      </c>
      <c r="L1415" t="s">
        <v>100</v>
      </c>
      <c r="M1415">
        <v>79109</v>
      </c>
      <c r="N1415" t="s">
        <v>101</v>
      </c>
      <c r="O1415" t="s">
        <v>3838</v>
      </c>
      <c r="P1415" t="s">
        <v>67</v>
      </c>
      <c r="Q1415" t="s">
        <v>157</v>
      </c>
      <c r="R1415" t="s">
        <v>3839</v>
      </c>
      <c r="S1415">
        <v>263.88</v>
      </c>
    </row>
    <row r="1416" spans="1:19" x14ac:dyDescent="0.35">
      <c r="A1416">
        <v>1439</v>
      </c>
      <c r="B1416" t="s">
        <v>3837</v>
      </c>
      <c r="C1416" s="1">
        <v>42658</v>
      </c>
      <c r="D1416" s="1">
        <v>42658</v>
      </c>
      <c r="E1416" s="1" t="str">
        <f t="shared" si="22"/>
        <v>MODERATE</v>
      </c>
      <c r="F1416" t="s">
        <v>1276</v>
      </c>
      <c r="G1416" t="s">
        <v>326</v>
      </c>
      <c r="H1416" t="s">
        <v>327</v>
      </c>
      <c r="I1416" t="s">
        <v>22</v>
      </c>
      <c r="J1416" t="s">
        <v>23</v>
      </c>
      <c r="K1416" t="s">
        <v>1594</v>
      </c>
      <c r="L1416" t="s">
        <v>100</v>
      </c>
      <c r="M1416">
        <v>79109</v>
      </c>
      <c r="N1416" t="s">
        <v>101</v>
      </c>
      <c r="O1416" t="s">
        <v>1852</v>
      </c>
      <c r="P1416" t="s">
        <v>28</v>
      </c>
      <c r="Q1416" t="s">
        <v>32</v>
      </c>
      <c r="R1416" t="s">
        <v>1853</v>
      </c>
      <c r="S1416">
        <v>2453.4299999999998</v>
      </c>
    </row>
    <row r="1417" spans="1:19" x14ac:dyDescent="0.35">
      <c r="A1417">
        <v>1440</v>
      </c>
      <c r="B1417" t="s">
        <v>3840</v>
      </c>
      <c r="C1417" s="1">
        <v>43202</v>
      </c>
      <c r="D1417" s="1">
        <v>43205</v>
      </c>
      <c r="E1417" s="1" t="str">
        <f t="shared" si="22"/>
        <v>SLOW</v>
      </c>
      <c r="F1417" t="s">
        <v>19</v>
      </c>
      <c r="G1417" t="s">
        <v>1850</v>
      </c>
      <c r="H1417" t="s">
        <v>1851</v>
      </c>
      <c r="I1417" t="s">
        <v>22</v>
      </c>
      <c r="J1417" t="s">
        <v>23</v>
      </c>
      <c r="K1417" t="s">
        <v>3544</v>
      </c>
      <c r="L1417" t="s">
        <v>1384</v>
      </c>
      <c r="M1417">
        <v>2908</v>
      </c>
      <c r="N1417" t="s">
        <v>144</v>
      </c>
      <c r="O1417" t="s">
        <v>3841</v>
      </c>
      <c r="P1417" t="s">
        <v>42</v>
      </c>
      <c r="Q1417" t="s">
        <v>71</v>
      </c>
      <c r="R1417" t="s">
        <v>1202</v>
      </c>
      <c r="S1417">
        <v>29.7</v>
      </c>
    </row>
    <row r="1418" spans="1:19" x14ac:dyDescent="0.35">
      <c r="A1418">
        <v>1441</v>
      </c>
      <c r="B1418" t="s">
        <v>3840</v>
      </c>
      <c r="C1418" s="1">
        <v>43202</v>
      </c>
      <c r="D1418" s="1">
        <v>43205</v>
      </c>
      <c r="E1418" s="1" t="str">
        <f t="shared" si="22"/>
        <v>SLOW</v>
      </c>
      <c r="F1418" t="s">
        <v>19</v>
      </c>
      <c r="G1418" t="s">
        <v>1850</v>
      </c>
      <c r="H1418" t="s">
        <v>1851</v>
      </c>
      <c r="I1418" t="s">
        <v>22</v>
      </c>
      <c r="J1418" t="s">
        <v>23</v>
      </c>
      <c r="K1418" t="s">
        <v>3544</v>
      </c>
      <c r="L1418" t="s">
        <v>1384</v>
      </c>
      <c r="M1418">
        <v>2908</v>
      </c>
      <c r="N1418" t="s">
        <v>144</v>
      </c>
      <c r="O1418" t="s">
        <v>3842</v>
      </c>
      <c r="P1418" t="s">
        <v>42</v>
      </c>
      <c r="Q1418" t="s">
        <v>86</v>
      </c>
      <c r="R1418" t="s">
        <v>3843</v>
      </c>
      <c r="S1418">
        <v>39.96</v>
      </c>
    </row>
    <row r="1419" spans="1:19" x14ac:dyDescent="0.35">
      <c r="A1419">
        <v>1442</v>
      </c>
      <c r="B1419" t="s">
        <v>3844</v>
      </c>
      <c r="C1419" s="1">
        <v>43453</v>
      </c>
      <c r="D1419" s="1">
        <v>43458</v>
      </c>
      <c r="E1419" s="1" t="str">
        <f t="shared" si="22"/>
        <v>SLOW</v>
      </c>
      <c r="F1419" t="s">
        <v>19</v>
      </c>
      <c r="G1419" t="s">
        <v>3845</v>
      </c>
      <c r="H1419" t="s">
        <v>3846</v>
      </c>
      <c r="I1419" t="s">
        <v>22</v>
      </c>
      <c r="J1419" t="s">
        <v>23</v>
      </c>
      <c r="K1419" t="s">
        <v>123</v>
      </c>
      <c r="L1419" t="s">
        <v>39</v>
      </c>
      <c r="M1419">
        <v>94110</v>
      </c>
      <c r="N1419" t="s">
        <v>40</v>
      </c>
      <c r="O1419" t="s">
        <v>2746</v>
      </c>
      <c r="P1419" t="s">
        <v>42</v>
      </c>
      <c r="Q1419" t="s">
        <v>71</v>
      </c>
      <c r="R1419" t="s">
        <v>2747</v>
      </c>
      <c r="S1419">
        <v>36.671999999999997</v>
      </c>
    </row>
    <row r="1420" spans="1:19" x14ac:dyDescent="0.35">
      <c r="A1420">
        <v>1443</v>
      </c>
      <c r="B1420" t="s">
        <v>3847</v>
      </c>
      <c r="C1420" s="1">
        <v>43317</v>
      </c>
      <c r="D1420" s="1">
        <v>43320</v>
      </c>
      <c r="E1420" s="1" t="str">
        <f t="shared" si="22"/>
        <v>MODERATE</v>
      </c>
      <c r="F1420" t="s">
        <v>184</v>
      </c>
      <c r="G1420" t="s">
        <v>3848</v>
      </c>
      <c r="H1420" t="s">
        <v>3849</v>
      </c>
      <c r="I1420" t="s">
        <v>37</v>
      </c>
      <c r="J1420" t="s">
        <v>23</v>
      </c>
      <c r="K1420" t="s">
        <v>1448</v>
      </c>
      <c r="L1420" t="s">
        <v>25</v>
      </c>
      <c r="M1420">
        <v>40475</v>
      </c>
      <c r="N1420" t="s">
        <v>26</v>
      </c>
      <c r="O1420" t="s">
        <v>1252</v>
      </c>
      <c r="P1420" t="s">
        <v>42</v>
      </c>
      <c r="Q1420" t="s">
        <v>86</v>
      </c>
      <c r="R1420" t="s">
        <v>1253</v>
      </c>
      <c r="S1420">
        <v>13.76</v>
      </c>
    </row>
    <row r="1421" spans="1:19" x14ac:dyDescent="0.35">
      <c r="A1421">
        <v>1444</v>
      </c>
      <c r="B1421" t="s">
        <v>3850</v>
      </c>
      <c r="C1421" s="1">
        <v>42644</v>
      </c>
      <c r="D1421" s="1">
        <v>42649</v>
      </c>
      <c r="E1421" s="1" t="str">
        <f t="shared" si="22"/>
        <v>FAST</v>
      </c>
      <c r="F1421" t="s">
        <v>46</v>
      </c>
      <c r="G1421" t="s">
        <v>3851</v>
      </c>
      <c r="H1421" t="s">
        <v>3852</v>
      </c>
      <c r="I1421" t="s">
        <v>37</v>
      </c>
      <c r="J1421" t="s">
        <v>23</v>
      </c>
      <c r="K1421" t="s">
        <v>443</v>
      </c>
      <c r="L1421" t="s">
        <v>444</v>
      </c>
      <c r="M1421">
        <v>80013</v>
      </c>
      <c r="N1421" t="s">
        <v>40</v>
      </c>
      <c r="O1421" t="s">
        <v>534</v>
      </c>
      <c r="P1421" t="s">
        <v>42</v>
      </c>
      <c r="Q1421" t="s">
        <v>55</v>
      </c>
      <c r="R1421" t="s">
        <v>535</v>
      </c>
      <c r="S1421">
        <v>139.42400000000001</v>
      </c>
    </row>
    <row r="1422" spans="1:19" x14ac:dyDescent="0.35">
      <c r="A1422">
        <v>1445</v>
      </c>
      <c r="B1422" t="s">
        <v>3853</v>
      </c>
      <c r="C1422" s="1">
        <v>42878</v>
      </c>
      <c r="D1422" s="1">
        <v>42883</v>
      </c>
      <c r="E1422" s="1" t="str">
        <f t="shared" si="22"/>
        <v>FAST</v>
      </c>
      <c r="F1422" t="s">
        <v>46</v>
      </c>
      <c r="G1422" t="s">
        <v>903</v>
      </c>
      <c r="H1422" t="s">
        <v>904</v>
      </c>
      <c r="I1422" t="s">
        <v>22</v>
      </c>
      <c r="J1422" t="s">
        <v>23</v>
      </c>
      <c r="K1422" t="s">
        <v>297</v>
      </c>
      <c r="L1422" t="s">
        <v>205</v>
      </c>
      <c r="M1422">
        <v>60623</v>
      </c>
      <c r="N1422" t="s">
        <v>101</v>
      </c>
      <c r="O1422" t="s">
        <v>3467</v>
      </c>
      <c r="P1422" t="s">
        <v>67</v>
      </c>
      <c r="Q1422" t="s">
        <v>68</v>
      </c>
      <c r="R1422" t="s">
        <v>3468</v>
      </c>
      <c r="S1422">
        <v>1979.9280000000001</v>
      </c>
    </row>
    <row r="1423" spans="1:19" x14ac:dyDescent="0.35">
      <c r="A1423">
        <v>1446</v>
      </c>
      <c r="B1423" t="s">
        <v>3854</v>
      </c>
      <c r="C1423" s="1">
        <v>43264</v>
      </c>
      <c r="D1423" s="1">
        <v>43267</v>
      </c>
      <c r="E1423" s="1" t="str">
        <f t="shared" si="22"/>
        <v>MODERATE</v>
      </c>
      <c r="F1423" t="s">
        <v>184</v>
      </c>
      <c r="G1423" t="s">
        <v>1481</v>
      </c>
      <c r="H1423" t="s">
        <v>1482</v>
      </c>
      <c r="I1423" t="s">
        <v>98</v>
      </c>
      <c r="J1423" t="s">
        <v>23</v>
      </c>
      <c r="K1423" t="s">
        <v>297</v>
      </c>
      <c r="L1423" t="s">
        <v>205</v>
      </c>
      <c r="M1423">
        <v>60653</v>
      </c>
      <c r="N1423" t="s">
        <v>101</v>
      </c>
      <c r="O1423" t="s">
        <v>948</v>
      </c>
      <c r="P1423" t="s">
        <v>42</v>
      </c>
      <c r="Q1423" t="s">
        <v>55</v>
      </c>
      <c r="R1423" t="s">
        <v>949</v>
      </c>
      <c r="S1423">
        <v>164.73599999999999</v>
      </c>
    </row>
    <row r="1424" spans="1:19" x14ac:dyDescent="0.35">
      <c r="A1424">
        <v>1447</v>
      </c>
      <c r="B1424" t="s">
        <v>3854</v>
      </c>
      <c r="C1424" s="1">
        <v>43264</v>
      </c>
      <c r="D1424" s="1">
        <v>43267</v>
      </c>
      <c r="E1424" s="1" t="str">
        <f t="shared" si="22"/>
        <v>MODERATE</v>
      </c>
      <c r="F1424" t="s">
        <v>184</v>
      </c>
      <c r="G1424" t="s">
        <v>1481</v>
      </c>
      <c r="H1424" t="s">
        <v>1482</v>
      </c>
      <c r="I1424" t="s">
        <v>98</v>
      </c>
      <c r="J1424" t="s">
        <v>23</v>
      </c>
      <c r="K1424" t="s">
        <v>297</v>
      </c>
      <c r="L1424" t="s">
        <v>205</v>
      </c>
      <c r="M1424">
        <v>60653</v>
      </c>
      <c r="N1424" t="s">
        <v>101</v>
      </c>
      <c r="O1424" t="s">
        <v>3855</v>
      </c>
      <c r="P1424" t="s">
        <v>28</v>
      </c>
      <c r="Q1424" t="s">
        <v>32</v>
      </c>
      <c r="R1424" t="s">
        <v>3856</v>
      </c>
      <c r="S1424">
        <v>470.30200000000002</v>
      </c>
    </row>
    <row r="1425" spans="1:19" x14ac:dyDescent="0.35">
      <c r="A1425">
        <v>1448</v>
      </c>
      <c r="B1425" t="s">
        <v>3854</v>
      </c>
      <c r="C1425" s="1">
        <v>43264</v>
      </c>
      <c r="D1425" s="1">
        <v>43267</v>
      </c>
      <c r="E1425" s="1" t="str">
        <f t="shared" si="22"/>
        <v>MODERATE</v>
      </c>
      <c r="F1425" t="s">
        <v>184</v>
      </c>
      <c r="G1425" t="s">
        <v>1481</v>
      </c>
      <c r="H1425" t="s">
        <v>1482</v>
      </c>
      <c r="I1425" t="s">
        <v>98</v>
      </c>
      <c r="J1425" t="s">
        <v>23</v>
      </c>
      <c r="K1425" t="s">
        <v>297</v>
      </c>
      <c r="L1425" t="s">
        <v>205</v>
      </c>
      <c r="M1425">
        <v>60653</v>
      </c>
      <c r="N1425" t="s">
        <v>101</v>
      </c>
      <c r="O1425" t="s">
        <v>3857</v>
      </c>
      <c r="P1425" t="s">
        <v>67</v>
      </c>
      <c r="Q1425" t="s">
        <v>68</v>
      </c>
      <c r="R1425" t="s">
        <v>3858</v>
      </c>
      <c r="S1425">
        <v>47.984000000000002</v>
      </c>
    </row>
    <row r="1426" spans="1:19" x14ac:dyDescent="0.35">
      <c r="A1426">
        <v>1449</v>
      </c>
      <c r="B1426" t="s">
        <v>3859</v>
      </c>
      <c r="C1426" s="1">
        <v>42117</v>
      </c>
      <c r="D1426" s="1">
        <v>42118</v>
      </c>
      <c r="E1426" s="1" t="str">
        <f t="shared" si="22"/>
        <v>MODERATE</v>
      </c>
      <c r="F1426" t="s">
        <v>184</v>
      </c>
      <c r="G1426" t="s">
        <v>3107</v>
      </c>
      <c r="H1426" t="s">
        <v>3108</v>
      </c>
      <c r="I1426" t="s">
        <v>37</v>
      </c>
      <c r="J1426" t="s">
        <v>23</v>
      </c>
      <c r="K1426" t="s">
        <v>142</v>
      </c>
      <c r="L1426" t="s">
        <v>143</v>
      </c>
      <c r="M1426">
        <v>19134</v>
      </c>
      <c r="N1426" t="s">
        <v>144</v>
      </c>
      <c r="O1426" t="s">
        <v>3860</v>
      </c>
      <c r="P1426" t="s">
        <v>42</v>
      </c>
      <c r="Q1426" t="s">
        <v>71</v>
      </c>
      <c r="R1426" t="s">
        <v>3861</v>
      </c>
      <c r="S1426">
        <v>2.5019999999999998</v>
      </c>
    </row>
    <row r="1427" spans="1:19" x14ac:dyDescent="0.35">
      <c r="A1427">
        <v>1450</v>
      </c>
      <c r="B1427" t="s">
        <v>3862</v>
      </c>
      <c r="C1427" s="1">
        <v>42491</v>
      </c>
      <c r="D1427" s="1">
        <v>42497</v>
      </c>
      <c r="E1427" s="1" t="str">
        <f t="shared" si="22"/>
        <v>FAST</v>
      </c>
      <c r="F1427" t="s">
        <v>46</v>
      </c>
      <c r="G1427" t="s">
        <v>693</v>
      </c>
      <c r="H1427" t="s">
        <v>694</v>
      </c>
      <c r="I1427" t="s">
        <v>37</v>
      </c>
      <c r="J1427" t="s">
        <v>23</v>
      </c>
      <c r="K1427" t="s">
        <v>38</v>
      </c>
      <c r="L1427" t="s">
        <v>39</v>
      </c>
      <c r="M1427">
        <v>90008</v>
      </c>
      <c r="N1427" t="s">
        <v>40</v>
      </c>
      <c r="O1427" t="s">
        <v>3863</v>
      </c>
      <c r="P1427" t="s">
        <v>67</v>
      </c>
      <c r="Q1427" t="s">
        <v>68</v>
      </c>
      <c r="R1427" t="s">
        <v>3864</v>
      </c>
      <c r="S1427">
        <v>88.751999999999995</v>
      </c>
    </row>
    <row r="1428" spans="1:19" x14ac:dyDescent="0.35">
      <c r="A1428">
        <v>1451</v>
      </c>
      <c r="B1428" t="s">
        <v>3865</v>
      </c>
      <c r="C1428" s="1">
        <v>42570</v>
      </c>
      <c r="D1428" s="1">
        <v>42571</v>
      </c>
      <c r="E1428" s="1" t="str">
        <f t="shared" si="22"/>
        <v>MODERATE</v>
      </c>
      <c r="F1428" t="s">
        <v>184</v>
      </c>
      <c r="G1428" t="s">
        <v>3866</v>
      </c>
      <c r="H1428" t="s">
        <v>3867</v>
      </c>
      <c r="I1428" t="s">
        <v>22</v>
      </c>
      <c r="J1428" t="s">
        <v>23</v>
      </c>
      <c r="K1428" t="s">
        <v>531</v>
      </c>
      <c r="L1428" t="s">
        <v>304</v>
      </c>
      <c r="M1428">
        <v>85023</v>
      </c>
      <c r="N1428" t="s">
        <v>40</v>
      </c>
      <c r="O1428" t="s">
        <v>3868</v>
      </c>
      <c r="P1428" t="s">
        <v>42</v>
      </c>
      <c r="Q1428" t="s">
        <v>71</v>
      </c>
      <c r="R1428" t="s">
        <v>3869</v>
      </c>
      <c r="S1428">
        <v>2.0249999999999999</v>
      </c>
    </row>
    <row r="1429" spans="1:19" x14ac:dyDescent="0.35">
      <c r="A1429">
        <v>1452</v>
      </c>
      <c r="B1429" t="s">
        <v>3870</v>
      </c>
      <c r="C1429" s="1">
        <v>43065</v>
      </c>
      <c r="D1429" s="1">
        <v>43068</v>
      </c>
      <c r="E1429" s="1" t="str">
        <f t="shared" si="22"/>
        <v>MODERATE</v>
      </c>
      <c r="F1429" t="s">
        <v>184</v>
      </c>
      <c r="G1429" t="s">
        <v>3871</v>
      </c>
      <c r="H1429" t="s">
        <v>3872</v>
      </c>
      <c r="I1429" t="s">
        <v>37</v>
      </c>
      <c r="J1429" t="s">
        <v>23</v>
      </c>
      <c r="K1429" t="s">
        <v>3873</v>
      </c>
      <c r="L1429" t="s">
        <v>350</v>
      </c>
      <c r="M1429">
        <v>36608</v>
      </c>
      <c r="N1429" t="s">
        <v>26</v>
      </c>
      <c r="O1429" t="s">
        <v>3410</v>
      </c>
      <c r="P1429" t="s">
        <v>42</v>
      </c>
      <c r="Q1429" t="s">
        <v>86</v>
      </c>
      <c r="R1429" t="s">
        <v>182</v>
      </c>
      <c r="S1429">
        <v>70.98</v>
      </c>
    </row>
    <row r="1430" spans="1:19" x14ac:dyDescent="0.35">
      <c r="A1430">
        <v>1453</v>
      </c>
      <c r="B1430" t="s">
        <v>3870</v>
      </c>
      <c r="C1430" s="1">
        <v>43065</v>
      </c>
      <c r="D1430" s="1">
        <v>43068</v>
      </c>
      <c r="E1430" s="1" t="str">
        <f t="shared" si="22"/>
        <v>MODERATE</v>
      </c>
      <c r="F1430" t="s">
        <v>184</v>
      </c>
      <c r="G1430" t="s">
        <v>3871</v>
      </c>
      <c r="H1430" t="s">
        <v>3872</v>
      </c>
      <c r="I1430" t="s">
        <v>37</v>
      </c>
      <c r="J1430" t="s">
        <v>23</v>
      </c>
      <c r="K1430" t="s">
        <v>3873</v>
      </c>
      <c r="L1430" t="s">
        <v>350</v>
      </c>
      <c r="M1430">
        <v>36608</v>
      </c>
      <c r="N1430" t="s">
        <v>26</v>
      </c>
      <c r="O1430" t="s">
        <v>3874</v>
      </c>
      <c r="P1430" t="s">
        <v>42</v>
      </c>
      <c r="Q1430" t="s">
        <v>71</v>
      </c>
      <c r="R1430" t="s">
        <v>3875</v>
      </c>
      <c r="S1430">
        <v>91.68</v>
      </c>
    </row>
    <row r="1431" spans="1:19" x14ac:dyDescent="0.35">
      <c r="A1431">
        <v>1454</v>
      </c>
      <c r="B1431" t="s">
        <v>3870</v>
      </c>
      <c r="C1431" s="1">
        <v>43065</v>
      </c>
      <c r="D1431" s="1">
        <v>43068</v>
      </c>
      <c r="E1431" s="1" t="str">
        <f t="shared" si="22"/>
        <v>MODERATE</v>
      </c>
      <c r="F1431" t="s">
        <v>184</v>
      </c>
      <c r="G1431" t="s">
        <v>3871</v>
      </c>
      <c r="H1431" t="s">
        <v>3872</v>
      </c>
      <c r="I1431" t="s">
        <v>37</v>
      </c>
      <c r="J1431" t="s">
        <v>23</v>
      </c>
      <c r="K1431" t="s">
        <v>3873</v>
      </c>
      <c r="L1431" t="s">
        <v>350</v>
      </c>
      <c r="M1431">
        <v>36608</v>
      </c>
      <c r="N1431" t="s">
        <v>26</v>
      </c>
      <c r="O1431" t="s">
        <v>3868</v>
      </c>
      <c r="P1431" t="s">
        <v>42</v>
      </c>
      <c r="Q1431" t="s">
        <v>71</v>
      </c>
      <c r="R1431" t="s">
        <v>3869</v>
      </c>
      <c r="S1431">
        <v>33.75</v>
      </c>
    </row>
    <row r="1432" spans="1:19" x14ac:dyDescent="0.35">
      <c r="A1432">
        <v>1455</v>
      </c>
      <c r="B1432" t="s">
        <v>3870</v>
      </c>
      <c r="C1432" s="1">
        <v>43065</v>
      </c>
      <c r="D1432" s="1">
        <v>43068</v>
      </c>
      <c r="E1432" s="1" t="str">
        <f t="shared" si="22"/>
        <v>MODERATE</v>
      </c>
      <c r="F1432" t="s">
        <v>184</v>
      </c>
      <c r="G1432" t="s">
        <v>3871</v>
      </c>
      <c r="H1432" t="s">
        <v>3872</v>
      </c>
      <c r="I1432" t="s">
        <v>37</v>
      </c>
      <c r="J1432" t="s">
        <v>23</v>
      </c>
      <c r="K1432" t="s">
        <v>3873</v>
      </c>
      <c r="L1432" t="s">
        <v>350</v>
      </c>
      <c r="M1432">
        <v>36608</v>
      </c>
      <c r="N1432" t="s">
        <v>26</v>
      </c>
      <c r="O1432" t="s">
        <v>3876</v>
      </c>
      <c r="P1432" t="s">
        <v>67</v>
      </c>
      <c r="Q1432" t="s">
        <v>671</v>
      </c>
      <c r="R1432" t="s">
        <v>3877</v>
      </c>
      <c r="S1432">
        <v>3040</v>
      </c>
    </row>
    <row r="1433" spans="1:19" x14ac:dyDescent="0.35">
      <c r="A1433">
        <v>1456</v>
      </c>
      <c r="B1433" t="s">
        <v>3878</v>
      </c>
      <c r="C1433" s="1">
        <v>43263</v>
      </c>
      <c r="D1433" s="1">
        <v>43270</v>
      </c>
      <c r="E1433" s="1" t="str">
        <f t="shared" si="22"/>
        <v>FAST</v>
      </c>
      <c r="F1433" t="s">
        <v>46</v>
      </c>
      <c r="G1433" t="s">
        <v>3879</v>
      </c>
      <c r="H1433" t="s">
        <v>3880</v>
      </c>
      <c r="I1433" t="s">
        <v>98</v>
      </c>
      <c r="J1433" t="s">
        <v>23</v>
      </c>
      <c r="K1433" t="s">
        <v>484</v>
      </c>
      <c r="L1433" t="s">
        <v>1258</v>
      </c>
      <c r="M1433">
        <v>31907</v>
      </c>
      <c r="N1433" t="s">
        <v>26</v>
      </c>
      <c r="O1433" t="s">
        <v>3881</v>
      </c>
      <c r="P1433" t="s">
        <v>42</v>
      </c>
      <c r="Q1433" t="s">
        <v>71</v>
      </c>
      <c r="R1433" t="s">
        <v>3882</v>
      </c>
      <c r="S1433">
        <v>91.2</v>
      </c>
    </row>
    <row r="1434" spans="1:19" x14ac:dyDescent="0.35">
      <c r="A1434">
        <v>1457</v>
      </c>
      <c r="B1434" t="s">
        <v>3878</v>
      </c>
      <c r="C1434" s="1">
        <v>43263</v>
      </c>
      <c r="D1434" s="1">
        <v>43270</v>
      </c>
      <c r="E1434" s="1" t="str">
        <f t="shared" si="22"/>
        <v>FAST</v>
      </c>
      <c r="F1434" t="s">
        <v>46</v>
      </c>
      <c r="G1434" t="s">
        <v>3879</v>
      </c>
      <c r="H1434" t="s">
        <v>3880</v>
      </c>
      <c r="I1434" t="s">
        <v>98</v>
      </c>
      <c r="J1434" t="s">
        <v>23</v>
      </c>
      <c r="K1434" t="s">
        <v>484</v>
      </c>
      <c r="L1434" t="s">
        <v>1258</v>
      </c>
      <c r="M1434">
        <v>31907</v>
      </c>
      <c r="N1434" t="s">
        <v>26</v>
      </c>
      <c r="O1434" t="s">
        <v>3883</v>
      </c>
      <c r="P1434" t="s">
        <v>28</v>
      </c>
      <c r="Q1434" t="s">
        <v>52</v>
      </c>
      <c r="R1434" t="s">
        <v>3884</v>
      </c>
      <c r="S1434">
        <v>452.94</v>
      </c>
    </row>
    <row r="1435" spans="1:19" x14ac:dyDescent="0.35">
      <c r="A1435">
        <v>1458</v>
      </c>
      <c r="B1435" t="s">
        <v>3885</v>
      </c>
      <c r="C1435" s="1">
        <v>42599</v>
      </c>
      <c r="D1435" s="1">
        <v>42603</v>
      </c>
      <c r="E1435" s="1" t="str">
        <f t="shared" si="22"/>
        <v>FAST</v>
      </c>
      <c r="F1435" t="s">
        <v>46</v>
      </c>
      <c r="G1435" t="s">
        <v>3851</v>
      </c>
      <c r="H1435" t="s">
        <v>3852</v>
      </c>
      <c r="I1435" t="s">
        <v>37</v>
      </c>
      <c r="J1435" t="s">
        <v>23</v>
      </c>
      <c r="K1435" t="s">
        <v>3886</v>
      </c>
      <c r="L1435" t="s">
        <v>1233</v>
      </c>
      <c r="M1435">
        <v>2740</v>
      </c>
      <c r="N1435" t="s">
        <v>144</v>
      </c>
      <c r="O1435" t="s">
        <v>1280</v>
      </c>
      <c r="P1435" t="s">
        <v>42</v>
      </c>
      <c r="Q1435" t="s">
        <v>71</v>
      </c>
      <c r="R1435" t="s">
        <v>1281</v>
      </c>
      <c r="S1435">
        <v>52.2</v>
      </c>
    </row>
    <row r="1436" spans="1:19" x14ac:dyDescent="0.35">
      <c r="A1436">
        <v>1459</v>
      </c>
      <c r="B1436" t="s">
        <v>3887</v>
      </c>
      <c r="C1436" s="1">
        <v>43003</v>
      </c>
      <c r="D1436" s="1">
        <v>43009</v>
      </c>
      <c r="E1436" s="1" t="str">
        <f t="shared" si="22"/>
        <v>FAST</v>
      </c>
      <c r="F1436" t="s">
        <v>46</v>
      </c>
      <c r="G1436" t="s">
        <v>3888</v>
      </c>
      <c r="H1436" t="s">
        <v>3889</v>
      </c>
      <c r="I1436" t="s">
        <v>37</v>
      </c>
      <c r="J1436" t="s">
        <v>23</v>
      </c>
      <c r="K1436" t="s">
        <v>3890</v>
      </c>
      <c r="L1436" t="s">
        <v>100</v>
      </c>
      <c r="M1436">
        <v>75061</v>
      </c>
      <c r="N1436" t="s">
        <v>101</v>
      </c>
      <c r="O1436" t="s">
        <v>2464</v>
      </c>
      <c r="P1436" t="s">
        <v>42</v>
      </c>
      <c r="Q1436" t="s">
        <v>43</v>
      </c>
      <c r="R1436" t="s">
        <v>2465</v>
      </c>
      <c r="S1436">
        <v>15.936</v>
      </c>
    </row>
    <row r="1437" spans="1:19" x14ac:dyDescent="0.35">
      <c r="A1437">
        <v>1460</v>
      </c>
      <c r="B1437" t="s">
        <v>3891</v>
      </c>
      <c r="C1437" s="1">
        <v>42128</v>
      </c>
      <c r="D1437" s="1">
        <v>42128</v>
      </c>
      <c r="E1437" s="1" t="str">
        <f t="shared" si="22"/>
        <v>MODERATE</v>
      </c>
      <c r="F1437" t="s">
        <v>1276</v>
      </c>
      <c r="G1437" t="s">
        <v>81</v>
      </c>
      <c r="H1437" t="s">
        <v>82</v>
      </c>
      <c r="I1437" t="s">
        <v>22</v>
      </c>
      <c r="J1437" t="s">
        <v>23</v>
      </c>
      <c r="K1437" t="s">
        <v>3654</v>
      </c>
      <c r="L1437" t="s">
        <v>736</v>
      </c>
      <c r="M1437">
        <v>6457</v>
      </c>
      <c r="N1437" t="s">
        <v>144</v>
      </c>
      <c r="O1437" t="s">
        <v>3892</v>
      </c>
      <c r="P1437" t="s">
        <v>28</v>
      </c>
      <c r="Q1437" t="s">
        <v>61</v>
      </c>
      <c r="R1437" t="s">
        <v>3893</v>
      </c>
      <c r="S1437">
        <v>27.46</v>
      </c>
    </row>
    <row r="1438" spans="1:19" x14ac:dyDescent="0.35">
      <c r="A1438">
        <v>1461</v>
      </c>
      <c r="B1438" t="s">
        <v>3894</v>
      </c>
      <c r="C1438" s="1">
        <v>42705</v>
      </c>
      <c r="D1438" s="1">
        <v>42712</v>
      </c>
      <c r="E1438" s="1" t="str">
        <f t="shared" si="22"/>
        <v>FAST</v>
      </c>
      <c r="F1438" t="s">
        <v>46</v>
      </c>
      <c r="G1438" t="s">
        <v>800</v>
      </c>
      <c r="H1438" t="s">
        <v>801</v>
      </c>
      <c r="I1438" t="s">
        <v>22</v>
      </c>
      <c r="J1438" t="s">
        <v>23</v>
      </c>
      <c r="K1438" t="s">
        <v>91</v>
      </c>
      <c r="L1438" t="s">
        <v>92</v>
      </c>
      <c r="M1438">
        <v>98103</v>
      </c>
      <c r="N1438" t="s">
        <v>40</v>
      </c>
      <c r="O1438" t="s">
        <v>3895</v>
      </c>
      <c r="P1438" t="s">
        <v>42</v>
      </c>
      <c r="Q1438" t="s">
        <v>71</v>
      </c>
      <c r="R1438" t="s">
        <v>3896</v>
      </c>
      <c r="S1438">
        <v>55.423999999999999</v>
      </c>
    </row>
    <row r="1439" spans="1:19" x14ac:dyDescent="0.35">
      <c r="A1439">
        <v>1462</v>
      </c>
      <c r="B1439" t="s">
        <v>3897</v>
      </c>
      <c r="C1439" s="1">
        <v>42805</v>
      </c>
      <c r="D1439" s="1">
        <v>42809</v>
      </c>
      <c r="E1439" s="1" t="str">
        <f t="shared" si="22"/>
        <v>FAST</v>
      </c>
      <c r="F1439" t="s">
        <v>46</v>
      </c>
      <c r="G1439" t="s">
        <v>3898</v>
      </c>
      <c r="H1439" t="s">
        <v>3899</v>
      </c>
      <c r="I1439" t="s">
        <v>22</v>
      </c>
      <c r="J1439" t="s">
        <v>23</v>
      </c>
      <c r="K1439" t="s">
        <v>3900</v>
      </c>
      <c r="L1439" t="s">
        <v>775</v>
      </c>
      <c r="M1439">
        <v>8360</v>
      </c>
      <c r="N1439" t="s">
        <v>144</v>
      </c>
      <c r="O1439" t="s">
        <v>2373</v>
      </c>
      <c r="P1439" t="s">
        <v>28</v>
      </c>
      <c r="Q1439" t="s">
        <v>52</v>
      </c>
      <c r="R1439" t="s">
        <v>2374</v>
      </c>
      <c r="S1439">
        <v>244.006</v>
      </c>
    </row>
    <row r="1440" spans="1:19" x14ac:dyDescent="0.35">
      <c r="A1440">
        <v>1463</v>
      </c>
      <c r="B1440" t="s">
        <v>3901</v>
      </c>
      <c r="C1440" s="1">
        <v>42973</v>
      </c>
      <c r="D1440" s="1">
        <v>42975</v>
      </c>
      <c r="E1440" s="1" t="str">
        <f t="shared" si="22"/>
        <v>MODERATE</v>
      </c>
      <c r="F1440" t="s">
        <v>184</v>
      </c>
      <c r="G1440" t="s">
        <v>202</v>
      </c>
      <c r="H1440" t="s">
        <v>203</v>
      </c>
      <c r="I1440" t="s">
        <v>37</v>
      </c>
      <c r="J1440" t="s">
        <v>23</v>
      </c>
      <c r="K1440" t="s">
        <v>590</v>
      </c>
      <c r="L1440" t="s">
        <v>100</v>
      </c>
      <c r="M1440">
        <v>77506</v>
      </c>
      <c r="N1440" t="s">
        <v>101</v>
      </c>
      <c r="O1440" t="s">
        <v>1574</v>
      </c>
      <c r="P1440" t="s">
        <v>67</v>
      </c>
      <c r="Q1440" t="s">
        <v>157</v>
      </c>
      <c r="R1440" t="s">
        <v>1575</v>
      </c>
      <c r="S1440">
        <v>159.98400000000001</v>
      </c>
    </row>
    <row r="1441" spans="1:19" x14ac:dyDescent="0.35">
      <c r="A1441">
        <v>1464</v>
      </c>
      <c r="B1441" t="s">
        <v>3901</v>
      </c>
      <c r="C1441" s="1">
        <v>42973</v>
      </c>
      <c r="D1441" s="1">
        <v>42975</v>
      </c>
      <c r="E1441" s="1" t="str">
        <f t="shared" si="22"/>
        <v>MODERATE</v>
      </c>
      <c r="F1441" t="s">
        <v>184</v>
      </c>
      <c r="G1441" t="s">
        <v>202</v>
      </c>
      <c r="H1441" t="s">
        <v>203</v>
      </c>
      <c r="I1441" t="s">
        <v>37</v>
      </c>
      <c r="J1441" t="s">
        <v>23</v>
      </c>
      <c r="K1441" t="s">
        <v>590</v>
      </c>
      <c r="L1441" t="s">
        <v>100</v>
      </c>
      <c r="M1441">
        <v>77506</v>
      </c>
      <c r="N1441" t="s">
        <v>101</v>
      </c>
      <c r="O1441" t="s">
        <v>3297</v>
      </c>
      <c r="P1441" t="s">
        <v>28</v>
      </c>
      <c r="Q1441" t="s">
        <v>32</v>
      </c>
      <c r="R1441" t="s">
        <v>3298</v>
      </c>
      <c r="S1441">
        <v>1024.7159999999999</v>
      </c>
    </row>
    <row r="1442" spans="1:19" x14ac:dyDescent="0.35">
      <c r="A1442">
        <v>1465</v>
      </c>
      <c r="B1442" t="s">
        <v>3902</v>
      </c>
      <c r="C1442" s="1">
        <v>43085</v>
      </c>
      <c r="D1442" s="1">
        <v>43088</v>
      </c>
      <c r="E1442" s="1" t="str">
        <f t="shared" si="22"/>
        <v>MODERATE</v>
      </c>
      <c r="F1442" t="s">
        <v>184</v>
      </c>
      <c r="G1442" t="s">
        <v>3903</v>
      </c>
      <c r="H1442" t="s">
        <v>3904</v>
      </c>
      <c r="I1442" t="s">
        <v>37</v>
      </c>
      <c r="J1442" t="s">
        <v>23</v>
      </c>
      <c r="K1442" t="s">
        <v>260</v>
      </c>
      <c r="L1442" t="s">
        <v>261</v>
      </c>
      <c r="M1442">
        <v>10009</v>
      </c>
      <c r="N1442" t="s">
        <v>144</v>
      </c>
      <c r="O1442" t="s">
        <v>3103</v>
      </c>
      <c r="P1442" t="s">
        <v>42</v>
      </c>
      <c r="Q1442" t="s">
        <v>263</v>
      </c>
      <c r="R1442" t="s">
        <v>3104</v>
      </c>
      <c r="S1442">
        <v>3.68</v>
      </c>
    </row>
    <row r="1443" spans="1:19" x14ac:dyDescent="0.35">
      <c r="A1443">
        <v>1466</v>
      </c>
      <c r="B1443" t="s">
        <v>3905</v>
      </c>
      <c r="C1443" s="1">
        <v>42224</v>
      </c>
      <c r="D1443" s="1">
        <v>42230</v>
      </c>
      <c r="E1443" s="1" t="str">
        <f t="shared" si="22"/>
        <v>FAST</v>
      </c>
      <c r="F1443" t="s">
        <v>46</v>
      </c>
      <c r="G1443" t="s">
        <v>786</v>
      </c>
      <c r="H1443" t="s">
        <v>787</v>
      </c>
      <c r="I1443" t="s">
        <v>22</v>
      </c>
      <c r="J1443" t="s">
        <v>23</v>
      </c>
      <c r="K1443" t="s">
        <v>3906</v>
      </c>
      <c r="L1443" t="s">
        <v>304</v>
      </c>
      <c r="M1443">
        <v>85301</v>
      </c>
      <c r="N1443" t="s">
        <v>40</v>
      </c>
      <c r="O1443" t="s">
        <v>2982</v>
      </c>
      <c r="P1443" t="s">
        <v>28</v>
      </c>
      <c r="Q1443" t="s">
        <v>61</v>
      </c>
      <c r="R1443" t="s">
        <v>2983</v>
      </c>
      <c r="S1443">
        <v>121.376</v>
      </c>
    </row>
    <row r="1444" spans="1:19" x14ac:dyDescent="0.35">
      <c r="A1444">
        <v>1467</v>
      </c>
      <c r="B1444" t="s">
        <v>3905</v>
      </c>
      <c r="C1444" s="1">
        <v>42224</v>
      </c>
      <c r="D1444" s="1">
        <v>42230</v>
      </c>
      <c r="E1444" s="1" t="str">
        <f t="shared" si="22"/>
        <v>FAST</v>
      </c>
      <c r="F1444" t="s">
        <v>46</v>
      </c>
      <c r="G1444" t="s">
        <v>786</v>
      </c>
      <c r="H1444" t="s">
        <v>787</v>
      </c>
      <c r="I1444" t="s">
        <v>22</v>
      </c>
      <c r="J1444" t="s">
        <v>23</v>
      </c>
      <c r="K1444" t="s">
        <v>3906</v>
      </c>
      <c r="L1444" t="s">
        <v>304</v>
      </c>
      <c r="M1444">
        <v>85301</v>
      </c>
      <c r="N1444" t="s">
        <v>40</v>
      </c>
      <c r="O1444" t="s">
        <v>431</v>
      </c>
      <c r="P1444" t="s">
        <v>67</v>
      </c>
      <c r="Q1444" t="s">
        <v>157</v>
      </c>
      <c r="R1444" t="s">
        <v>432</v>
      </c>
      <c r="S1444">
        <v>95.975999999999999</v>
      </c>
    </row>
    <row r="1445" spans="1:19" x14ac:dyDescent="0.35">
      <c r="A1445">
        <v>1468</v>
      </c>
      <c r="B1445" t="s">
        <v>3907</v>
      </c>
      <c r="C1445" s="1">
        <v>42506</v>
      </c>
      <c r="D1445" s="1">
        <v>42506</v>
      </c>
      <c r="E1445" s="1" t="str">
        <f t="shared" si="22"/>
        <v>MODERATE</v>
      </c>
      <c r="F1445" t="s">
        <v>1276</v>
      </c>
      <c r="G1445" t="s">
        <v>2262</v>
      </c>
      <c r="H1445" t="s">
        <v>2263</v>
      </c>
      <c r="I1445" t="s">
        <v>98</v>
      </c>
      <c r="J1445" t="s">
        <v>23</v>
      </c>
      <c r="K1445" t="s">
        <v>1505</v>
      </c>
      <c r="L1445" t="s">
        <v>50</v>
      </c>
      <c r="M1445">
        <v>32216</v>
      </c>
      <c r="N1445" t="s">
        <v>26</v>
      </c>
      <c r="O1445" t="s">
        <v>2536</v>
      </c>
      <c r="P1445" t="s">
        <v>67</v>
      </c>
      <c r="Q1445" t="s">
        <v>157</v>
      </c>
      <c r="R1445" t="s">
        <v>2537</v>
      </c>
      <c r="S1445">
        <v>255.96799999999999</v>
      </c>
    </row>
    <row r="1446" spans="1:19" x14ac:dyDescent="0.35">
      <c r="A1446">
        <v>1469</v>
      </c>
      <c r="B1446" t="s">
        <v>3908</v>
      </c>
      <c r="C1446" s="1">
        <v>43443</v>
      </c>
      <c r="D1446" s="1">
        <v>43447</v>
      </c>
      <c r="E1446" s="1" t="str">
        <f t="shared" si="22"/>
        <v>FAST</v>
      </c>
      <c r="F1446" t="s">
        <v>46</v>
      </c>
      <c r="G1446" t="s">
        <v>3820</v>
      </c>
      <c r="H1446" t="s">
        <v>3821</v>
      </c>
      <c r="I1446" t="s">
        <v>37</v>
      </c>
      <c r="J1446" t="s">
        <v>23</v>
      </c>
      <c r="K1446" t="s">
        <v>867</v>
      </c>
      <c r="L1446" t="s">
        <v>232</v>
      </c>
      <c r="M1446">
        <v>48234</v>
      </c>
      <c r="N1446" t="s">
        <v>101</v>
      </c>
      <c r="O1446" t="s">
        <v>3909</v>
      </c>
      <c r="P1446" t="s">
        <v>28</v>
      </c>
      <c r="Q1446" t="s">
        <v>32</v>
      </c>
      <c r="R1446" t="s">
        <v>3910</v>
      </c>
      <c r="S1446">
        <v>872.94</v>
      </c>
    </row>
    <row r="1447" spans="1:19" x14ac:dyDescent="0.35">
      <c r="A1447">
        <v>1470</v>
      </c>
      <c r="B1447" t="s">
        <v>3908</v>
      </c>
      <c r="C1447" s="1">
        <v>43443</v>
      </c>
      <c r="D1447" s="1">
        <v>43447</v>
      </c>
      <c r="E1447" s="1" t="str">
        <f t="shared" si="22"/>
        <v>FAST</v>
      </c>
      <c r="F1447" t="s">
        <v>46</v>
      </c>
      <c r="G1447" t="s">
        <v>3820</v>
      </c>
      <c r="H1447" t="s">
        <v>3821</v>
      </c>
      <c r="I1447" t="s">
        <v>37</v>
      </c>
      <c r="J1447" t="s">
        <v>23</v>
      </c>
      <c r="K1447" t="s">
        <v>867</v>
      </c>
      <c r="L1447" t="s">
        <v>232</v>
      </c>
      <c r="M1447">
        <v>48234</v>
      </c>
      <c r="N1447" t="s">
        <v>101</v>
      </c>
      <c r="O1447" t="s">
        <v>1371</v>
      </c>
      <c r="P1447" t="s">
        <v>42</v>
      </c>
      <c r="Q1447" t="s">
        <v>71</v>
      </c>
      <c r="R1447" t="s">
        <v>1372</v>
      </c>
      <c r="S1447">
        <v>41.54</v>
      </c>
    </row>
    <row r="1448" spans="1:19" x14ac:dyDescent="0.35">
      <c r="A1448">
        <v>1471</v>
      </c>
      <c r="B1448" t="s">
        <v>3908</v>
      </c>
      <c r="C1448" s="1">
        <v>43443</v>
      </c>
      <c r="D1448" s="1">
        <v>43447</v>
      </c>
      <c r="E1448" s="1" t="str">
        <f t="shared" si="22"/>
        <v>FAST</v>
      </c>
      <c r="F1448" t="s">
        <v>46</v>
      </c>
      <c r="G1448" t="s">
        <v>3820</v>
      </c>
      <c r="H1448" t="s">
        <v>3821</v>
      </c>
      <c r="I1448" t="s">
        <v>37</v>
      </c>
      <c r="J1448" t="s">
        <v>23</v>
      </c>
      <c r="K1448" t="s">
        <v>867</v>
      </c>
      <c r="L1448" t="s">
        <v>232</v>
      </c>
      <c r="M1448">
        <v>48234</v>
      </c>
      <c r="N1448" t="s">
        <v>101</v>
      </c>
      <c r="O1448" t="s">
        <v>3911</v>
      </c>
      <c r="P1448" t="s">
        <v>42</v>
      </c>
      <c r="Q1448" t="s">
        <v>86</v>
      </c>
      <c r="R1448" t="s">
        <v>3912</v>
      </c>
      <c r="S1448">
        <v>12.96</v>
      </c>
    </row>
    <row r="1449" spans="1:19" x14ac:dyDescent="0.35">
      <c r="A1449">
        <v>1472</v>
      </c>
      <c r="B1449" t="s">
        <v>3913</v>
      </c>
      <c r="C1449" s="1">
        <v>42637</v>
      </c>
      <c r="D1449" s="1">
        <v>42640</v>
      </c>
      <c r="E1449" s="1" t="str">
        <f t="shared" si="22"/>
        <v>SLOW</v>
      </c>
      <c r="F1449" t="s">
        <v>19</v>
      </c>
      <c r="G1449" t="s">
        <v>220</v>
      </c>
      <c r="H1449" t="s">
        <v>221</v>
      </c>
      <c r="I1449" t="s">
        <v>37</v>
      </c>
      <c r="J1449" t="s">
        <v>23</v>
      </c>
      <c r="K1449" t="s">
        <v>142</v>
      </c>
      <c r="L1449" t="s">
        <v>143</v>
      </c>
      <c r="M1449">
        <v>19120</v>
      </c>
      <c r="N1449" t="s">
        <v>144</v>
      </c>
      <c r="O1449" t="s">
        <v>3914</v>
      </c>
      <c r="P1449" t="s">
        <v>42</v>
      </c>
      <c r="Q1449" t="s">
        <v>64</v>
      </c>
      <c r="R1449" t="s">
        <v>3915</v>
      </c>
      <c r="S1449">
        <v>6.8479999999999999</v>
      </c>
    </row>
    <row r="1450" spans="1:19" x14ac:dyDescent="0.35">
      <c r="A1450">
        <v>1473</v>
      </c>
      <c r="B1450" t="s">
        <v>3916</v>
      </c>
      <c r="C1450" s="1">
        <v>43292</v>
      </c>
      <c r="D1450" s="1">
        <v>43296</v>
      </c>
      <c r="E1450" s="1" t="str">
        <f t="shared" si="22"/>
        <v>FAST</v>
      </c>
      <c r="F1450" t="s">
        <v>46</v>
      </c>
      <c r="G1450" t="s">
        <v>3917</v>
      </c>
      <c r="H1450" t="s">
        <v>3918</v>
      </c>
      <c r="I1450" t="s">
        <v>37</v>
      </c>
      <c r="J1450" t="s">
        <v>23</v>
      </c>
      <c r="K1450" t="s">
        <v>38</v>
      </c>
      <c r="L1450" t="s">
        <v>39</v>
      </c>
      <c r="M1450">
        <v>90004</v>
      </c>
      <c r="N1450" t="s">
        <v>40</v>
      </c>
      <c r="O1450" t="s">
        <v>2647</v>
      </c>
      <c r="P1450" t="s">
        <v>42</v>
      </c>
      <c r="Q1450" t="s">
        <v>43</v>
      </c>
      <c r="R1450" t="s">
        <v>2648</v>
      </c>
      <c r="S1450">
        <v>8.67</v>
      </c>
    </row>
    <row r="1451" spans="1:19" x14ac:dyDescent="0.35">
      <c r="A1451">
        <v>1474</v>
      </c>
      <c r="B1451" t="s">
        <v>3919</v>
      </c>
      <c r="C1451" s="1">
        <v>42705</v>
      </c>
      <c r="D1451" s="1">
        <v>42706</v>
      </c>
      <c r="E1451" s="1" t="str">
        <f t="shared" si="22"/>
        <v>MODERATE</v>
      </c>
      <c r="F1451" t="s">
        <v>1276</v>
      </c>
      <c r="G1451" t="s">
        <v>3205</v>
      </c>
      <c r="H1451" t="s">
        <v>3206</v>
      </c>
      <c r="I1451" t="s">
        <v>22</v>
      </c>
      <c r="J1451" t="s">
        <v>23</v>
      </c>
      <c r="K1451" t="s">
        <v>180</v>
      </c>
      <c r="L1451" t="s">
        <v>100</v>
      </c>
      <c r="M1451">
        <v>77036</v>
      </c>
      <c r="N1451" t="s">
        <v>101</v>
      </c>
      <c r="O1451" t="s">
        <v>3920</v>
      </c>
      <c r="P1451" t="s">
        <v>28</v>
      </c>
      <c r="Q1451" t="s">
        <v>61</v>
      </c>
      <c r="R1451" t="s">
        <v>3921</v>
      </c>
      <c r="S1451">
        <v>6.6879999999999997</v>
      </c>
    </row>
    <row r="1452" spans="1:19" x14ac:dyDescent="0.35">
      <c r="A1452">
        <v>1475</v>
      </c>
      <c r="B1452" t="s">
        <v>3922</v>
      </c>
      <c r="C1452" s="1">
        <v>43058</v>
      </c>
      <c r="D1452" s="1">
        <v>43064</v>
      </c>
      <c r="E1452" s="1" t="str">
        <f t="shared" si="22"/>
        <v>FAST</v>
      </c>
      <c r="F1452" t="s">
        <v>46</v>
      </c>
      <c r="G1452" t="s">
        <v>3923</v>
      </c>
      <c r="H1452" t="s">
        <v>3924</v>
      </c>
      <c r="I1452" t="s">
        <v>98</v>
      </c>
      <c r="J1452" t="s">
        <v>23</v>
      </c>
      <c r="K1452" t="s">
        <v>3925</v>
      </c>
      <c r="L1452" t="s">
        <v>261</v>
      </c>
      <c r="M1452">
        <v>14304</v>
      </c>
      <c r="N1452" t="s">
        <v>144</v>
      </c>
      <c r="O1452" t="s">
        <v>3926</v>
      </c>
      <c r="P1452" t="s">
        <v>42</v>
      </c>
      <c r="Q1452" t="s">
        <v>64</v>
      </c>
      <c r="R1452" t="s">
        <v>3927</v>
      </c>
      <c r="S1452">
        <v>17.28</v>
      </c>
    </row>
    <row r="1453" spans="1:19" x14ac:dyDescent="0.35">
      <c r="A1453">
        <v>1476</v>
      </c>
      <c r="B1453" t="s">
        <v>3922</v>
      </c>
      <c r="C1453" s="1">
        <v>43058</v>
      </c>
      <c r="D1453" s="1">
        <v>43064</v>
      </c>
      <c r="E1453" s="1" t="str">
        <f t="shared" si="22"/>
        <v>FAST</v>
      </c>
      <c r="F1453" t="s">
        <v>46</v>
      </c>
      <c r="G1453" t="s">
        <v>3923</v>
      </c>
      <c r="H1453" t="s">
        <v>3924</v>
      </c>
      <c r="I1453" t="s">
        <v>98</v>
      </c>
      <c r="J1453" t="s">
        <v>23</v>
      </c>
      <c r="K1453" t="s">
        <v>3925</v>
      </c>
      <c r="L1453" t="s">
        <v>261</v>
      </c>
      <c r="M1453">
        <v>14304</v>
      </c>
      <c r="N1453" t="s">
        <v>144</v>
      </c>
      <c r="O1453" t="s">
        <v>3017</v>
      </c>
      <c r="P1453" t="s">
        <v>42</v>
      </c>
      <c r="Q1453" t="s">
        <v>71</v>
      </c>
      <c r="R1453" t="s">
        <v>3018</v>
      </c>
      <c r="S1453">
        <v>17.712</v>
      </c>
    </row>
    <row r="1454" spans="1:19" x14ac:dyDescent="0.35">
      <c r="A1454">
        <v>1477</v>
      </c>
      <c r="B1454" t="s">
        <v>3928</v>
      </c>
      <c r="C1454" s="1">
        <v>43178</v>
      </c>
      <c r="D1454" s="1">
        <v>43183</v>
      </c>
      <c r="E1454" s="1" t="str">
        <f t="shared" si="22"/>
        <v>FAST</v>
      </c>
      <c r="F1454" t="s">
        <v>46</v>
      </c>
      <c r="G1454" t="s">
        <v>2816</v>
      </c>
      <c r="H1454" t="s">
        <v>2817</v>
      </c>
      <c r="I1454" t="s">
        <v>98</v>
      </c>
      <c r="J1454" t="s">
        <v>23</v>
      </c>
      <c r="K1454" t="s">
        <v>260</v>
      </c>
      <c r="L1454" t="s">
        <v>261</v>
      </c>
      <c r="M1454">
        <v>10024</v>
      </c>
      <c r="N1454" t="s">
        <v>144</v>
      </c>
      <c r="O1454" t="s">
        <v>3929</v>
      </c>
      <c r="P1454" t="s">
        <v>42</v>
      </c>
      <c r="Q1454" t="s">
        <v>43</v>
      </c>
      <c r="R1454" t="s">
        <v>3930</v>
      </c>
      <c r="S1454">
        <v>28.91</v>
      </c>
    </row>
    <row r="1455" spans="1:19" x14ac:dyDescent="0.35">
      <c r="A1455">
        <v>1478</v>
      </c>
      <c r="B1455" t="s">
        <v>3931</v>
      </c>
      <c r="C1455" s="1">
        <v>43052</v>
      </c>
      <c r="D1455" s="1">
        <v>43056</v>
      </c>
      <c r="E1455" s="1" t="str">
        <f t="shared" si="22"/>
        <v>FAST</v>
      </c>
      <c r="F1455" t="s">
        <v>46</v>
      </c>
      <c r="G1455" t="s">
        <v>3932</v>
      </c>
      <c r="H1455" t="s">
        <v>3933</v>
      </c>
      <c r="I1455" t="s">
        <v>22</v>
      </c>
      <c r="J1455" t="s">
        <v>23</v>
      </c>
      <c r="K1455" t="s">
        <v>3934</v>
      </c>
      <c r="L1455" t="s">
        <v>84</v>
      </c>
      <c r="M1455">
        <v>27360</v>
      </c>
      <c r="N1455" t="s">
        <v>26</v>
      </c>
      <c r="O1455" t="s">
        <v>2546</v>
      </c>
      <c r="P1455" t="s">
        <v>42</v>
      </c>
      <c r="Q1455" t="s">
        <v>566</v>
      </c>
      <c r="R1455" t="s">
        <v>2547</v>
      </c>
      <c r="S1455">
        <v>52.136000000000003</v>
      </c>
    </row>
    <row r="1456" spans="1:19" x14ac:dyDescent="0.35">
      <c r="A1456">
        <v>1479</v>
      </c>
      <c r="B1456" t="s">
        <v>3935</v>
      </c>
      <c r="C1456" s="1">
        <v>43423</v>
      </c>
      <c r="D1456" s="1">
        <v>43424</v>
      </c>
      <c r="E1456" s="1" t="str">
        <f t="shared" si="22"/>
        <v>MODERATE</v>
      </c>
      <c r="F1456" t="s">
        <v>184</v>
      </c>
      <c r="G1456" t="s">
        <v>416</v>
      </c>
      <c r="H1456" t="s">
        <v>417</v>
      </c>
      <c r="I1456" t="s">
        <v>22</v>
      </c>
      <c r="J1456" t="s">
        <v>23</v>
      </c>
      <c r="K1456" t="s">
        <v>3936</v>
      </c>
      <c r="L1456" t="s">
        <v>39</v>
      </c>
      <c r="M1456">
        <v>92683</v>
      </c>
      <c r="N1456" t="s">
        <v>40</v>
      </c>
      <c r="O1456" t="s">
        <v>1662</v>
      </c>
      <c r="P1456" t="s">
        <v>67</v>
      </c>
      <c r="Q1456" t="s">
        <v>68</v>
      </c>
      <c r="R1456" t="s">
        <v>1663</v>
      </c>
      <c r="S1456">
        <v>31.968</v>
      </c>
    </row>
    <row r="1457" spans="1:19" x14ac:dyDescent="0.35">
      <c r="A1457">
        <v>1480</v>
      </c>
      <c r="B1457" t="s">
        <v>3937</v>
      </c>
      <c r="C1457" s="1">
        <v>43071</v>
      </c>
      <c r="D1457" s="1">
        <v>43077</v>
      </c>
      <c r="E1457" s="1" t="str">
        <f t="shared" si="22"/>
        <v>FAST</v>
      </c>
      <c r="F1457" t="s">
        <v>46</v>
      </c>
      <c r="G1457" t="s">
        <v>1503</v>
      </c>
      <c r="H1457" t="s">
        <v>1504</v>
      </c>
      <c r="I1457" t="s">
        <v>22</v>
      </c>
      <c r="J1457" t="s">
        <v>23</v>
      </c>
      <c r="K1457" t="s">
        <v>123</v>
      </c>
      <c r="L1457" t="s">
        <v>39</v>
      </c>
      <c r="M1457">
        <v>94122</v>
      </c>
      <c r="N1457" t="s">
        <v>40</v>
      </c>
      <c r="O1457" t="s">
        <v>3938</v>
      </c>
      <c r="P1457" t="s">
        <v>42</v>
      </c>
      <c r="Q1457" t="s">
        <v>86</v>
      </c>
      <c r="R1457" t="s">
        <v>3939</v>
      </c>
      <c r="S1457">
        <v>25.92</v>
      </c>
    </row>
    <row r="1458" spans="1:19" x14ac:dyDescent="0.35">
      <c r="A1458">
        <v>1481</v>
      </c>
      <c r="B1458" t="s">
        <v>3937</v>
      </c>
      <c r="C1458" s="1">
        <v>43071</v>
      </c>
      <c r="D1458" s="1">
        <v>43077</v>
      </c>
      <c r="E1458" s="1" t="str">
        <f t="shared" si="22"/>
        <v>FAST</v>
      </c>
      <c r="F1458" t="s">
        <v>46</v>
      </c>
      <c r="G1458" t="s">
        <v>1503</v>
      </c>
      <c r="H1458" t="s">
        <v>1504</v>
      </c>
      <c r="I1458" t="s">
        <v>22</v>
      </c>
      <c r="J1458" t="s">
        <v>23</v>
      </c>
      <c r="K1458" t="s">
        <v>123</v>
      </c>
      <c r="L1458" t="s">
        <v>39</v>
      </c>
      <c r="M1458">
        <v>94122</v>
      </c>
      <c r="N1458" t="s">
        <v>40</v>
      </c>
      <c r="O1458" t="s">
        <v>3940</v>
      </c>
      <c r="P1458" t="s">
        <v>42</v>
      </c>
      <c r="Q1458" t="s">
        <v>86</v>
      </c>
      <c r="R1458" t="s">
        <v>3941</v>
      </c>
      <c r="S1458">
        <v>40.46</v>
      </c>
    </row>
    <row r="1459" spans="1:19" x14ac:dyDescent="0.35">
      <c r="A1459">
        <v>1482</v>
      </c>
      <c r="B1459" t="s">
        <v>3937</v>
      </c>
      <c r="C1459" s="1">
        <v>43071</v>
      </c>
      <c r="D1459" s="1">
        <v>43077</v>
      </c>
      <c r="E1459" s="1" t="str">
        <f t="shared" si="22"/>
        <v>FAST</v>
      </c>
      <c r="F1459" t="s">
        <v>46</v>
      </c>
      <c r="G1459" t="s">
        <v>1503</v>
      </c>
      <c r="H1459" t="s">
        <v>1504</v>
      </c>
      <c r="I1459" t="s">
        <v>22</v>
      </c>
      <c r="J1459" t="s">
        <v>23</v>
      </c>
      <c r="K1459" t="s">
        <v>123</v>
      </c>
      <c r="L1459" t="s">
        <v>39</v>
      </c>
      <c r="M1459">
        <v>94122</v>
      </c>
      <c r="N1459" t="s">
        <v>40</v>
      </c>
      <c r="O1459" t="s">
        <v>3942</v>
      </c>
      <c r="P1459" t="s">
        <v>42</v>
      </c>
      <c r="Q1459" t="s">
        <v>55</v>
      </c>
      <c r="R1459" t="s">
        <v>3943</v>
      </c>
      <c r="S1459">
        <v>33.869999999999997</v>
      </c>
    </row>
    <row r="1460" spans="1:19" x14ac:dyDescent="0.35">
      <c r="A1460">
        <v>1483</v>
      </c>
      <c r="B1460" t="s">
        <v>3944</v>
      </c>
      <c r="C1460" s="1">
        <v>43337</v>
      </c>
      <c r="D1460" s="1">
        <v>43340</v>
      </c>
      <c r="E1460" s="1" t="str">
        <f t="shared" si="22"/>
        <v>SLOW</v>
      </c>
      <c r="F1460" t="s">
        <v>19</v>
      </c>
      <c r="G1460" t="s">
        <v>3146</v>
      </c>
      <c r="H1460" t="s">
        <v>3147</v>
      </c>
      <c r="I1460" t="s">
        <v>22</v>
      </c>
      <c r="J1460" t="s">
        <v>23</v>
      </c>
      <c r="K1460" t="s">
        <v>322</v>
      </c>
      <c r="L1460" t="s">
        <v>329</v>
      </c>
      <c r="M1460">
        <v>38301</v>
      </c>
      <c r="N1460" t="s">
        <v>26</v>
      </c>
      <c r="O1460" t="s">
        <v>1869</v>
      </c>
      <c r="P1460" t="s">
        <v>42</v>
      </c>
      <c r="Q1460" t="s">
        <v>64</v>
      </c>
      <c r="R1460" t="s">
        <v>1870</v>
      </c>
      <c r="S1460">
        <v>9.7279999999999998</v>
      </c>
    </row>
    <row r="1461" spans="1:19" x14ac:dyDescent="0.35">
      <c r="A1461">
        <v>1484</v>
      </c>
      <c r="B1461" t="s">
        <v>3944</v>
      </c>
      <c r="C1461" s="1">
        <v>43337</v>
      </c>
      <c r="D1461" s="1">
        <v>43340</v>
      </c>
      <c r="E1461" s="1" t="str">
        <f t="shared" si="22"/>
        <v>SLOW</v>
      </c>
      <c r="F1461" t="s">
        <v>19</v>
      </c>
      <c r="G1461" t="s">
        <v>3146</v>
      </c>
      <c r="H1461" t="s">
        <v>3147</v>
      </c>
      <c r="I1461" t="s">
        <v>22</v>
      </c>
      <c r="J1461" t="s">
        <v>23</v>
      </c>
      <c r="K1461" t="s">
        <v>322</v>
      </c>
      <c r="L1461" t="s">
        <v>329</v>
      </c>
      <c r="M1461">
        <v>38301</v>
      </c>
      <c r="N1461" t="s">
        <v>26</v>
      </c>
      <c r="O1461" t="s">
        <v>3945</v>
      </c>
      <c r="P1461" t="s">
        <v>42</v>
      </c>
      <c r="Q1461" t="s">
        <v>86</v>
      </c>
      <c r="R1461" t="s">
        <v>3946</v>
      </c>
      <c r="S1461">
        <v>3.4239999999999999</v>
      </c>
    </row>
    <row r="1462" spans="1:19" x14ac:dyDescent="0.35">
      <c r="A1462">
        <v>1485</v>
      </c>
      <c r="B1462" t="s">
        <v>3947</v>
      </c>
      <c r="C1462" s="1">
        <v>43022</v>
      </c>
      <c r="D1462" s="1">
        <v>43026</v>
      </c>
      <c r="E1462" s="1" t="str">
        <f t="shared" si="22"/>
        <v>FAST</v>
      </c>
      <c r="F1462" t="s">
        <v>46</v>
      </c>
      <c r="G1462" t="s">
        <v>2380</v>
      </c>
      <c r="H1462" t="s">
        <v>2381</v>
      </c>
      <c r="I1462" t="s">
        <v>37</v>
      </c>
      <c r="J1462" t="s">
        <v>23</v>
      </c>
      <c r="K1462" t="s">
        <v>91</v>
      </c>
      <c r="L1462" t="s">
        <v>92</v>
      </c>
      <c r="M1462">
        <v>98115</v>
      </c>
      <c r="N1462" t="s">
        <v>40</v>
      </c>
      <c r="O1462" t="s">
        <v>3948</v>
      </c>
      <c r="P1462" t="s">
        <v>67</v>
      </c>
      <c r="Q1462" t="s">
        <v>157</v>
      </c>
      <c r="R1462" t="s">
        <v>3949</v>
      </c>
      <c r="S1462">
        <v>177</v>
      </c>
    </row>
    <row r="1463" spans="1:19" x14ac:dyDescent="0.35">
      <c r="A1463">
        <v>1486</v>
      </c>
      <c r="B1463" t="s">
        <v>3950</v>
      </c>
      <c r="C1463" s="1">
        <v>42335</v>
      </c>
      <c r="D1463" s="1">
        <v>42341</v>
      </c>
      <c r="E1463" s="1" t="str">
        <f t="shared" si="22"/>
        <v>FAST</v>
      </c>
      <c r="F1463" t="s">
        <v>46</v>
      </c>
      <c r="G1463" t="s">
        <v>3951</v>
      </c>
      <c r="H1463" t="s">
        <v>3952</v>
      </c>
      <c r="I1463" t="s">
        <v>22</v>
      </c>
      <c r="J1463" t="s">
        <v>23</v>
      </c>
      <c r="K1463" t="s">
        <v>260</v>
      </c>
      <c r="L1463" t="s">
        <v>261</v>
      </c>
      <c r="M1463">
        <v>10035</v>
      </c>
      <c r="N1463" t="s">
        <v>144</v>
      </c>
      <c r="O1463" t="s">
        <v>3953</v>
      </c>
      <c r="P1463" t="s">
        <v>42</v>
      </c>
      <c r="Q1463" t="s">
        <v>263</v>
      </c>
      <c r="R1463" t="s">
        <v>550</v>
      </c>
      <c r="S1463">
        <v>3.76</v>
      </c>
    </row>
    <row r="1464" spans="1:19" x14ac:dyDescent="0.35">
      <c r="A1464">
        <v>1487</v>
      </c>
      <c r="B1464" t="s">
        <v>3954</v>
      </c>
      <c r="C1464" s="1">
        <v>42677</v>
      </c>
      <c r="D1464" s="1">
        <v>42681</v>
      </c>
      <c r="E1464" s="1" t="str">
        <f t="shared" si="22"/>
        <v>FAST</v>
      </c>
      <c r="F1464" t="s">
        <v>46</v>
      </c>
      <c r="G1464" t="s">
        <v>3955</v>
      </c>
      <c r="H1464" t="s">
        <v>3956</v>
      </c>
      <c r="I1464" t="s">
        <v>98</v>
      </c>
      <c r="J1464" t="s">
        <v>23</v>
      </c>
      <c r="K1464" t="s">
        <v>38</v>
      </c>
      <c r="L1464" t="s">
        <v>39</v>
      </c>
      <c r="M1464">
        <v>90008</v>
      </c>
      <c r="N1464" t="s">
        <v>40</v>
      </c>
      <c r="O1464" t="s">
        <v>3957</v>
      </c>
      <c r="P1464" t="s">
        <v>67</v>
      </c>
      <c r="Q1464" t="s">
        <v>68</v>
      </c>
      <c r="R1464" t="s">
        <v>3958</v>
      </c>
      <c r="S1464">
        <v>1212.848</v>
      </c>
    </row>
    <row r="1465" spans="1:19" x14ac:dyDescent="0.35">
      <c r="A1465">
        <v>1488</v>
      </c>
      <c r="B1465" t="s">
        <v>3954</v>
      </c>
      <c r="C1465" s="1">
        <v>42677</v>
      </c>
      <c r="D1465" s="1">
        <v>42681</v>
      </c>
      <c r="E1465" s="1" t="str">
        <f t="shared" si="22"/>
        <v>FAST</v>
      </c>
      <c r="F1465" t="s">
        <v>46</v>
      </c>
      <c r="G1465" t="s">
        <v>3955</v>
      </c>
      <c r="H1465" t="s">
        <v>3956</v>
      </c>
      <c r="I1465" t="s">
        <v>98</v>
      </c>
      <c r="J1465" t="s">
        <v>23</v>
      </c>
      <c r="K1465" t="s">
        <v>38</v>
      </c>
      <c r="L1465" t="s">
        <v>39</v>
      </c>
      <c r="M1465">
        <v>90008</v>
      </c>
      <c r="N1465" t="s">
        <v>40</v>
      </c>
      <c r="O1465" t="s">
        <v>3959</v>
      </c>
      <c r="P1465" t="s">
        <v>67</v>
      </c>
      <c r="Q1465" t="s">
        <v>157</v>
      </c>
      <c r="R1465" t="s">
        <v>3960</v>
      </c>
      <c r="S1465">
        <v>89.97</v>
      </c>
    </row>
    <row r="1466" spans="1:19" x14ac:dyDescent="0.35">
      <c r="A1466">
        <v>1489</v>
      </c>
      <c r="B1466" t="s">
        <v>3954</v>
      </c>
      <c r="C1466" s="1">
        <v>42677</v>
      </c>
      <c r="D1466" s="1">
        <v>42681</v>
      </c>
      <c r="E1466" s="1" t="str">
        <f t="shared" si="22"/>
        <v>FAST</v>
      </c>
      <c r="F1466" t="s">
        <v>46</v>
      </c>
      <c r="G1466" t="s">
        <v>3955</v>
      </c>
      <c r="H1466" t="s">
        <v>3956</v>
      </c>
      <c r="I1466" t="s">
        <v>98</v>
      </c>
      <c r="J1466" t="s">
        <v>23</v>
      </c>
      <c r="K1466" t="s">
        <v>38</v>
      </c>
      <c r="L1466" t="s">
        <v>39</v>
      </c>
      <c r="M1466">
        <v>90008</v>
      </c>
      <c r="N1466" t="s">
        <v>40</v>
      </c>
      <c r="O1466" t="s">
        <v>1476</v>
      </c>
      <c r="P1466" t="s">
        <v>28</v>
      </c>
      <c r="Q1466" t="s">
        <v>61</v>
      </c>
      <c r="R1466" t="s">
        <v>1477</v>
      </c>
      <c r="S1466">
        <v>42.6</v>
      </c>
    </row>
    <row r="1467" spans="1:19" x14ac:dyDescent="0.35">
      <c r="A1467">
        <v>1490</v>
      </c>
      <c r="B1467" t="s">
        <v>3961</v>
      </c>
      <c r="C1467" s="1">
        <v>42337</v>
      </c>
      <c r="D1467" s="1">
        <v>42344</v>
      </c>
      <c r="E1467" s="1" t="str">
        <f t="shared" si="22"/>
        <v>FAST</v>
      </c>
      <c r="F1467" t="s">
        <v>46</v>
      </c>
      <c r="G1467" t="s">
        <v>3962</v>
      </c>
      <c r="H1467" t="s">
        <v>3963</v>
      </c>
      <c r="I1467" t="s">
        <v>22</v>
      </c>
      <c r="J1467" t="s">
        <v>23</v>
      </c>
      <c r="K1467" t="s">
        <v>142</v>
      </c>
      <c r="L1467" t="s">
        <v>143</v>
      </c>
      <c r="M1467">
        <v>19143</v>
      </c>
      <c r="N1467" t="s">
        <v>144</v>
      </c>
      <c r="O1467" t="s">
        <v>3168</v>
      </c>
      <c r="P1467" t="s">
        <v>42</v>
      </c>
      <c r="Q1467" t="s">
        <v>43</v>
      </c>
      <c r="R1467" t="s">
        <v>3169</v>
      </c>
      <c r="S1467">
        <v>5.04</v>
      </c>
    </row>
    <row r="1468" spans="1:19" x14ac:dyDescent="0.35">
      <c r="A1468">
        <v>1492</v>
      </c>
      <c r="B1468" t="s">
        <v>3964</v>
      </c>
      <c r="C1468" s="1">
        <v>43428</v>
      </c>
      <c r="D1468" s="1">
        <v>43432</v>
      </c>
      <c r="E1468" s="1" t="str">
        <f t="shared" si="22"/>
        <v>FAST</v>
      </c>
      <c r="F1468" t="s">
        <v>46</v>
      </c>
      <c r="G1468" t="s">
        <v>3965</v>
      </c>
      <c r="H1468" t="s">
        <v>3966</v>
      </c>
      <c r="I1468" t="s">
        <v>37</v>
      </c>
      <c r="J1468" t="s">
        <v>23</v>
      </c>
      <c r="K1468" t="s">
        <v>260</v>
      </c>
      <c r="L1468" t="s">
        <v>261</v>
      </c>
      <c r="M1468">
        <v>10035</v>
      </c>
      <c r="N1468" t="s">
        <v>144</v>
      </c>
      <c r="O1468" t="s">
        <v>3967</v>
      </c>
      <c r="P1468" t="s">
        <v>42</v>
      </c>
      <c r="Q1468" t="s">
        <v>86</v>
      </c>
      <c r="R1468" t="s">
        <v>3968</v>
      </c>
      <c r="S1468">
        <v>5.88</v>
      </c>
    </row>
    <row r="1469" spans="1:19" x14ac:dyDescent="0.35">
      <c r="A1469">
        <v>1493</v>
      </c>
      <c r="B1469" t="s">
        <v>3964</v>
      </c>
      <c r="C1469" s="1">
        <v>43428</v>
      </c>
      <c r="D1469" s="1">
        <v>43432</v>
      </c>
      <c r="E1469" s="1" t="str">
        <f t="shared" si="22"/>
        <v>FAST</v>
      </c>
      <c r="F1469" t="s">
        <v>46</v>
      </c>
      <c r="G1469" t="s">
        <v>3965</v>
      </c>
      <c r="H1469" t="s">
        <v>3966</v>
      </c>
      <c r="I1469" t="s">
        <v>37</v>
      </c>
      <c r="J1469" t="s">
        <v>23</v>
      </c>
      <c r="K1469" t="s">
        <v>260</v>
      </c>
      <c r="L1469" t="s">
        <v>261</v>
      </c>
      <c r="M1469">
        <v>10035</v>
      </c>
      <c r="N1469" t="s">
        <v>144</v>
      </c>
      <c r="O1469" t="s">
        <v>1266</v>
      </c>
      <c r="P1469" t="s">
        <v>28</v>
      </c>
      <c r="Q1469" t="s">
        <v>32</v>
      </c>
      <c r="R1469" t="s">
        <v>1267</v>
      </c>
      <c r="S1469">
        <v>977.29200000000003</v>
      </c>
    </row>
    <row r="1470" spans="1:19" x14ac:dyDescent="0.35">
      <c r="A1470">
        <v>1494</v>
      </c>
      <c r="B1470" t="s">
        <v>3969</v>
      </c>
      <c r="C1470" s="1">
        <v>43403</v>
      </c>
      <c r="D1470" s="1">
        <v>43407</v>
      </c>
      <c r="E1470" s="1" t="str">
        <f t="shared" si="22"/>
        <v>FAST</v>
      </c>
      <c r="F1470" t="s">
        <v>46</v>
      </c>
      <c r="G1470" t="s">
        <v>3970</v>
      </c>
      <c r="H1470" t="s">
        <v>3971</v>
      </c>
      <c r="I1470" t="s">
        <v>37</v>
      </c>
      <c r="J1470" t="s">
        <v>23</v>
      </c>
      <c r="K1470" t="s">
        <v>2122</v>
      </c>
      <c r="L1470" t="s">
        <v>92</v>
      </c>
      <c r="M1470">
        <v>98661</v>
      </c>
      <c r="N1470" t="s">
        <v>40</v>
      </c>
      <c r="O1470" t="s">
        <v>2959</v>
      </c>
      <c r="P1470" t="s">
        <v>28</v>
      </c>
      <c r="Q1470" t="s">
        <v>61</v>
      </c>
      <c r="R1470" t="s">
        <v>2960</v>
      </c>
      <c r="S1470">
        <v>9.64</v>
      </c>
    </row>
    <row r="1471" spans="1:19" x14ac:dyDescent="0.35">
      <c r="A1471">
        <v>1495</v>
      </c>
      <c r="B1471" t="s">
        <v>3972</v>
      </c>
      <c r="C1471" s="1">
        <v>42355</v>
      </c>
      <c r="D1471" s="1">
        <v>42357</v>
      </c>
      <c r="E1471" s="1" t="str">
        <f t="shared" si="22"/>
        <v>SLOW</v>
      </c>
      <c r="F1471" t="s">
        <v>19</v>
      </c>
      <c r="G1471" t="s">
        <v>1409</v>
      </c>
      <c r="H1471" t="s">
        <v>1410</v>
      </c>
      <c r="I1471" t="s">
        <v>22</v>
      </c>
      <c r="J1471" t="s">
        <v>23</v>
      </c>
      <c r="K1471" t="s">
        <v>484</v>
      </c>
      <c r="L1471" t="s">
        <v>1258</v>
      </c>
      <c r="M1471">
        <v>31907</v>
      </c>
      <c r="N1471" t="s">
        <v>26</v>
      </c>
      <c r="O1471" t="s">
        <v>3174</v>
      </c>
      <c r="P1471" t="s">
        <v>42</v>
      </c>
      <c r="Q1471" t="s">
        <v>64</v>
      </c>
      <c r="R1471" t="s">
        <v>3175</v>
      </c>
      <c r="S1471">
        <v>40.049999999999997</v>
      </c>
    </row>
    <row r="1472" spans="1:19" x14ac:dyDescent="0.35">
      <c r="A1472">
        <v>1496</v>
      </c>
      <c r="B1472" t="s">
        <v>3973</v>
      </c>
      <c r="C1472" s="1">
        <v>43347</v>
      </c>
      <c r="D1472" s="1">
        <v>43351</v>
      </c>
      <c r="E1472" s="1" t="str">
        <f t="shared" si="22"/>
        <v>FAST</v>
      </c>
      <c r="F1472" t="s">
        <v>46</v>
      </c>
      <c r="G1472" t="s">
        <v>3974</v>
      </c>
      <c r="H1472" t="s">
        <v>3975</v>
      </c>
      <c r="I1472" t="s">
        <v>22</v>
      </c>
      <c r="J1472" t="s">
        <v>23</v>
      </c>
      <c r="K1472" t="s">
        <v>3976</v>
      </c>
      <c r="L1472" t="s">
        <v>100</v>
      </c>
      <c r="M1472">
        <v>75019</v>
      </c>
      <c r="N1472" t="s">
        <v>101</v>
      </c>
      <c r="O1472" t="s">
        <v>3288</v>
      </c>
      <c r="P1472" t="s">
        <v>42</v>
      </c>
      <c r="Q1472" t="s">
        <v>64</v>
      </c>
      <c r="R1472" t="s">
        <v>3289</v>
      </c>
      <c r="S1472">
        <v>10.192</v>
      </c>
    </row>
    <row r="1473" spans="1:19" x14ac:dyDescent="0.35">
      <c r="A1473">
        <v>1497</v>
      </c>
      <c r="B1473" t="s">
        <v>3973</v>
      </c>
      <c r="C1473" s="1">
        <v>43347</v>
      </c>
      <c r="D1473" s="1">
        <v>43351</v>
      </c>
      <c r="E1473" s="1" t="str">
        <f t="shared" si="22"/>
        <v>FAST</v>
      </c>
      <c r="F1473" t="s">
        <v>46</v>
      </c>
      <c r="G1473" t="s">
        <v>3974</v>
      </c>
      <c r="H1473" t="s">
        <v>3975</v>
      </c>
      <c r="I1473" t="s">
        <v>22</v>
      </c>
      <c r="J1473" t="s">
        <v>23</v>
      </c>
      <c r="K1473" t="s">
        <v>3976</v>
      </c>
      <c r="L1473" t="s">
        <v>100</v>
      </c>
      <c r="M1473">
        <v>75019</v>
      </c>
      <c r="N1473" t="s">
        <v>101</v>
      </c>
      <c r="O1473" t="s">
        <v>3977</v>
      </c>
      <c r="P1473" t="s">
        <v>42</v>
      </c>
      <c r="Q1473" t="s">
        <v>55</v>
      </c>
      <c r="R1473" t="s">
        <v>3978</v>
      </c>
      <c r="S1473">
        <v>16.783999999999999</v>
      </c>
    </row>
    <row r="1474" spans="1:19" x14ac:dyDescent="0.35">
      <c r="A1474">
        <v>1498</v>
      </c>
      <c r="B1474" t="s">
        <v>3973</v>
      </c>
      <c r="C1474" s="1">
        <v>43347</v>
      </c>
      <c r="D1474" s="1">
        <v>43351</v>
      </c>
      <c r="E1474" s="1" t="str">
        <f t="shared" si="22"/>
        <v>FAST</v>
      </c>
      <c r="F1474" t="s">
        <v>46</v>
      </c>
      <c r="G1474" t="s">
        <v>3974</v>
      </c>
      <c r="H1474" t="s">
        <v>3975</v>
      </c>
      <c r="I1474" t="s">
        <v>22</v>
      </c>
      <c r="J1474" t="s">
        <v>23</v>
      </c>
      <c r="K1474" t="s">
        <v>3976</v>
      </c>
      <c r="L1474" t="s">
        <v>100</v>
      </c>
      <c r="M1474">
        <v>75019</v>
      </c>
      <c r="N1474" t="s">
        <v>101</v>
      </c>
      <c r="O1474" t="s">
        <v>712</v>
      </c>
      <c r="P1474" t="s">
        <v>42</v>
      </c>
      <c r="Q1474" t="s">
        <v>64</v>
      </c>
      <c r="R1474" t="s">
        <v>713</v>
      </c>
      <c r="S1474">
        <v>13.12</v>
      </c>
    </row>
    <row r="1475" spans="1:19" x14ac:dyDescent="0.35">
      <c r="A1475">
        <v>1499</v>
      </c>
      <c r="B1475" t="s">
        <v>3979</v>
      </c>
      <c r="C1475" s="1">
        <v>43025</v>
      </c>
      <c r="D1475" s="1">
        <v>43028</v>
      </c>
      <c r="E1475" s="1" t="str">
        <f t="shared" ref="E1475:E1538" si="23">IF(F1475="STANDARD CLASS","FAST",IF(F1475="SECOND CLASS","SLOW","MODERATE"))</f>
        <v>MODERATE</v>
      </c>
      <c r="F1475" t="s">
        <v>184</v>
      </c>
      <c r="G1475" t="s">
        <v>626</v>
      </c>
      <c r="H1475" t="s">
        <v>627</v>
      </c>
      <c r="I1475" t="s">
        <v>98</v>
      </c>
      <c r="J1475" t="s">
        <v>23</v>
      </c>
      <c r="K1475" t="s">
        <v>123</v>
      </c>
      <c r="L1475" t="s">
        <v>39</v>
      </c>
      <c r="M1475">
        <v>94122</v>
      </c>
      <c r="N1475" t="s">
        <v>40</v>
      </c>
      <c r="O1475" t="s">
        <v>479</v>
      </c>
      <c r="P1475" t="s">
        <v>42</v>
      </c>
      <c r="Q1475" t="s">
        <v>71</v>
      </c>
      <c r="R1475" t="s">
        <v>480</v>
      </c>
      <c r="S1475">
        <v>18.16</v>
      </c>
    </row>
    <row r="1476" spans="1:19" x14ac:dyDescent="0.35">
      <c r="A1476">
        <v>1500</v>
      </c>
      <c r="B1476" t="s">
        <v>3980</v>
      </c>
      <c r="C1476" s="1">
        <v>43416</v>
      </c>
      <c r="D1476" s="1">
        <v>43422</v>
      </c>
      <c r="E1476" s="1" t="str">
        <f t="shared" si="23"/>
        <v>FAST</v>
      </c>
      <c r="F1476" t="s">
        <v>46</v>
      </c>
      <c r="G1476" t="s">
        <v>1350</v>
      </c>
      <c r="H1476" t="s">
        <v>1351</v>
      </c>
      <c r="I1476" t="s">
        <v>22</v>
      </c>
      <c r="J1476" t="s">
        <v>23</v>
      </c>
      <c r="K1476" t="s">
        <v>1225</v>
      </c>
      <c r="L1476" t="s">
        <v>100</v>
      </c>
      <c r="M1476">
        <v>78745</v>
      </c>
      <c r="N1476" t="s">
        <v>101</v>
      </c>
      <c r="O1476" t="s">
        <v>783</v>
      </c>
      <c r="P1476" t="s">
        <v>42</v>
      </c>
      <c r="Q1476" t="s">
        <v>86</v>
      </c>
      <c r="R1476" t="s">
        <v>784</v>
      </c>
      <c r="S1476">
        <v>16.056000000000001</v>
      </c>
    </row>
    <row r="1477" spans="1:19" x14ac:dyDescent="0.35">
      <c r="A1477">
        <v>1501</v>
      </c>
      <c r="B1477" t="s">
        <v>3980</v>
      </c>
      <c r="C1477" s="1">
        <v>43416</v>
      </c>
      <c r="D1477" s="1">
        <v>43422</v>
      </c>
      <c r="E1477" s="1" t="str">
        <f t="shared" si="23"/>
        <v>FAST</v>
      </c>
      <c r="F1477" t="s">
        <v>46</v>
      </c>
      <c r="G1477" t="s">
        <v>1350</v>
      </c>
      <c r="H1477" t="s">
        <v>1351</v>
      </c>
      <c r="I1477" t="s">
        <v>22</v>
      </c>
      <c r="J1477" t="s">
        <v>23</v>
      </c>
      <c r="K1477" t="s">
        <v>1225</v>
      </c>
      <c r="L1477" t="s">
        <v>100</v>
      </c>
      <c r="M1477">
        <v>78745</v>
      </c>
      <c r="N1477" t="s">
        <v>101</v>
      </c>
      <c r="O1477" t="s">
        <v>3981</v>
      </c>
      <c r="P1477" t="s">
        <v>42</v>
      </c>
      <c r="Q1477" t="s">
        <v>86</v>
      </c>
      <c r="R1477" t="s">
        <v>3982</v>
      </c>
      <c r="S1477">
        <v>223.05600000000001</v>
      </c>
    </row>
    <row r="1478" spans="1:19" x14ac:dyDescent="0.35">
      <c r="A1478">
        <v>1502</v>
      </c>
      <c r="B1478" t="s">
        <v>3980</v>
      </c>
      <c r="C1478" s="1">
        <v>43416</v>
      </c>
      <c r="D1478" s="1">
        <v>43422</v>
      </c>
      <c r="E1478" s="1" t="str">
        <f t="shared" si="23"/>
        <v>FAST</v>
      </c>
      <c r="F1478" t="s">
        <v>46</v>
      </c>
      <c r="G1478" t="s">
        <v>1350</v>
      </c>
      <c r="H1478" t="s">
        <v>1351</v>
      </c>
      <c r="I1478" t="s">
        <v>22</v>
      </c>
      <c r="J1478" t="s">
        <v>23</v>
      </c>
      <c r="K1478" t="s">
        <v>1225</v>
      </c>
      <c r="L1478" t="s">
        <v>100</v>
      </c>
      <c r="M1478">
        <v>78745</v>
      </c>
      <c r="N1478" t="s">
        <v>101</v>
      </c>
      <c r="O1478" t="s">
        <v>3477</v>
      </c>
      <c r="P1478" t="s">
        <v>42</v>
      </c>
      <c r="Q1478" t="s">
        <v>55</v>
      </c>
      <c r="R1478" t="s">
        <v>3478</v>
      </c>
      <c r="S1478">
        <v>540.048</v>
      </c>
    </row>
    <row r="1479" spans="1:19" x14ac:dyDescent="0.35">
      <c r="A1479">
        <v>1503</v>
      </c>
      <c r="B1479" t="s">
        <v>3983</v>
      </c>
      <c r="C1479" s="1">
        <v>43063</v>
      </c>
      <c r="D1479" s="1">
        <v>43070</v>
      </c>
      <c r="E1479" s="1" t="str">
        <f t="shared" si="23"/>
        <v>FAST</v>
      </c>
      <c r="F1479" t="s">
        <v>46</v>
      </c>
      <c r="G1479" t="s">
        <v>3338</v>
      </c>
      <c r="H1479" t="s">
        <v>3339</v>
      </c>
      <c r="I1479" t="s">
        <v>98</v>
      </c>
      <c r="J1479" t="s">
        <v>23</v>
      </c>
      <c r="K1479" t="s">
        <v>38</v>
      </c>
      <c r="L1479" t="s">
        <v>39</v>
      </c>
      <c r="M1479">
        <v>90045</v>
      </c>
      <c r="N1479" t="s">
        <v>40</v>
      </c>
      <c r="O1479" t="s">
        <v>3984</v>
      </c>
      <c r="P1479" t="s">
        <v>67</v>
      </c>
      <c r="Q1479" t="s">
        <v>68</v>
      </c>
      <c r="R1479" t="s">
        <v>3985</v>
      </c>
      <c r="S1479">
        <v>33.520000000000003</v>
      </c>
    </row>
    <row r="1480" spans="1:19" x14ac:dyDescent="0.35">
      <c r="A1480">
        <v>1504</v>
      </c>
      <c r="B1480" t="s">
        <v>3983</v>
      </c>
      <c r="C1480" s="1">
        <v>43063</v>
      </c>
      <c r="D1480" s="1">
        <v>43070</v>
      </c>
      <c r="E1480" s="1" t="str">
        <f t="shared" si="23"/>
        <v>FAST</v>
      </c>
      <c r="F1480" t="s">
        <v>46</v>
      </c>
      <c r="G1480" t="s">
        <v>3338</v>
      </c>
      <c r="H1480" t="s">
        <v>3339</v>
      </c>
      <c r="I1480" t="s">
        <v>98</v>
      </c>
      <c r="J1480" t="s">
        <v>23</v>
      </c>
      <c r="K1480" t="s">
        <v>38</v>
      </c>
      <c r="L1480" t="s">
        <v>39</v>
      </c>
      <c r="M1480">
        <v>90045</v>
      </c>
      <c r="N1480" t="s">
        <v>40</v>
      </c>
      <c r="O1480" t="s">
        <v>2025</v>
      </c>
      <c r="P1480" t="s">
        <v>28</v>
      </c>
      <c r="Q1480" t="s">
        <v>61</v>
      </c>
      <c r="R1480" t="s">
        <v>2026</v>
      </c>
      <c r="S1480">
        <v>9.94</v>
      </c>
    </row>
    <row r="1481" spans="1:19" x14ac:dyDescent="0.35">
      <c r="A1481">
        <v>1505</v>
      </c>
      <c r="B1481" t="s">
        <v>3986</v>
      </c>
      <c r="C1481" s="1">
        <v>42583</v>
      </c>
      <c r="D1481" s="1">
        <v>42589</v>
      </c>
      <c r="E1481" s="1" t="str">
        <f t="shared" si="23"/>
        <v>FAST</v>
      </c>
      <c r="F1481" t="s">
        <v>46</v>
      </c>
      <c r="G1481" t="s">
        <v>3987</v>
      </c>
      <c r="H1481" t="s">
        <v>3988</v>
      </c>
      <c r="I1481" t="s">
        <v>98</v>
      </c>
      <c r="J1481" t="s">
        <v>23</v>
      </c>
      <c r="K1481" t="s">
        <v>38</v>
      </c>
      <c r="L1481" t="s">
        <v>39</v>
      </c>
      <c r="M1481">
        <v>90004</v>
      </c>
      <c r="N1481" t="s">
        <v>40</v>
      </c>
      <c r="O1481" t="s">
        <v>281</v>
      </c>
      <c r="P1481" t="s">
        <v>42</v>
      </c>
      <c r="Q1481" t="s">
        <v>64</v>
      </c>
      <c r="R1481" t="s">
        <v>282</v>
      </c>
      <c r="S1481">
        <v>6.72</v>
      </c>
    </row>
    <row r="1482" spans="1:19" x14ac:dyDescent="0.35">
      <c r="A1482">
        <v>1506</v>
      </c>
      <c r="B1482" t="s">
        <v>3986</v>
      </c>
      <c r="C1482" s="1">
        <v>42583</v>
      </c>
      <c r="D1482" s="1">
        <v>42589</v>
      </c>
      <c r="E1482" s="1" t="str">
        <f t="shared" si="23"/>
        <v>FAST</v>
      </c>
      <c r="F1482" t="s">
        <v>46</v>
      </c>
      <c r="G1482" t="s">
        <v>3987</v>
      </c>
      <c r="H1482" t="s">
        <v>3988</v>
      </c>
      <c r="I1482" t="s">
        <v>98</v>
      </c>
      <c r="J1482" t="s">
        <v>23</v>
      </c>
      <c r="K1482" t="s">
        <v>38</v>
      </c>
      <c r="L1482" t="s">
        <v>39</v>
      </c>
      <c r="M1482">
        <v>90004</v>
      </c>
      <c r="N1482" t="s">
        <v>40</v>
      </c>
      <c r="O1482" t="s">
        <v>3989</v>
      </c>
      <c r="P1482" t="s">
        <v>28</v>
      </c>
      <c r="Q1482" t="s">
        <v>52</v>
      </c>
      <c r="R1482" t="s">
        <v>3990</v>
      </c>
      <c r="S1482">
        <v>1004.976</v>
      </c>
    </row>
    <row r="1483" spans="1:19" x14ac:dyDescent="0.35">
      <c r="A1483">
        <v>1507</v>
      </c>
      <c r="B1483" t="s">
        <v>3991</v>
      </c>
      <c r="C1483" s="1">
        <v>43458</v>
      </c>
      <c r="D1483" s="1">
        <v>43463</v>
      </c>
      <c r="E1483" s="1" t="str">
        <f t="shared" si="23"/>
        <v>FAST</v>
      </c>
      <c r="F1483" t="s">
        <v>46</v>
      </c>
      <c r="G1483" t="s">
        <v>3992</v>
      </c>
      <c r="H1483" t="s">
        <v>3993</v>
      </c>
      <c r="I1483" t="s">
        <v>22</v>
      </c>
      <c r="J1483" t="s">
        <v>23</v>
      </c>
      <c r="K1483" t="s">
        <v>260</v>
      </c>
      <c r="L1483" t="s">
        <v>261</v>
      </c>
      <c r="M1483">
        <v>10024</v>
      </c>
      <c r="N1483" t="s">
        <v>144</v>
      </c>
      <c r="O1483" t="s">
        <v>3822</v>
      </c>
      <c r="P1483" t="s">
        <v>42</v>
      </c>
      <c r="Q1483" t="s">
        <v>71</v>
      </c>
      <c r="R1483" t="s">
        <v>3823</v>
      </c>
      <c r="S1483">
        <v>17.88</v>
      </c>
    </row>
    <row r="1484" spans="1:19" x14ac:dyDescent="0.35">
      <c r="A1484">
        <v>1508</v>
      </c>
      <c r="B1484" t="s">
        <v>3994</v>
      </c>
      <c r="C1484" s="1">
        <v>42995</v>
      </c>
      <c r="D1484" s="1">
        <v>43001</v>
      </c>
      <c r="E1484" s="1" t="str">
        <f t="shared" si="23"/>
        <v>FAST</v>
      </c>
      <c r="F1484" t="s">
        <v>46</v>
      </c>
      <c r="G1484" t="s">
        <v>3932</v>
      </c>
      <c r="H1484" t="s">
        <v>3933</v>
      </c>
      <c r="I1484" t="s">
        <v>22</v>
      </c>
      <c r="J1484" t="s">
        <v>23</v>
      </c>
      <c r="K1484" t="s">
        <v>484</v>
      </c>
      <c r="L1484" t="s">
        <v>1258</v>
      </c>
      <c r="M1484">
        <v>31907</v>
      </c>
      <c r="N1484" t="s">
        <v>26</v>
      </c>
      <c r="O1484" t="s">
        <v>3995</v>
      </c>
      <c r="P1484" t="s">
        <v>67</v>
      </c>
      <c r="Q1484" t="s">
        <v>671</v>
      </c>
      <c r="R1484" t="s">
        <v>3996</v>
      </c>
      <c r="S1484">
        <v>396</v>
      </c>
    </row>
    <row r="1485" spans="1:19" x14ac:dyDescent="0.35">
      <c r="A1485">
        <v>1509</v>
      </c>
      <c r="B1485" t="s">
        <v>3997</v>
      </c>
      <c r="C1485" s="1">
        <v>43444</v>
      </c>
      <c r="D1485" s="1">
        <v>43444</v>
      </c>
      <c r="E1485" s="1" t="str">
        <f t="shared" si="23"/>
        <v>MODERATE</v>
      </c>
      <c r="F1485" t="s">
        <v>1276</v>
      </c>
      <c r="G1485" t="s">
        <v>537</v>
      </c>
      <c r="H1485" t="s">
        <v>538</v>
      </c>
      <c r="I1485" t="s">
        <v>98</v>
      </c>
      <c r="J1485" t="s">
        <v>23</v>
      </c>
      <c r="K1485" t="s">
        <v>2502</v>
      </c>
      <c r="L1485" t="s">
        <v>134</v>
      </c>
      <c r="M1485">
        <v>68104</v>
      </c>
      <c r="N1485" t="s">
        <v>101</v>
      </c>
      <c r="O1485" t="s">
        <v>3998</v>
      </c>
      <c r="P1485" t="s">
        <v>42</v>
      </c>
      <c r="Q1485" t="s">
        <v>71</v>
      </c>
      <c r="R1485" t="s">
        <v>3999</v>
      </c>
      <c r="S1485">
        <v>34.5</v>
      </c>
    </row>
    <row r="1486" spans="1:19" x14ac:dyDescent="0.35">
      <c r="A1486">
        <v>1510</v>
      </c>
      <c r="B1486" t="s">
        <v>4000</v>
      </c>
      <c r="C1486" s="1">
        <v>43355</v>
      </c>
      <c r="D1486" s="1">
        <v>43358</v>
      </c>
      <c r="E1486" s="1" t="str">
        <f t="shared" si="23"/>
        <v>MODERATE</v>
      </c>
      <c r="F1486" t="s">
        <v>184</v>
      </c>
      <c r="G1486" t="s">
        <v>2797</v>
      </c>
      <c r="H1486" t="s">
        <v>2798</v>
      </c>
      <c r="I1486" t="s">
        <v>22</v>
      </c>
      <c r="J1486" t="s">
        <v>23</v>
      </c>
      <c r="K1486" t="s">
        <v>38</v>
      </c>
      <c r="L1486" t="s">
        <v>39</v>
      </c>
      <c r="M1486">
        <v>90036</v>
      </c>
      <c r="N1486" t="s">
        <v>40</v>
      </c>
      <c r="O1486" t="s">
        <v>3920</v>
      </c>
      <c r="P1486" t="s">
        <v>28</v>
      </c>
      <c r="Q1486" t="s">
        <v>61</v>
      </c>
      <c r="R1486" t="s">
        <v>3921</v>
      </c>
      <c r="S1486">
        <v>8.36</v>
      </c>
    </row>
    <row r="1487" spans="1:19" x14ac:dyDescent="0.35">
      <c r="A1487">
        <v>1511</v>
      </c>
      <c r="B1487" t="s">
        <v>4001</v>
      </c>
      <c r="C1487" s="1">
        <v>43275</v>
      </c>
      <c r="D1487" s="1">
        <v>43282</v>
      </c>
      <c r="E1487" s="1" t="str">
        <f t="shared" si="23"/>
        <v>FAST</v>
      </c>
      <c r="F1487" t="s">
        <v>46</v>
      </c>
      <c r="G1487" t="s">
        <v>3888</v>
      </c>
      <c r="H1487" t="s">
        <v>3889</v>
      </c>
      <c r="I1487" t="s">
        <v>37</v>
      </c>
      <c r="J1487" t="s">
        <v>23</v>
      </c>
      <c r="K1487" t="s">
        <v>4002</v>
      </c>
      <c r="L1487" t="s">
        <v>39</v>
      </c>
      <c r="M1487">
        <v>91767</v>
      </c>
      <c r="N1487" t="s">
        <v>40</v>
      </c>
      <c r="O1487" t="s">
        <v>1110</v>
      </c>
      <c r="P1487" t="s">
        <v>42</v>
      </c>
      <c r="Q1487" t="s">
        <v>64</v>
      </c>
      <c r="R1487" t="s">
        <v>1111</v>
      </c>
      <c r="S1487">
        <v>385.6</v>
      </c>
    </row>
    <row r="1488" spans="1:19" x14ac:dyDescent="0.35">
      <c r="A1488">
        <v>1513</v>
      </c>
      <c r="B1488" t="s">
        <v>4003</v>
      </c>
      <c r="C1488" s="1">
        <v>43330</v>
      </c>
      <c r="D1488" s="1">
        <v>43334</v>
      </c>
      <c r="E1488" s="1" t="str">
        <f t="shared" si="23"/>
        <v>FAST</v>
      </c>
      <c r="F1488" t="s">
        <v>46</v>
      </c>
      <c r="G1488" t="s">
        <v>1316</v>
      </c>
      <c r="H1488" t="s">
        <v>1317</v>
      </c>
      <c r="I1488" t="s">
        <v>22</v>
      </c>
      <c r="J1488" t="s">
        <v>23</v>
      </c>
      <c r="K1488" t="s">
        <v>802</v>
      </c>
      <c r="L1488" t="s">
        <v>100</v>
      </c>
      <c r="M1488">
        <v>75220</v>
      </c>
      <c r="N1488" t="s">
        <v>101</v>
      </c>
      <c r="O1488" t="s">
        <v>921</v>
      </c>
      <c r="P1488" t="s">
        <v>42</v>
      </c>
      <c r="Q1488" t="s">
        <v>55</v>
      </c>
      <c r="R1488" t="s">
        <v>922</v>
      </c>
      <c r="S1488">
        <v>200.06399999999999</v>
      </c>
    </row>
    <row r="1489" spans="1:19" x14ac:dyDescent="0.35">
      <c r="A1489">
        <v>1514</v>
      </c>
      <c r="B1489" t="s">
        <v>4003</v>
      </c>
      <c r="C1489" s="1">
        <v>43330</v>
      </c>
      <c r="D1489" s="1">
        <v>43334</v>
      </c>
      <c r="E1489" s="1" t="str">
        <f t="shared" si="23"/>
        <v>FAST</v>
      </c>
      <c r="F1489" t="s">
        <v>46</v>
      </c>
      <c r="G1489" t="s">
        <v>1316</v>
      </c>
      <c r="H1489" t="s">
        <v>1317</v>
      </c>
      <c r="I1489" t="s">
        <v>22</v>
      </c>
      <c r="J1489" t="s">
        <v>23</v>
      </c>
      <c r="K1489" t="s">
        <v>802</v>
      </c>
      <c r="L1489" t="s">
        <v>100</v>
      </c>
      <c r="M1489">
        <v>75220</v>
      </c>
      <c r="N1489" t="s">
        <v>101</v>
      </c>
      <c r="O1489" t="s">
        <v>1576</v>
      </c>
      <c r="P1489" t="s">
        <v>42</v>
      </c>
      <c r="Q1489" t="s">
        <v>71</v>
      </c>
      <c r="R1489" t="s">
        <v>1577</v>
      </c>
      <c r="S1489">
        <v>21.38</v>
      </c>
    </row>
    <row r="1490" spans="1:19" x14ac:dyDescent="0.35">
      <c r="A1490">
        <v>1515</v>
      </c>
      <c r="B1490" t="s">
        <v>4003</v>
      </c>
      <c r="C1490" s="1">
        <v>43330</v>
      </c>
      <c r="D1490" s="1">
        <v>43334</v>
      </c>
      <c r="E1490" s="1" t="str">
        <f t="shared" si="23"/>
        <v>FAST</v>
      </c>
      <c r="F1490" t="s">
        <v>46</v>
      </c>
      <c r="G1490" t="s">
        <v>1316</v>
      </c>
      <c r="H1490" t="s">
        <v>1317</v>
      </c>
      <c r="I1490" t="s">
        <v>22</v>
      </c>
      <c r="J1490" t="s">
        <v>23</v>
      </c>
      <c r="K1490" t="s">
        <v>802</v>
      </c>
      <c r="L1490" t="s">
        <v>100</v>
      </c>
      <c r="M1490">
        <v>75220</v>
      </c>
      <c r="N1490" t="s">
        <v>101</v>
      </c>
      <c r="O1490" t="s">
        <v>2588</v>
      </c>
      <c r="P1490" t="s">
        <v>42</v>
      </c>
      <c r="Q1490" t="s">
        <v>71</v>
      </c>
      <c r="R1490" t="s">
        <v>2589</v>
      </c>
      <c r="S1490">
        <v>6.7439999999999998</v>
      </c>
    </row>
    <row r="1491" spans="1:19" x14ac:dyDescent="0.35">
      <c r="A1491">
        <v>1516</v>
      </c>
      <c r="B1491" t="s">
        <v>4004</v>
      </c>
      <c r="C1491" s="1">
        <v>43445</v>
      </c>
      <c r="D1491" s="1">
        <v>43451</v>
      </c>
      <c r="E1491" s="1" t="str">
        <f t="shared" si="23"/>
        <v>FAST</v>
      </c>
      <c r="F1491" t="s">
        <v>46</v>
      </c>
      <c r="G1491" t="s">
        <v>4005</v>
      </c>
      <c r="H1491" t="s">
        <v>4006</v>
      </c>
      <c r="I1491" t="s">
        <v>22</v>
      </c>
      <c r="J1491" t="s">
        <v>23</v>
      </c>
      <c r="K1491" t="s">
        <v>142</v>
      </c>
      <c r="L1491" t="s">
        <v>143</v>
      </c>
      <c r="M1491">
        <v>19120</v>
      </c>
      <c r="N1491" t="s">
        <v>144</v>
      </c>
      <c r="O1491" t="s">
        <v>3708</v>
      </c>
      <c r="P1491" t="s">
        <v>28</v>
      </c>
      <c r="Q1491" t="s">
        <v>32</v>
      </c>
      <c r="R1491" t="s">
        <v>3709</v>
      </c>
      <c r="S1491">
        <v>63.686</v>
      </c>
    </row>
    <row r="1492" spans="1:19" x14ac:dyDescent="0.35">
      <c r="A1492">
        <v>1517</v>
      </c>
      <c r="B1492" t="s">
        <v>4007</v>
      </c>
      <c r="C1492" s="1">
        <v>43444</v>
      </c>
      <c r="D1492" s="1">
        <v>43448</v>
      </c>
      <c r="E1492" s="1" t="str">
        <f t="shared" si="23"/>
        <v>SLOW</v>
      </c>
      <c r="F1492" t="s">
        <v>19</v>
      </c>
      <c r="G1492" t="s">
        <v>2203</v>
      </c>
      <c r="H1492" t="s">
        <v>2204</v>
      </c>
      <c r="I1492" t="s">
        <v>22</v>
      </c>
      <c r="J1492" t="s">
        <v>23</v>
      </c>
      <c r="K1492" t="s">
        <v>4008</v>
      </c>
      <c r="L1492" t="s">
        <v>1377</v>
      </c>
      <c r="M1492">
        <v>89031</v>
      </c>
      <c r="N1492" t="s">
        <v>40</v>
      </c>
      <c r="O1492" t="s">
        <v>1876</v>
      </c>
      <c r="P1492" t="s">
        <v>28</v>
      </c>
      <c r="Q1492" t="s">
        <v>52</v>
      </c>
      <c r="R1492" t="s">
        <v>1877</v>
      </c>
      <c r="S1492">
        <v>1669.6</v>
      </c>
    </row>
    <row r="1493" spans="1:19" x14ac:dyDescent="0.35">
      <c r="A1493">
        <v>1518</v>
      </c>
      <c r="B1493" t="s">
        <v>4009</v>
      </c>
      <c r="C1493" s="1">
        <v>42038</v>
      </c>
      <c r="D1493" s="1">
        <v>42041</v>
      </c>
      <c r="E1493" s="1" t="str">
        <f t="shared" si="23"/>
        <v>SLOW</v>
      </c>
      <c r="F1493" t="s">
        <v>19</v>
      </c>
      <c r="G1493" t="s">
        <v>4010</v>
      </c>
      <c r="H1493" t="s">
        <v>4011</v>
      </c>
      <c r="I1493" t="s">
        <v>22</v>
      </c>
      <c r="J1493" t="s">
        <v>23</v>
      </c>
      <c r="K1493" t="s">
        <v>91</v>
      </c>
      <c r="L1493" t="s">
        <v>92</v>
      </c>
      <c r="M1493">
        <v>98105</v>
      </c>
      <c r="N1493" t="s">
        <v>40</v>
      </c>
      <c r="O1493" t="s">
        <v>1076</v>
      </c>
      <c r="P1493" t="s">
        <v>42</v>
      </c>
      <c r="Q1493" t="s">
        <v>71</v>
      </c>
      <c r="R1493" t="s">
        <v>1077</v>
      </c>
      <c r="S1493">
        <v>83.84</v>
      </c>
    </row>
    <row r="1494" spans="1:19" x14ac:dyDescent="0.35">
      <c r="A1494">
        <v>1519</v>
      </c>
      <c r="B1494" t="s">
        <v>4009</v>
      </c>
      <c r="C1494" s="1">
        <v>42038</v>
      </c>
      <c r="D1494" s="1">
        <v>42041</v>
      </c>
      <c r="E1494" s="1" t="str">
        <f t="shared" si="23"/>
        <v>SLOW</v>
      </c>
      <c r="F1494" t="s">
        <v>19</v>
      </c>
      <c r="G1494" t="s">
        <v>4010</v>
      </c>
      <c r="H1494" t="s">
        <v>4011</v>
      </c>
      <c r="I1494" t="s">
        <v>22</v>
      </c>
      <c r="J1494" t="s">
        <v>23</v>
      </c>
      <c r="K1494" t="s">
        <v>91</v>
      </c>
      <c r="L1494" t="s">
        <v>92</v>
      </c>
      <c r="M1494">
        <v>98105</v>
      </c>
      <c r="N1494" t="s">
        <v>40</v>
      </c>
      <c r="O1494" t="s">
        <v>2136</v>
      </c>
      <c r="P1494" t="s">
        <v>42</v>
      </c>
      <c r="Q1494" t="s">
        <v>71</v>
      </c>
      <c r="R1494" t="s">
        <v>2137</v>
      </c>
      <c r="S1494">
        <v>13.272</v>
      </c>
    </row>
    <row r="1495" spans="1:19" x14ac:dyDescent="0.35">
      <c r="A1495">
        <v>1520</v>
      </c>
      <c r="B1495" t="s">
        <v>4012</v>
      </c>
      <c r="C1495" s="1">
        <v>43142</v>
      </c>
      <c r="D1495" s="1">
        <v>43145</v>
      </c>
      <c r="E1495" s="1" t="str">
        <f t="shared" si="23"/>
        <v>SLOW</v>
      </c>
      <c r="F1495" t="s">
        <v>19</v>
      </c>
      <c r="G1495" t="s">
        <v>834</v>
      </c>
      <c r="H1495" t="s">
        <v>835</v>
      </c>
      <c r="I1495" t="s">
        <v>37</v>
      </c>
      <c r="J1495" t="s">
        <v>23</v>
      </c>
      <c r="K1495" t="s">
        <v>123</v>
      </c>
      <c r="L1495" t="s">
        <v>39</v>
      </c>
      <c r="M1495">
        <v>94110</v>
      </c>
      <c r="N1495" t="s">
        <v>40</v>
      </c>
      <c r="O1495" t="s">
        <v>2839</v>
      </c>
      <c r="P1495" t="s">
        <v>42</v>
      </c>
      <c r="Q1495" t="s">
        <v>71</v>
      </c>
      <c r="R1495" t="s">
        <v>2840</v>
      </c>
      <c r="S1495">
        <v>21.335999999999999</v>
      </c>
    </row>
    <row r="1496" spans="1:19" x14ac:dyDescent="0.35">
      <c r="A1496">
        <v>1521</v>
      </c>
      <c r="B1496" t="s">
        <v>4013</v>
      </c>
      <c r="C1496" s="1">
        <v>43206</v>
      </c>
      <c r="D1496" s="1">
        <v>43211</v>
      </c>
      <c r="E1496" s="1" t="str">
        <f t="shared" si="23"/>
        <v>FAST</v>
      </c>
      <c r="F1496" t="s">
        <v>46</v>
      </c>
      <c r="G1496" t="s">
        <v>4014</v>
      </c>
      <c r="H1496" t="s">
        <v>4015</v>
      </c>
      <c r="I1496" t="s">
        <v>98</v>
      </c>
      <c r="J1496" t="s">
        <v>23</v>
      </c>
      <c r="K1496" t="s">
        <v>297</v>
      </c>
      <c r="L1496" t="s">
        <v>205</v>
      </c>
      <c r="M1496">
        <v>60610</v>
      </c>
      <c r="N1496" t="s">
        <v>101</v>
      </c>
      <c r="O1496" t="s">
        <v>4016</v>
      </c>
      <c r="P1496" t="s">
        <v>42</v>
      </c>
      <c r="Q1496" t="s">
        <v>64</v>
      </c>
      <c r="R1496" t="s">
        <v>4017</v>
      </c>
      <c r="S1496">
        <v>16.52</v>
      </c>
    </row>
    <row r="1497" spans="1:19" x14ac:dyDescent="0.35">
      <c r="A1497">
        <v>1522</v>
      </c>
      <c r="B1497" t="s">
        <v>4018</v>
      </c>
      <c r="C1497" s="1">
        <v>42710</v>
      </c>
      <c r="D1497" s="1">
        <v>42715</v>
      </c>
      <c r="E1497" s="1" t="str">
        <f t="shared" si="23"/>
        <v>FAST</v>
      </c>
      <c r="F1497" t="s">
        <v>46</v>
      </c>
      <c r="G1497" t="s">
        <v>4019</v>
      </c>
      <c r="H1497" t="s">
        <v>4020</v>
      </c>
      <c r="I1497" t="s">
        <v>22</v>
      </c>
      <c r="J1497" t="s">
        <v>23</v>
      </c>
      <c r="K1497" t="s">
        <v>1297</v>
      </c>
      <c r="L1497" t="s">
        <v>304</v>
      </c>
      <c r="M1497">
        <v>85705</v>
      </c>
      <c r="N1497" t="s">
        <v>40</v>
      </c>
      <c r="O1497" t="s">
        <v>2281</v>
      </c>
      <c r="P1497" t="s">
        <v>28</v>
      </c>
      <c r="Q1497" t="s">
        <v>61</v>
      </c>
      <c r="R1497" t="s">
        <v>2282</v>
      </c>
      <c r="S1497">
        <v>206.11199999999999</v>
      </c>
    </row>
    <row r="1498" spans="1:19" x14ac:dyDescent="0.35">
      <c r="A1498">
        <v>1523</v>
      </c>
      <c r="B1498" t="s">
        <v>4018</v>
      </c>
      <c r="C1498" s="1">
        <v>42710</v>
      </c>
      <c r="D1498" s="1">
        <v>42715</v>
      </c>
      <c r="E1498" s="1" t="str">
        <f t="shared" si="23"/>
        <v>FAST</v>
      </c>
      <c r="F1498" t="s">
        <v>46</v>
      </c>
      <c r="G1498" t="s">
        <v>4019</v>
      </c>
      <c r="H1498" t="s">
        <v>4020</v>
      </c>
      <c r="I1498" t="s">
        <v>22</v>
      </c>
      <c r="J1498" t="s">
        <v>23</v>
      </c>
      <c r="K1498" t="s">
        <v>1297</v>
      </c>
      <c r="L1498" t="s">
        <v>304</v>
      </c>
      <c r="M1498">
        <v>85705</v>
      </c>
      <c r="N1498" t="s">
        <v>40</v>
      </c>
      <c r="O1498" t="s">
        <v>4021</v>
      </c>
      <c r="P1498" t="s">
        <v>42</v>
      </c>
      <c r="Q1498" t="s">
        <v>86</v>
      </c>
      <c r="R1498" t="s">
        <v>4022</v>
      </c>
      <c r="S1498">
        <v>19.920000000000002</v>
      </c>
    </row>
    <row r="1499" spans="1:19" x14ac:dyDescent="0.35">
      <c r="A1499">
        <v>1524</v>
      </c>
      <c r="B1499" t="s">
        <v>4018</v>
      </c>
      <c r="C1499" s="1">
        <v>42710</v>
      </c>
      <c r="D1499" s="1">
        <v>42715</v>
      </c>
      <c r="E1499" s="1" t="str">
        <f t="shared" si="23"/>
        <v>FAST</v>
      </c>
      <c r="F1499" t="s">
        <v>46</v>
      </c>
      <c r="G1499" t="s">
        <v>4019</v>
      </c>
      <c r="H1499" t="s">
        <v>4020</v>
      </c>
      <c r="I1499" t="s">
        <v>22</v>
      </c>
      <c r="J1499" t="s">
        <v>23</v>
      </c>
      <c r="K1499" t="s">
        <v>1297</v>
      </c>
      <c r="L1499" t="s">
        <v>304</v>
      </c>
      <c r="M1499">
        <v>85705</v>
      </c>
      <c r="N1499" t="s">
        <v>40</v>
      </c>
      <c r="O1499" t="s">
        <v>1308</v>
      </c>
      <c r="P1499" t="s">
        <v>42</v>
      </c>
      <c r="Q1499" t="s">
        <v>86</v>
      </c>
      <c r="R1499" t="s">
        <v>1309</v>
      </c>
      <c r="S1499">
        <v>198.27199999999999</v>
      </c>
    </row>
    <row r="1500" spans="1:19" x14ac:dyDescent="0.35">
      <c r="A1500">
        <v>1525</v>
      </c>
      <c r="B1500" t="s">
        <v>4018</v>
      </c>
      <c r="C1500" s="1">
        <v>42710</v>
      </c>
      <c r="D1500" s="1">
        <v>42715</v>
      </c>
      <c r="E1500" s="1" t="str">
        <f t="shared" si="23"/>
        <v>FAST</v>
      </c>
      <c r="F1500" t="s">
        <v>46</v>
      </c>
      <c r="G1500" t="s">
        <v>4019</v>
      </c>
      <c r="H1500" t="s">
        <v>4020</v>
      </c>
      <c r="I1500" t="s">
        <v>22</v>
      </c>
      <c r="J1500" t="s">
        <v>23</v>
      </c>
      <c r="K1500" t="s">
        <v>1297</v>
      </c>
      <c r="L1500" t="s">
        <v>304</v>
      </c>
      <c r="M1500">
        <v>85705</v>
      </c>
      <c r="N1500" t="s">
        <v>40</v>
      </c>
      <c r="O1500" t="s">
        <v>948</v>
      </c>
      <c r="P1500" t="s">
        <v>42</v>
      </c>
      <c r="Q1500" t="s">
        <v>55</v>
      </c>
      <c r="R1500" t="s">
        <v>949</v>
      </c>
      <c r="S1500">
        <v>247.10400000000001</v>
      </c>
    </row>
    <row r="1501" spans="1:19" x14ac:dyDescent="0.35">
      <c r="A1501">
        <v>1526</v>
      </c>
      <c r="B1501" t="s">
        <v>4018</v>
      </c>
      <c r="C1501" s="1">
        <v>42710</v>
      </c>
      <c r="D1501" s="1">
        <v>42715</v>
      </c>
      <c r="E1501" s="1" t="str">
        <f t="shared" si="23"/>
        <v>FAST</v>
      </c>
      <c r="F1501" t="s">
        <v>46</v>
      </c>
      <c r="G1501" t="s">
        <v>4019</v>
      </c>
      <c r="H1501" t="s">
        <v>4020</v>
      </c>
      <c r="I1501" t="s">
        <v>22</v>
      </c>
      <c r="J1501" t="s">
        <v>23</v>
      </c>
      <c r="K1501" t="s">
        <v>1297</v>
      </c>
      <c r="L1501" t="s">
        <v>304</v>
      </c>
      <c r="M1501">
        <v>85705</v>
      </c>
      <c r="N1501" t="s">
        <v>40</v>
      </c>
      <c r="O1501" t="s">
        <v>171</v>
      </c>
      <c r="P1501" t="s">
        <v>42</v>
      </c>
      <c r="Q1501" t="s">
        <v>64</v>
      </c>
      <c r="R1501" t="s">
        <v>172</v>
      </c>
      <c r="S1501">
        <v>86.304000000000002</v>
      </c>
    </row>
    <row r="1502" spans="1:19" x14ac:dyDescent="0.35">
      <c r="A1502">
        <v>1528</v>
      </c>
      <c r="B1502" t="s">
        <v>4023</v>
      </c>
      <c r="C1502" s="1">
        <v>42938</v>
      </c>
      <c r="D1502" s="1">
        <v>42943</v>
      </c>
      <c r="E1502" s="1" t="str">
        <f t="shared" si="23"/>
        <v>FAST</v>
      </c>
      <c r="F1502" t="s">
        <v>46</v>
      </c>
      <c r="G1502" t="s">
        <v>1437</v>
      </c>
      <c r="H1502" t="s">
        <v>1438</v>
      </c>
      <c r="I1502" t="s">
        <v>22</v>
      </c>
      <c r="J1502" t="s">
        <v>23</v>
      </c>
      <c r="K1502" t="s">
        <v>4024</v>
      </c>
      <c r="L1502" t="s">
        <v>143</v>
      </c>
      <c r="M1502">
        <v>18103</v>
      </c>
      <c r="N1502" t="s">
        <v>144</v>
      </c>
      <c r="O1502" t="s">
        <v>4025</v>
      </c>
      <c r="P1502" t="s">
        <v>28</v>
      </c>
      <c r="Q1502" t="s">
        <v>61</v>
      </c>
      <c r="R1502" t="s">
        <v>4026</v>
      </c>
      <c r="S1502">
        <v>11.648</v>
      </c>
    </row>
    <row r="1503" spans="1:19" x14ac:dyDescent="0.35">
      <c r="A1503">
        <v>1529</v>
      </c>
      <c r="B1503" t="s">
        <v>4027</v>
      </c>
      <c r="C1503" s="1">
        <v>42681</v>
      </c>
      <c r="D1503" s="1">
        <v>42684</v>
      </c>
      <c r="E1503" s="1" t="str">
        <f t="shared" si="23"/>
        <v>SLOW</v>
      </c>
      <c r="F1503" t="s">
        <v>19</v>
      </c>
      <c r="G1503" t="s">
        <v>2487</v>
      </c>
      <c r="H1503" t="s">
        <v>2488</v>
      </c>
      <c r="I1503" t="s">
        <v>37</v>
      </c>
      <c r="J1503" t="s">
        <v>23</v>
      </c>
      <c r="K1503" t="s">
        <v>594</v>
      </c>
      <c r="L1503" t="s">
        <v>239</v>
      </c>
      <c r="M1503">
        <v>19711</v>
      </c>
      <c r="N1503" t="s">
        <v>144</v>
      </c>
      <c r="O1503" t="s">
        <v>4028</v>
      </c>
      <c r="P1503" t="s">
        <v>42</v>
      </c>
      <c r="Q1503" t="s">
        <v>263</v>
      </c>
      <c r="R1503" t="s">
        <v>4029</v>
      </c>
      <c r="S1503">
        <v>26.18</v>
      </c>
    </row>
    <row r="1504" spans="1:19" x14ac:dyDescent="0.35">
      <c r="A1504">
        <v>1530</v>
      </c>
      <c r="B1504" t="s">
        <v>4027</v>
      </c>
      <c r="C1504" s="1">
        <v>42681</v>
      </c>
      <c r="D1504" s="1">
        <v>42684</v>
      </c>
      <c r="E1504" s="1" t="str">
        <f t="shared" si="23"/>
        <v>SLOW</v>
      </c>
      <c r="F1504" t="s">
        <v>19</v>
      </c>
      <c r="G1504" t="s">
        <v>2487</v>
      </c>
      <c r="H1504" t="s">
        <v>2488</v>
      </c>
      <c r="I1504" t="s">
        <v>37</v>
      </c>
      <c r="J1504" t="s">
        <v>23</v>
      </c>
      <c r="K1504" t="s">
        <v>594</v>
      </c>
      <c r="L1504" t="s">
        <v>239</v>
      </c>
      <c r="M1504">
        <v>19711</v>
      </c>
      <c r="N1504" t="s">
        <v>144</v>
      </c>
      <c r="O1504" t="s">
        <v>4030</v>
      </c>
      <c r="P1504" t="s">
        <v>42</v>
      </c>
      <c r="Q1504" t="s">
        <v>86</v>
      </c>
      <c r="R1504" t="s">
        <v>4031</v>
      </c>
      <c r="S1504">
        <v>7.3</v>
      </c>
    </row>
    <row r="1505" spans="1:19" x14ac:dyDescent="0.35">
      <c r="A1505">
        <v>1531</v>
      </c>
      <c r="B1505" t="s">
        <v>4032</v>
      </c>
      <c r="C1505" s="1">
        <v>42455</v>
      </c>
      <c r="D1505" s="1">
        <v>42460</v>
      </c>
      <c r="E1505" s="1" t="str">
        <f t="shared" si="23"/>
        <v>FAST</v>
      </c>
      <c r="F1505" t="s">
        <v>46</v>
      </c>
      <c r="G1505" t="s">
        <v>2411</v>
      </c>
      <c r="H1505" t="s">
        <v>2412</v>
      </c>
      <c r="I1505" t="s">
        <v>37</v>
      </c>
      <c r="J1505" t="s">
        <v>23</v>
      </c>
      <c r="K1505" t="s">
        <v>1402</v>
      </c>
      <c r="L1505" t="s">
        <v>50</v>
      </c>
      <c r="M1505">
        <v>33142</v>
      </c>
      <c r="N1505" t="s">
        <v>26</v>
      </c>
      <c r="O1505" t="s">
        <v>4033</v>
      </c>
      <c r="P1505" t="s">
        <v>42</v>
      </c>
      <c r="Q1505" t="s">
        <v>86</v>
      </c>
      <c r="R1505" t="s">
        <v>4034</v>
      </c>
      <c r="S1505">
        <v>74.352000000000004</v>
      </c>
    </row>
    <row r="1506" spans="1:19" x14ac:dyDescent="0.35">
      <c r="A1506">
        <v>1532</v>
      </c>
      <c r="B1506" t="s">
        <v>4035</v>
      </c>
      <c r="C1506" s="1">
        <v>43343</v>
      </c>
      <c r="D1506" s="1">
        <v>43348</v>
      </c>
      <c r="E1506" s="1" t="str">
        <f t="shared" si="23"/>
        <v>FAST</v>
      </c>
      <c r="F1506" t="s">
        <v>46</v>
      </c>
      <c r="G1506" t="s">
        <v>1893</v>
      </c>
      <c r="H1506" t="s">
        <v>1894</v>
      </c>
      <c r="I1506" t="s">
        <v>22</v>
      </c>
      <c r="J1506" t="s">
        <v>23</v>
      </c>
      <c r="K1506" t="s">
        <v>4036</v>
      </c>
      <c r="L1506" t="s">
        <v>304</v>
      </c>
      <c r="M1506">
        <v>85281</v>
      </c>
      <c r="N1506" t="s">
        <v>40</v>
      </c>
      <c r="O1506" t="s">
        <v>4037</v>
      </c>
      <c r="P1506" t="s">
        <v>42</v>
      </c>
      <c r="Q1506" t="s">
        <v>55</v>
      </c>
      <c r="R1506" t="s">
        <v>4038</v>
      </c>
      <c r="S1506">
        <v>10.744</v>
      </c>
    </row>
    <row r="1507" spans="1:19" x14ac:dyDescent="0.35">
      <c r="A1507">
        <v>1533</v>
      </c>
      <c r="B1507" t="s">
        <v>4035</v>
      </c>
      <c r="C1507" s="1">
        <v>43343</v>
      </c>
      <c r="D1507" s="1">
        <v>43348</v>
      </c>
      <c r="E1507" s="1" t="str">
        <f t="shared" si="23"/>
        <v>FAST</v>
      </c>
      <c r="F1507" t="s">
        <v>46</v>
      </c>
      <c r="G1507" t="s">
        <v>1893</v>
      </c>
      <c r="H1507" t="s">
        <v>1894</v>
      </c>
      <c r="I1507" t="s">
        <v>22</v>
      </c>
      <c r="J1507" t="s">
        <v>23</v>
      </c>
      <c r="K1507" t="s">
        <v>4036</v>
      </c>
      <c r="L1507" t="s">
        <v>304</v>
      </c>
      <c r="M1507">
        <v>85281</v>
      </c>
      <c r="N1507" t="s">
        <v>40</v>
      </c>
      <c r="O1507" t="s">
        <v>854</v>
      </c>
      <c r="P1507" t="s">
        <v>42</v>
      </c>
      <c r="Q1507" t="s">
        <v>263</v>
      </c>
      <c r="R1507" t="s">
        <v>855</v>
      </c>
      <c r="S1507">
        <v>8.3759999999999994</v>
      </c>
    </row>
    <row r="1508" spans="1:19" x14ac:dyDescent="0.35">
      <c r="A1508">
        <v>1534</v>
      </c>
      <c r="B1508" t="s">
        <v>4039</v>
      </c>
      <c r="C1508" s="1">
        <v>43073</v>
      </c>
      <c r="D1508" s="1">
        <v>43077</v>
      </c>
      <c r="E1508" s="1" t="str">
        <f t="shared" si="23"/>
        <v>FAST</v>
      </c>
      <c r="F1508" t="s">
        <v>46</v>
      </c>
      <c r="G1508" t="s">
        <v>1903</v>
      </c>
      <c r="H1508" t="s">
        <v>1904</v>
      </c>
      <c r="I1508" t="s">
        <v>37</v>
      </c>
      <c r="J1508" t="s">
        <v>23</v>
      </c>
      <c r="K1508" t="s">
        <v>260</v>
      </c>
      <c r="L1508" t="s">
        <v>261</v>
      </c>
      <c r="M1508">
        <v>10035</v>
      </c>
      <c r="N1508" t="s">
        <v>144</v>
      </c>
      <c r="O1508" t="s">
        <v>4040</v>
      </c>
      <c r="P1508" t="s">
        <v>42</v>
      </c>
      <c r="Q1508" t="s">
        <v>55</v>
      </c>
      <c r="R1508" t="s">
        <v>4041</v>
      </c>
      <c r="S1508">
        <v>212.88</v>
      </c>
    </row>
    <row r="1509" spans="1:19" x14ac:dyDescent="0.35">
      <c r="A1509">
        <v>1535</v>
      </c>
      <c r="B1509" t="s">
        <v>4042</v>
      </c>
      <c r="C1509" s="1">
        <v>43141</v>
      </c>
      <c r="D1509" s="1">
        <v>43145</v>
      </c>
      <c r="E1509" s="1" t="str">
        <f t="shared" si="23"/>
        <v>FAST</v>
      </c>
      <c r="F1509" t="s">
        <v>46</v>
      </c>
      <c r="G1509" t="s">
        <v>4043</v>
      </c>
      <c r="H1509" t="s">
        <v>4044</v>
      </c>
      <c r="I1509" t="s">
        <v>98</v>
      </c>
      <c r="J1509" t="s">
        <v>23</v>
      </c>
      <c r="K1509" t="s">
        <v>4045</v>
      </c>
      <c r="L1509" t="s">
        <v>39</v>
      </c>
      <c r="M1509">
        <v>92677</v>
      </c>
      <c r="N1509" t="s">
        <v>40</v>
      </c>
      <c r="O1509" t="s">
        <v>2210</v>
      </c>
      <c r="P1509" t="s">
        <v>28</v>
      </c>
      <c r="Q1509" t="s">
        <v>29</v>
      </c>
      <c r="R1509" t="s">
        <v>2211</v>
      </c>
      <c r="S1509">
        <v>203.983</v>
      </c>
    </row>
    <row r="1510" spans="1:19" x14ac:dyDescent="0.35">
      <c r="A1510">
        <v>1536</v>
      </c>
      <c r="B1510" t="s">
        <v>4046</v>
      </c>
      <c r="C1510" s="1">
        <v>43037</v>
      </c>
      <c r="D1510" s="1">
        <v>43041</v>
      </c>
      <c r="E1510" s="1" t="str">
        <f t="shared" si="23"/>
        <v>FAST</v>
      </c>
      <c r="F1510" t="s">
        <v>46</v>
      </c>
      <c r="G1510" t="s">
        <v>4047</v>
      </c>
      <c r="H1510" t="s">
        <v>4048</v>
      </c>
      <c r="I1510" t="s">
        <v>37</v>
      </c>
      <c r="J1510" t="s">
        <v>23</v>
      </c>
      <c r="K1510" t="s">
        <v>4049</v>
      </c>
      <c r="L1510" t="s">
        <v>775</v>
      </c>
      <c r="M1510">
        <v>8302</v>
      </c>
      <c r="N1510" t="s">
        <v>144</v>
      </c>
      <c r="O1510" t="s">
        <v>4050</v>
      </c>
      <c r="P1510" t="s">
        <v>42</v>
      </c>
      <c r="Q1510" t="s">
        <v>55</v>
      </c>
      <c r="R1510" t="s">
        <v>4051</v>
      </c>
      <c r="S1510">
        <v>40.74</v>
      </c>
    </row>
    <row r="1511" spans="1:19" x14ac:dyDescent="0.35">
      <c r="A1511">
        <v>1537</v>
      </c>
      <c r="B1511" t="s">
        <v>4046</v>
      </c>
      <c r="C1511" s="1">
        <v>43037</v>
      </c>
      <c r="D1511" s="1">
        <v>43041</v>
      </c>
      <c r="E1511" s="1" t="str">
        <f t="shared" si="23"/>
        <v>FAST</v>
      </c>
      <c r="F1511" t="s">
        <v>46</v>
      </c>
      <c r="G1511" t="s">
        <v>4047</v>
      </c>
      <c r="H1511" t="s">
        <v>4048</v>
      </c>
      <c r="I1511" t="s">
        <v>37</v>
      </c>
      <c r="J1511" t="s">
        <v>23</v>
      </c>
      <c r="K1511" t="s">
        <v>4049</v>
      </c>
      <c r="L1511" t="s">
        <v>775</v>
      </c>
      <c r="M1511">
        <v>8302</v>
      </c>
      <c r="N1511" t="s">
        <v>144</v>
      </c>
      <c r="O1511" t="s">
        <v>4052</v>
      </c>
      <c r="P1511" t="s">
        <v>42</v>
      </c>
      <c r="Q1511" t="s">
        <v>74</v>
      </c>
      <c r="R1511" t="s">
        <v>4053</v>
      </c>
      <c r="S1511">
        <v>11.67</v>
      </c>
    </row>
    <row r="1512" spans="1:19" x14ac:dyDescent="0.35">
      <c r="A1512">
        <v>1538</v>
      </c>
      <c r="B1512" t="s">
        <v>4054</v>
      </c>
      <c r="C1512" s="1">
        <v>43358</v>
      </c>
      <c r="D1512" s="1">
        <v>43360</v>
      </c>
      <c r="E1512" s="1" t="str">
        <f t="shared" si="23"/>
        <v>SLOW</v>
      </c>
      <c r="F1512" t="s">
        <v>19</v>
      </c>
      <c r="G1512" t="s">
        <v>4055</v>
      </c>
      <c r="H1512" t="s">
        <v>4056</v>
      </c>
      <c r="I1512" t="s">
        <v>22</v>
      </c>
      <c r="J1512" t="s">
        <v>23</v>
      </c>
      <c r="K1512" t="s">
        <v>4057</v>
      </c>
      <c r="L1512" t="s">
        <v>1233</v>
      </c>
      <c r="M1512">
        <v>2149</v>
      </c>
      <c r="N1512" t="s">
        <v>144</v>
      </c>
      <c r="O1512" t="s">
        <v>3407</v>
      </c>
      <c r="P1512" t="s">
        <v>67</v>
      </c>
      <c r="Q1512" t="s">
        <v>68</v>
      </c>
      <c r="R1512" t="s">
        <v>3408</v>
      </c>
      <c r="S1512">
        <v>39.99</v>
      </c>
    </row>
    <row r="1513" spans="1:19" x14ac:dyDescent="0.35">
      <c r="A1513">
        <v>1539</v>
      </c>
      <c r="B1513" t="s">
        <v>4054</v>
      </c>
      <c r="C1513" s="1">
        <v>43358</v>
      </c>
      <c r="D1513" s="1">
        <v>43360</v>
      </c>
      <c r="E1513" s="1" t="str">
        <f t="shared" si="23"/>
        <v>SLOW</v>
      </c>
      <c r="F1513" t="s">
        <v>19</v>
      </c>
      <c r="G1513" t="s">
        <v>4055</v>
      </c>
      <c r="H1513" t="s">
        <v>4056</v>
      </c>
      <c r="I1513" t="s">
        <v>22</v>
      </c>
      <c r="J1513" t="s">
        <v>23</v>
      </c>
      <c r="K1513" t="s">
        <v>4057</v>
      </c>
      <c r="L1513" t="s">
        <v>1233</v>
      </c>
      <c r="M1513">
        <v>2149</v>
      </c>
      <c r="N1513" t="s">
        <v>144</v>
      </c>
      <c r="O1513" t="s">
        <v>1406</v>
      </c>
      <c r="P1513" t="s">
        <v>42</v>
      </c>
      <c r="Q1513" t="s">
        <v>64</v>
      </c>
      <c r="R1513" t="s">
        <v>1407</v>
      </c>
      <c r="S1513">
        <v>16.28</v>
      </c>
    </row>
    <row r="1514" spans="1:19" x14ac:dyDescent="0.35">
      <c r="A1514">
        <v>1540</v>
      </c>
      <c r="B1514" t="s">
        <v>4054</v>
      </c>
      <c r="C1514" s="1">
        <v>43358</v>
      </c>
      <c r="D1514" s="1">
        <v>43360</v>
      </c>
      <c r="E1514" s="1" t="str">
        <f t="shared" si="23"/>
        <v>SLOW</v>
      </c>
      <c r="F1514" t="s">
        <v>19</v>
      </c>
      <c r="G1514" t="s">
        <v>4055</v>
      </c>
      <c r="H1514" t="s">
        <v>4056</v>
      </c>
      <c r="I1514" t="s">
        <v>22</v>
      </c>
      <c r="J1514" t="s">
        <v>23</v>
      </c>
      <c r="K1514" t="s">
        <v>4057</v>
      </c>
      <c r="L1514" t="s">
        <v>1233</v>
      </c>
      <c r="M1514">
        <v>2149</v>
      </c>
      <c r="N1514" t="s">
        <v>144</v>
      </c>
      <c r="O1514" t="s">
        <v>195</v>
      </c>
      <c r="P1514" t="s">
        <v>28</v>
      </c>
      <c r="Q1514" t="s">
        <v>29</v>
      </c>
      <c r="R1514" t="s">
        <v>196</v>
      </c>
      <c r="S1514">
        <v>782.94</v>
      </c>
    </row>
    <row r="1515" spans="1:19" x14ac:dyDescent="0.35">
      <c r="A1515">
        <v>1541</v>
      </c>
      <c r="B1515" t="s">
        <v>4054</v>
      </c>
      <c r="C1515" s="1">
        <v>43358</v>
      </c>
      <c r="D1515" s="1">
        <v>43360</v>
      </c>
      <c r="E1515" s="1" t="str">
        <f t="shared" si="23"/>
        <v>SLOW</v>
      </c>
      <c r="F1515" t="s">
        <v>19</v>
      </c>
      <c r="G1515" t="s">
        <v>4055</v>
      </c>
      <c r="H1515" t="s">
        <v>4056</v>
      </c>
      <c r="I1515" t="s">
        <v>22</v>
      </c>
      <c r="J1515" t="s">
        <v>23</v>
      </c>
      <c r="K1515" t="s">
        <v>4057</v>
      </c>
      <c r="L1515" t="s">
        <v>1233</v>
      </c>
      <c r="M1515">
        <v>2149</v>
      </c>
      <c r="N1515" t="s">
        <v>144</v>
      </c>
      <c r="O1515" t="s">
        <v>3895</v>
      </c>
      <c r="P1515" t="s">
        <v>42</v>
      </c>
      <c r="Q1515" t="s">
        <v>71</v>
      </c>
      <c r="R1515" t="s">
        <v>3896</v>
      </c>
      <c r="S1515">
        <v>242.48</v>
      </c>
    </row>
    <row r="1516" spans="1:19" x14ac:dyDescent="0.35">
      <c r="A1516">
        <v>1542</v>
      </c>
      <c r="B1516" t="s">
        <v>4058</v>
      </c>
      <c r="C1516" s="1">
        <v>42074</v>
      </c>
      <c r="D1516" s="1">
        <v>42079</v>
      </c>
      <c r="E1516" s="1" t="str">
        <f t="shared" si="23"/>
        <v>SLOW</v>
      </c>
      <c r="F1516" t="s">
        <v>19</v>
      </c>
      <c r="G1516" t="s">
        <v>1982</v>
      </c>
      <c r="H1516" t="s">
        <v>1983</v>
      </c>
      <c r="I1516" t="s">
        <v>22</v>
      </c>
      <c r="J1516" t="s">
        <v>23</v>
      </c>
      <c r="K1516" t="s">
        <v>484</v>
      </c>
      <c r="L1516" t="s">
        <v>485</v>
      </c>
      <c r="M1516">
        <v>43229</v>
      </c>
      <c r="N1516" t="s">
        <v>144</v>
      </c>
      <c r="O1516" t="s">
        <v>4059</v>
      </c>
      <c r="P1516" t="s">
        <v>28</v>
      </c>
      <c r="Q1516" t="s">
        <v>61</v>
      </c>
      <c r="R1516" t="s">
        <v>1271</v>
      </c>
      <c r="S1516">
        <v>8.32</v>
      </c>
    </row>
    <row r="1517" spans="1:19" x14ac:dyDescent="0.35">
      <c r="A1517">
        <v>1543</v>
      </c>
      <c r="B1517" t="s">
        <v>4058</v>
      </c>
      <c r="C1517" s="1">
        <v>42074</v>
      </c>
      <c r="D1517" s="1">
        <v>42079</v>
      </c>
      <c r="E1517" s="1" t="str">
        <f t="shared" si="23"/>
        <v>SLOW</v>
      </c>
      <c r="F1517" t="s">
        <v>19</v>
      </c>
      <c r="G1517" t="s">
        <v>1982</v>
      </c>
      <c r="H1517" t="s">
        <v>1983</v>
      </c>
      <c r="I1517" t="s">
        <v>22</v>
      </c>
      <c r="J1517" t="s">
        <v>23</v>
      </c>
      <c r="K1517" t="s">
        <v>484</v>
      </c>
      <c r="L1517" t="s">
        <v>485</v>
      </c>
      <c r="M1517">
        <v>43229</v>
      </c>
      <c r="N1517" t="s">
        <v>144</v>
      </c>
      <c r="O1517" t="s">
        <v>3265</v>
      </c>
      <c r="P1517" t="s">
        <v>42</v>
      </c>
      <c r="Q1517" t="s">
        <v>263</v>
      </c>
      <c r="R1517" t="s">
        <v>3266</v>
      </c>
      <c r="S1517">
        <v>10.464</v>
      </c>
    </row>
    <row r="1518" spans="1:19" x14ac:dyDescent="0.35">
      <c r="A1518">
        <v>1544</v>
      </c>
      <c r="B1518" t="s">
        <v>4060</v>
      </c>
      <c r="C1518" s="1">
        <v>42039</v>
      </c>
      <c r="D1518" s="1">
        <v>42043</v>
      </c>
      <c r="E1518" s="1" t="str">
        <f t="shared" si="23"/>
        <v>FAST</v>
      </c>
      <c r="F1518" t="s">
        <v>46</v>
      </c>
      <c r="G1518" t="s">
        <v>4061</v>
      </c>
      <c r="H1518" t="s">
        <v>4062</v>
      </c>
      <c r="I1518" t="s">
        <v>98</v>
      </c>
      <c r="J1518" t="s">
        <v>23</v>
      </c>
      <c r="K1518" t="s">
        <v>935</v>
      </c>
      <c r="L1518" t="s">
        <v>39</v>
      </c>
      <c r="M1518">
        <v>92024</v>
      </c>
      <c r="N1518" t="s">
        <v>40</v>
      </c>
      <c r="O1518" t="s">
        <v>2529</v>
      </c>
      <c r="P1518" t="s">
        <v>42</v>
      </c>
      <c r="Q1518" t="s">
        <v>71</v>
      </c>
      <c r="R1518" t="s">
        <v>2530</v>
      </c>
      <c r="S1518">
        <v>82.896000000000001</v>
      </c>
    </row>
    <row r="1519" spans="1:19" x14ac:dyDescent="0.35">
      <c r="A1519">
        <v>1545</v>
      </c>
      <c r="B1519" t="s">
        <v>4060</v>
      </c>
      <c r="C1519" s="1">
        <v>42039</v>
      </c>
      <c r="D1519" s="1">
        <v>42043</v>
      </c>
      <c r="E1519" s="1" t="str">
        <f t="shared" si="23"/>
        <v>FAST</v>
      </c>
      <c r="F1519" t="s">
        <v>46</v>
      </c>
      <c r="G1519" t="s">
        <v>4061</v>
      </c>
      <c r="H1519" t="s">
        <v>4062</v>
      </c>
      <c r="I1519" t="s">
        <v>98</v>
      </c>
      <c r="J1519" t="s">
        <v>23</v>
      </c>
      <c r="K1519" t="s">
        <v>935</v>
      </c>
      <c r="L1519" t="s">
        <v>39</v>
      </c>
      <c r="M1519">
        <v>92024</v>
      </c>
      <c r="N1519" t="s">
        <v>40</v>
      </c>
      <c r="O1519" t="s">
        <v>2835</v>
      </c>
      <c r="P1519" t="s">
        <v>42</v>
      </c>
      <c r="Q1519" t="s">
        <v>86</v>
      </c>
      <c r="R1519" t="s">
        <v>2836</v>
      </c>
      <c r="S1519">
        <v>34.24</v>
      </c>
    </row>
    <row r="1520" spans="1:19" x14ac:dyDescent="0.35">
      <c r="A1520">
        <v>1546</v>
      </c>
      <c r="B1520" t="s">
        <v>4063</v>
      </c>
      <c r="C1520" s="1">
        <v>42369</v>
      </c>
      <c r="D1520" s="1">
        <v>42373</v>
      </c>
      <c r="E1520" s="1" t="str">
        <f t="shared" si="23"/>
        <v>SLOW</v>
      </c>
      <c r="F1520" t="s">
        <v>19</v>
      </c>
      <c r="G1520" t="s">
        <v>2721</v>
      </c>
      <c r="H1520" t="s">
        <v>2722</v>
      </c>
      <c r="I1520" t="s">
        <v>37</v>
      </c>
      <c r="J1520" t="s">
        <v>23</v>
      </c>
      <c r="K1520" t="s">
        <v>4064</v>
      </c>
      <c r="L1520" t="s">
        <v>261</v>
      </c>
      <c r="M1520">
        <v>13601</v>
      </c>
      <c r="N1520" t="s">
        <v>144</v>
      </c>
      <c r="O1520" t="s">
        <v>753</v>
      </c>
      <c r="P1520" t="s">
        <v>28</v>
      </c>
      <c r="Q1520" t="s">
        <v>29</v>
      </c>
      <c r="R1520" t="s">
        <v>754</v>
      </c>
      <c r="S1520">
        <v>1573.4880000000001</v>
      </c>
    </row>
    <row r="1521" spans="1:19" x14ac:dyDescent="0.35">
      <c r="A1521">
        <v>1547</v>
      </c>
      <c r="B1521" t="s">
        <v>4065</v>
      </c>
      <c r="C1521" s="1">
        <v>42697</v>
      </c>
      <c r="D1521" s="1">
        <v>42701</v>
      </c>
      <c r="E1521" s="1" t="str">
        <f t="shared" si="23"/>
        <v>FAST</v>
      </c>
      <c r="F1521" t="s">
        <v>46</v>
      </c>
      <c r="G1521" t="s">
        <v>1256</v>
      </c>
      <c r="H1521" t="s">
        <v>1257</v>
      </c>
      <c r="I1521" t="s">
        <v>37</v>
      </c>
      <c r="J1521" t="s">
        <v>23</v>
      </c>
      <c r="K1521" t="s">
        <v>667</v>
      </c>
      <c r="L1521" t="s">
        <v>100</v>
      </c>
      <c r="M1521">
        <v>78207</v>
      </c>
      <c r="N1521" t="s">
        <v>101</v>
      </c>
      <c r="O1521" t="s">
        <v>3536</v>
      </c>
      <c r="P1521" t="s">
        <v>42</v>
      </c>
      <c r="Q1521" t="s">
        <v>86</v>
      </c>
      <c r="R1521" t="s">
        <v>3537</v>
      </c>
      <c r="S1521">
        <v>335.52</v>
      </c>
    </row>
    <row r="1522" spans="1:19" x14ac:dyDescent="0.35">
      <c r="A1522">
        <v>1548</v>
      </c>
      <c r="B1522" t="s">
        <v>4065</v>
      </c>
      <c r="C1522" s="1">
        <v>42697</v>
      </c>
      <c r="D1522" s="1">
        <v>42701</v>
      </c>
      <c r="E1522" s="1" t="str">
        <f t="shared" si="23"/>
        <v>FAST</v>
      </c>
      <c r="F1522" t="s">
        <v>46</v>
      </c>
      <c r="G1522" t="s">
        <v>1256</v>
      </c>
      <c r="H1522" t="s">
        <v>1257</v>
      </c>
      <c r="I1522" t="s">
        <v>37</v>
      </c>
      <c r="J1522" t="s">
        <v>23</v>
      </c>
      <c r="K1522" t="s">
        <v>667</v>
      </c>
      <c r="L1522" t="s">
        <v>100</v>
      </c>
      <c r="M1522">
        <v>78207</v>
      </c>
      <c r="N1522" t="s">
        <v>101</v>
      </c>
      <c r="O1522" t="s">
        <v>3800</v>
      </c>
      <c r="P1522" t="s">
        <v>42</v>
      </c>
      <c r="Q1522" t="s">
        <v>71</v>
      </c>
      <c r="R1522" t="s">
        <v>3801</v>
      </c>
      <c r="S1522">
        <v>23.911999999999999</v>
      </c>
    </row>
    <row r="1523" spans="1:19" x14ac:dyDescent="0.35">
      <c r="A1523">
        <v>1549</v>
      </c>
      <c r="B1523" t="s">
        <v>4065</v>
      </c>
      <c r="C1523" s="1">
        <v>42697</v>
      </c>
      <c r="D1523" s="1">
        <v>42701</v>
      </c>
      <c r="E1523" s="1" t="str">
        <f t="shared" si="23"/>
        <v>FAST</v>
      </c>
      <c r="F1523" t="s">
        <v>46</v>
      </c>
      <c r="G1523" t="s">
        <v>1256</v>
      </c>
      <c r="H1523" t="s">
        <v>1257</v>
      </c>
      <c r="I1523" t="s">
        <v>37</v>
      </c>
      <c r="J1523" t="s">
        <v>23</v>
      </c>
      <c r="K1523" t="s">
        <v>667</v>
      </c>
      <c r="L1523" t="s">
        <v>100</v>
      </c>
      <c r="M1523">
        <v>78207</v>
      </c>
      <c r="N1523" t="s">
        <v>101</v>
      </c>
      <c r="O1523" t="s">
        <v>4066</v>
      </c>
      <c r="P1523" t="s">
        <v>42</v>
      </c>
      <c r="Q1523" t="s">
        <v>55</v>
      </c>
      <c r="R1523" t="s">
        <v>4067</v>
      </c>
      <c r="S1523">
        <v>27.056000000000001</v>
      </c>
    </row>
    <row r="1524" spans="1:19" x14ac:dyDescent="0.35">
      <c r="A1524">
        <v>1550</v>
      </c>
      <c r="B1524" t="s">
        <v>4068</v>
      </c>
      <c r="C1524" s="1">
        <v>42191</v>
      </c>
      <c r="D1524" s="1">
        <v>42193</v>
      </c>
      <c r="E1524" s="1" t="str">
        <f t="shared" si="23"/>
        <v>MODERATE</v>
      </c>
      <c r="F1524" t="s">
        <v>184</v>
      </c>
      <c r="G1524" t="s">
        <v>1807</v>
      </c>
      <c r="H1524" t="s">
        <v>1808</v>
      </c>
      <c r="I1524" t="s">
        <v>22</v>
      </c>
      <c r="J1524" t="s">
        <v>23</v>
      </c>
      <c r="K1524" t="s">
        <v>260</v>
      </c>
      <c r="L1524" t="s">
        <v>261</v>
      </c>
      <c r="M1524">
        <v>10011</v>
      </c>
      <c r="N1524" t="s">
        <v>144</v>
      </c>
      <c r="O1524" t="s">
        <v>3427</v>
      </c>
      <c r="P1524" t="s">
        <v>67</v>
      </c>
      <c r="Q1524" t="s">
        <v>1204</v>
      </c>
      <c r="R1524" t="s">
        <v>3428</v>
      </c>
      <c r="S1524">
        <v>559.99199999999996</v>
      </c>
    </row>
    <row r="1525" spans="1:19" x14ac:dyDescent="0.35">
      <c r="A1525">
        <v>1551</v>
      </c>
      <c r="B1525" t="s">
        <v>4069</v>
      </c>
      <c r="C1525" s="1">
        <v>43417</v>
      </c>
      <c r="D1525" s="1">
        <v>43422</v>
      </c>
      <c r="E1525" s="1" t="str">
        <f t="shared" si="23"/>
        <v>SLOW</v>
      </c>
      <c r="F1525" t="s">
        <v>19</v>
      </c>
      <c r="G1525" t="s">
        <v>3879</v>
      </c>
      <c r="H1525" t="s">
        <v>3880</v>
      </c>
      <c r="I1525" t="s">
        <v>98</v>
      </c>
      <c r="J1525" t="s">
        <v>23</v>
      </c>
      <c r="K1525" t="s">
        <v>180</v>
      </c>
      <c r="L1525" t="s">
        <v>100</v>
      </c>
      <c r="M1525">
        <v>77095</v>
      </c>
      <c r="N1525" t="s">
        <v>101</v>
      </c>
      <c r="O1525" t="s">
        <v>4070</v>
      </c>
      <c r="P1525" t="s">
        <v>42</v>
      </c>
      <c r="Q1525" t="s">
        <v>74</v>
      </c>
      <c r="R1525" t="s">
        <v>4071</v>
      </c>
      <c r="S1525">
        <v>9.3239999999999998</v>
      </c>
    </row>
    <row r="1526" spans="1:19" x14ac:dyDescent="0.35">
      <c r="A1526">
        <v>1552</v>
      </c>
      <c r="B1526" t="s">
        <v>4072</v>
      </c>
      <c r="C1526" s="1">
        <v>42903</v>
      </c>
      <c r="D1526" s="1">
        <v>42908</v>
      </c>
      <c r="E1526" s="1" t="str">
        <f t="shared" si="23"/>
        <v>FAST</v>
      </c>
      <c r="F1526" t="s">
        <v>46</v>
      </c>
      <c r="G1526" t="s">
        <v>4073</v>
      </c>
      <c r="H1526" t="s">
        <v>4074</v>
      </c>
      <c r="I1526" t="s">
        <v>22</v>
      </c>
      <c r="J1526" t="s">
        <v>23</v>
      </c>
      <c r="K1526" t="s">
        <v>935</v>
      </c>
      <c r="L1526" t="s">
        <v>39</v>
      </c>
      <c r="M1526">
        <v>92024</v>
      </c>
      <c r="N1526" t="s">
        <v>40</v>
      </c>
      <c r="O1526" t="s">
        <v>3745</v>
      </c>
      <c r="P1526" t="s">
        <v>42</v>
      </c>
      <c r="Q1526" t="s">
        <v>86</v>
      </c>
      <c r="R1526" t="s">
        <v>3746</v>
      </c>
      <c r="S1526">
        <v>111.96</v>
      </c>
    </row>
    <row r="1527" spans="1:19" x14ac:dyDescent="0.35">
      <c r="A1527">
        <v>1553</v>
      </c>
      <c r="B1527" t="s">
        <v>4075</v>
      </c>
      <c r="C1527" s="1">
        <v>42127</v>
      </c>
      <c r="D1527" s="1">
        <v>42129</v>
      </c>
      <c r="E1527" s="1" t="str">
        <f t="shared" si="23"/>
        <v>MODERATE</v>
      </c>
      <c r="F1527" t="s">
        <v>184</v>
      </c>
      <c r="G1527" t="s">
        <v>1590</v>
      </c>
      <c r="H1527" t="s">
        <v>1591</v>
      </c>
      <c r="I1527" t="s">
        <v>98</v>
      </c>
      <c r="J1527" t="s">
        <v>23</v>
      </c>
      <c r="K1527" t="s">
        <v>4076</v>
      </c>
      <c r="L1527" t="s">
        <v>110</v>
      </c>
      <c r="M1527">
        <v>54915</v>
      </c>
      <c r="N1527" t="s">
        <v>101</v>
      </c>
      <c r="O1527" t="s">
        <v>4077</v>
      </c>
      <c r="P1527" t="s">
        <v>42</v>
      </c>
      <c r="Q1527" t="s">
        <v>43</v>
      </c>
      <c r="R1527" t="s">
        <v>4078</v>
      </c>
      <c r="S1527">
        <v>21.56</v>
      </c>
    </row>
    <row r="1528" spans="1:19" x14ac:dyDescent="0.35">
      <c r="A1528">
        <v>1554</v>
      </c>
      <c r="B1528" t="s">
        <v>4079</v>
      </c>
      <c r="C1528" s="1">
        <v>43389</v>
      </c>
      <c r="D1528" s="1">
        <v>43394</v>
      </c>
      <c r="E1528" s="1" t="str">
        <f t="shared" si="23"/>
        <v>FAST</v>
      </c>
      <c r="F1528" t="s">
        <v>46</v>
      </c>
      <c r="G1528" t="s">
        <v>4080</v>
      </c>
      <c r="H1528" t="s">
        <v>4081</v>
      </c>
      <c r="I1528" t="s">
        <v>22</v>
      </c>
      <c r="J1528" t="s">
        <v>23</v>
      </c>
      <c r="K1528" t="s">
        <v>1448</v>
      </c>
      <c r="L1528" t="s">
        <v>25</v>
      </c>
      <c r="M1528">
        <v>40475</v>
      </c>
      <c r="N1528" t="s">
        <v>26</v>
      </c>
      <c r="O1528" t="s">
        <v>2659</v>
      </c>
      <c r="P1528" t="s">
        <v>42</v>
      </c>
      <c r="Q1528" t="s">
        <v>71</v>
      </c>
      <c r="R1528" t="s">
        <v>2660</v>
      </c>
      <c r="S1528">
        <v>124.75</v>
      </c>
    </row>
    <row r="1529" spans="1:19" x14ac:dyDescent="0.35">
      <c r="A1529">
        <v>1555</v>
      </c>
      <c r="B1529" t="s">
        <v>4082</v>
      </c>
      <c r="C1529" s="1">
        <v>42406</v>
      </c>
      <c r="D1529" s="1">
        <v>42413</v>
      </c>
      <c r="E1529" s="1" t="str">
        <f t="shared" si="23"/>
        <v>FAST</v>
      </c>
      <c r="F1529" t="s">
        <v>46</v>
      </c>
      <c r="G1529" t="s">
        <v>834</v>
      </c>
      <c r="H1529" t="s">
        <v>835</v>
      </c>
      <c r="I1529" t="s">
        <v>37</v>
      </c>
      <c r="J1529" t="s">
        <v>23</v>
      </c>
      <c r="K1529" t="s">
        <v>4083</v>
      </c>
      <c r="L1529" t="s">
        <v>92</v>
      </c>
      <c r="M1529">
        <v>98006</v>
      </c>
      <c r="N1529" t="s">
        <v>40</v>
      </c>
      <c r="O1529" t="s">
        <v>4084</v>
      </c>
      <c r="P1529" t="s">
        <v>42</v>
      </c>
      <c r="Q1529" t="s">
        <v>64</v>
      </c>
      <c r="R1529" t="s">
        <v>4085</v>
      </c>
      <c r="S1529">
        <v>5.28</v>
      </c>
    </row>
    <row r="1530" spans="1:19" x14ac:dyDescent="0.35">
      <c r="A1530">
        <v>1556</v>
      </c>
      <c r="B1530" t="s">
        <v>4086</v>
      </c>
      <c r="C1530" s="1">
        <v>43347</v>
      </c>
      <c r="D1530" s="1">
        <v>43351</v>
      </c>
      <c r="E1530" s="1" t="str">
        <f t="shared" si="23"/>
        <v>FAST</v>
      </c>
      <c r="F1530" t="s">
        <v>46</v>
      </c>
      <c r="G1530" t="s">
        <v>4087</v>
      </c>
      <c r="H1530" t="s">
        <v>4088</v>
      </c>
      <c r="I1530" t="s">
        <v>22</v>
      </c>
      <c r="J1530" t="s">
        <v>23</v>
      </c>
      <c r="K1530" t="s">
        <v>1161</v>
      </c>
      <c r="L1530" t="s">
        <v>261</v>
      </c>
      <c r="M1530">
        <v>11561</v>
      </c>
      <c r="N1530" t="s">
        <v>144</v>
      </c>
      <c r="O1530" t="s">
        <v>224</v>
      </c>
      <c r="P1530" t="s">
        <v>67</v>
      </c>
      <c r="Q1530" t="s">
        <v>157</v>
      </c>
      <c r="R1530" t="s">
        <v>225</v>
      </c>
      <c r="S1530">
        <v>91.96</v>
      </c>
    </row>
    <row r="1531" spans="1:19" x14ac:dyDescent="0.35">
      <c r="A1531">
        <v>1557</v>
      </c>
      <c r="B1531" t="s">
        <v>4089</v>
      </c>
      <c r="C1531" s="1">
        <v>42864</v>
      </c>
      <c r="D1531" s="1">
        <v>42870</v>
      </c>
      <c r="E1531" s="1" t="str">
        <f t="shared" si="23"/>
        <v>FAST</v>
      </c>
      <c r="F1531" t="s">
        <v>46</v>
      </c>
      <c r="G1531" t="s">
        <v>4090</v>
      </c>
      <c r="H1531" t="s">
        <v>4091</v>
      </c>
      <c r="I1531" t="s">
        <v>22</v>
      </c>
      <c r="J1531" t="s">
        <v>23</v>
      </c>
      <c r="K1531" t="s">
        <v>142</v>
      </c>
      <c r="L1531" t="s">
        <v>143</v>
      </c>
      <c r="M1531">
        <v>19140</v>
      </c>
      <c r="N1531" t="s">
        <v>144</v>
      </c>
      <c r="O1531" t="s">
        <v>4092</v>
      </c>
      <c r="P1531" t="s">
        <v>42</v>
      </c>
      <c r="Q1531" t="s">
        <v>169</v>
      </c>
      <c r="R1531" t="s">
        <v>658</v>
      </c>
      <c r="S1531">
        <v>9.3439999999999994</v>
      </c>
    </row>
    <row r="1532" spans="1:19" x14ac:dyDescent="0.35">
      <c r="A1532">
        <v>1558</v>
      </c>
      <c r="B1532" t="s">
        <v>4089</v>
      </c>
      <c r="C1532" s="1">
        <v>42864</v>
      </c>
      <c r="D1532" s="1">
        <v>42870</v>
      </c>
      <c r="E1532" s="1" t="str">
        <f t="shared" si="23"/>
        <v>FAST</v>
      </c>
      <c r="F1532" t="s">
        <v>46</v>
      </c>
      <c r="G1532" t="s">
        <v>4090</v>
      </c>
      <c r="H1532" t="s">
        <v>4091</v>
      </c>
      <c r="I1532" t="s">
        <v>22</v>
      </c>
      <c r="J1532" t="s">
        <v>23</v>
      </c>
      <c r="K1532" t="s">
        <v>142</v>
      </c>
      <c r="L1532" t="s">
        <v>143</v>
      </c>
      <c r="M1532">
        <v>19140</v>
      </c>
      <c r="N1532" t="s">
        <v>144</v>
      </c>
      <c r="O1532" t="s">
        <v>4093</v>
      </c>
      <c r="P1532" t="s">
        <v>42</v>
      </c>
      <c r="Q1532" t="s">
        <v>64</v>
      </c>
      <c r="R1532" t="s">
        <v>4094</v>
      </c>
      <c r="S1532">
        <v>79.36</v>
      </c>
    </row>
    <row r="1533" spans="1:19" x14ac:dyDescent="0.35">
      <c r="A1533">
        <v>1559</v>
      </c>
      <c r="B1533" t="s">
        <v>4095</v>
      </c>
      <c r="C1533" s="1">
        <v>42445</v>
      </c>
      <c r="D1533" s="1">
        <v>42447</v>
      </c>
      <c r="E1533" s="1" t="str">
        <f t="shared" si="23"/>
        <v>SLOW</v>
      </c>
      <c r="F1533" t="s">
        <v>19</v>
      </c>
      <c r="G1533" t="s">
        <v>1625</v>
      </c>
      <c r="H1533" t="s">
        <v>1626</v>
      </c>
      <c r="I1533" t="s">
        <v>22</v>
      </c>
      <c r="J1533" t="s">
        <v>23</v>
      </c>
      <c r="K1533" t="s">
        <v>91</v>
      </c>
      <c r="L1533" t="s">
        <v>92</v>
      </c>
      <c r="M1533">
        <v>98103</v>
      </c>
      <c r="N1533" t="s">
        <v>40</v>
      </c>
      <c r="O1533" t="s">
        <v>3788</v>
      </c>
      <c r="P1533" t="s">
        <v>28</v>
      </c>
      <c r="Q1533" t="s">
        <v>52</v>
      </c>
      <c r="R1533" t="s">
        <v>3242</v>
      </c>
      <c r="S1533">
        <v>171.96</v>
      </c>
    </row>
    <row r="1534" spans="1:19" x14ac:dyDescent="0.35">
      <c r="A1534">
        <v>1560</v>
      </c>
      <c r="B1534" t="s">
        <v>4096</v>
      </c>
      <c r="C1534" s="1">
        <v>42834</v>
      </c>
      <c r="D1534" s="1">
        <v>42838</v>
      </c>
      <c r="E1534" s="1" t="str">
        <f t="shared" si="23"/>
        <v>FAST</v>
      </c>
      <c r="F1534" t="s">
        <v>46</v>
      </c>
      <c r="G1534" t="s">
        <v>4097</v>
      </c>
      <c r="H1534" t="s">
        <v>4098</v>
      </c>
      <c r="I1534" t="s">
        <v>37</v>
      </c>
      <c r="J1534" t="s">
        <v>23</v>
      </c>
      <c r="K1534" t="s">
        <v>91</v>
      </c>
      <c r="L1534" t="s">
        <v>92</v>
      </c>
      <c r="M1534">
        <v>98103</v>
      </c>
      <c r="N1534" t="s">
        <v>40</v>
      </c>
      <c r="O1534" t="s">
        <v>2682</v>
      </c>
      <c r="P1534" t="s">
        <v>42</v>
      </c>
      <c r="Q1534" t="s">
        <v>71</v>
      </c>
      <c r="R1534" t="s">
        <v>2683</v>
      </c>
      <c r="S1534">
        <v>35.351999999999997</v>
      </c>
    </row>
    <row r="1535" spans="1:19" x14ac:dyDescent="0.35">
      <c r="A1535">
        <v>1561</v>
      </c>
      <c r="B1535" t="s">
        <v>4099</v>
      </c>
      <c r="C1535" s="1">
        <v>42098</v>
      </c>
      <c r="D1535" s="1">
        <v>42103</v>
      </c>
      <c r="E1535" s="1" t="str">
        <f t="shared" si="23"/>
        <v>FAST</v>
      </c>
      <c r="F1535" t="s">
        <v>46</v>
      </c>
      <c r="G1535" t="s">
        <v>2662</v>
      </c>
      <c r="H1535" t="s">
        <v>2663</v>
      </c>
      <c r="I1535" t="s">
        <v>98</v>
      </c>
      <c r="J1535" t="s">
        <v>23</v>
      </c>
      <c r="K1535" t="s">
        <v>123</v>
      </c>
      <c r="L1535" t="s">
        <v>39</v>
      </c>
      <c r="M1535">
        <v>94109</v>
      </c>
      <c r="N1535" t="s">
        <v>40</v>
      </c>
      <c r="O1535" t="s">
        <v>4100</v>
      </c>
      <c r="P1535" t="s">
        <v>42</v>
      </c>
      <c r="Q1535" t="s">
        <v>43</v>
      </c>
      <c r="R1535" t="s">
        <v>4101</v>
      </c>
      <c r="S1535">
        <v>18.899999999999999</v>
      </c>
    </row>
    <row r="1536" spans="1:19" x14ac:dyDescent="0.35">
      <c r="A1536">
        <v>1562</v>
      </c>
      <c r="B1536" t="s">
        <v>4102</v>
      </c>
      <c r="C1536" s="1">
        <v>43348</v>
      </c>
      <c r="D1536" s="1">
        <v>43349</v>
      </c>
      <c r="E1536" s="1" t="str">
        <f t="shared" si="23"/>
        <v>MODERATE</v>
      </c>
      <c r="F1536" t="s">
        <v>184</v>
      </c>
      <c r="G1536" t="s">
        <v>367</v>
      </c>
      <c r="H1536" t="s">
        <v>368</v>
      </c>
      <c r="I1536" t="s">
        <v>98</v>
      </c>
      <c r="J1536" t="s">
        <v>23</v>
      </c>
      <c r="K1536" t="s">
        <v>91</v>
      </c>
      <c r="L1536" t="s">
        <v>92</v>
      </c>
      <c r="M1536">
        <v>98115</v>
      </c>
      <c r="N1536" t="s">
        <v>40</v>
      </c>
      <c r="O1536" t="s">
        <v>1268</v>
      </c>
      <c r="P1536" t="s">
        <v>42</v>
      </c>
      <c r="Q1536" t="s">
        <v>64</v>
      </c>
      <c r="R1536" t="s">
        <v>1269</v>
      </c>
      <c r="S1536">
        <v>2.78</v>
      </c>
    </row>
    <row r="1537" spans="1:19" x14ac:dyDescent="0.35">
      <c r="A1537">
        <v>1563</v>
      </c>
      <c r="B1537" t="s">
        <v>4103</v>
      </c>
      <c r="C1537" s="1">
        <v>43281</v>
      </c>
      <c r="D1537" s="1">
        <v>43281</v>
      </c>
      <c r="E1537" s="1" t="str">
        <f t="shared" si="23"/>
        <v>MODERATE</v>
      </c>
      <c r="F1537" t="s">
        <v>1276</v>
      </c>
      <c r="G1537" t="s">
        <v>4104</v>
      </c>
      <c r="H1537" t="s">
        <v>4105</v>
      </c>
      <c r="I1537" t="s">
        <v>22</v>
      </c>
      <c r="J1537" t="s">
        <v>23</v>
      </c>
      <c r="K1537" t="s">
        <v>260</v>
      </c>
      <c r="L1537" t="s">
        <v>261</v>
      </c>
      <c r="M1537">
        <v>10011</v>
      </c>
      <c r="N1537" t="s">
        <v>144</v>
      </c>
      <c r="O1537" t="s">
        <v>51</v>
      </c>
      <c r="P1537" t="s">
        <v>28</v>
      </c>
      <c r="Q1537" t="s">
        <v>52</v>
      </c>
      <c r="R1537" t="s">
        <v>53</v>
      </c>
      <c r="S1537">
        <v>1044.6300000000001</v>
      </c>
    </row>
    <row r="1538" spans="1:19" x14ac:dyDescent="0.35">
      <c r="A1538">
        <v>1564</v>
      </c>
      <c r="B1538" t="s">
        <v>4106</v>
      </c>
      <c r="C1538" s="1">
        <v>42683</v>
      </c>
      <c r="D1538" s="1">
        <v>42683</v>
      </c>
      <c r="E1538" s="1" t="str">
        <f t="shared" si="23"/>
        <v>MODERATE</v>
      </c>
      <c r="F1538" t="s">
        <v>1276</v>
      </c>
      <c r="G1538" t="s">
        <v>4107</v>
      </c>
      <c r="H1538" t="s">
        <v>4108</v>
      </c>
      <c r="I1538" t="s">
        <v>22</v>
      </c>
      <c r="J1538" t="s">
        <v>23</v>
      </c>
      <c r="K1538" t="s">
        <v>142</v>
      </c>
      <c r="L1538" t="s">
        <v>143</v>
      </c>
      <c r="M1538">
        <v>19134</v>
      </c>
      <c r="N1538" t="s">
        <v>144</v>
      </c>
      <c r="O1538" t="s">
        <v>856</v>
      </c>
      <c r="P1538" t="s">
        <v>42</v>
      </c>
      <c r="Q1538" t="s">
        <v>86</v>
      </c>
      <c r="R1538" t="s">
        <v>857</v>
      </c>
      <c r="S1538">
        <v>11.352</v>
      </c>
    </row>
    <row r="1539" spans="1:19" x14ac:dyDescent="0.35">
      <c r="A1539">
        <v>1565</v>
      </c>
      <c r="B1539" t="s">
        <v>4109</v>
      </c>
      <c r="C1539" s="1">
        <v>42067</v>
      </c>
      <c r="D1539" s="1">
        <v>42067</v>
      </c>
      <c r="E1539" s="1" t="str">
        <f t="shared" ref="E1539:E1602" si="24">IF(F1539="STANDARD CLASS","FAST",IF(F1539="SECOND CLASS","SLOW","MODERATE"))</f>
        <v>MODERATE</v>
      </c>
      <c r="F1539" t="s">
        <v>1276</v>
      </c>
      <c r="G1539" t="s">
        <v>473</v>
      </c>
      <c r="H1539" t="s">
        <v>474</v>
      </c>
      <c r="I1539" t="s">
        <v>22</v>
      </c>
      <c r="J1539" t="s">
        <v>23</v>
      </c>
      <c r="K1539" t="s">
        <v>372</v>
      </c>
      <c r="L1539" t="s">
        <v>373</v>
      </c>
      <c r="M1539">
        <v>29203</v>
      </c>
      <c r="N1539" t="s">
        <v>26</v>
      </c>
      <c r="O1539" t="s">
        <v>4110</v>
      </c>
      <c r="P1539" t="s">
        <v>42</v>
      </c>
      <c r="Q1539" t="s">
        <v>55</v>
      </c>
      <c r="R1539" t="s">
        <v>4111</v>
      </c>
      <c r="S1539">
        <v>354.9</v>
      </c>
    </row>
    <row r="1540" spans="1:19" x14ac:dyDescent="0.35">
      <c r="A1540">
        <v>1566</v>
      </c>
      <c r="B1540" t="s">
        <v>4112</v>
      </c>
      <c r="C1540" s="1">
        <v>42448</v>
      </c>
      <c r="D1540" s="1">
        <v>42454</v>
      </c>
      <c r="E1540" s="1" t="str">
        <f t="shared" si="24"/>
        <v>FAST</v>
      </c>
      <c r="F1540" t="s">
        <v>46</v>
      </c>
      <c r="G1540" t="s">
        <v>2228</v>
      </c>
      <c r="H1540" t="s">
        <v>2229</v>
      </c>
      <c r="I1540" t="s">
        <v>98</v>
      </c>
      <c r="J1540" t="s">
        <v>23</v>
      </c>
      <c r="K1540" t="s">
        <v>91</v>
      </c>
      <c r="L1540" t="s">
        <v>92</v>
      </c>
      <c r="M1540">
        <v>98105</v>
      </c>
      <c r="N1540" t="s">
        <v>40</v>
      </c>
      <c r="O1540" t="s">
        <v>3350</v>
      </c>
      <c r="P1540" t="s">
        <v>67</v>
      </c>
      <c r="Q1540" t="s">
        <v>68</v>
      </c>
      <c r="R1540" t="s">
        <v>3351</v>
      </c>
      <c r="S1540">
        <v>453.57600000000002</v>
      </c>
    </row>
    <row r="1541" spans="1:19" x14ac:dyDescent="0.35">
      <c r="A1541">
        <v>1567</v>
      </c>
      <c r="B1541" t="s">
        <v>4113</v>
      </c>
      <c r="C1541" s="1">
        <v>42703</v>
      </c>
      <c r="D1541" s="1">
        <v>42704</v>
      </c>
      <c r="E1541" s="1" t="str">
        <f t="shared" si="24"/>
        <v>MODERATE</v>
      </c>
      <c r="F1541" t="s">
        <v>184</v>
      </c>
      <c r="G1541" t="s">
        <v>4114</v>
      </c>
      <c r="H1541" t="s">
        <v>4115</v>
      </c>
      <c r="I1541" t="s">
        <v>22</v>
      </c>
      <c r="J1541" t="s">
        <v>23</v>
      </c>
      <c r="K1541" t="s">
        <v>4116</v>
      </c>
      <c r="L1541" t="s">
        <v>100</v>
      </c>
      <c r="M1541">
        <v>75002</v>
      </c>
      <c r="N1541" t="s">
        <v>101</v>
      </c>
      <c r="O1541" t="s">
        <v>4117</v>
      </c>
      <c r="P1541" t="s">
        <v>67</v>
      </c>
      <c r="Q1541" t="s">
        <v>157</v>
      </c>
      <c r="R1541" t="s">
        <v>4118</v>
      </c>
      <c r="S1541">
        <v>21.48</v>
      </c>
    </row>
    <row r="1542" spans="1:19" x14ac:dyDescent="0.35">
      <c r="A1542">
        <v>1568</v>
      </c>
      <c r="B1542" t="s">
        <v>4113</v>
      </c>
      <c r="C1542" s="1">
        <v>42703</v>
      </c>
      <c r="D1542" s="1">
        <v>42704</v>
      </c>
      <c r="E1542" s="1" t="str">
        <f t="shared" si="24"/>
        <v>MODERATE</v>
      </c>
      <c r="F1542" t="s">
        <v>184</v>
      </c>
      <c r="G1542" t="s">
        <v>4114</v>
      </c>
      <c r="H1542" t="s">
        <v>4115</v>
      </c>
      <c r="I1542" t="s">
        <v>22</v>
      </c>
      <c r="J1542" t="s">
        <v>23</v>
      </c>
      <c r="K1542" t="s">
        <v>4116</v>
      </c>
      <c r="L1542" t="s">
        <v>100</v>
      </c>
      <c r="M1542">
        <v>75002</v>
      </c>
      <c r="N1542" t="s">
        <v>101</v>
      </c>
      <c r="O1542" t="s">
        <v>4119</v>
      </c>
      <c r="P1542" t="s">
        <v>42</v>
      </c>
      <c r="Q1542" t="s">
        <v>71</v>
      </c>
      <c r="R1542" t="s">
        <v>4120</v>
      </c>
      <c r="S1542">
        <v>8.7840000000000007</v>
      </c>
    </row>
    <row r="1543" spans="1:19" x14ac:dyDescent="0.35">
      <c r="A1543">
        <v>1569</v>
      </c>
      <c r="B1543" t="s">
        <v>4121</v>
      </c>
      <c r="C1543" s="1">
        <v>43262</v>
      </c>
      <c r="D1543" s="1">
        <v>43262</v>
      </c>
      <c r="E1543" s="1" t="str">
        <f t="shared" si="24"/>
        <v>MODERATE</v>
      </c>
      <c r="F1543" t="s">
        <v>1276</v>
      </c>
      <c r="G1543" t="s">
        <v>1942</v>
      </c>
      <c r="H1543" t="s">
        <v>1943</v>
      </c>
      <c r="I1543" t="s">
        <v>22</v>
      </c>
      <c r="J1543" t="s">
        <v>23</v>
      </c>
      <c r="K1543" t="s">
        <v>38</v>
      </c>
      <c r="L1543" t="s">
        <v>39</v>
      </c>
      <c r="M1543">
        <v>90004</v>
      </c>
      <c r="N1543" t="s">
        <v>40</v>
      </c>
      <c r="O1543" t="s">
        <v>1710</v>
      </c>
      <c r="P1543" t="s">
        <v>42</v>
      </c>
      <c r="Q1543" t="s">
        <v>86</v>
      </c>
      <c r="R1543" t="s">
        <v>1711</v>
      </c>
      <c r="S1543">
        <v>122.97</v>
      </c>
    </row>
    <row r="1544" spans="1:19" x14ac:dyDescent="0.35">
      <c r="A1544">
        <v>1570</v>
      </c>
      <c r="B1544" t="s">
        <v>4122</v>
      </c>
      <c r="C1544" s="1">
        <v>43430</v>
      </c>
      <c r="D1544" s="1">
        <v>43434</v>
      </c>
      <c r="E1544" s="1" t="str">
        <f t="shared" si="24"/>
        <v>FAST</v>
      </c>
      <c r="F1544" t="s">
        <v>46</v>
      </c>
      <c r="G1544" t="s">
        <v>2794</v>
      </c>
      <c r="H1544" t="s">
        <v>2795</v>
      </c>
      <c r="I1544" t="s">
        <v>37</v>
      </c>
      <c r="J1544" t="s">
        <v>23</v>
      </c>
      <c r="K1544" t="s">
        <v>1716</v>
      </c>
      <c r="L1544" t="s">
        <v>1258</v>
      </c>
      <c r="M1544">
        <v>30318</v>
      </c>
      <c r="N1544" t="s">
        <v>26</v>
      </c>
      <c r="O1544" t="s">
        <v>4123</v>
      </c>
      <c r="P1544" t="s">
        <v>42</v>
      </c>
      <c r="Q1544" t="s">
        <v>64</v>
      </c>
      <c r="R1544" t="s">
        <v>4124</v>
      </c>
      <c r="S1544">
        <v>12.84</v>
      </c>
    </row>
    <row r="1545" spans="1:19" x14ac:dyDescent="0.35">
      <c r="A1545">
        <v>1571</v>
      </c>
      <c r="B1545" t="s">
        <v>4125</v>
      </c>
      <c r="C1545" s="1">
        <v>42331</v>
      </c>
      <c r="D1545" s="1">
        <v>42333</v>
      </c>
      <c r="E1545" s="1" t="str">
        <f t="shared" si="24"/>
        <v>MODERATE</v>
      </c>
      <c r="F1545" t="s">
        <v>184</v>
      </c>
      <c r="G1545" t="s">
        <v>1565</v>
      </c>
      <c r="H1545" t="s">
        <v>1566</v>
      </c>
      <c r="I1545" t="s">
        <v>22</v>
      </c>
      <c r="J1545" t="s">
        <v>23</v>
      </c>
      <c r="K1545" t="s">
        <v>38</v>
      </c>
      <c r="L1545" t="s">
        <v>39</v>
      </c>
      <c r="M1545">
        <v>90004</v>
      </c>
      <c r="N1545" t="s">
        <v>40</v>
      </c>
      <c r="O1545" t="s">
        <v>374</v>
      </c>
      <c r="P1545" t="s">
        <v>28</v>
      </c>
      <c r="Q1545" t="s">
        <v>32</v>
      </c>
      <c r="R1545" t="s">
        <v>375</v>
      </c>
      <c r="S1545">
        <v>603.91999999999996</v>
      </c>
    </row>
    <row r="1546" spans="1:19" x14ac:dyDescent="0.35">
      <c r="A1546">
        <v>1572</v>
      </c>
      <c r="B1546" t="s">
        <v>4125</v>
      </c>
      <c r="C1546" s="1">
        <v>42331</v>
      </c>
      <c r="D1546" s="1">
        <v>42333</v>
      </c>
      <c r="E1546" s="1" t="str">
        <f t="shared" si="24"/>
        <v>MODERATE</v>
      </c>
      <c r="F1546" t="s">
        <v>184</v>
      </c>
      <c r="G1546" t="s">
        <v>1565</v>
      </c>
      <c r="H1546" t="s">
        <v>1566</v>
      </c>
      <c r="I1546" t="s">
        <v>22</v>
      </c>
      <c r="J1546" t="s">
        <v>23</v>
      </c>
      <c r="K1546" t="s">
        <v>38</v>
      </c>
      <c r="L1546" t="s">
        <v>39</v>
      </c>
      <c r="M1546">
        <v>90004</v>
      </c>
      <c r="N1546" t="s">
        <v>40</v>
      </c>
      <c r="O1546" t="s">
        <v>4126</v>
      </c>
      <c r="P1546" t="s">
        <v>42</v>
      </c>
      <c r="Q1546" t="s">
        <v>169</v>
      </c>
      <c r="R1546" t="s">
        <v>4127</v>
      </c>
      <c r="S1546">
        <v>21.84</v>
      </c>
    </row>
    <row r="1547" spans="1:19" x14ac:dyDescent="0.35">
      <c r="A1547">
        <v>1573</v>
      </c>
      <c r="B1547" t="s">
        <v>4125</v>
      </c>
      <c r="C1547" s="1">
        <v>42331</v>
      </c>
      <c r="D1547" s="1">
        <v>42333</v>
      </c>
      <c r="E1547" s="1" t="str">
        <f t="shared" si="24"/>
        <v>MODERATE</v>
      </c>
      <c r="F1547" t="s">
        <v>184</v>
      </c>
      <c r="G1547" t="s">
        <v>1565</v>
      </c>
      <c r="H1547" t="s">
        <v>1566</v>
      </c>
      <c r="I1547" t="s">
        <v>22</v>
      </c>
      <c r="J1547" t="s">
        <v>23</v>
      </c>
      <c r="K1547" t="s">
        <v>38</v>
      </c>
      <c r="L1547" t="s">
        <v>39</v>
      </c>
      <c r="M1547">
        <v>90004</v>
      </c>
      <c r="N1547" t="s">
        <v>40</v>
      </c>
      <c r="O1547" t="s">
        <v>4128</v>
      </c>
      <c r="P1547" t="s">
        <v>67</v>
      </c>
      <c r="Q1547" t="s">
        <v>157</v>
      </c>
      <c r="R1547" t="s">
        <v>4129</v>
      </c>
      <c r="S1547">
        <v>29.99</v>
      </c>
    </row>
    <row r="1548" spans="1:19" x14ac:dyDescent="0.35">
      <c r="A1548">
        <v>1574</v>
      </c>
      <c r="B1548" t="s">
        <v>4125</v>
      </c>
      <c r="C1548" s="1">
        <v>42331</v>
      </c>
      <c r="D1548" s="1">
        <v>42333</v>
      </c>
      <c r="E1548" s="1" t="str">
        <f t="shared" si="24"/>
        <v>MODERATE</v>
      </c>
      <c r="F1548" t="s">
        <v>184</v>
      </c>
      <c r="G1548" t="s">
        <v>1565</v>
      </c>
      <c r="H1548" t="s">
        <v>1566</v>
      </c>
      <c r="I1548" t="s">
        <v>22</v>
      </c>
      <c r="J1548" t="s">
        <v>23</v>
      </c>
      <c r="K1548" t="s">
        <v>38</v>
      </c>
      <c r="L1548" t="s">
        <v>39</v>
      </c>
      <c r="M1548">
        <v>90004</v>
      </c>
      <c r="N1548" t="s">
        <v>40</v>
      </c>
      <c r="O1548" t="s">
        <v>1787</v>
      </c>
      <c r="P1548" t="s">
        <v>28</v>
      </c>
      <c r="Q1548" t="s">
        <v>32</v>
      </c>
      <c r="R1548" t="s">
        <v>1788</v>
      </c>
      <c r="S1548">
        <v>381.44</v>
      </c>
    </row>
    <row r="1549" spans="1:19" x14ac:dyDescent="0.35">
      <c r="A1549">
        <v>1575</v>
      </c>
      <c r="B1549" t="s">
        <v>4130</v>
      </c>
      <c r="C1549" s="1">
        <v>42353</v>
      </c>
      <c r="D1549" s="1">
        <v>42356</v>
      </c>
      <c r="E1549" s="1" t="str">
        <f t="shared" si="24"/>
        <v>MODERATE</v>
      </c>
      <c r="F1549" t="s">
        <v>184</v>
      </c>
      <c r="G1549" t="s">
        <v>4131</v>
      </c>
      <c r="H1549" t="s">
        <v>4132</v>
      </c>
      <c r="I1549" t="s">
        <v>22</v>
      </c>
      <c r="J1549" t="s">
        <v>23</v>
      </c>
      <c r="K1549" t="s">
        <v>4133</v>
      </c>
      <c r="L1549" t="s">
        <v>100</v>
      </c>
      <c r="M1549">
        <v>79907</v>
      </c>
      <c r="N1549" t="s">
        <v>101</v>
      </c>
      <c r="O1549" t="s">
        <v>4134</v>
      </c>
      <c r="P1549" t="s">
        <v>67</v>
      </c>
      <c r="Q1549" t="s">
        <v>68</v>
      </c>
      <c r="R1549" t="s">
        <v>4135</v>
      </c>
      <c r="S1549">
        <v>40.68</v>
      </c>
    </row>
    <row r="1550" spans="1:19" x14ac:dyDescent="0.35">
      <c r="A1550">
        <v>1576</v>
      </c>
      <c r="B1550" t="s">
        <v>4130</v>
      </c>
      <c r="C1550" s="1">
        <v>42353</v>
      </c>
      <c r="D1550" s="1">
        <v>42356</v>
      </c>
      <c r="E1550" s="1" t="str">
        <f t="shared" si="24"/>
        <v>MODERATE</v>
      </c>
      <c r="F1550" t="s">
        <v>184</v>
      </c>
      <c r="G1550" t="s">
        <v>4131</v>
      </c>
      <c r="H1550" t="s">
        <v>4132</v>
      </c>
      <c r="I1550" t="s">
        <v>22</v>
      </c>
      <c r="J1550" t="s">
        <v>23</v>
      </c>
      <c r="K1550" t="s">
        <v>4133</v>
      </c>
      <c r="L1550" t="s">
        <v>100</v>
      </c>
      <c r="M1550">
        <v>79907</v>
      </c>
      <c r="N1550" t="s">
        <v>101</v>
      </c>
      <c r="O1550" t="s">
        <v>2448</v>
      </c>
      <c r="P1550" t="s">
        <v>28</v>
      </c>
      <c r="Q1550" t="s">
        <v>32</v>
      </c>
      <c r="R1550" t="s">
        <v>2449</v>
      </c>
      <c r="S1550">
        <v>763.28</v>
      </c>
    </row>
    <row r="1551" spans="1:19" x14ac:dyDescent="0.35">
      <c r="A1551">
        <v>1577</v>
      </c>
      <c r="B1551" t="s">
        <v>4136</v>
      </c>
      <c r="C1551" s="1">
        <v>42847</v>
      </c>
      <c r="D1551" s="1">
        <v>42852</v>
      </c>
      <c r="E1551" s="1" t="str">
        <f t="shared" si="24"/>
        <v>FAST</v>
      </c>
      <c r="F1551" t="s">
        <v>46</v>
      </c>
      <c r="G1551" t="s">
        <v>4137</v>
      </c>
      <c r="H1551" t="s">
        <v>4138</v>
      </c>
      <c r="I1551" t="s">
        <v>98</v>
      </c>
      <c r="J1551" t="s">
        <v>23</v>
      </c>
      <c r="K1551" t="s">
        <v>443</v>
      </c>
      <c r="L1551" t="s">
        <v>205</v>
      </c>
      <c r="M1551">
        <v>60505</v>
      </c>
      <c r="N1551" t="s">
        <v>101</v>
      </c>
      <c r="O1551" t="s">
        <v>1284</v>
      </c>
      <c r="P1551" t="s">
        <v>42</v>
      </c>
      <c r="Q1551" t="s">
        <v>55</v>
      </c>
      <c r="R1551" t="s">
        <v>1285</v>
      </c>
      <c r="S1551">
        <v>23.952000000000002</v>
      </c>
    </row>
    <row r="1552" spans="1:19" x14ac:dyDescent="0.35">
      <c r="A1552">
        <v>1578</v>
      </c>
      <c r="B1552" t="s">
        <v>4139</v>
      </c>
      <c r="C1552" s="1">
        <v>42878</v>
      </c>
      <c r="D1552" s="1">
        <v>42882</v>
      </c>
      <c r="E1552" s="1" t="str">
        <f t="shared" si="24"/>
        <v>FAST</v>
      </c>
      <c r="F1552" t="s">
        <v>46</v>
      </c>
      <c r="G1552" t="s">
        <v>3308</v>
      </c>
      <c r="H1552" t="s">
        <v>3309</v>
      </c>
      <c r="I1552" t="s">
        <v>98</v>
      </c>
      <c r="J1552" t="s">
        <v>23</v>
      </c>
      <c r="K1552" t="s">
        <v>2551</v>
      </c>
      <c r="L1552" t="s">
        <v>350</v>
      </c>
      <c r="M1552">
        <v>35630</v>
      </c>
      <c r="N1552" t="s">
        <v>26</v>
      </c>
      <c r="O1552" t="s">
        <v>4140</v>
      </c>
      <c r="P1552" t="s">
        <v>42</v>
      </c>
      <c r="Q1552" t="s">
        <v>86</v>
      </c>
      <c r="R1552" t="s">
        <v>4141</v>
      </c>
      <c r="S1552">
        <v>4.9800000000000004</v>
      </c>
    </row>
    <row r="1553" spans="1:19" x14ac:dyDescent="0.35">
      <c r="A1553">
        <v>1579</v>
      </c>
      <c r="B1553" t="s">
        <v>4142</v>
      </c>
      <c r="C1553" s="1">
        <v>42793</v>
      </c>
      <c r="D1553" s="1">
        <v>42795</v>
      </c>
      <c r="E1553" s="1" t="str">
        <f t="shared" si="24"/>
        <v>MODERATE</v>
      </c>
      <c r="F1553" t="s">
        <v>184</v>
      </c>
      <c r="G1553" t="s">
        <v>2422</v>
      </c>
      <c r="H1553" t="s">
        <v>2423</v>
      </c>
      <c r="I1553" t="s">
        <v>22</v>
      </c>
      <c r="J1553" t="s">
        <v>23</v>
      </c>
      <c r="K1553" t="s">
        <v>260</v>
      </c>
      <c r="L1553" t="s">
        <v>261</v>
      </c>
      <c r="M1553">
        <v>10011</v>
      </c>
      <c r="N1553" t="s">
        <v>144</v>
      </c>
      <c r="O1553" t="s">
        <v>4143</v>
      </c>
      <c r="P1553" t="s">
        <v>42</v>
      </c>
      <c r="Q1553" t="s">
        <v>74</v>
      </c>
      <c r="R1553" t="s">
        <v>4144</v>
      </c>
      <c r="S1553">
        <v>170.88</v>
      </c>
    </row>
    <row r="1554" spans="1:19" x14ac:dyDescent="0.35">
      <c r="A1554">
        <v>1580</v>
      </c>
      <c r="B1554" t="s">
        <v>4145</v>
      </c>
      <c r="C1554" s="1">
        <v>42591</v>
      </c>
      <c r="D1554" s="1">
        <v>42594</v>
      </c>
      <c r="E1554" s="1" t="str">
        <f t="shared" si="24"/>
        <v>MODERATE</v>
      </c>
      <c r="F1554" t="s">
        <v>184</v>
      </c>
      <c r="G1554" t="s">
        <v>2213</v>
      </c>
      <c r="H1554" t="s">
        <v>2214</v>
      </c>
      <c r="I1554" t="s">
        <v>22</v>
      </c>
      <c r="J1554" t="s">
        <v>23</v>
      </c>
      <c r="K1554" t="s">
        <v>260</v>
      </c>
      <c r="L1554" t="s">
        <v>261</v>
      </c>
      <c r="M1554">
        <v>10024</v>
      </c>
      <c r="N1554" t="s">
        <v>144</v>
      </c>
      <c r="O1554" t="s">
        <v>1363</v>
      </c>
      <c r="P1554" t="s">
        <v>67</v>
      </c>
      <c r="Q1554" t="s">
        <v>68</v>
      </c>
      <c r="R1554" t="s">
        <v>1364</v>
      </c>
      <c r="S1554">
        <v>307.98</v>
      </c>
    </row>
    <row r="1555" spans="1:19" x14ac:dyDescent="0.35">
      <c r="A1555">
        <v>1581</v>
      </c>
      <c r="B1555" t="s">
        <v>4145</v>
      </c>
      <c r="C1555" s="1">
        <v>42591</v>
      </c>
      <c r="D1555" s="1">
        <v>42594</v>
      </c>
      <c r="E1555" s="1" t="str">
        <f t="shared" si="24"/>
        <v>MODERATE</v>
      </c>
      <c r="F1555" t="s">
        <v>184</v>
      </c>
      <c r="G1555" t="s">
        <v>2213</v>
      </c>
      <c r="H1555" t="s">
        <v>2214</v>
      </c>
      <c r="I1555" t="s">
        <v>22</v>
      </c>
      <c r="J1555" t="s">
        <v>23</v>
      </c>
      <c r="K1555" t="s">
        <v>260</v>
      </c>
      <c r="L1555" t="s">
        <v>261</v>
      </c>
      <c r="M1555">
        <v>10024</v>
      </c>
      <c r="N1555" t="s">
        <v>144</v>
      </c>
      <c r="O1555" t="s">
        <v>913</v>
      </c>
      <c r="P1555" t="s">
        <v>28</v>
      </c>
      <c r="Q1555" t="s">
        <v>52</v>
      </c>
      <c r="R1555" t="s">
        <v>914</v>
      </c>
      <c r="S1555">
        <v>382.80599999999998</v>
      </c>
    </row>
    <row r="1556" spans="1:19" x14ac:dyDescent="0.35">
      <c r="A1556">
        <v>1582</v>
      </c>
      <c r="B1556" t="s">
        <v>4145</v>
      </c>
      <c r="C1556" s="1">
        <v>42591</v>
      </c>
      <c r="D1556" s="1">
        <v>42594</v>
      </c>
      <c r="E1556" s="1" t="str">
        <f t="shared" si="24"/>
        <v>MODERATE</v>
      </c>
      <c r="F1556" t="s">
        <v>184</v>
      </c>
      <c r="G1556" t="s">
        <v>2213</v>
      </c>
      <c r="H1556" t="s">
        <v>2214</v>
      </c>
      <c r="I1556" t="s">
        <v>22</v>
      </c>
      <c r="J1556" t="s">
        <v>23</v>
      </c>
      <c r="K1556" t="s">
        <v>260</v>
      </c>
      <c r="L1556" t="s">
        <v>261</v>
      </c>
      <c r="M1556">
        <v>10024</v>
      </c>
      <c r="N1556" t="s">
        <v>144</v>
      </c>
      <c r="O1556" t="s">
        <v>820</v>
      </c>
      <c r="P1556" t="s">
        <v>42</v>
      </c>
      <c r="Q1556" t="s">
        <v>55</v>
      </c>
      <c r="R1556" t="s">
        <v>821</v>
      </c>
      <c r="S1556">
        <v>41.96</v>
      </c>
    </row>
    <row r="1557" spans="1:19" x14ac:dyDescent="0.35">
      <c r="A1557">
        <v>1583</v>
      </c>
      <c r="B1557" t="s">
        <v>4145</v>
      </c>
      <c r="C1557" s="1">
        <v>42591</v>
      </c>
      <c r="D1557" s="1">
        <v>42594</v>
      </c>
      <c r="E1557" s="1" t="str">
        <f t="shared" si="24"/>
        <v>MODERATE</v>
      </c>
      <c r="F1557" t="s">
        <v>184</v>
      </c>
      <c r="G1557" t="s">
        <v>2213</v>
      </c>
      <c r="H1557" t="s">
        <v>2214</v>
      </c>
      <c r="I1557" t="s">
        <v>22</v>
      </c>
      <c r="J1557" t="s">
        <v>23</v>
      </c>
      <c r="K1557" t="s">
        <v>260</v>
      </c>
      <c r="L1557" t="s">
        <v>261</v>
      </c>
      <c r="M1557">
        <v>10024</v>
      </c>
      <c r="N1557" t="s">
        <v>144</v>
      </c>
      <c r="O1557" t="s">
        <v>2664</v>
      </c>
      <c r="P1557" t="s">
        <v>42</v>
      </c>
      <c r="Q1557" t="s">
        <v>71</v>
      </c>
      <c r="R1557" t="s">
        <v>2665</v>
      </c>
      <c r="S1557">
        <v>1217.568</v>
      </c>
    </row>
    <row r="1558" spans="1:19" x14ac:dyDescent="0.35">
      <c r="A1558">
        <v>1584</v>
      </c>
      <c r="B1558" t="s">
        <v>4145</v>
      </c>
      <c r="C1558" s="1">
        <v>42591</v>
      </c>
      <c r="D1558" s="1">
        <v>42594</v>
      </c>
      <c r="E1558" s="1" t="str">
        <f t="shared" si="24"/>
        <v>MODERATE</v>
      </c>
      <c r="F1558" t="s">
        <v>184</v>
      </c>
      <c r="G1558" t="s">
        <v>2213</v>
      </c>
      <c r="H1558" t="s">
        <v>2214</v>
      </c>
      <c r="I1558" t="s">
        <v>22</v>
      </c>
      <c r="J1558" t="s">
        <v>23</v>
      </c>
      <c r="K1558" t="s">
        <v>260</v>
      </c>
      <c r="L1558" t="s">
        <v>261</v>
      </c>
      <c r="M1558">
        <v>10024</v>
      </c>
      <c r="N1558" t="s">
        <v>144</v>
      </c>
      <c r="O1558" t="s">
        <v>509</v>
      </c>
      <c r="P1558" t="s">
        <v>28</v>
      </c>
      <c r="Q1558" t="s">
        <v>61</v>
      </c>
      <c r="R1558" t="s">
        <v>510</v>
      </c>
      <c r="S1558">
        <v>47.04</v>
      </c>
    </row>
    <row r="1559" spans="1:19" x14ac:dyDescent="0.35">
      <c r="A1559">
        <v>1585</v>
      </c>
      <c r="B1559" t="s">
        <v>4145</v>
      </c>
      <c r="C1559" s="1">
        <v>42591</v>
      </c>
      <c r="D1559" s="1">
        <v>42594</v>
      </c>
      <c r="E1559" s="1" t="str">
        <f t="shared" si="24"/>
        <v>MODERATE</v>
      </c>
      <c r="F1559" t="s">
        <v>184</v>
      </c>
      <c r="G1559" t="s">
        <v>2213</v>
      </c>
      <c r="H1559" t="s">
        <v>2214</v>
      </c>
      <c r="I1559" t="s">
        <v>22</v>
      </c>
      <c r="J1559" t="s">
        <v>23</v>
      </c>
      <c r="K1559" t="s">
        <v>260</v>
      </c>
      <c r="L1559" t="s">
        <v>261</v>
      </c>
      <c r="M1559">
        <v>10024</v>
      </c>
      <c r="N1559" t="s">
        <v>144</v>
      </c>
      <c r="O1559" t="s">
        <v>253</v>
      </c>
      <c r="P1559" t="s">
        <v>28</v>
      </c>
      <c r="Q1559" t="s">
        <v>61</v>
      </c>
      <c r="R1559" t="s">
        <v>254</v>
      </c>
      <c r="S1559">
        <v>6.16</v>
      </c>
    </row>
    <row r="1560" spans="1:19" x14ac:dyDescent="0.35">
      <c r="A1560">
        <v>1586</v>
      </c>
      <c r="B1560" t="s">
        <v>4145</v>
      </c>
      <c r="C1560" s="1">
        <v>42591</v>
      </c>
      <c r="D1560" s="1">
        <v>42594</v>
      </c>
      <c r="E1560" s="1" t="str">
        <f t="shared" si="24"/>
        <v>MODERATE</v>
      </c>
      <c r="F1560" t="s">
        <v>184</v>
      </c>
      <c r="G1560" t="s">
        <v>2213</v>
      </c>
      <c r="H1560" t="s">
        <v>2214</v>
      </c>
      <c r="I1560" t="s">
        <v>22</v>
      </c>
      <c r="J1560" t="s">
        <v>23</v>
      </c>
      <c r="K1560" t="s">
        <v>260</v>
      </c>
      <c r="L1560" t="s">
        <v>261</v>
      </c>
      <c r="M1560">
        <v>10024</v>
      </c>
      <c r="N1560" t="s">
        <v>144</v>
      </c>
      <c r="O1560" t="s">
        <v>1798</v>
      </c>
      <c r="P1560" t="s">
        <v>67</v>
      </c>
      <c r="Q1560" t="s">
        <v>68</v>
      </c>
      <c r="R1560" t="s">
        <v>1799</v>
      </c>
      <c r="S1560">
        <v>979.95</v>
      </c>
    </row>
    <row r="1561" spans="1:19" x14ac:dyDescent="0.35">
      <c r="A1561">
        <v>1587</v>
      </c>
      <c r="B1561" t="s">
        <v>4145</v>
      </c>
      <c r="C1561" s="1">
        <v>42591</v>
      </c>
      <c r="D1561" s="1">
        <v>42594</v>
      </c>
      <c r="E1561" s="1" t="str">
        <f t="shared" si="24"/>
        <v>MODERATE</v>
      </c>
      <c r="F1561" t="s">
        <v>184</v>
      </c>
      <c r="G1561" t="s">
        <v>2213</v>
      </c>
      <c r="H1561" t="s">
        <v>2214</v>
      </c>
      <c r="I1561" t="s">
        <v>22</v>
      </c>
      <c r="J1561" t="s">
        <v>23</v>
      </c>
      <c r="K1561" t="s">
        <v>260</v>
      </c>
      <c r="L1561" t="s">
        <v>261</v>
      </c>
      <c r="M1561">
        <v>10024</v>
      </c>
      <c r="N1561" t="s">
        <v>144</v>
      </c>
      <c r="O1561" t="s">
        <v>4146</v>
      </c>
      <c r="P1561" t="s">
        <v>42</v>
      </c>
      <c r="Q1561" t="s">
        <v>86</v>
      </c>
      <c r="R1561" t="s">
        <v>4147</v>
      </c>
      <c r="S1561">
        <v>143.69999999999999</v>
      </c>
    </row>
    <row r="1562" spans="1:19" x14ac:dyDescent="0.35">
      <c r="A1562">
        <v>1588</v>
      </c>
      <c r="B1562" t="s">
        <v>4145</v>
      </c>
      <c r="C1562" s="1">
        <v>42591</v>
      </c>
      <c r="D1562" s="1">
        <v>42594</v>
      </c>
      <c r="E1562" s="1" t="str">
        <f t="shared" si="24"/>
        <v>MODERATE</v>
      </c>
      <c r="F1562" t="s">
        <v>184</v>
      </c>
      <c r="G1562" t="s">
        <v>2213</v>
      </c>
      <c r="H1562" t="s">
        <v>2214</v>
      </c>
      <c r="I1562" t="s">
        <v>22</v>
      </c>
      <c r="J1562" t="s">
        <v>23</v>
      </c>
      <c r="K1562" t="s">
        <v>260</v>
      </c>
      <c r="L1562" t="s">
        <v>261</v>
      </c>
      <c r="M1562">
        <v>10024</v>
      </c>
      <c r="N1562" t="s">
        <v>144</v>
      </c>
      <c r="O1562" t="s">
        <v>4148</v>
      </c>
      <c r="P1562" t="s">
        <v>42</v>
      </c>
      <c r="Q1562" t="s">
        <v>263</v>
      </c>
      <c r="R1562" t="s">
        <v>4149</v>
      </c>
      <c r="S1562">
        <v>10.65</v>
      </c>
    </row>
    <row r="1563" spans="1:19" x14ac:dyDescent="0.35">
      <c r="A1563">
        <v>1589</v>
      </c>
      <c r="B1563" t="s">
        <v>4145</v>
      </c>
      <c r="C1563" s="1">
        <v>42591</v>
      </c>
      <c r="D1563" s="1">
        <v>42594</v>
      </c>
      <c r="E1563" s="1" t="str">
        <f t="shared" si="24"/>
        <v>MODERATE</v>
      </c>
      <c r="F1563" t="s">
        <v>184</v>
      </c>
      <c r="G1563" t="s">
        <v>2213</v>
      </c>
      <c r="H1563" t="s">
        <v>2214</v>
      </c>
      <c r="I1563" t="s">
        <v>22</v>
      </c>
      <c r="J1563" t="s">
        <v>23</v>
      </c>
      <c r="K1563" t="s">
        <v>260</v>
      </c>
      <c r="L1563" t="s">
        <v>261</v>
      </c>
      <c r="M1563">
        <v>10024</v>
      </c>
      <c r="N1563" t="s">
        <v>144</v>
      </c>
      <c r="O1563" t="s">
        <v>1508</v>
      </c>
      <c r="P1563" t="s">
        <v>67</v>
      </c>
      <c r="Q1563" t="s">
        <v>157</v>
      </c>
      <c r="R1563" t="s">
        <v>1509</v>
      </c>
      <c r="S1563">
        <v>247.8</v>
      </c>
    </row>
    <row r="1564" spans="1:19" x14ac:dyDescent="0.35">
      <c r="A1564">
        <v>1590</v>
      </c>
      <c r="B1564" t="s">
        <v>4150</v>
      </c>
      <c r="C1564" s="1">
        <v>42867</v>
      </c>
      <c r="D1564" s="1">
        <v>42871</v>
      </c>
      <c r="E1564" s="1" t="str">
        <f t="shared" si="24"/>
        <v>FAST</v>
      </c>
      <c r="F1564" t="s">
        <v>46</v>
      </c>
      <c r="G1564" t="s">
        <v>4151</v>
      </c>
      <c r="H1564" t="s">
        <v>4152</v>
      </c>
      <c r="I1564" t="s">
        <v>37</v>
      </c>
      <c r="J1564" t="s">
        <v>23</v>
      </c>
      <c r="K1564" t="s">
        <v>2948</v>
      </c>
      <c r="L1564" t="s">
        <v>313</v>
      </c>
      <c r="M1564">
        <v>23464</v>
      </c>
      <c r="N1564" t="s">
        <v>26</v>
      </c>
      <c r="O1564" t="s">
        <v>1717</v>
      </c>
      <c r="P1564" t="s">
        <v>42</v>
      </c>
      <c r="Q1564" t="s">
        <v>64</v>
      </c>
      <c r="R1564" t="s">
        <v>1718</v>
      </c>
      <c r="S1564">
        <v>10.96</v>
      </c>
    </row>
    <row r="1565" spans="1:19" x14ac:dyDescent="0.35">
      <c r="A1565">
        <v>1591</v>
      </c>
      <c r="B1565" t="s">
        <v>4153</v>
      </c>
      <c r="C1565" s="1">
        <v>42840</v>
      </c>
      <c r="D1565" s="1">
        <v>42844</v>
      </c>
      <c r="E1565" s="1" t="str">
        <f t="shared" si="24"/>
        <v>FAST</v>
      </c>
      <c r="F1565" t="s">
        <v>46</v>
      </c>
      <c r="G1565" t="s">
        <v>4154</v>
      </c>
      <c r="H1565" t="s">
        <v>4155</v>
      </c>
      <c r="I1565" t="s">
        <v>37</v>
      </c>
      <c r="J1565" t="s">
        <v>23</v>
      </c>
      <c r="K1565" t="s">
        <v>4156</v>
      </c>
      <c r="L1565" t="s">
        <v>100</v>
      </c>
      <c r="M1565">
        <v>76051</v>
      </c>
      <c r="N1565" t="s">
        <v>101</v>
      </c>
      <c r="O1565" t="s">
        <v>4157</v>
      </c>
      <c r="P1565" t="s">
        <v>42</v>
      </c>
      <c r="Q1565" t="s">
        <v>64</v>
      </c>
      <c r="R1565" t="s">
        <v>4158</v>
      </c>
      <c r="S1565">
        <v>33.488</v>
      </c>
    </row>
    <row r="1566" spans="1:19" x14ac:dyDescent="0.35">
      <c r="A1566">
        <v>1592</v>
      </c>
      <c r="B1566" t="s">
        <v>4153</v>
      </c>
      <c r="C1566" s="1">
        <v>42840</v>
      </c>
      <c r="D1566" s="1">
        <v>42844</v>
      </c>
      <c r="E1566" s="1" t="str">
        <f t="shared" si="24"/>
        <v>FAST</v>
      </c>
      <c r="F1566" t="s">
        <v>46</v>
      </c>
      <c r="G1566" t="s">
        <v>4154</v>
      </c>
      <c r="H1566" t="s">
        <v>4155</v>
      </c>
      <c r="I1566" t="s">
        <v>37</v>
      </c>
      <c r="J1566" t="s">
        <v>23</v>
      </c>
      <c r="K1566" t="s">
        <v>4156</v>
      </c>
      <c r="L1566" t="s">
        <v>100</v>
      </c>
      <c r="M1566">
        <v>76051</v>
      </c>
      <c r="N1566" t="s">
        <v>101</v>
      </c>
      <c r="O1566" t="s">
        <v>561</v>
      </c>
      <c r="P1566" t="s">
        <v>42</v>
      </c>
      <c r="Q1566" t="s">
        <v>263</v>
      </c>
      <c r="R1566" t="s">
        <v>562</v>
      </c>
      <c r="S1566">
        <v>8.0399999999999991</v>
      </c>
    </row>
    <row r="1567" spans="1:19" x14ac:dyDescent="0.35">
      <c r="A1567">
        <v>1593</v>
      </c>
      <c r="B1567" t="s">
        <v>4159</v>
      </c>
      <c r="C1567" s="1">
        <v>42544</v>
      </c>
      <c r="D1567" s="1">
        <v>42546</v>
      </c>
      <c r="E1567" s="1" t="str">
        <f t="shared" si="24"/>
        <v>SLOW</v>
      </c>
      <c r="F1567" t="s">
        <v>19</v>
      </c>
      <c r="G1567" t="s">
        <v>4160</v>
      </c>
      <c r="H1567" t="s">
        <v>4161</v>
      </c>
      <c r="I1567" t="s">
        <v>22</v>
      </c>
      <c r="J1567" t="s">
        <v>23</v>
      </c>
      <c r="K1567" t="s">
        <v>2985</v>
      </c>
      <c r="L1567" t="s">
        <v>92</v>
      </c>
      <c r="M1567">
        <v>98502</v>
      </c>
      <c r="N1567" t="s">
        <v>40</v>
      </c>
      <c r="O1567" t="s">
        <v>4162</v>
      </c>
      <c r="P1567" t="s">
        <v>67</v>
      </c>
      <c r="Q1567" t="s">
        <v>68</v>
      </c>
      <c r="R1567" t="s">
        <v>4163</v>
      </c>
      <c r="S1567">
        <v>201.56800000000001</v>
      </c>
    </row>
    <row r="1568" spans="1:19" x14ac:dyDescent="0.35">
      <c r="A1568">
        <v>1594</v>
      </c>
      <c r="B1568" t="s">
        <v>4164</v>
      </c>
      <c r="C1568" s="1">
        <v>42296</v>
      </c>
      <c r="D1568" s="1">
        <v>42296</v>
      </c>
      <c r="E1568" s="1" t="str">
        <f t="shared" si="24"/>
        <v>MODERATE</v>
      </c>
      <c r="F1568" t="s">
        <v>1276</v>
      </c>
      <c r="G1568" t="s">
        <v>1893</v>
      </c>
      <c r="H1568" t="s">
        <v>1894</v>
      </c>
      <c r="I1568" t="s">
        <v>22</v>
      </c>
      <c r="J1568" t="s">
        <v>23</v>
      </c>
      <c r="K1568" t="s">
        <v>38</v>
      </c>
      <c r="L1568" t="s">
        <v>39</v>
      </c>
      <c r="M1568">
        <v>90032</v>
      </c>
      <c r="N1568" t="s">
        <v>40</v>
      </c>
      <c r="O1568" t="s">
        <v>4165</v>
      </c>
      <c r="P1568" t="s">
        <v>42</v>
      </c>
      <c r="Q1568" t="s">
        <v>86</v>
      </c>
      <c r="R1568" t="s">
        <v>4166</v>
      </c>
      <c r="S1568">
        <v>13.44</v>
      </c>
    </row>
    <row r="1569" spans="1:19" x14ac:dyDescent="0.35">
      <c r="A1569">
        <v>1595</v>
      </c>
      <c r="B1569" t="s">
        <v>4167</v>
      </c>
      <c r="C1569" s="1">
        <v>42453</v>
      </c>
      <c r="D1569" s="1">
        <v>42456</v>
      </c>
      <c r="E1569" s="1" t="str">
        <f t="shared" si="24"/>
        <v>MODERATE</v>
      </c>
      <c r="F1569" t="s">
        <v>184</v>
      </c>
      <c r="G1569" t="s">
        <v>4168</v>
      </c>
      <c r="H1569" t="s">
        <v>4169</v>
      </c>
      <c r="I1569" t="s">
        <v>98</v>
      </c>
      <c r="J1569" t="s">
        <v>23</v>
      </c>
      <c r="K1569" t="s">
        <v>1370</v>
      </c>
      <c r="L1569" t="s">
        <v>205</v>
      </c>
      <c r="M1569">
        <v>61604</v>
      </c>
      <c r="N1569" t="s">
        <v>101</v>
      </c>
      <c r="O1569" t="s">
        <v>4170</v>
      </c>
      <c r="P1569" t="s">
        <v>28</v>
      </c>
      <c r="Q1569" t="s">
        <v>29</v>
      </c>
      <c r="R1569" t="s">
        <v>4171</v>
      </c>
      <c r="S1569">
        <v>359.05799999999999</v>
      </c>
    </row>
    <row r="1570" spans="1:19" x14ac:dyDescent="0.35">
      <c r="A1570">
        <v>1596</v>
      </c>
      <c r="B1570" t="s">
        <v>4172</v>
      </c>
      <c r="C1570" s="1">
        <v>43228</v>
      </c>
      <c r="D1570" s="1">
        <v>43232</v>
      </c>
      <c r="E1570" s="1" t="str">
        <f t="shared" si="24"/>
        <v>FAST</v>
      </c>
      <c r="F1570" t="s">
        <v>46</v>
      </c>
      <c r="G1570" t="s">
        <v>1684</v>
      </c>
      <c r="H1570" t="s">
        <v>1685</v>
      </c>
      <c r="I1570" t="s">
        <v>22</v>
      </c>
      <c r="J1570" t="s">
        <v>23</v>
      </c>
      <c r="K1570" t="s">
        <v>484</v>
      </c>
      <c r="L1570" t="s">
        <v>485</v>
      </c>
      <c r="M1570">
        <v>43229</v>
      </c>
      <c r="N1570" t="s">
        <v>144</v>
      </c>
      <c r="O1570" t="s">
        <v>3380</v>
      </c>
      <c r="P1570" t="s">
        <v>28</v>
      </c>
      <c r="Q1570" t="s">
        <v>32</v>
      </c>
      <c r="R1570" t="s">
        <v>3381</v>
      </c>
      <c r="S1570">
        <v>47.991999999999997</v>
      </c>
    </row>
    <row r="1571" spans="1:19" x14ac:dyDescent="0.35">
      <c r="A1571">
        <v>1597</v>
      </c>
      <c r="B1571" t="s">
        <v>4173</v>
      </c>
      <c r="C1571" s="1">
        <v>43389</v>
      </c>
      <c r="D1571" s="1">
        <v>43391</v>
      </c>
      <c r="E1571" s="1" t="str">
        <f t="shared" si="24"/>
        <v>MODERATE</v>
      </c>
      <c r="F1571" t="s">
        <v>184</v>
      </c>
      <c r="G1571" t="s">
        <v>1699</v>
      </c>
      <c r="H1571" t="s">
        <v>1700</v>
      </c>
      <c r="I1571" t="s">
        <v>37</v>
      </c>
      <c r="J1571" t="s">
        <v>23</v>
      </c>
      <c r="K1571" t="s">
        <v>260</v>
      </c>
      <c r="L1571" t="s">
        <v>261</v>
      </c>
      <c r="M1571">
        <v>10011</v>
      </c>
      <c r="N1571" t="s">
        <v>144</v>
      </c>
      <c r="O1571" t="s">
        <v>1728</v>
      </c>
      <c r="P1571" t="s">
        <v>28</v>
      </c>
      <c r="Q1571" t="s">
        <v>61</v>
      </c>
      <c r="R1571" t="s">
        <v>1729</v>
      </c>
      <c r="S1571">
        <v>547.29999999999995</v>
      </c>
    </row>
    <row r="1572" spans="1:19" x14ac:dyDescent="0.35">
      <c r="A1572">
        <v>1598</v>
      </c>
      <c r="B1572" t="s">
        <v>4174</v>
      </c>
      <c r="C1572" s="1">
        <v>43423</v>
      </c>
      <c r="D1572" s="1">
        <v>43425</v>
      </c>
      <c r="E1572" s="1" t="str">
        <f t="shared" si="24"/>
        <v>SLOW</v>
      </c>
      <c r="F1572" t="s">
        <v>19</v>
      </c>
      <c r="G1572" t="s">
        <v>4087</v>
      </c>
      <c r="H1572" t="s">
        <v>4088</v>
      </c>
      <c r="I1572" t="s">
        <v>22</v>
      </c>
      <c r="J1572" t="s">
        <v>23</v>
      </c>
      <c r="K1572" t="s">
        <v>4175</v>
      </c>
      <c r="L1572" t="s">
        <v>100</v>
      </c>
      <c r="M1572">
        <v>75007</v>
      </c>
      <c r="N1572" t="s">
        <v>101</v>
      </c>
      <c r="O1572" t="s">
        <v>4176</v>
      </c>
      <c r="P1572" t="s">
        <v>42</v>
      </c>
      <c r="Q1572" t="s">
        <v>86</v>
      </c>
      <c r="R1572" t="s">
        <v>4177</v>
      </c>
      <c r="S1572">
        <v>16.896000000000001</v>
      </c>
    </row>
    <row r="1573" spans="1:19" x14ac:dyDescent="0.35">
      <c r="A1573">
        <v>1599</v>
      </c>
      <c r="B1573" t="s">
        <v>4174</v>
      </c>
      <c r="C1573" s="1">
        <v>43423</v>
      </c>
      <c r="D1573" s="1">
        <v>43425</v>
      </c>
      <c r="E1573" s="1" t="str">
        <f t="shared" si="24"/>
        <v>SLOW</v>
      </c>
      <c r="F1573" t="s">
        <v>19</v>
      </c>
      <c r="G1573" t="s">
        <v>4087</v>
      </c>
      <c r="H1573" t="s">
        <v>4088</v>
      </c>
      <c r="I1573" t="s">
        <v>22</v>
      </c>
      <c r="J1573" t="s">
        <v>23</v>
      </c>
      <c r="K1573" t="s">
        <v>4175</v>
      </c>
      <c r="L1573" t="s">
        <v>100</v>
      </c>
      <c r="M1573">
        <v>75007</v>
      </c>
      <c r="N1573" t="s">
        <v>101</v>
      </c>
      <c r="O1573" t="s">
        <v>4178</v>
      </c>
      <c r="P1573" t="s">
        <v>42</v>
      </c>
      <c r="Q1573" t="s">
        <v>566</v>
      </c>
      <c r="R1573" t="s">
        <v>4179</v>
      </c>
      <c r="S1573">
        <v>6.6719999999999997</v>
      </c>
    </row>
    <row r="1574" spans="1:19" x14ac:dyDescent="0.35">
      <c r="A1574">
        <v>1600</v>
      </c>
      <c r="B1574" t="s">
        <v>4174</v>
      </c>
      <c r="C1574" s="1">
        <v>43423</v>
      </c>
      <c r="D1574" s="1">
        <v>43425</v>
      </c>
      <c r="E1574" s="1" t="str">
        <f t="shared" si="24"/>
        <v>SLOW</v>
      </c>
      <c r="F1574" t="s">
        <v>19</v>
      </c>
      <c r="G1574" t="s">
        <v>4087</v>
      </c>
      <c r="H1574" t="s">
        <v>4088</v>
      </c>
      <c r="I1574" t="s">
        <v>22</v>
      </c>
      <c r="J1574" t="s">
        <v>23</v>
      </c>
      <c r="K1574" t="s">
        <v>4175</v>
      </c>
      <c r="L1574" t="s">
        <v>100</v>
      </c>
      <c r="M1574">
        <v>75007</v>
      </c>
      <c r="N1574" t="s">
        <v>101</v>
      </c>
      <c r="O1574" t="s">
        <v>1147</v>
      </c>
      <c r="P1574" t="s">
        <v>42</v>
      </c>
      <c r="Q1574" t="s">
        <v>64</v>
      </c>
      <c r="R1574" t="s">
        <v>1148</v>
      </c>
      <c r="S1574">
        <v>99.135999999999996</v>
      </c>
    </row>
    <row r="1575" spans="1:19" x14ac:dyDescent="0.35">
      <c r="A1575">
        <v>1601</v>
      </c>
      <c r="B1575" t="s">
        <v>4174</v>
      </c>
      <c r="C1575" s="1">
        <v>43423</v>
      </c>
      <c r="D1575" s="1">
        <v>43425</v>
      </c>
      <c r="E1575" s="1" t="str">
        <f t="shared" si="24"/>
        <v>SLOW</v>
      </c>
      <c r="F1575" t="s">
        <v>19</v>
      </c>
      <c r="G1575" t="s">
        <v>4087</v>
      </c>
      <c r="H1575" t="s">
        <v>4088</v>
      </c>
      <c r="I1575" t="s">
        <v>22</v>
      </c>
      <c r="J1575" t="s">
        <v>23</v>
      </c>
      <c r="K1575" t="s">
        <v>4175</v>
      </c>
      <c r="L1575" t="s">
        <v>100</v>
      </c>
      <c r="M1575">
        <v>75007</v>
      </c>
      <c r="N1575" t="s">
        <v>101</v>
      </c>
      <c r="O1575" t="s">
        <v>1174</v>
      </c>
      <c r="P1575" t="s">
        <v>28</v>
      </c>
      <c r="Q1575" t="s">
        <v>61</v>
      </c>
      <c r="R1575" t="s">
        <v>1175</v>
      </c>
      <c r="S1575">
        <v>15.992000000000001</v>
      </c>
    </row>
    <row r="1576" spans="1:19" x14ac:dyDescent="0.35">
      <c r="A1576">
        <v>1602</v>
      </c>
      <c r="B1576" t="s">
        <v>4180</v>
      </c>
      <c r="C1576" s="1">
        <v>42863</v>
      </c>
      <c r="D1576" s="1">
        <v>42868</v>
      </c>
      <c r="E1576" s="1" t="str">
        <f t="shared" si="24"/>
        <v>SLOW</v>
      </c>
      <c r="F1576" t="s">
        <v>19</v>
      </c>
      <c r="G1576" t="s">
        <v>2733</v>
      </c>
      <c r="H1576" t="s">
        <v>2734</v>
      </c>
      <c r="I1576" t="s">
        <v>37</v>
      </c>
      <c r="J1576" t="s">
        <v>23</v>
      </c>
      <c r="K1576" t="s">
        <v>238</v>
      </c>
      <c r="L1576" t="s">
        <v>239</v>
      </c>
      <c r="M1576">
        <v>19901</v>
      </c>
      <c r="N1576" t="s">
        <v>144</v>
      </c>
      <c r="O1576" t="s">
        <v>4181</v>
      </c>
      <c r="P1576" t="s">
        <v>28</v>
      </c>
      <c r="Q1576" t="s">
        <v>61</v>
      </c>
      <c r="R1576" t="s">
        <v>4182</v>
      </c>
      <c r="S1576">
        <v>211.96</v>
      </c>
    </row>
    <row r="1577" spans="1:19" x14ac:dyDescent="0.35">
      <c r="A1577">
        <v>1603</v>
      </c>
      <c r="B1577" t="s">
        <v>4183</v>
      </c>
      <c r="C1577" s="1">
        <v>43080</v>
      </c>
      <c r="D1577" s="1">
        <v>43086</v>
      </c>
      <c r="E1577" s="1" t="str">
        <f t="shared" si="24"/>
        <v>FAST</v>
      </c>
      <c r="F1577" t="s">
        <v>46</v>
      </c>
      <c r="G1577" t="s">
        <v>1886</v>
      </c>
      <c r="H1577" t="s">
        <v>1887</v>
      </c>
      <c r="I1577" t="s">
        <v>22</v>
      </c>
      <c r="J1577" t="s">
        <v>23</v>
      </c>
      <c r="K1577" t="s">
        <v>3759</v>
      </c>
      <c r="L1577" t="s">
        <v>329</v>
      </c>
      <c r="M1577">
        <v>37167</v>
      </c>
      <c r="N1577" t="s">
        <v>26</v>
      </c>
      <c r="O1577" t="s">
        <v>4184</v>
      </c>
      <c r="P1577" t="s">
        <v>42</v>
      </c>
      <c r="Q1577" t="s">
        <v>64</v>
      </c>
      <c r="R1577" t="s">
        <v>4185</v>
      </c>
      <c r="S1577">
        <v>6.6719999999999997</v>
      </c>
    </row>
    <row r="1578" spans="1:19" x14ac:dyDescent="0.35">
      <c r="A1578">
        <v>1604</v>
      </c>
      <c r="B1578" t="s">
        <v>4186</v>
      </c>
      <c r="C1578" s="1">
        <v>43434</v>
      </c>
      <c r="D1578" s="1">
        <v>43438</v>
      </c>
      <c r="E1578" s="1" t="str">
        <f t="shared" si="24"/>
        <v>FAST</v>
      </c>
      <c r="F1578" t="s">
        <v>46</v>
      </c>
      <c r="G1578" t="s">
        <v>2078</v>
      </c>
      <c r="H1578" t="s">
        <v>2079</v>
      </c>
      <c r="I1578" t="s">
        <v>22</v>
      </c>
      <c r="J1578" t="s">
        <v>23</v>
      </c>
      <c r="K1578" t="s">
        <v>594</v>
      </c>
      <c r="L1578" t="s">
        <v>239</v>
      </c>
      <c r="M1578">
        <v>19711</v>
      </c>
      <c r="N1578" t="s">
        <v>144</v>
      </c>
      <c r="O1578" t="s">
        <v>4187</v>
      </c>
      <c r="P1578" t="s">
        <v>42</v>
      </c>
      <c r="Q1578" t="s">
        <v>64</v>
      </c>
      <c r="R1578" t="s">
        <v>4188</v>
      </c>
      <c r="S1578">
        <v>155.94</v>
      </c>
    </row>
    <row r="1579" spans="1:19" x14ac:dyDescent="0.35">
      <c r="A1579">
        <v>1605</v>
      </c>
      <c r="B1579" t="s">
        <v>4189</v>
      </c>
      <c r="C1579" s="1">
        <v>42844</v>
      </c>
      <c r="D1579" s="1">
        <v>42849</v>
      </c>
      <c r="E1579" s="1" t="str">
        <f t="shared" si="24"/>
        <v>SLOW</v>
      </c>
      <c r="F1579" t="s">
        <v>19</v>
      </c>
      <c r="G1579" t="s">
        <v>1037</v>
      </c>
      <c r="H1579" t="s">
        <v>1038</v>
      </c>
      <c r="I1579" t="s">
        <v>22</v>
      </c>
      <c r="J1579" t="s">
        <v>23</v>
      </c>
      <c r="K1579" t="s">
        <v>38</v>
      </c>
      <c r="L1579" t="s">
        <v>39</v>
      </c>
      <c r="M1579">
        <v>90049</v>
      </c>
      <c r="N1579" t="s">
        <v>40</v>
      </c>
      <c r="O1579" t="s">
        <v>3310</v>
      </c>
      <c r="P1579" t="s">
        <v>67</v>
      </c>
      <c r="Q1579" t="s">
        <v>68</v>
      </c>
      <c r="R1579" t="s">
        <v>3311</v>
      </c>
      <c r="S1579">
        <v>39.96</v>
      </c>
    </row>
    <row r="1580" spans="1:19" x14ac:dyDescent="0.35">
      <c r="A1580">
        <v>1606</v>
      </c>
      <c r="B1580" t="s">
        <v>4189</v>
      </c>
      <c r="C1580" s="1">
        <v>42844</v>
      </c>
      <c r="D1580" s="1">
        <v>42849</v>
      </c>
      <c r="E1580" s="1" t="str">
        <f t="shared" si="24"/>
        <v>SLOW</v>
      </c>
      <c r="F1580" t="s">
        <v>19</v>
      </c>
      <c r="G1580" t="s">
        <v>1037</v>
      </c>
      <c r="H1580" t="s">
        <v>1038</v>
      </c>
      <c r="I1580" t="s">
        <v>22</v>
      </c>
      <c r="J1580" t="s">
        <v>23</v>
      </c>
      <c r="K1580" t="s">
        <v>38</v>
      </c>
      <c r="L1580" t="s">
        <v>39</v>
      </c>
      <c r="M1580">
        <v>90049</v>
      </c>
      <c r="N1580" t="s">
        <v>40</v>
      </c>
      <c r="O1580" t="s">
        <v>4190</v>
      </c>
      <c r="P1580" t="s">
        <v>42</v>
      </c>
      <c r="Q1580" t="s">
        <v>64</v>
      </c>
      <c r="R1580" t="s">
        <v>4191</v>
      </c>
      <c r="S1580">
        <v>5.46</v>
      </c>
    </row>
    <row r="1581" spans="1:19" x14ac:dyDescent="0.35">
      <c r="A1581">
        <v>1607</v>
      </c>
      <c r="B1581" t="s">
        <v>4189</v>
      </c>
      <c r="C1581" s="1">
        <v>42844</v>
      </c>
      <c r="D1581" s="1">
        <v>42849</v>
      </c>
      <c r="E1581" s="1" t="str">
        <f t="shared" si="24"/>
        <v>SLOW</v>
      </c>
      <c r="F1581" t="s">
        <v>19</v>
      </c>
      <c r="G1581" t="s">
        <v>1037</v>
      </c>
      <c r="H1581" t="s">
        <v>1038</v>
      </c>
      <c r="I1581" t="s">
        <v>22</v>
      </c>
      <c r="J1581" t="s">
        <v>23</v>
      </c>
      <c r="K1581" t="s">
        <v>38</v>
      </c>
      <c r="L1581" t="s">
        <v>39</v>
      </c>
      <c r="M1581">
        <v>90049</v>
      </c>
      <c r="N1581" t="s">
        <v>40</v>
      </c>
      <c r="O1581" t="s">
        <v>4192</v>
      </c>
      <c r="P1581" t="s">
        <v>42</v>
      </c>
      <c r="Q1581" t="s">
        <v>64</v>
      </c>
      <c r="R1581" t="s">
        <v>4193</v>
      </c>
      <c r="S1581">
        <v>73.2</v>
      </c>
    </row>
    <row r="1582" spans="1:19" x14ac:dyDescent="0.35">
      <c r="A1582">
        <v>1608</v>
      </c>
      <c r="B1582" t="s">
        <v>4189</v>
      </c>
      <c r="C1582" s="1">
        <v>42844</v>
      </c>
      <c r="D1582" s="1">
        <v>42849</v>
      </c>
      <c r="E1582" s="1" t="str">
        <f t="shared" si="24"/>
        <v>SLOW</v>
      </c>
      <c r="F1582" t="s">
        <v>19</v>
      </c>
      <c r="G1582" t="s">
        <v>1037</v>
      </c>
      <c r="H1582" t="s">
        <v>1038</v>
      </c>
      <c r="I1582" t="s">
        <v>22</v>
      </c>
      <c r="J1582" t="s">
        <v>23</v>
      </c>
      <c r="K1582" t="s">
        <v>38</v>
      </c>
      <c r="L1582" t="s">
        <v>39</v>
      </c>
      <c r="M1582">
        <v>90049</v>
      </c>
      <c r="N1582" t="s">
        <v>40</v>
      </c>
      <c r="O1582" t="s">
        <v>1357</v>
      </c>
      <c r="P1582" t="s">
        <v>42</v>
      </c>
      <c r="Q1582" t="s">
        <v>71</v>
      </c>
      <c r="R1582" t="s">
        <v>1358</v>
      </c>
      <c r="S1582">
        <v>5.84</v>
      </c>
    </row>
    <row r="1583" spans="1:19" x14ac:dyDescent="0.35">
      <c r="A1583">
        <v>1609</v>
      </c>
      <c r="B1583" t="s">
        <v>4189</v>
      </c>
      <c r="C1583" s="1">
        <v>42844</v>
      </c>
      <c r="D1583" s="1">
        <v>42849</v>
      </c>
      <c r="E1583" s="1" t="str">
        <f t="shared" si="24"/>
        <v>SLOW</v>
      </c>
      <c r="F1583" t="s">
        <v>19</v>
      </c>
      <c r="G1583" t="s">
        <v>1037</v>
      </c>
      <c r="H1583" t="s">
        <v>1038</v>
      </c>
      <c r="I1583" t="s">
        <v>22</v>
      </c>
      <c r="J1583" t="s">
        <v>23</v>
      </c>
      <c r="K1583" t="s">
        <v>38</v>
      </c>
      <c r="L1583" t="s">
        <v>39</v>
      </c>
      <c r="M1583">
        <v>90049</v>
      </c>
      <c r="N1583" t="s">
        <v>40</v>
      </c>
      <c r="O1583" t="s">
        <v>547</v>
      </c>
      <c r="P1583" t="s">
        <v>42</v>
      </c>
      <c r="Q1583" t="s">
        <v>86</v>
      </c>
      <c r="R1583" t="s">
        <v>2166</v>
      </c>
      <c r="S1583">
        <v>22.72</v>
      </c>
    </row>
    <row r="1584" spans="1:19" x14ac:dyDescent="0.35">
      <c r="A1584">
        <v>1610</v>
      </c>
      <c r="B1584" t="s">
        <v>4189</v>
      </c>
      <c r="C1584" s="1">
        <v>42844</v>
      </c>
      <c r="D1584" s="1">
        <v>42849</v>
      </c>
      <c r="E1584" s="1" t="str">
        <f t="shared" si="24"/>
        <v>SLOW</v>
      </c>
      <c r="F1584" t="s">
        <v>19</v>
      </c>
      <c r="G1584" t="s">
        <v>1037</v>
      </c>
      <c r="H1584" t="s">
        <v>1038</v>
      </c>
      <c r="I1584" t="s">
        <v>22</v>
      </c>
      <c r="J1584" t="s">
        <v>23</v>
      </c>
      <c r="K1584" t="s">
        <v>38</v>
      </c>
      <c r="L1584" t="s">
        <v>39</v>
      </c>
      <c r="M1584">
        <v>90049</v>
      </c>
      <c r="N1584" t="s">
        <v>40</v>
      </c>
      <c r="O1584" t="s">
        <v>4194</v>
      </c>
      <c r="P1584" t="s">
        <v>42</v>
      </c>
      <c r="Q1584" t="s">
        <v>71</v>
      </c>
      <c r="R1584" t="s">
        <v>4195</v>
      </c>
      <c r="S1584">
        <v>9.3360000000000003</v>
      </c>
    </row>
    <row r="1585" spans="1:19" x14ac:dyDescent="0.35">
      <c r="A1585">
        <v>1611</v>
      </c>
      <c r="B1585" t="s">
        <v>4196</v>
      </c>
      <c r="C1585" s="1">
        <v>42150</v>
      </c>
      <c r="D1585" s="1">
        <v>42154</v>
      </c>
      <c r="E1585" s="1" t="str">
        <f t="shared" si="24"/>
        <v>FAST</v>
      </c>
      <c r="F1585" t="s">
        <v>46</v>
      </c>
      <c r="G1585" t="s">
        <v>4197</v>
      </c>
      <c r="H1585" t="s">
        <v>4198</v>
      </c>
      <c r="I1585" t="s">
        <v>37</v>
      </c>
      <c r="J1585" t="s">
        <v>23</v>
      </c>
      <c r="K1585" t="s">
        <v>38</v>
      </c>
      <c r="L1585" t="s">
        <v>39</v>
      </c>
      <c r="M1585">
        <v>90008</v>
      </c>
      <c r="N1585" t="s">
        <v>40</v>
      </c>
      <c r="O1585" t="s">
        <v>4170</v>
      </c>
      <c r="P1585" t="s">
        <v>28</v>
      </c>
      <c r="Q1585" t="s">
        <v>29</v>
      </c>
      <c r="R1585" t="s">
        <v>4171</v>
      </c>
      <c r="S1585">
        <v>290.666</v>
      </c>
    </row>
    <row r="1586" spans="1:19" x14ac:dyDescent="0.35">
      <c r="A1586">
        <v>1612</v>
      </c>
      <c r="B1586" t="s">
        <v>4196</v>
      </c>
      <c r="C1586" s="1">
        <v>42150</v>
      </c>
      <c r="D1586" s="1">
        <v>42154</v>
      </c>
      <c r="E1586" s="1" t="str">
        <f t="shared" si="24"/>
        <v>FAST</v>
      </c>
      <c r="F1586" t="s">
        <v>46</v>
      </c>
      <c r="G1586" t="s">
        <v>4197</v>
      </c>
      <c r="H1586" t="s">
        <v>4198</v>
      </c>
      <c r="I1586" t="s">
        <v>37</v>
      </c>
      <c r="J1586" t="s">
        <v>23</v>
      </c>
      <c r="K1586" t="s">
        <v>38</v>
      </c>
      <c r="L1586" t="s">
        <v>39</v>
      </c>
      <c r="M1586">
        <v>90008</v>
      </c>
      <c r="N1586" t="s">
        <v>40</v>
      </c>
      <c r="O1586" t="s">
        <v>4199</v>
      </c>
      <c r="P1586" t="s">
        <v>67</v>
      </c>
      <c r="Q1586" t="s">
        <v>68</v>
      </c>
      <c r="R1586" t="s">
        <v>4200</v>
      </c>
      <c r="S1586">
        <v>201.584</v>
      </c>
    </row>
    <row r="1587" spans="1:19" x14ac:dyDescent="0.35">
      <c r="A1587">
        <v>1613</v>
      </c>
      <c r="B1587" t="s">
        <v>4196</v>
      </c>
      <c r="C1587" s="1">
        <v>42150</v>
      </c>
      <c r="D1587" s="1">
        <v>42154</v>
      </c>
      <c r="E1587" s="1" t="str">
        <f t="shared" si="24"/>
        <v>FAST</v>
      </c>
      <c r="F1587" t="s">
        <v>46</v>
      </c>
      <c r="G1587" t="s">
        <v>4197</v>
      </c>
      <c r="H1587" t="s">
        <v>4198</v>
      </c>
      <c r="I1587" t="s">
        <v>37</v>
      </c>
      <c r="J1587" t="s">
        <v>23</v>
      </c>
      <c r="K1587" t="s">
        <v>38</v>
      </c>
      <c r="L1587" t="s">
        <v>39</v>
      </c>
      <c r="M1587">
        <v>90008</v>
      </c>
      <c r="N1587" t="s">
        <v>40</v>
      </c>
      <c r="O1587" t="s">
        <v>307</v>
      </c>
      <c r="P1587" t="s">
        <v>67</v>
      </c>
      <c r="Q1587" t="s">
        <v>68</v>
      </c>
      <c r="R1587" t="s">
        <v>308</v>
      </c>
      <c r="S1587">
        <v>83.983999999999995</v>
      </c>
    </row>
    <row r="1588" spans="1:19" x14ac:dyDescent="0.35">
      <c r="A1588">
        <v>1614</v>
      </c>
      <c r="B1588" t="s">
        <v>4201</v>
      </c>
      <c r="C1588" s="1">
        <v>43455</v>
      </c>
      <c r="D1588" s="1">
        <v>43459</v>
      </c>
      <c r="E1588" s="1" t="str">
        <f t="shared" si="24"/>
        <v>FAST</v>
      </c>
      <c r="F1588" t="s">
        <v>46</v>
      </c>
      <c r="G1588" t="s">
        <v>3767</v>
      </c>
      <c r="H1588" t="s">
        <v>3768</v>
      </c>
      <c r="I1588" t="s">
        <v>37</v>
      </c>
      <c r="J1588" t="s">
        <v>23</v>
      </c>
      <c r="K1588" t="s">
        <v>3167</v>
      </c>
      <c r="L1588" t="s">
        <v>39</v>
      </c>
      <c r="M1588">
        <v>94601</v>
      </c>
      <c r="N1588" t="s">
        <v>40</v>
      </c>
      <c r="O1588" t="s">
        <v>1500</v>
      </c>
      <c r="P1588" t="s">
        <v>42</v>
      </c>
      <c r="Q1588" t="s">
        <v>55</v>
      </c>
      <c r="R1588" t="s">
        <v>1501</v>
      </c>
      <c r="S1588">
        <v>1000.02</v>
      </c>
    </row>
    <row r="1589" spans="1:19" x14ac:dyDescent="0.35">
      <c r="A1589">
        <v>1615</v>
      </c>
      <c r="B1589" t="s">
        <v>4202</v>
      </c>
      <c r="C1589" s="1">
        <v>42809</v>
      </c>
      <c r="D1589" s="1">
        <v>42813</v>
      </c>
      <c r="E1589" s="1" t="str">
        <f t="shared" si="24"/>
        <v>FAST</v>
      </c>
      <c r="F1589" t="s">
        <v>46</v>
      </c>
      <c r="G1589" t="s">
        <v>4014</v>
      </c>
      <c r="H1589" t="s">
        <v>4015</v>
      </c>
      <c r="I1589" t="s">
        <v>98</v>
      </c>
      <c r="J1589" t="s">
        <v>23</v>
      </c>
      <c r="K1589" t="s">
        <v>142</v>
      </c>
      <c r="L1589" t="s">
        <v>143</v>
      </c>
      <c r="M1589">
        <v>19143</v>
      </c>
      <c r="N1589" t="s">
        <v>144</v>
      </c>
      <c r="O1589" t="s">
        <v>4203</v>
      </c>
      <c r="P1589" t="s">
        <v>67</v>
      </c>
      <c r="Q1589" t="s">
        <v>157</v>
      </c>
      <c r="R1589" t="s">
        <v>4204</v>
      </c>
      <c r="S1589">
        <v>83.975999999999999</v>
      </c>
    </row>
    <row r="1590" spans="1:19" x14ac:dyDescent="0.35">
      <c r="A1590">
        <v>1616</v>
      </c>
      <c r="B1590" t="s">
        <v>4205</v>
      </c>
      <c r="C1590" s="1">
        <v>42592</v>
      </c>
      <c r="D1590" s="1">
        <v>42598</v>
      </c>
      <c r="E1590" s="1" t="str">
        <f t="shared" si="24"/>
        <v>FAST</v>
      </c>
      <c r="F1590" t="s">
        <v>46</v>
      </c>
      <c r="G1590" t="s">
        <v>3754</v>
      </c>
      <c r="H1590" t="s">
        <v>3755</v>
      </c>
      <c r="I1590" t="s">
        <v>98</v>
      </c>
      <c r="J1590" t="s">
        <v>23</v>
      </c>
      <c r="K1590" t="s">
        <v>222</v>
      </c>
      <c r="L1590" t="s">
        <v>223</v>
      </c>
      <c r="M1590">
        <v>55122</v>
      </c>
      <c r="N1590" t="s">
        <v>101</v>
      </c>
      <c r="O1590" t="s">
        <v>2099</v>
      </c>
      <c r="P1590" t="s">
        <v>42</v>
      </c>
      <c r="Q1590" t="s">
        <v>43</v>
      </c>
      <c r="R1590" t="s">
        <v>2100</v>
      </c>
      <c r="S1590">
        <v>3.75</v>
      </c>
    </row>
    <row r="1591" spans="1:19" x14ac:dyDescent="0.35">
      <c r="A1591">
        <v>1617</v>
      </c>
      <c r="B1591" t="s">
        <v>4205</v>
      </c>
      <c r="C1591" s="1">
        <v>42592</v>
      </c>
      <c r="D1591" s="1">
        <v>42598</v>
      </c>
      <c r="E1591" s="1" t="str">
        <f t="shared" si="24"/>
        <v>FAST</v>
      </c>
      <c r="F1591" t="s">
        <v>46</v>
      </c>
      <c r="G1591" t="s">
        <v>3754</v>
      </c>
      <c r="H1591" t="s">
        <v>3755</v>
      </c>
      <c r="I1591" t="s">
        <v>98</v>
      </c>
      <c r="J1591" t="s">
        <v>23</v>
      </c>
      <c r="K1591" t="s">
        <v>222</v>
      </c>
      <c r="L1591" t="s">
        <v>223</v>
      </c>
      <c r="M1591">
        <v>55122</v>
      </c>
      <c r="N1591" t="s">
        <v>101</v>
      </c>
      <c r="O1591" t="s">
        <v>1029</v>
      </c>
      <c r="P1591" t="s">
        <v>42</v>
      </c>
      <c r="Q1591" t="s">
        <v>43</v>
      </c>
      <c r="R1591" t="s">
        <v>1030</v>
      </c>
      <c r="S1591">
        <v>41.4</v>
      </c>
    </row>
    <row r="1592" spans="1:19" x14ac:dyDescent="0.35">
      <c r="A1592">
        <v>1618</v>
      </c>
      <c r="B1592" t="s">
        <v>4205</v>
      </c>
      <c r="C1592" s="1">
        <v>42592</v>
      </c>
      <c r="D1592" s="1">
        <v>42598</v>
      </c>
      <c r="E1592" s="1" t="str">
        <f t="shared" si="24"/>
        <v>FAST</v>
      </c>
      <c r="F1592" t="s">
        <v>46</v>
      </c>
      <c r="G1592" t="s">
        <v>3754</v>
      </c>
      <c r="H1592" t="s">
        <v>3755</v>
      </c>
      <c r="I1592" t="s">
        <v>98</v>
      </c>
      <c r="J1592" t="s">
        <v>23</v>
      </c>
      <c r="K1592" t="s">
        <v>222</v>
      </c>
      <c r="L1592" t="s">
        <v>223</v>
      </c>
      <c r="M1592">
        <v>55122</v>
      </c>
      <c r="N1592" t="s">
        <v>101</v>
      </c>
      <c r="O1592" t="s">
        <v>4206</v>
      </c>
      <c r="P1592" t="s">
        <v>42</v>
      </c>
      <c r="Q1592" t="s">
        <v>64</v>
      </c>
      <c r="R1592" t="s">
        <v>4207</v>
      </c>
      <c r="S1592">
        <v>29.79</v>
      </c>
    </row>
    <row r="1593" spans="1:19" x14ac:dyDescent="0.35">
      <c r="A1593">
        <v>1619</v>
      </c>
      <c r="B1593" t="s">
        <v>4208</v>
      </c>
      <c r="C1593" s="1">
        <v>42988</v>
      </c>
      <c r="D1593" s="1">
        <v>42992</v>
      </c>
      <c r="E1593" s="1" t="str">
        <f t="shared" si="24"/>
        <v>SLOW</v>
      </c>
      <c r="F1593" t="s">
        <v>19</v>
      </c>
      <c r="G1593" t="s">
        <v>413</v>
      </c>
      <c r="H1593" t="s">
        <v>414</v>
      </c>
      <c r="I1593" t="s">
        <v>98</v>
      </c>
      <c r="J1593" t="s">
        <v>23</v>
      </c>
      <c r="K1593" t="s">
        <v>260</v>
      </c>
      <c r="L1593" t="s">
        <v>261</v>
      </c>
      <c r="M1593">
        <v>10011</v>
      </c>
      <c r="N1593" t="s">
        <v>144</v>
      </c>
      <c r="O1593" t="s">
        <v>4209</v>
      </c>
      <c r="P1593" t="s">
        <v>42</v>
      </c>
      <c r="Q1593" t="s">
        <v>55</v>
      </c>
      <c r="R1593" t="s">
        <v>4210</v>
      </c>
      <c r="S1593">
        <v>59.48</v>
      </c>
    </row>
    <row r="1594" spans="1:19" x14ac:dyDescent="0.35">
      <c r="A1594">
        <v>1620</v>
      </c>
      <c r="B1594" t="s">
        <v>4208</v>
      </c>
      <c r="C1594" s="1">
        <v>42988</v>
      </c>
      <c r="D1594" s="1">
        <v>42992</v>
      </c>
      <c r="E1594" s="1" t="str">
        <f t="shared" si="24"/>
        <v>SLOW</v>
      </c>
      <c r="F1594" t="s">
        <v>19</v>
      </c>
      <c r="G1594" t="s">
        <v>413</v>
      </c>
      <c r="H1594" t="s">
        <v>414</v>
      </c>
      <c r="I1594" t="s">
        <v>98</v>
      </c>
      <c r="J1594" t="s">
        <v>23</v>
      </c>
      <c r="K1594" t="s">
        <v>260</v>
      </c>
      <c r="L1594" t="s">
        <v>261</v>
      </c>
      <c r="M1594">
        <v>10011</v>
      </c>
      <c r="N1594" t="s">
        <v>144</v>
      </c>
      <c r="O1594" t="s">
        <v>4211</v>
      </c>
      <c r="P1594" t="s">
        <v>42</v>
      </c>
      <c r="Q1594" t="s">
        <v>86</v>
      </c>
      <c r="R1594" t="s">
        <v>4212</v>
      </c>
      <c r="S1594">
        <v>6.69</v>
      </c>
    </row>
    <row r="1595" spans="1:19" x14ac:dyDescent="0.35">
      <c r="A1595">
        <v>1621</v>
      </c>
      <c r="B1595" t="s">
        <v>4213</v>
      </c>
      <c r="C1595" s="1">
        <v>43289</v>
      </c>
      <c r="D1595" s="1">
        <v>43296</v>
      </c>
      <c r="E1595" s="1" t="str">
        <f t="shared" si="24"/>
        <v>FAST</v>
      </c>
      <c r="F1595" t="s">
        <v>46</v>
      </c>
      <c r="G1595" t="s">
        <v>4214</v>
      </c>
      <c r="H1595" t="s">
        <v>4215</v>
      </c>
      <c r="I1595" t="s">
        <v>22</v>
      </c>
      <c r="J1595" t="s">
        <v>23</v>
      </c>
      <c r="K1595" t="s">
        <v>4216</v>
      </c>
      <c r="L1595" t="s">
        <v>92</v>
      </c>
      <c r="M1595">
        <v>98031</v>
      </c>
      <c r="N1595" t="s">
        <v>40</v>
      </c>
      <c r="O1595" t="s">
        <v>4217</v>
      </c>
      <c r="P1595" t="s">
        <v>28</v>
      </c>
      <c r="Q1595" t="s">
        <v>61</v>
      </c>
      <c r="R1595" t="s">
        <v>4218</v>
      </c>
      <c r="S1595">
        <v>198.46</v>
      </c>
    </row>
    <row r="1596" spans="1:19" x14ac:dyDescent="0.35">
      <c r="A1596">
        <v>1622</v>
      </c>
      <c r="B1596" t="s">
        <v>4213</v>
      </c>
      <c r="C1596" s="1">
        <v>43289</v>
      </c>
      <c r="D1596" s="1">
        <v>43296</v>
      </c>
      <c r="E1596" s="1" t="str">
        <f t="shared" si="24"/>
        <v>FAST</v>
      </c>
      <c r="F1596" t="s">
        <v>46</v>
      </c>
      <c r="G1596" t="s">
        <v>4214</v>
      </c>
      <c r="H1596" t="s">
        <v>4215</v>
      </c>
      <c r="I1596" t="s">
        <v>22</v>
      </c>
      <c r="J1596" t="s">
        <v>23</v>
      </c>
      <c r="K1596" t="s">
        <v>4216</v>
      </c>
      <c r="L1596" t="s">
        <v>92</v>
      </c>
      <c r="M1596">
        <v>98031</v>
      </c>
      <c r="N1596" t="s">
        <v>40</v>
      </c>
      <c r="O1596" t="s">
        <v>1951</v>
      </c>
      <c r="P1596" t="s">
        <v>42</v>
      </c>
      <c r="Q1596" t="s">
        <v>43</v>
      </c>
      <c r="R1596" t="s">
        <v>1952</v>
      </c>
      <c r="S1596">
        <v>786.48</v>
      </c>
    </row>
    <row r="1597" spans="1:19" x14ac:dyDescent="0.35">
      <c r="A1597">
        <v>1623</v>
      </c>
      <c r="B1597" t="s">
        <v>4213</v>
      </c>
      <c r="C1597" s="1">
        <v>43289</v>
      </c>
      <c r="D1597" s="1">
        <v>43296</v>
      </c>
      <c r="E1597" s="1" t="str">
        <f t="shared" si="24"/>
        <v>FAST</v>
      </c>
      <c r="F1597" t="s">
        <v>46</v>
      </c>
      <c r="G1597" t="s">
        <v>4214</v>
      </c>
      <c r="H1597" t="s">
        <v>4215</v>
      </c>
      <c r="I1597" t="s">
        <v>22</v>
      </c>
      <c r="J1597" t="s">
        <v>23</v>
      </c>
      <c r="K1597" t="s">
        <v>4216</v>
      </c>
      <c r="L1597" t="s">
        <v>92</v>
      </c>
      <c r="M1597">
        <v>98031</v>
      </c>
      <c r="N1597" t="s">
        <v>40</v>
      </c>
      <c r="O1597" t="s">
        <v>1907</v>
      </c>
      <c r="P1597" t="s">
        <v>42</v>
      </c>
      <c r="Q1597" t="s">
        <v>71</v>
      </c>
      <c r="R1597" t="s">
        <v>1908</v>
      </c>
      <c r="S1597">
        <v>23.167999999999999</v>
      </c>
    </row>
    <row r="1598" spans="1:19" x14ac:dyDescent="0.35">
      <c r="A1598">
        <v>1624</v>
      </c>
      <c r="B1598" t="s">
        <v>4213</v>
      </c>
      <c r="C1598" s="1">
        <v>43289</v>
      </c>
      <c r="D1598" s="1">
        <v>43296</v>
      </c>
      <c r="E1598" s="1" t="str">
        <f t="shared" si="24"/>
        <v>FAST</v>
      </c>
      <c r="F1598" t="s">
        <v>46</v>
      </c>
      <c r="G1598" t="s">
        <v>4214</v>
      </c>
      <c r="H1598" t="s">
        <v>4215</v>
      </c>
      <c r="I1598" t="s">
        <v>22</v>
      </c>
      <c r="J1598" t="s">
        <v>23</v>
      </c>
      <c r="K1598" t="s">
        <v>4216</v>
      </c>
      <c r="L1598" t="s">
        <v>92</v>
      </c>
      <c r="M1598">
        <v>98031</v>
      </c>
      <c r="N1598" t="s">
        <v>40</v>
      </c>
      <c r="O1598" t="s">
        <v>4219</v>
      </c>
      <c r="P1598" t="s">
        <v>67</v>
      </c>
      <c r="Q1598" t="s">
        <v>157</v>
      </c>
      <c r="R1598" t="s">
        <v>4220</v>
      </c>
      <c r="S1598">
        <v>50</v>
      </c>
    </row>
    <row r="1599" spans="1:19" x14ac:dyDescent="0.35">
      <c r="A1599">
        <v>1625</v>
      </c>
      <c r="B1599" t="s">
        <v>4221</v>
      </c>
      <c r="C1599" s="1">
        <v>42723</v>
      </c>
      <c r="D1599" s="1">
        <v>42728</v>
      </c>
      <c r="E1599" s="1" t="str">
        <f t="shared" si="24"/>
        <v>FAST</v>
      </c>
      <c r="F1599" t="s">
        <v>46</v>
      </c>
      <c r="G1599" t="s">
        <v>4222</v>
      </c>
      <c r="H1599" t="s">
        <v>4223</v>
      </c>
      <c r="I1599" t="s">
        <v>22</v>
      </c>
      <c r="J1599" t="s">
        <v>23</v>
      </c>
      <c r="K1599" t="s">
        <v>38</v>
      </c>
      <c r="L1599" t="s">
        <v>39</v>
      </c>
      <c r="M1599">
        <v>90049</v>
      </c>
      <c r="N1599" t="s">
        <v>40</v>
      </c>
      <c r="O1599" t="s">
        <v>3810</v>
      </c>
      <c r="P1599" t="s">
        <v>67</v>
      </c>
      <c r="Q1599" t="s">
        <v>68</v>
      </c>
      <c r="R1599" t="s">
        <v>3811</v>
      </c>
      <c r="S1599">
        <v>675.96</v>
      </c>
    </row>
    <row r="1600" spans="1:19" x14ac:dyDescent="0.35">
      <c r="A1600">
        <v>1626</v>
      </c>
      <c r="B1600" t="s">
        <v>4221</v>
      </c>
      <c r="C1600" s="1">
        <v>42723</v>
      </c>
      <c r="D1600" s="1">
        <v>42728</v>
      </c>
      <c r="E1600" s="1" t="str">
        <f t="shared" si="24"/>
        <v>FAST</v>
      </c>
      <c r="F1600" t="s">
        <v>46</v>
      </c>
      <c r="G1600" t="s">
        <v>4222</v>
      </c>
      <c r="H1600" t="s">
        <v>4223</v>
      </c>
      <c r="I1600" t="s">
        <v>22</v>
      </c>
      <c r="J1600" t="s">
        <v>23</v>
      </c>
      <c r="K1600" t="s">
        <v>38</v>
      </c>
      <c r="L1600" t="s">
        <v>39</v>
      </c>
      <c r="M1600">
        <v>90049</v>
      </c>
      <c r="N1600" t="s">
        <v>40</v>
      </c>
      <c r="O1600" t="s">
        <v>2677</v>
      </c>
      <c r="P1600" t="s">
        <v>67</v>
      </c>
      <c r="Q1600" t="s">
        <v>157</v>
      </c>
      <c r="R1600" t="s">
        <v>4224</v>
      </c>
      <c r="S1600">
        <v>1265.8499999999999</v>
      </c>
    </row>
    <row r="1601" spans="1:19" x14ac:dyDescent="0.35">
      <c r="A1601">
        <v>1627</v>
      </c>
      <c r="B1601" t="s">
        <v>4225</v>
      </c>
      <c r="C1601" s="1">
        <v>42690</v>
      </c>
      <c r="D1601" s="1">
        <v>42696</v>
      </c>
      <c r="E1601" s="1" t="str">
        <f t="shared" si="24"/>
        <v>FAST</v>
      </c>
      <c r="F1601" t="s">
        <v>46</v>
      </c>
      <c r="G1601" t="s">
        <v>1511</v>
      </c>
      <c r="H1601" t="s">
        <v>1512</v>
      </c>
      <c r="I1601" t="s">
        <v>98</v>
      </c>
      <c r="J1601" t="s">
        <v>23</v>
      </c>
      <c r="K1601" t="s">
        <v>260</v>
      </c>
      <c r="L1601" t="s">
        <v>261</v>
      </c>
      <c r="M1601">
        <v>10011</v>
      </c>
      <c r="N1601" t="s">
        <v>144</v>
      </c>
      <c r="O1601" t="s">
        <v>2112</v>
      </c>
      <c r="P1601" t="s">
        <v>42</v>
      </c>
      <c r="Q1601" t="s">
        <v>74</v>
      </c>
      <c r="R1601" t="s">
        <v>2113</v>
      </c>
      <c r="S1601">
        <v>523.25</v>
      </c>
    </row>
    <row r="1602" spans="1:19" x14ac:dyDescent="0.35">
      <c r="A1602">
        <v>1628</v>
      </c>
      <c r="B1602" t="s">
        <v>4226</v>
      </c>
      <c r="C1602" s="1">
        <v>42637</v>
      </c>
      <c r="D1602" s="1">
        <v>42643</v>
      </c>
      <c r="E1602" s="1" t="str">
        <f t="shared" si="24"/>
        <v>FAST</v>
      </c>
      <c r="F1602" t="s">
        <v>46</v>
      </c>
      <c r="G1602" t="s">
        <v>4227</v>
      </c>
      <c r="H1602" t="s">
        <v>4228</v>
      </c>
      <c r="I1602" t="s">
        <v>22</v>
      </c>
      <c r="J1602" t="s">
        <v>23</v>
      </c>
      <c r="K1602" t="s">
        <v>4229</v>
      </c>
      <c r="L1602" t="s">
        <v>725</v>
      </c>
      <c r="M1602">
        <v>70506</v>
      </c>
      <c r="N1602" t="s">
        <v>26</v>
      </c>
      <c r="O1602" t="s">
        <v>3344</v>
      </c>
      <c r="P1602" t="s">
        <v>28</v>
      </c>
      <c r="Q1602" t="s">
        <v>32</v>
      </c>
      <c r="R1602" t="s">
        <v>3345</v>
      </c>
      <c r="S1602">
        <v>517.5</v>
      </c>
    </row>
    <row r="1603" spans="1:19" x14ac:dyDescent="0.35">
      <c r="A1603">
        <v>1629</v>
      </c>
      <c r="B1603" t="s">
        <v>4230</v>
      </c>
      <c r="C1603" s="1">
        <v>43272</v>
      </c>
      <c r="D1603" s="1">
        <v>43276</v>
      </c>
      <c r="E1603" s="1" t="str">
        <f t="shared" ref="E1603:E1666" si="25">IF(F1603="STANDARD CLASS","FAST",IF(F1603="SECOND CLASS","SLOW","MODERATE"))</f>
        <v>SLOW</v>
      </c>
      <c r="F1603" t="s">
        <v>19</v>
      </c>
      <c r="G1603" t="s">
        <v>1989</v>
      </c>
      <c r="H1603" t="s">
        <v>1990</v>
      </c>
      <c r="I1603" t="s">
        <v>22</v>
      </c>
      <c r="J1603" t="s">
        <v>23</v>
      </c>
      <c r="K1603" t="s">
        <v>2160</v>
      </c>
      <c r="L1603" t="s">
        <v>485</v>
      </c>
      <c r="M1603">
        <v>44105</v>
      </c>
      <c r="N1603" t="s">
        <v>144</v>
      </c>
      <c r="O1603" t="s">
        <v>4231</v>
      </c>
      <c r="P1603" t="s">
        <v>28</v>
      </c>
      <c r="Q1603" t="s">
        <v>61</v>
      </c>
      <c r="R1603" t="s">
        <v>4232</v>
      </c>
      <c r="S1603">
        <v>17.920000000000002</v>
      </c>
    </row>
    <row r="1604" spans="1:19" x14ac:dyDescent="0.35">
      <c r="A1604">
        <v>1630</v>
      </c>
      <c r="B1604" t="s">
        <v>4230</v>
      </c>
      <c r="C1604" s="1">
        <v>43272</v>
      </c>
      <c r="D1604" s="1">
        <v>43276</v>
      </c>
      <c r="E1604" s="1" t="str">
        <f t="shared" si="25"/>
        <v>SLOW</v>
      </c>
      <c r="F1604" t="s">
        <v>19</v>
      </c>
      <c r="G1604" t="s">
        <v>1989</v>
      </c>
      <c r="H1604" t="s">
        <v>1990</v>
      </c>
      <c r="I1604" t="s">
        <v>22</v>
      </c>
      <c r="J1604" t="s">
        <v>23</v>
      </c>
      <c r="K1604" t="s">
        <v>2160</v>
      </c>
      <c r="L1604" t="s">
        <v>485</v>
      </c>
      <c r="M1604">
        <v>44105</v>
      </c>
      <c r="N1604" t="s">
        <v>144</v>
      </c>
      <c r="O1604" t="s">
        <v>2746</v>
      </c>
      <c r="P1604" t="s">
        <v>42</v>
      </c>
      <c r="Q1604" t="s">
        <v>71</v>
      </c>
      <c r="R1604" t="s">
        <v>2747</v>
      </c>
      <c r="S1604">
        <v>41.256</v>
      </c>
    </row>
    <row r="1605" spans="1:19" x14ac:dyDescent="0.35">
      <c r="A1605">
        <v>1631</v>
      </c>
      <c r="B1605" t="s">
        <v>4233</v>
      </c>
      <c r="C1605" s="1">
        <v>42863</v>
      </c>
      <c r="D1605" s="1">
        <v>42863</v>
      </c>
      <c r="E1605" s="1" t="str">
        <f t="shared" si="25"/>
        <v>MODERATE</v>
      </c>
      <c r="F1605" t="s">
        <v>1276</v>
      </c>
      <c r="G1605" t="s">
        <v>473</v>
      </c>
      <c r="H1605" t="s">
        <v>474</v>
      </c>
      <c r="I1605" t="s">
        <v>22</v>
      </c>
      <c r="J1605" t="s">
        <v>23</v>
      </c>
      <c r="K1605" t="s">
        <v>2160</v>
      </c>
      <c r="L1605" t="s">
        <v>485</v>
      </c>
      <c r="M1605">
        <v>44105</v>
      </c>
      <c r="N1605" t="s">
        <v>144</v>
      </c>
      <c r="O1605" t="s">
        <v>4234</v>
      </c>
      <c r="P1605" t="s">
        <v>42</v>
      </c>
      <c r="Q1605" t="s">
        <v>55</v>
      </c>
      <c r="R1605" t="s">
        <v>4235</v>
      </c>
      <c r="S1605">
        <v>1006.056</v>
      </c>
    </row>
    <row r="1606" spans="1:19" x14ac:dyDescent="0.35">
      <c r="A1606">
        <v>1632</v>
      </c>
      <c r="B1606" t="s">
        <v>4233</v>
      </c>
      <c r="C1606" s="1">
        <v>42863</v>
      </c>
      <c r="D1606" s="1">
        <v>42863</v>
      </c>
      <c r="E1606" s="1" t="str">
        <f t="shared" si="25"/>
        <v>MODERATE</v>
      </c>
      <c r="F1606" t="s">
        <v>1276</v>
      </c>
      <c r="G1606" t="s">
        <v>473</v>
      </c>
      <c r="H1606" t="s">
        <v>474</v>
      </c>
      <c r="I1606" t="s">
        <v>22</v>
      </c>
      <c r="J1606" t="s">
        <v>23</v>
      </c>
      <c r="K1606" t="s">
        <v>2160</v>
      </c>
      <c r="L1606" t="s">
        <v>485</v>
      </c>
      <c r="M1606">
        <v>44105</v>
      </c>
      <c r="N1606" t="s">
        <v>144</v>
      </c>
      <c r="O1606" t="s">
        <v>1845</v>
      </c>
      <c r="P1606" t="s">
        <v>42</v>
      </c>
      <c r="Q1606" t="s">
        <v>86</v>
      </c>
      <c r="R1606" t="s">
        <v>1846</v>
      </c>
      <c r="S1606">
        <v>10.688000000000001</v>
      </c>
    </row>
    <row r="1607" spans="1:19" x14ac:dyDescent="0.35">
      <c r="A1607">
        <v>1633</v>
      </c>
      <c r="B1607" t="s">
        <v>4233</v>
      </c>
      <c r="C1607" s="1">
        <v>42863</v>
      </c>
      <c r="D1607" s="1">
        <v>42863</v>
      </c>
      <c r="E1607" s="1" t="str">
        <f t="shared" si="25"/>
        <v>MODERATE</v>
      </c>
      <c r="F1607" t="s">
        <v>1276</v>
      </c>
      <c r="G1607" t="s">
        <v>473</v>
      </c>
      <c r="H1607" t="s">
        <v>474</v>
      </c>
      <c r="I1607" t="s">
        <v>22</v>
      </c>
      <c r="J1607" t="s">
        <v>23</v>
      </c>
      <c r="K1607" t="s">
        <v>2160</v>
      </c>
      <c r="L1607" t="s">
        <v>485</v>
      </c>
      <c r="M1607">
        <v>44105</v>
      </c>
      <c r="N1607" t="s">
        <v>144</v>
      </c>
      <c r="O1607" t="s">
        <v>1909</v>
      </c>
      <c r="P1607" t="s">
        <v>42</v>
      </c>
      <c r="Q1607" t="s">
        <v>86</v>
      </c>
      <c r="R1607" t="s">
        <v>1910</v>
      </c>
      <c r="S1607">
        <v>10.368</v>
      </c>
    </row>
    <row r="1608" spans="1:19" x14ac:dyDescent="0.35">
      <c r="A1608">
        <v>1634</v>
      </c>
      <c r="B1608" t="s">
        <v>4233</v>
      </c>
      <c r="C1608" s="1">
        <v>42863</v>
      </c>
      <c r="D1608" s="1">
        <v>42863</v>
      </c>
      <c r="E1608" s="1" t="str">
        <f t="shared" si="25"/>
        <v>MODERATE</v>
      </c>
      <c r="F1608" t="s">
        <v>1276</v>
      </c>
      <c r="G1608" t="s">
        <v>473</v>
      </c>
      <c r="H1608" t="s">
        <v>474</v>
      </c>
      <c r="I1608" t="s">
        <v>22</v>
      </c>
      <c r="J1608" t="s">
        <v>23</v>
      </c>
      <c r="K1608" t="s">
        <v>2160</v>
      </c>
      <c r="L1608" t="s">
        <v>485</v>
      </c>
      <c r="M1608">
        <v>44105</v>
      </c>
      <c r="N1608" t="s">
        <v>144</v>
      </c>
      <c r="O1608" t="s">
        <v>3693</v>
      </c>
      <c r="P1608" t="s">
        <v>42</v>
      </c>
      <c r="Q1608" t="s">
        <v>55</v>
      </c>
      <c r="R1608" t="s">
        <v>3694</v>
      </c>
      <c r="S1608">
        <v>25.12</v>
      </c>
    </row>
    <row r="1609" spans="1:19" x14ac:dyDescent="0.35">
      <c r="A1609">
        <v>1635</v>
      </c>
      <c r="B1609" t="s">
        <v>4233</v>
      </c>
      <c r="C1609" s="1">
        <v>42863</v>
      </c>
      <c r="D1609" s="1">
        <v>42863</v>
      </c>
      <c r="E1609" s="1" t="str">
        <f t="shared" si="25"/>
        <v>MODERATE</v>
      </c>
      <c r="F1609" t="s">
        <v>1276</v>
      </c>
      <c r="G1609" t="s">
        <v>473</v>
      </c>
      <c r="H1609" t="s">
        <v>474</v>
      </c>
      <c r="I1609" t="s">
        <v>22</v>
      </c>
      <c r="J1609" t="s">
        <v>23</v>
      </c>
      <c r="K1609" t="s">
        <v>2160</v>
      </c>
      <c r="L1609" t="s">
        <v>485</v>
      </c>
      <c r="M1609">
        <v>44105</v>
      </c>
      <c r="N1609" t="s">
        <v>144</v>
      </c>
      <c r="O1609" t="s">
        <v>1834</v>
      </c>
      <c r="P1609" t="s">
        <v>67</v>
      </c>
      <c r="Q1609" t="s">
        <v>157</v>
      </c>
      <c r="R1609" t="s">
        <v>1835</v>
      </c>
      <c r="S1609">
        <v>58.112000000000002</v>
      </c>
    </row>
    <row r="1610" spans="1:19" x14ac:dyDescent="0.35">
      <c r="A1610">
        <v>1636</v>
      </c>
      <c r="B1610" t="s">
        <v>4236</v>
      </c>
      <c r="C1610" s="1">
        <v>42334</v>
      </c>
      <c r="D1610" s="1">
        <v>42340</v>
      </c>
      <c r="E1610" s="1" t="str">
        <f t="shared" si="25"/>
        <v>FAST</v>
      </c>
      <c r="F1610" t="s">
        <v>46</v>
      </c>
      <c r="G1610" t="s">
        <v>4237</v>
      </c>
      <c r="H1610" t="s">
        <v>4238</v>
      </c>
      <c r="I1610" t="s">
        <v>22</v>
      </c>
      <c r="J1610" t="s">
        <v>23</v>
      </c>
      <c r="K1610" t="s">
        <v>4239</v>
      </c>
      <c r="L1610" t="s">
        <v>410</v>
      </c>
      <c r="M1610">
        <v>97224</v>
      </c>
      <c r="N1610" t="s">
        <v>40</v>
      </c>
      <c r="O1610" t="s">
        <v>3022</v>
      </c>
      <c r="P1610" t="s">
        <v>42</v>
      </c>
      <c r="Q1610" t="s">
        <v>86</v>
      </c>
      <c r="R1610" t="s">
        <v>3023</v>
      </c>
      <c r="S1610">
        <v>15.552</v>
      </c>
    </row>
    <row r="1611" spans="1:19" x14ac:dyDescent="0.35">
      <c r="A1611">
        <v>1637</v>
      </c>
      <c r="B1611" t="s">
        <v>4236</v>
      </c>
      <c r="C1611" s="1">
        <v>42334</v>
      </c>
      <c r="D1611" s="1">
        <v>42340</v>
      </c>
      <c r="E1611" s="1" t="str">
        <f t="shared" si="25"/>
        <v>FAST</v>
      </c>
      <c r="F1611" t="s">
        <v>46</v>
      </c>
      <c r="G1611" t="s">
        <v>4237</v>
      </c>
      <c r="H1611" t="s">
        <v>4238</v>
      </c>
      <c r="I1611" t="s">
        <v>22</v>
      </c>
      <c r="J1611" t="s">
        <v>23</v>
      </c>
      <c r="K1611" t="s">
        <v>4239</v>
      </c>
      <c r="L1611" t="s">
        <v>410</v>
      </c>
      <c r="M1611">
        <v>97224</v>
      </c>
      <c r="N1611" t="s">
        <v>40</v>
      </c>
      <c r="O1611" t="s">
        <v>2901</v>
      </c>
      <c r="P1611" t="s">
        <v>42</v>
      </c>
      <c r="Q1611" t="s">
        <v>55</v>
      </c>
      <c r="R1611" t="s">
        <v>2902</v>
      </c>
      <c r="S1611">
        <v>669.08</v>
      </c>
    </row>
    <row r="1612" spans="1:19" x14ac:dyDescent="0.35">
      <c r="A1612">
        <v>1638</v>
      </c>
      <c r="B1612" t="s">
        <v>4236</v>
      </c>
      <c r="C1612" s="1">
        <v>42334</v>
      </c>
      <c r="D1612" s="1">
        <v>42340</v>
      </c>
      <c r="E1612" s="1" t="str">
        <f t="shared" si="25"/>
        <v>FAST</v>
      </c>
      <c r="F1612" t="s">
        <v>46</v>
      </c>
      <c r="G1612" t="s">
        <v>4237</v>
      </c>
      <c r="H1612" t="s">
        <v>4238</v>
      </c>
      <c r="I1612" t="s">
        <v>22</v>
      </c>
      <c r="J1612" t="s">
        <v>23</v>
      </c>
      <c r="K1612" t="s">
        <v>4239</v>
      </c>
      <c r="L1612" t="s">
        <v>410</v>
      </c>
      <c r="M1612">
        <v>97224</v>
      </c>
      <c r="N1612" t="s">
        <v>40</v>
      </c>
      <c r="O1612" t="s">
        <v>4240</v>
      </c>
      <c r="P1612" t="s">
        <v>67</v>
      </c>
      <c r="Q1612" t="s">
        <v>68</v>
      </c>
      <c r="R1612" t="s">
        <v>4241</v>
      </c>
      <c r="S1612">
        <v>438.33600000000001</v>
      </c>
    </row>
    <row r="1613" spans="1:19" x14ac:dyDescent="0.35">
      <c r="A1613">
        <v>1639</v>
      </c>
      <c r="B1613" t="s">
        <v>4242</v>
      </c>
      <c r="C1613" s="1">
        <v>42881</v>
      </c>
      <c r="D1613" s="1">
        <v>42887</v>
      </c>
      <c r="E1613" s="1" t="str">
        <f t="shared" si="25"/>
        <v>FAST</v>
      </c>
      <c r="F1613" t="s">
        <v>46</v>
      </c>
      <c r="G1613" t="s">
        <v>4243</v>
      </c>
      <c r="H1613" t="s">
        <v>4244</v>
      </c>
      <c r="I1613" t="s">
        <v>22</v>
      </c>
      <c r="J1613" t="s">
        <v>23</v>
      </c>
      <c r="K1613" t="s">
        <v>92</v>
      </c>
      <c r="L1613" t="s">
        <v>3004</v>
      </c>
      <c r="M1613">
        <v>20016</v>
      </c>
      <c r="N1613" t="s">
        <v>144</v>
      </c>
      <c r="O1613" t="s">
        <v>4245</v>
      </c>
      <c r="P1613" t="s">
        <v>42</v>
      </c>
      <c r="Q1613" t="s">
        <v>86</v>
      </c>
      <c r="R1613" t="s">
        <v>4246</v>
      </c>
      <c r="S1613">
        <v>19.440000000000001</v>
      </c>
    </row>
    <row r="1614" spans="1:19" x14ac:dyDescent="0.35">
      <c r="A1614">
        <v>1640</v>
      </c>
      <c r="B1614" t="s">
        <v>4242</v>
      </c>
      <c r="C1614" s="1">
        <v>42881</v>
      </c>
      <c r="D1614" s="1">
        <v>42887</v>
      </c>
      <c r="E1614" s="1" t="str">
        <f t="shared" si="25"/>
        <v>FAST</v>
      </c>
      <c r="F1614" t="s">
        <v>46</v>
      </c>
      <c r="G1614" t="s">
        <v>4243</v>
      </c>
      <c r="H1614" t="s">
        <v>4244</v>
      </c>
      <c r="I1614" t="s">
        <v>22</v>
      </c>
      <c r="J1614" t="s">
        <v>23</v>
      </c>
      <c r="K1614" t="s">
        <v>92</v>
      </c>
      <c r="L1614" t="s">
        <v>3004</v>
      </c>
      <c r="M1614">
        <v>20016</v>
      </c>
      <c r="N1614" t="s">
        <v>144</v>
      </c>
      <c r="O1614" t="s">
        <v>2086</v>
      </c>
      <c r="P1614" t="s">
        <v>42</v>
      </c>
      <c r="Q1614" t="s">
        <v>71</v>
      </c>
      <c r="R1614" t="s">
        <v>2087</v>
      </c>
      <c r="S1614">
        <v>9.64</v>
      </c>
    </row>
    <row r="1615" spans="1:19" x14ac:dyDescent="0.35">
      <c r="A1615">
        <v>1641</v>
      </c>
      <c r="B1615" t="s">
        <v>4242</v>
      </c>
      <c r="C1615" s="1">
        <v>42881</v>
      </c>
      <c r="D1615" s="1">
        <v>42887</v>
      </c>
      <c r="E1615" s="1" t="str">
        <f t="shared" si="25"/>
        <v>FAST</v>
      </c>
      <c r="F1615" t="s">
        <v>46</v>
      </c>
      <c r="G1615" t="s">
        <v>4243</v>
      </c>
      <c r="H1615" t="s">
        <v>4244</v>
      </c>
      <c r="I1615" t="s">
        <v>22</v>
      </c>
      <c r="J1615" t="s">
        <v>23</v>
      </c>
      <c r="K1615" t="s">
        <v>92</v>
      </c>
      <c r="L1615" t="s">
        <v>3004</v>
      </c>
      <c r="M1615">
        <v>20016</v>
      </c>
      <c r="N1615" t="s">
        <v>144</v>
      </c>
      <c r="O1615" t="s">
        <v>323</v>
      </c>
      <c r="P1615" t="s">
        <v>42</v>
      </c>
      <c r="Q1615" t="s">
        <v>86</v>
      </c>
      <c r="R1615" t="s">
        <v>324</v>
      </c>
      <c r="S1615">
        <v>12.7</v>
      </c>
    </row>
    <row r="1616" spans="1:19" x14ac:dyDescent="0.35">
      <c r="A1616">
        <v>1643</v>
      </c>
      <c r="B1616" t="s">
        <v>4247</v>
      </c>
      <c r="C1616" s="1">
        <v>42337</v>
      </c>
      <c r="D1616" s="1">
        <v>42342</v>
      </c>
      <c r="E1616" s="1" t="str">
        <f t="shared" si="25"/>
        <v>FAST</v>
      </c>
      <c r="F1616" t="s">
        <v>46</v>
      </c>
      <c r="G1616" t="s">
        <v>4248</v>
      </c>
      <c r="H1616" t="s">
        <v>4249</v>
      </c>
      <c r="I1616" t="s">
        <v>37</v>
      </c>
      <c r="J1616" t="s">
        <v>23</v>
      </c>
      <c r="K1616" t="s">
        <v>4250</v>
      </c>
      <c r="L1616" t="s">
        <v>205</v>
      </c>
      <c r="M1616">
        <v>60076</v>
      </c>
      <c r="N1616" t="s">
        <v>101</v>
      </c>
      <c r="O1616" t="s">
        <v>2116</v>
      </c>
      <c r="P1616" t="s">
        <v>42</v>
      </c>
      <c r="Q1616" t="s">
        <v>263</v>
      </c>
      <c r="R1616" t="s">
        <v>550</v>
      </c>
      <c r="S1616">
        <v>12.624000000000001</v>
      </c>
    </row>
    <row r="1617" spans="1:19" x14ac:dyDescent="0.35">
      <c r="A1617">
        <v>1644</v>
      </c>
      <c r="B1617" t="s">
        <v>4251</v>
      </c>
      <c r="C1617" s="1">
        <v>42448</v>
      </c>
      <c r="D1617" s="1">
        <v>42449</v>
      </c>
      <c r="E1617" s="1" t="str">
        <f t="shared" si="25"/>
        <v>MODERATE</v>
      </c>
      <c r="F1617" t="s">
        <v>184</v>
      </c>
      <c r="G1617" t="s">
        <v>779</v>
      </c>
      <c r="H1617" t="s">
        <v>780</v>
      </c>
      <c r="I1617" t="s">
        <v>37</v>
      </c>
      <c r="J1617" t="s">
        <v>23</v>
      </c>
      <c r="K1617" t="s">
        <v>91</v>
      </c>
      <c r="L1617" t="s">
        <v>92</v>
      </c>
      <c r="M1617">
        <v>98115</v>
      </c>
      <c r="N1617" t="s">
        <v>40</v>
      </c>
      <c r="O1617" t="s">
        <v>1558</v>
      </c>
      <c r="P1617" t="s">
        <v>42</v>
      </c>
      <c r="Q1617" t="s">
        <v>55</v>
      </c>
      <c r="R1617" t="s">
        <v>1559</v>
      </c>
      <c r="S1617">
        <v>1247.6400000000001</v>
      </c>
    </row>
    <row r="1618" spans="1:19" x14ac:dyDescent="0.35">
      <c r="A1618">
        <v>1645</v>
      </c>
      <c r="B1618" t="s">
        <v>4251</v>
      </c>
      <c r="C1618" s="1">
        <v>42448</v>
      </c>
      <c r="D1618" s="1">
        <v>42449</v>
      </c>
      <c r="E1618" s="1" t="str">
        <f t="shared" si="25"/>
        <v>MODERATE</v>
      </c>
      <c r="F1618" t="s">
        <v>184</v>
      </c>
      <c r="G1618" t="s">
        <v>779</v>
      </c>
      <c r="H1618" t="s">
        <v>780</v>
      </c>
      <c r="I1618" t="s">
        <v>37</v>
      </c>
      <c r="J1618" t="s">
        <v>23</v>
      </c>
      <c r="K1618" t="s">
        <v>91</v>
      </c>
      <c r="L1618" t="s">
        <v>92</v>
      </c>
      <c r="M1618">
        <v>98115</v>
      </c>
      <c r="N1618" t="s">
        <v>40</v>
      </c>
      <c r="O1618" t="s">
        <v>4252</v>
      </c>
      <c r="P1618" t="s">
        <v>67</v>
      </c>
      <c r="Q1618" t="s">
        <v>1204</v>
      </c>
      <c r="R1618" t="s">
        <v>4253</v>
      </c>
      <c r="S1618">
        <v>3149.93</v>
      </c>
    </row>
    <row r="1619" spans="1:19" x14ac:dyDescent="0.35">
      <c r="A1619">
        <v>1646</v>
      </c>
      <c r="B1619" t="s">
        <v>4251</v>
      </c>
      <c r="C1619" s="1">
        <v>42448</v>
      </c>
      <c r="D1619" s="1">
        <v>42449</v>
      </c>
      <c r="E1619" s="1" t="str">
        <f t="shared" si="25"/>
        <v>MODERATE</v>
      </c>
      <c r="F1619" t="s">
        <v>184</v>
      </c>
      <c r="G1619" t="s">
        <v>779</v>
      </c>
      <c r="H1619" t="s">
        <v>780</v>
      </c>
      <c r="I1619" t="s">
        <v>37</v>
      </c>
      <c r="J1619" t="s">
        <v>23</v>
      </c>
      <c r="K1619" t="s">
        <v>91</v>
      </c>
      <c r="L1619" t="s">
        <v>92</v>
      </c>
      <c r="M1619">
        <v>98115</v>
      </c>
      <c r="N1619" t="s">
        <v>40</v>
      </c>
      <c r="O1619" t="s">
        <v>4254</v>
      </c>
      <c r="P1619" t="s">
        <v>42</v>
      </c>
      <c r="Q1619" t="s">
        <v>86</v>
      </c>
      <c r="R1619" t="s">
        <v>4255</v>
      </c>
      <c r="S1619">
        <v>209.7</v>
      </c>
    </row>
    <row r="1620" spans="1:19" x14ac:dyDescent="0.35">
      <c r="A1620">
        <v>1647</v>
      </c>
      <c r="B1620" t="s">
        <v>4256</v>
      </c>
      <c r="C1620" s="1">
        <v>42675</v>
      </c>
      <c r="D1620" s="1">
        <v>42677</v>
      </c>
      <c r="E1620" s="1" t="str">
        <f t="shared" si="25"/>
        <v>MODERATE</v>
      </c>
      <c r="F1620" t="s">
        <v>184</v>
      </c>
      <c r="G1620" t="s">
        <v>772</v>
      </c>
      <c r="H1620" t="s">
        <v>773</v>
      </c>
      <c r="I1620" t="s">
        <v>98</v>
      </c>
      <c r="J1620" t="s">
        <v>23</v>
      </c>
      <c r="K1620" t="s">
        <v>142</v>
      </c>
      <c r="L1620" t="s">
        <v>143</v>
      </c>
      <c r="M1620">
        <v>19140</v>
      </c>
      <c r="N1620" t="s">
        <v>144</v>
      </c>
      <c r="O1620" t="s">
        <v>742</v>
      </c>
      <c r="P1620" t="s">
        <v>67</v>
      </c>
      <c r="Q1620" t="s">
        <v>157</v>
      </c>
      <c r="R1620" t="s">
        <v>743</v>
      </c>
      <c r="S1620">
        <v>35.36</v>
      </c>
    </row>
    <row r="1621" spans="1:19" x14ac:dyDescent="0.35">
      <c r="A1621">
        <v>1648</v>
      </c>
      <c r="B1621" t="s">
        <v>4256</v>
      </c>
      <c r="C1621" s="1">
        <v>42675</v>
      </c>
      <c r="D1621" s="1">
        <v>42677</v>
      </c>
      <c r="E1621" s="1" t="str">
        <f t="shared" si="25"/>
        <v>MODERATE</v>
      </c>
      <c r="F1621" t="s">
        <v>184</v>
      </c>
      <c r="G1621" t="s">
        <v>772</v>
      </c>
      <c r="H1621" t="s">
        <v>773</v>
      </c>
      <c r="I1621" t="s">
        <v>98</v>
      </c>
      <c r="J1621" t="s">
        <v>23</v>
      </c>
      <c r="K1621" t="s">
        <v>142</v>
      </c>
      <c r="L1621" t="s">
        <v>143</v>
      </c>
      <c r="M1621">
        <v>19140</v>
      </c>
      <c r="N1621" t="s">
        <v>144</v>
      </c>
      <c r="O1621" t="s">
        <v>4257</v>
      </c>
      <c r="P1621" t="s">
        <v>42</v>
      </c>
      <c r="Q1621" t="s">
        <v>263</v>
      </c>
      <c r="R1621" t="s">
        <v>4258</v>
      </c>
      <c r="S1621">
        <v>3.1680000000000001</v>
      </c>
    </row>
    <row r="1622" spans="1:19" x14ac:dyDescent="0.35">
      <c r="A1622">
        <v>1649</v>
      </c>
      <c r="B1622" t="s">
        <v>4259</v>
      </c>
      <c r="C1622" s="1">
        <v>42639</v>
      </c>
      <c r="D1622" s="1">
        <v>42642</v>
      </c>
      <c r="E1622" s="1" t="str">
        <f t="shared" si="25"/>
        <v>SLOW</v>
      </c>
      <c r="F1622" t="s">
        <v>19</v>
      </c>
      <c r="G1622" t="s">
        <v>1919</v>
      </c>
      <c r="H1622" t="s">
        <v>1920</v>
      </c>
      <c r="I1622" t="s">
        <v>22</v>
      </c>
      <c r="J1622" t="s">
        <v>23</v>
      </c>
      <c r="K1622" t="s">
        <v>142</v>
      </c>
      <c r="L1622" t="s">
        <v>143</v>
      </c>
      <c r="M1622">
        <v>19143</v>
      </c>
      <c r="N1622" t="s">
        <v>144</v>
      </c>
      <c r="O1622" t="s">
        <v>4260</v>
      </c>
      <c r="P1622" t="s">
        <v>42</v>
      </c>
      <c r="Q1622" t="s">
        <v>71</v>
      </c>
      <c r="R1622" t="s">
        <v>4261</v>
      </c>
      <c r="S1622">
        <v>121.104</v>
      </c>
    </row>
    <row r="1623" spans="1:19" x14ac:dyDescent="0.35">
      <c r="A1623">
        <v>1650</v>
      </c>
      <c r="B1623" t="s">
        <v>4259</v>
      </c>
      <c r="C1623" s="1">
        <v>42639</v>
      </c>
      <c r="D1623" s="1">
        <v>42642</v>
      </c>
      <c r="E1623" s="1" t="str">
        <f t="shared" si="25"/>
        <v>SLOW</v>
      </c>
      <c r="F1623" t="s">
        <v>19</v>
      </c>
      <c r="G1623" t="s">
        <v>1919</v>
      </c>
      <c r="H1623" t="s">
        <v>1920</v>
      </c>
      <c r="I1623" t="s">
        <v>22</v>
      </c>
      <c r="J1623" t="s">
        <v>23</v>
      </c>
      <c r="K1623" t="s">
        <v>142</v>
      </c>
      <c r="L1623" t="s">
        <v>143</v>
      </c>
      <c r="M1623">
        <v>19143</v>
      </c>
      <c r="N1623" t="s">
        <v>144</v>
      </c>
      <c r="O1623" t="s">
        <v>4262</v>
      </c>
      <c r="P1623" t="s">
        <v>67</v>
      </c>
      <c r="Q1623" t="s">
        <v>68</v>
      </c>
      <c r="R1623" t="s">
        <v>4263</v>
      </c>
      <c r="S1623">
        <v>45.893999999999998</v>
      </c>
    </row>
    <row r="1624" spans="1:19" x14ac:dyDescent="0.35">
      <c r="A1624">
        <v>1651</v>
      </c>
      <c r="B1624" t="s">
        <v>4264</v>
      </c>
      <c r="C1624" s="1">
        <v>42245</v>
      </c>
      <c r="D1624" s="1">
        <v>42245</v>
      </c>
      <c r="E1624" s="1" t="str">
        <f t="shared" si="25"/>
        <v>MODERATE</v>
      </c>
      <c r="F1624" t="s">
        <v>1276</v>
      </c>
      <c r="G1624" t="s">
        <v>4265</v>
      </c>
      <c r="H1624" t="s">
        <v>4266</v>
      </c>
      <c r="I1624" t="s">
        <v>37</v>
      </c>
      <c r="J1624" t="s">
        <v>23</v>
      </c>
      <c r="K1624" t="s">
        <v>123</v>
      </c>
      <c r="L1624" t="s">
        <v>39</v>
      </c>
      <c r="M1624">
        <v>94110</v>
      </c>
      <c r="N1624" t="s">
        <v>40</v>
      </c>
      <c r="O1624" t="s">
        <v>4267</v>
      </c>
      <c r="P1624" t="s">
        <v>42</v>
      </c>
      <c r="Q1624" t="s">
        <v>86</v>
      </c>
      <c r="R1624" t="s">
        <v>4268</v>
      </c>
      <c r="S1624">
        <v>109.92</v>
      </c>
    </row>
    <row r="1625" spans="1:19" x14ac:dyDescent="0.35">
      <c r="A1625">
        <v>1652</v>
      </c>
      <c r="B1625" t="s">
        <v>4264</v>
      </c>
      <c r="C1625" s="1">
        <v>42245</v>
      </c>
      <c r="D1625" s="1">
        <v>42245</v>
      </c>
      <c r="E1625" s="1" t="str">
        <f t="shared" si="25"/>
        <v>MODERATE</v>
      </c>
      <c r="F1625" t="s">
        <v>1276</v>
      </c>
      <c r="G1625" t="s">
        <v>4265</v>
      </c>
      <c r="H1625" t="s">
        <v>4266</v>
      </c>
      <c r="I1625" t="s">
        <v>37</v>
      </c>
      <c r="J1625" t="s">
        <v>23</v>
      </c>
      <c r="K1625" t="s">
        <v>123</v>
      </c>
      <c r="L1625" t="s">
        <v>39</v>
      </c>
      <c r="M1625">
        <v>94110</v>
      </c>
      <c r="N1625" t="s">
        <v>40</v>
      </c>
      <c r="O1625" t="s">
        <v>4269</v>
      </c>
      <c r="P1625" t="s">
        <v>42</v>
      </c>
      <c r="Q1625" t="s">
        <v>86</v>
      </c>
      <c r="R1625" t="s">
        <v>4270</v>
      </c>
      <c r="S1625">
        <v>13.36</v>
      </c>
    </row>
    <row r="1626" spans="1:19" x14ac:dyDescent="0.35">
      <c r="A1626">
        <v>1653</v>
      </c>
      <c r="B1626" t="s">
        <v>4271</v>
      </c>
      <c r="C1626" s="1">
        <v>43422</v>
      </c>
      <c r="D1626" s="1">
        <v>43425</v>
      </c>
      <c r="E1626" s="1" t="str">
        <f t="shared" si="25"/>
        <v>MODERATE</v>
      </c>
      <c r="F1626" t="s">
        <v>184</v>
      </c>
      <c r="G1626" t="s">
        <v>4272</v>
      </c>
      <c r="H1626" t="s">
        <v>4273</v>
      </c>
      <c r="I1626" t="s">
        <v>22</v>
      </c>
      <c r="J1626" t="s">
        <v>23</v>
      </c>
      <c r="K1626" t="s">
        <v>91</v>
      </c>
      <c r="L1626" t="s">
        <v>92</v>
      </c>
      <c r="M1626">
        <v>98105</v>
      </c>
      <c r="N1626" t="s">
        <v>40</v>
      </c>
      <c r="O1626" t="s">
        <v>387</v>
      </c>
      <c r="P1626" t="s">
        <v>42</v>
      </c>
      <c r="Q1626" t="s">
        <v>55</v>
      </c>
      <c r="R1626" t="s">
        <v>388</v>
      </c>
      <c r="S1626">
        <v>169.68</v>
      </c>
    </row>
    <row r="1627" spans="1:19" x14ac:dyDescent="0.35">
      <c r="A1627">
        <v>1654</v>
      </c>
      <c r="B1627" t="s">
        <v>4271</v>
      </c>
      <c r="C1627" s="1">
        <v>43422</v>
      </c>
      <c r="D1627" s="1">
        <v>43425</v>
      </c>
      <c r="E1627" s="1" t="str">
        <f t="shared" si="25"/>
        <v>MODERATE</v>
      </c>
      <c r="F1627" t="s">
        <v>184</v>
      </c>
      <c r="G1627" t="s">
        <v>4272</v>
      </c>
      <c r="H1627" t="s">
        <v>4273</v>
      </c>
      <c r="I1627" t="s">
        <v>22</v>
      </c>
      <c r="J1627" t="s">
        <v>23</v>
      </c>
      <c r="K1627" t="s">
        <v>91</v>
      </c>
      <c r="L1627" t="s">
        <v>92</v>
      </c>
      <c r="M1627">
        <v>98105</v>
      </c>
      <c r="N1627" t="s">
        <v>40</v>
      </c>
      <c r="O1627" t="s">
        <v>894</v>
      </c>
      <c r="P1627" t="s">
        <v>67</v>
      </c>
      <c r="Q1627" t="s">
        <v>157</v>
      </c>
      <c r="R1627" t="s">
        <v>1764</v>
      </c>
      <c r="S1627">
        <v>132.52000000000001</v>
      </c>
    </row>
    <row r="1628" spans="1:19" x14ac:dyDescent="0.35">
      <c r="A1628">
        <v>1655</v>
      </c>
      <c r="B1628" t="s">
        <v>4271</v>
      </c>
      <c r="C1628" s="1">
        <v>43422</v>
      </c>
      <c r="D1628" s="1">
        <v>43425</v>
      </c>
      <c r="E1628" s="1" t="str">
        <f t="shared" si="25"/>
        <v>MODERATE</v>
      </c>
      <c r="F1628" t="s">
        <v>184</v>
      </c>
      <c r="G1628" t="s">
        <v>4272</v>
      </c>
      <c r="H1628" t="s">
        <v>4273</v>
      </c>
      <c r="I1628" t="s">
        <v>22</v>
      </c>
      <c r="J1628" t="s">
        <v>23</v>
      </c>
      <c r="K1628" t="s">
        <v>91</v>
      </c>
      <c r="L1628" t="s">
        <v>92</v>
      </c>
      <c r="M1628">
        <v>98105</v>
      </c>
      <c r="N1628" t="s">
        <v>40</v>
      </c>
      <c r="O1628" t="s">
        <v>4274</v>
      </c>
      <c r="P1628" t="s">
        <v>42</v>
      </c>
      <c r="Q1628" t="s">
        <v>263</v>
      </c>
      <c r="R1628" t="s">
        <v>4275</v>
      </c>
      <c r="S1628">
        <v>2.96</v>
      </c>
    </row>
    <row r="1629" spans="1:19" x14ac:dyDescent="0.35">
      <c r="A1629">
        <v>1656</v>
      </c>
      <c r="B1629" t="s">
        <v>4271</v>
      </c>
      <c r="C1629" s="1">
        <v>43422</v>
      </c>
      <c r="D1629" s="1">
        <v>43425</v>
      </c>
      <c r="E1629" s="1" t="str">
        <f t="shared" si="25"/>
        <v>MODERATE</v>
      </c>
      <c r="F1629" t="s">
        <v>184</v>
      </c>
      <c r="G1629" t="s">
        <v>4272</v>
      </c>
      <c r="H1629" t="s">
        <v>4273</v>
      </c>
      <c r="I1629" t="s">
        <v>22</v>
      </c>
      <c r="J1629" t="s">
        <v>23</v>
      </c>
      <c r="K1629" t="s">
        <v>91</v>
      </c>
      <c r="L1629" t="s">
        <v>92</v>
      </c>
      <c r="M1629">
        <v>98105</v>
      </c>
      <c r="N1629" t="s">
        <v>40</v>
      </c>
      <c r="O1629" t="s">
        <v>4276</v>
      </c>
      <c r="P1629" t="s">
        <v>42</v>
      </c>
      <c r="Q1629" t="s">
        <v>71</v>
      </c>
      <c r="R1629" t="s">
        <v>4277</v>
      </c>
      <c r="S1629">
        <v>8.4480000000000004</v>
      </c>
    </row>
    <row r="1630" spans="1:19" x14ac:dyDescent="0.35">
      <c r="A1630">
        <v>1657</v>
      </c>
      <c r="B1630" t="s">
        <v>4271</v>
      </c>
      <c r="C1630" s="1">
        <v>43422</v>
      </c>
      <c r="D1630" s="1">
        <v>43425</v>
      </c>
      <c r="E1630" s="1" t="str">
        <f t="shared" si="25"/>
        <v>MODERATE</v>
      </c>
      <c r="F1630" t="s">
        <v>184</v>
      </c>
      <c r="G1630" t="s">
        <v>4272</v>
      </c>
      <c r="H1630" t="s">
        <v>4273</v>
      </c>
      <c r="I1630" t="s">
        <v>22</v>
      </c>
      <c r="J1630" t="s">
        <v>23</v>
      </c>
      <c r="K1630" t="s">
        <v>91</v>
      </c>
      <c r="L1630" t="s">
        <v>92</v>
      </c>
      <c r="M1630">
        <v>98105</v>
      </c>
      <c r="N1630" t="s">
        <v>40</v>
      </c>
      <c r="O1630" t="s">
        <v>3507</v>
      </c>
      <c r="P1630" t="s">
        <v>42</v>
      </c>
      <c r="Q1630" t="s">
        <v>55</v>
      </c>
      <c r="R1630" t="s">
        <v>3508</v>
      </c>
      <c r="S1630">
        <v>95.94</v>
      </c>
    </row>
    <row r="1631" spans="1:19" x14ac:dyDescent="0.35">
      <c r="A1631">
        <v>1658</v>
      </c>
      <c r="B1631" t="s">
        <v>4278</v>
      </c>
      <c r="C1631" s="1">
        <v>42136</v>
      </c>
      <c r="D1631" s="1">
        <v>42139</v>
      </c>
      <c r="E1631" s="1" t="str">
        <f t="shared" si="25"/>
        <v>MODERATE</v>
      </c>
      <c r="F1631" t="s">
        <v>184</v>
      </c>
      <c r="G1631" t="s">
        <v>2726</v>
      </c>
      <c r="H1631" t="s">
        <v>2727</v>
      </c>
      <c r="I1631" t="s">
        <v>22</v>
      </c>
      <c r="J1631" t="s">
        <v>23</v>
      </c>
      <c r="K1631" t="s">
        <v>2520</v>
      </c>
      <c r="L1631" t="s">
        <v>110</v>
      </c>
      <c r="M1631">
        <v>53209</v>
      </c>
      <c r="N1631" t="s">
        <v>101</v>
      </c>
      <c r="O1631" t="s">
        <v>2025</v>
      </c>
      <c r="P1631" t="s">
        <v>28</v>
      </c>
      <c r="Q1631" t="s">
        <v>61</v>
      </c>
      <c r="R1631" t="s">
        <v>2026</v>
      </c>
      <c r="S1631">
        <v>34.79</v>
      </c>
    </row>
    <row r="1632" spans="1:19" x14ac:dyDescent="0.35">
      <c r="A1632">
        <v>1659</v>
      </c>
      <c r="B1632" t="s">
        <v>4279</v>
      </c>
      <c r="C1632" s="1">
        <v>43120</v>
      </c>
      <c r="D1632" s="1">
        <v>43126</v>
      </c>
      <c r="E1632" s="1" t="str">
        <f t="shared" si="25"/>
        <v>FAST</v>
      </c>
      <c r="F1632" t="s">
        <v>46</v>
      </c>
      <c r="G1632" t="s">
        <v>4280</v>
      </c>
      <c r="H1632" t="s">
        <v>4281</v>
      </c>
      <c r="I1632" t="s">
        <v>22</v>
      </c>
      <c r="J1632" t="s">
        <v>23</v>
      </c>
      <c r="K1632" t="s">
        <v>38</v>
      </c>
      <c r="L1632" t="s">
        <v>39</v>
      </c>
      <c r="M1632">
        <v>90045</v>
      </c>
      <c r="N1632" t="s">
        <v>40</v>
      </c>
      <c r="O1632" t="s">
        <v>4282</v>
      </c>
      <c r="P1632" t="s">
        <v>67</v>
      </c>
      <c r="Q1632" t="s">
        <v>68</v>
      </c>
      <c r="R1632" t="s">
        <v>4283</v>
      </c>
      <c r="S1632">
        <v>160.77600000000001</v>
      </c>
    </row>
    <row r="1633" spans="1:19" x14ac:dyDescent="0.35">
      <c r="A1633">
        <v>1660</v>
      </c>
      <c r="B1633" t="s">
        <v>4284</v>
      </c>
      <c r="C1633" s="1">
        <v>43403</v>
      </c>
      <c r="D1633" s="1">
        <v>43410</v>
      </c>
      <c r="E1633" s="1" t="str">
        <f t="shared" si="25"/>
        <v>FAST</v>
      </c>
      <c r="F1633" t="s">
        <v>46</v>
      </c>
      <c r="G1633" t="s">
        <v>4285</v>
      </c>
      <c r="H1633" t="s">
        <v>4286</v>
      </c>
      <c r="I1633" t="s">
        <v>22</v>
      </c>
      <c r="J1633" t="s">
        <v>23</v>
      </c>
      <c r="K1633" t="s">
        <v>91</v>
      </c>
      <c r="L1633" t="s">
        <v>92</v>
      </c>
      <c r="M1633">
        <v>98115</v>
      </c>
      <c r="N1633" t="s">
        <v>40</v>
      </c>
      <c r="O1633" t="s">
        <v>3115</v>
      </c>
      <c r="P1633" t="s">
        <v>42</v>
      </c>
      <c r="Q1633" t="s">
        <v>71</v>
      </c>
      <c r="R1633" t="s">
        <v>3116</v>
      </c>
      <c r="S1633">
        <v>88.751999999999995</v>
      </c>
    </row>
    <row r="1634" spans="1:19" x14ac:dyDescent="0.35">
      <c r="A1634">
        <v>1661</v>
      </c>
      <c r="B1634" t="s">
        <v>4284</v>
      </c>
      <c r="C1634" s="1">
        <v>43403</v>
      </c>
      <c r="D1634" s="1">
        <v>43410</v>
      </c>
      <c r="E1634" s="1" t="str">
        <f t="shared" si="25"/>
        <v>FAST</v>
      </c>
      <c r="F1634" t="s">
        <v>46</v>
      </c>
      <c r="G1634" t="s">
        <v>4285</v>
      </c>
      <c r="H1634" t="s">
        <v>4286</v>
      </c>
      <c r="I1634" t="s">
        <v>22</v>
      </c>
      <c r="J1634" t="s">
        <v>23</v>
      </c>
      <c r="K1634" t="s">
        <v>91</v>
      </c>
      <c r="L1634" t="s">
        <v>92</v>
      </c>
      <c r="M1634">
        <v>98115</v>
      </c>
      <c r="N1634" t="s">
        <v>40</v>
      </c>
      <c r="O1634" t="s">
        <v>3262</v>
      </c>
      <c r="P1634" t="s">
        <v>42</v>
      </c>
      <c r="Q1634" t="s">
        <v>71</v>
      </c>
      <c r="R1634" t="s">
        <v>3263</v>
      </c>
      <c r="S1634">
        <v>13.904</v>
      </c>
    </row>
    <row r="1635" spans="1:19" x14ac:dyDescent="0.35">
      <c r="A1635">
        <v>1662</v>
      </c>
      <c r="B1635" t="s">
        <v>4287</v>
      </c>
      <c r="C1635" s="1">
        <v>43220</v>
      </c>
      <c r="D1635" s="1">
        <v>43226</v>
      </c>
      <c r="E1635" s="1" t="str">
        <f t="shared" si="25"/>
        <v>FAST</v>
      </c>
      <c r="F1635" t="s">
        <v>46</v>
      </c>
      <c r="G1635" t="s">
        <v>3568</v>
      </c>
      <c r="H1635" t="s">
        <v>3569</v>
      </c>
      <c r="I1635" t="s">
        <v>37</v>
      </c>
      <c r="J1635" t="s">
        <v>23</v>
      </c>
      <c r="K1635" t="s">
        <v>142</v>
      </c>
      <c r="L1635" t="s">
        <v>143</v>
      </c>
      <c r="M1635">
        <v>19143</v>
      </c>
      <c r="N1635" t="s">
        <v>144</v>
      </c>
      <c r="O1635" t="s">
        <v>3665</v>
      </c>
      <c r="P1635" t="s">
        <v>67</v>
      </c>
      <c r="Q1635" t="s">
        <v>68</v>
      </c>
      <c r="R1635" t="s">
        <v>3666</v>
      </c>
      <c r="S1635">
        <v>677.58</v>
      </c>
    </row>
    <row r="1636" spans="1:19" x14ac:dyDescent="0.35">
      <c r="A1636">
        <v>1663</v>
      </c>
      <c r="B1636" t="s">
        <v>4287</v>
      </c>
      <c r="C1636" s="1">
        <v>43220</v>
      </c>
      <c r="D1636" s="1">
        <v>43226</v>
      </c>
      <c r="E1636" s="1" t="str">
        <f t="shared" si="25"/>
        <v>FAST</v>
      </c>
      <c r="F1636" t="s">
        <v>46</v>
      </c>
      <c r="G1636" t="s">
        <v>3568</v>
      </c>
      <c r="H1636" t="s">
        <v>3569</v>
      </c>
      <c r="I1636" t="s">
        <v>37</v>
      </c>
      <c r="J1636" t="s">
        <v>23</v>
      </c>
      <c r="K1636" t="s">
        <v>142</v>
      </c>
      <c r="L1636" t="s">
        <v>143</v>
      </c>
      <c r="M1636">
        <v>19143</v>
      </c>
      <c r="N1636" t="s">
        <v>144</v>
      </c>
      <c r="O1636" t="s">
        <v>4288</v>
      </c>
      <c r="P1636" t="s">
        <v>42</v>
      </c>
      <c r="Q1636" t="s">
        <v>71</v>
      </c>
      <c r="R1636" t="s">
        <v>4289</v>
      </c>
      <c r="S1636">
        <v>13.896000000000001</v>
      </c>
    </row>
    <row r="1637" spans="1:19" x14ac:dyDescent="0.35">
      <c r="A1637">
        <v>1664</v>
      </c>
      <c r="B1637" t="s">
        <v>4290</v>
      </c>
      <c r="C1637" s="1">
        <v>43063</v>
      </c>
      <c r="D1637" s="1">
        <v>43065</v>
      </c>
      <c r="E1637" s="1" t="str">
        <f t="shared" si="25"/>
        <v>SLOW</v>
      </c>
      <c r="F1637" t="s">
        <v>19</v>
      </c>
      <c r="G1637" t="s">
        <v>4291</v>
      </c>
      <c r="H1637" t="s">
        <v>4292</v>
      </c>
      <c r="I1637" t="s">
        <v>22</v>
      </c>
      <c r="J1637" t="s">
        <v>23</v>
      </c>
      <c r="K1637" t="s">
        <v>802</v>
      </c>
      <c r="L1637" t="s">
        <v>100</v>
      </c>
      <c r="M1637">
        <v>75217</v>
      </c>
      <c r="N1637" t="s">
        <v>101</v>
      </c>
      <c r="O1637" t="s">
        <v>1804</v>
      </c>
      <c r="P1637" t="s">
        <v>42</v>
      </c>
      <c r="Q1637" t="s">
        <v>55</v>
      </c>
      <c r="R1637" t="s">
        <v>1805</v>
      </c>
      <c r="S1637">
        <v>41.92</v>
      </c>
    </row>
    <row r="1638" spans="1:19" x14ac:dyDescent="0.35">
      <c r="A1638">
        <v>1665</v>
      </c>
      <c r="B1638" t="s">
        <v>4290</v>
      </c>
      <c r="C1638" s="1">
        <v>43063</v>
      </c>
      <c r="D1638" s="1">
        <v>43065</v>
      </c>
      <c r="E1638" s="1" t="str">
        <f t="shared" si="25"/>
        <v>SLOW</v>
      </c>
      <c r="F1638" t="s">
        <v>19</v>
      </c>
      <c r="G1638" t="s">
        <v>4291</v>
      </c>
      <c r="H1638" t="s">
        <v>4292</v>
      </c>
      <c r="I1638" t="s">
        <v>22</v>
      </c>
      <c r="J1638" t="s">
        <v>23</v>
      </c>
      <c r="K1638" t="s">
        <v>802</v>
      </c>
      <c r="L1638" t="s">
        <v>100</v>
      </c>
      <c r="M1638">
        <v>75217</v>
      </c>
      <c r="N1638" t="s">
        <v>101</v>
      </c>
      <c r="O1638" t="s">
        <v>2677</v>
      </c>
      <c r="P1638" t="s">
        <v>67</v>
      </c>
      <c r="Q1638" t="s">
        <v>157</v>
      </c>
      <c r="R1638" t="s">
        <v>2678</v>
      </c>
      <c r="S1638">
        <v>297.57600000000002</v>
      </c>
    </row>
    <row r="1639" spans="1:19" x14ac:dyDescent="0.35">
      <c r="A1639">
        <v>1666</v>
      </c>
      <c r="B1639" t="s">
        <v>4290</v>
      </c>
      <c r="C1639" s="1">
        <v>43063</v>
      </c>
      <c r="D1639" s="1">
        <v>43065</v>
      </c>
      <c r="E1639" s="1" t="str">
        <f t="shared" si="25"/>
        <v>SLOW</v>
      </c>
      <c r="F1639" t="s">
        <v>19</v>
      </c>
      <c r="G1639" t="s">
        <v>4291</v>
      </c>
      <c r="H1639" t="s">
        <v>4292</v>
      </c>
      <c r="I1639" t="s">
        <v>22</v>
      </c>
      <c r="J1639" t="s">
        <v>23</v>
      </c>
      <c r="K1639" t="s">
        <v>802</v>
      </c>
      <c r="L1639" t="s">
        <v>100</v>
      </c>
      <c r="M1639">
        <v>75217</v>
      </c>
      <c r="N1639" t="s">
        <v>101</v>
      </c>
      <c r="O1639" t="s">
        <v>4293</v>
      </c>
      <c r="P1639" t="s">
        <v>42</v>
      </c>
      <c r="Q1639" t="s">
        <v>263</v>
      </c>
      <c r="R1639" t="s">
        <v>4294</v>
      </c>
      <c r="S1639">
        <v>4.3440000000000003</v>
      </c>
    </row>
    <row r="1640" spans="1:19" x14ac:dyDescent="0.35">
      <c r="A1640">
        <v>1667</v>
      </c>
      <c r="B1640" t="s">
        <v>4290</v>
      </c>
      <c r="C1640" s="1">
        <v>43063</v>
      </c>
      <c r="D1640" s="1">
        <v>43065</v>
      </c>
      <c r="E1640" s="1" t="str">
        <f t="shared" si="25"/>
        <v>SLOW</v>
      </c>
      <c r="F1640" t="s">
        <v>19</v>
      </c>
      <c r="G1640" t="s">
        <v>4291</v>
      </c>
      <c r="H1640" t="s">
        <v>4292</v>
      </c>
      <c r="I1640" t="s">
        <v>22</v>
      </c>
      <c r="J1640" t="s">
        <v>23</v>
      </c>
      <c r="K1640" t="s">
        <v>802</v>
      </c>
      <c r="L1640" t="s">
        <v>100</v>
      </c>
      <c r="M1640">
        <v>75217</v>
      </c>
      <c r="N1640" t="s">
        <v>101</v>
      </c>
      <c r="O1640" t="s">
        <v>4295</v>
      </c>
      <c r="P1640" t="s">
        <v>67</v>
      </c>
      <c r="Q1640" t="s">
        <v>157</v>
      </c>
      <c r="R1640" t="s">
        <v>4296</v>
      </c>
      <c r="S1640">
        <v>94.992000000000004</v>
      </c>
    </row>
    <row r="1641" spans="1:19" x14ac:dyDescent="0.35">
      <c r="A1641">
        <v>1668</v>
      </c>
      <c r="B1641" t="s">
        <v>4290</v>
      </c>
      <c r="C1641" s="1">
        <v>43063</v>
      </c>
      <c r="D1641" s="1">
        <v>43065</v>
      </c>
      <c r="E1641" s="1" t="str">
        <f t="shared" si="25"/>
        <v>SLOW</v>
      </c>
      <c r="F1641" t="s">
        <v>19</v>
      </c>
      <c r="G1641" t="s">
        <v>4291</v>
      </c>
      <c r="H1641" t="s">
        <v>4292</v>
      </c>
      <c r="I1641" t="s">
        <v>22</v>
      </c>
      <c r="J1641" t="s">
        <v>23</v>
      </c>
      <c r="K1641" t="s">
        <v>802</v>
      </c>
      <c r="L1641" t="s">
        <v>100</v>
      </c>
      <c r="M1641">
        <v>75217</v>
      </c>
      <c r="N1641" t="s">
        <v>101</v>
      </c>
      <c r="O1641" t="s">
        <v>4297</v>
      </c>
      <c r="P1641" t="s">
        <v>42</v>
      </c>
      <c r="Q1641" t="s">
        <v>86</v>
      </c>
      <c r="R1641" t="s">
        <v>4298</v>
      </c>
      <c r="S1641">
        <v>74.352000000000004</v>
      </c>
    </row>
    <row r="1642" spans="1:19" x14ac:dyDescent="0.35">
      <c r="A1642">
        <v>1669</v>
      </c>
      <c r="B1642" t="s">
        <v>4290</v>
      </c>
      <c r="C1642" s="1">
        <v>43063</v>
      </c>
      <c r="D1642" s="1">
        <v>43065</v>
      </c>
      <c r="E1642" s="1" t="str">
        <f t="shared" si="25"/>
        <v>SLOW</v>
      </c>
      <c r="F1642" t="s">
        <v>19</v>
      </c>
      <c r="G1642" t="s">
        <v>4291</v>
      </c>
      <c r="H1642" t="s">
        <v>4292</v>
      </c>
      <c r="I1642" t="s">
        <v>22</v>
      </c>
      <c r="J1642" t="s">
        <v>23</v>
      </c>
      <c r="K1642" t="s">
        <v>802</v>
      </c>
      <c r="L1642" t="s">
        <v>100</v>
      </c>
      <c r="M1642">
        <v>75217</v>
      </c>
      <c r="N1642" t="s">
        <v>101</v>
      </c>
      <c r="O1642" t="s">
        <v>2424</v>
      </c>
      <c r="P1642" t="s">
        <v>42</v>
      </c>
      <c r="Q1642" t="s">
        <v>64</v>
      </c>
      <c r="R1642" t="s">
        <v>2425</v>
      </c>
      <c r="S1642">
        <v>14.04</v>
      </c>
    </row>
    <row r="1643" spans="1:19" x14ac:dyDescent="0.35">
      <c r="A1643">
        <v>1670</v>
      </c>
      <c r="B1643" t="s">
        <v>4299</v>
      </c>
      <c r="C1643" s="1">
        <v>42379</v>
      </c>
      <c r="D1643" s="1">
        <v>42384</v>
      </c>
      <c r="E1643" s="1" t="str">
        <f t="shared" si="25"/>
        <v>FAST</v>
      </c>
      <c r="F1643" t="s">
        <v>46</v>
      </c>
      <c r="G1643" t="s">
        <v>3845</v>
      </c>
      <c r="H1643" t="s">
        <v>3846</v>
      </c>
      <c r="I1643" t="s">
        <v>22</v>
      </c>
      <c r="J1643" t="s">
        <v>23</v>
      </c>
      <c r="K1643" t="s">
        <v>260</v>
      </c>
      <c r="L1643" t="s">
        <v>261</v>
      </c>
      <c r="M1643">
        <v>10011</v>
      </c>
      <c r="N1643" t="s">
        <v>144</v>
      </c>
      <c r="O1643" t="s">
        <v>1581</v>
      </c>
      <c r="P1643" t="s">
        <v>28</v>
      </c>
      <c r="Q1643" t="s">
        <v>52</v>
      </c>
      <c r="R1643" t="s">
        <v>1582</v>
      </c>
      <c r="S1643">
        <v>1018.104</v>
      </c>
    </row>
    <row r="1644" spans="1:19" x14ac:dyDescent="0.35">
      <c r="A1644">
        <v>1671</v>
      </c>
      <c r="B1644" t="s">
        <v>4300</v>
      </c>
      <c r="C1644" s="1">
        <v>43392</v>
      </c>
      <c r="D1644" s="1">
        <v>43399</v>
      </c>
      <c r="E1644" s="1" t="str">
        <f t="shared" si="25"/>
        <v>FAST</v>
      </c>
      <c r="F1644" t="s">
        <v>46</v>
      </c>
      <c r="G1644" t="s">
        <v>4160</v>
      </c>
      <c r="H1644" t="s">
        <v>4161</v>
      </c>
      <c r="I1644" t="s">
        <v>22</v>
      </c>
      <c r="J1644" t="s">
        <v>23</v>
      </c>
      <c r="K1644" t="s">
        <v>180</v>
      </c>
      <c r="L1644" t="s">
        <v>100</v>
      </c>
      <c r="M1644">
        <v>77095</v>
      </c>
      <c r="N1644" t="s">
        <v>101</v>
      </c>
      <c r="O1644" t="s">
        <v>4301</v>
      </c>
      <c r="P1644" t="s">
        <v>67</v>
      </c>
      <c r="Q1644" t="s">
        <v>68</v>
      </c>
      <c r="R1644" t="s">
        <v>4302</v>
      </c>
      <c r="S1644">
        <v>16.68</v>
      </c>
    </row>
    <row r="1645" spans="1:19" x14ac:dyDescent="0.35">
      <c r="A1645">
        <v>1672</v>
      </c>
      <c r="B1645" t="s">
        <v>4303</v>
      </c>
      <c r="C1645" s="1">
        <v>42816</v>
      </c>
      <c r="D1645" s="1">
        <v>42819</v>
      </c>
      <c r="E1645" s="1" t="str">
        <f t="shared" si="25"/>
        <v>MODERATE</v>
      </c>
      <c r="F1645" t="s">
        <v>184</v>
      </c>
      <c r="G1645" t="s">
        <v>4304</v>
      </c>
      <c r="H1645" t="s">
        <v>4305</v>
      </c>
      <c r="I1645" t="s">
        <v>37</v>
      </c>
      <c r="J1645" t="s">
        <v>23</v>
      </c>
      <c r="K1645" t="s">
        <v>4008</v>
      </c>
      <c r="L1645" t="s">
        <v>1377</v>
      </c>
      <c r="M1645">
        <v>89031</v>
      </c>
      <c r="N1645" t="s">
        <v>40</v>
      </c>
      <c r="O1645" t="s">
        <v>3199</v>
      </c>
      <c r="P1645" t="s">
        <v>67</v>
      </c>
      <c r="Q1645" t="s">
        <v>157</v>
      </c>
      <c r="R1645" t="s">
        <v>3200</v>
      </c>
      <c r="S1645">
        <v>58.58</v>
      </c>
    </row>
    <row r="1646" spans="1:19" x14ac:dyDescent="0.35">
      <c r="A1646">
        <v>1673</v>
      </c>
      <c r="B1646" t="s">
        <v>4306</v>
      </c>
      <c r="C1646" s="1">
        <v>43284</v>
      </c>
      <c r="D1646" s="1">
        <v>43288</v>
      </c>
      <c r="E1646" s="1" t="str">
        <f t="shared" si="25"/>
        <v>FAST</v>
      </c>
      <c r="F1646" t="s">
        <v>46</v>
      </c>
      <c r="G1646" t="s">
        <v>2953</v>
      </c>
      <c r="H1646" t="s">
        <v>2954</v>
      </c>
      <c r="I1646" t="s">
        <v>22</v>
      </c>
      <c r="J1646" t="s">
        <v>23</v>
      </c>
      <c r="K1646" t="s">
        <v>4307</v>
      </c>
      <c r="L1646" t="s">
        <v>100</v>
      </c>
      <c r="M1646">
        <v>75023</v>
      </c>
      <c r="N1646" t="s">
        <v>101</v>
      </c>
      <c r="O1646" t="s">
        <v>307</v>
      </c>
      <c r="P1646" t="s">
        <v>67</v>
      </c>
      <c r="Q1646" t="s">
        <v>68</v>
      </c>
      <c r="R1646" t="s">
        <v>308</v>
      </c>
      <c r="S1646">
        <v>167.96799999999999</v>
      </c>
    </row>
    <row r="1647" spans="1:19" x14ac:dyDescent="0.35">
      <c r="A1647">
        <v>1674</v>
      </c>
      <c r="B1647" t="s">
        <v>4308</v>
      </c>
      <c r="C1647" s="1">
        <v>42715</v>
      </c>
      <c r="D1647" s="1">
        <v>42716</v>
      </c>
      <c r="E1647" s="1" t="str">
        <f t="shared" si="25"/>
        <v>MODERATE</v>
      </c>
      <c r="F1647" t="s">
        <v>184</v>
      </c>
      <c r="G1647" t="s">
        <v>4309</v>
      </c>
      <c r="H1647" t="s">
        <v>4310</v>
      </c>
      <c r="I1647" t="s">
        <v>22</v>
      </c>
      <c r="J1647" t="s">
        <v>23</v>
      </c>
      <c r="K1647" t="s">
        <v>4311</v>
      </c>
      <c r="L1647" t="s">
        <v>313</v>
      </c>
      <c r="M1647">
        <v>23434</v>
      </c>
      <c r="N1647" t="s">
        <v>26</v>
      </c>
      <c r="O1647" t="s">
        <v>1951</v>
      </c>
      <c r="P1647" t="s">
        <v>42</v>
      </c>
      <c r="Q1647" t="s">
        <v>43</v>
      </c>
      <c r="R1647" t="s">
        <v>1952</v>
      </c>
      <c r="S1647">
        <v>196.62</v>
      </c>
    </row>
    <row r="1648" spans="1:19" x14ac:dyDescent="0.35">
      <c r="A1648">
        <v>1675</v>
      </c>
      <c r="B1648" t="s">
        <v>4312</v>
      </c>
      <c r="C1648" s="1">
        <v>42630</v>
      </c>
      <c r="D1648" s="1">
        <v>42634</v>
      </c>
      <c r="E1648" s="1" t="str">
        <f t="shared" si="25"/>
        <v>FAST</v>
      </c>
      <c r="F1648" t="s">
        <v>46</v>
      </c>
      <c r="G1648" t="s">
        <v>2037</v>
      </c>
      <c r="H1648" t="s">
        <v>2038</v>
      </c>
      <c r="I1648" t="s">
        <v>37</v>
      </c>
      <c r="J1648" t="s">
        <v>23</v>
      </c>
      <c r="K1648" t="s">
        <v>180</v>
      </c>
      <c r="L1648" t="s">
        <v>100</v>
      </c>
      <c r="M1648">
        <v>77041</v>
      </c>
      <c r="N1648" t="s">
        <v>101</v>
      </c>
      <c r="O1648" t="s">
        <v>3474</v>
      </c>
      <c r="P1648" t="s">
        <v>28</v>
      </c>
      <c r="Q1648" t="s">
        <v>61</v>
      </c>
      <c r="R1648" t="s">
        <v>3475</v>
      </c>
      <c r="S1648">
        <v>21.936</v>
      </c>
    </row>
    <row r="1649" spans="1:19" x14ac:dyDescent="0.35">
      <c r="A1649">
        <v>1676</v>
      </c>
      <c r="B1649" t="s">
        <v>4312</v>
      </c>
      <c r="C1649" s="1">
        <v>42630</v>
      </c>
      <c r="D1649" s="1">
        <v>42634</v>
      </c>
      <c r="E1649" s="1" t="str">
        <f t="shared" si="25"/>
        <v>FAST</v>
      </c>
      <c r="F1649" t="s">
        <v>46</v>
      </c>
      <c r="G1649" t="s">
        <v>2037</v>
      </c>
      <c r="H1649" t="s">
        <v>2038</v>
      </c>
      <c r="I1649" t="s">
        <v>37</v>
      </c>
      <c r="J1649" t="s">
        <v>23</v>
      </c>
      <c r="K1649" t="s">
        <v>180</v>
      </c>
      <c r="L1649" t="s">
        <v>100</v>
      </c>
      <c r="M1649">
        <v>77041</v>
      </c>
      <c r="N1649" t="s">
        <v>101</v>
      </c>
      <c r="O1649" t="s">
        <v>4119</v>
      </c>
      <c r="P1649" t="s">
        <v>42</v>
      </c>
      <c r="Q1649" t="s">
        <v>71</v>
      </c>
      <c r="R1649" t="s">
        <v>4120</v>
      </c>
      <c r="S1649">
        <v>6.5880000000000001</v>
      </c>
    </row>
    <row r="1650" spans="1:19" x14ac:dyDescent="0.35">
      <c r="A1650">
        <v>1677</v>
      </c>
      <c r="B1650" t="s">
        <v>4313</v>
      </c>
      <c r="C1650" s="1">
        <v>42873</v>
      </c>
      <c r="D1650" s="1">
        <v>42879</v>
      </c>
      <c r="E1650" s="1" t="str">
        <f t="shared" si="25"/>
        <v>FAST</v>
      </c>
      <c r="F1650" t="s">
        <v>46</v>
      </c>
      <c r="G1650" t="s">
        <v>4314</v>
      </c>
      <c r="H1650" t="s">
        <v>4315</v>
      </c>
      <c r="I1650" t="s">
        <v>22</v>
      </c>
      <c r="J1650" t="s">
        <v>23</v>
      </c>
      <c r="K1650" t="s">
        <v>123</v>
      </c>
      <c r="L1650" t="s">
        <v>39</v>
      </c>
      <c r="M1650">
        <v>94110</v>
      </c>
      <c r="N1650" t="s">
        <v>40</v>
      </c>
      <c r="O1650" t="s">
        <v>271</v>
      </c>
      <c r="P1650" t="s">
        <v>42</v>
      </c>
      <c r="Q1650" t="s">
        <v>55</v>
      </c>
      <c r="R1650" t="s">
        <v>272</v>
      </c>
      <c r="S1650">
        <v>104.28</v>
      </c>
    </row>
    <row r="1651" spans="1:19" x14ac:dyDescent="0.35">
      <c r="A1651">
        <v>1678</v>
      </c>
      <c r="B1651" t="s">
        <v>4313</v>
      </c>
      <c r="C1651" s="1">
        <v>42873</v>
      </c>
      <c r="D1651" s="1">
        <v>42879</v>
      </c>
      <c r="E1651" s="1" t="str">
        <f t="shared" si="25"/>
        <v>FAST</v>
      </c>
      <c r="F1651" t="s">
        <v>46</v>
      </c>
      <c r="G1651" t="s">
        <v>4314</v>
      </c>
      <c r="H1651" t="s">
        <v>4315</v>
      </c>
      <c r="I1651" t="s">
        <v>22</v>
      </c>
      <c r="J1651" t="s">
        <v>23</v>
      </c>
      <c r="K1651" t="s">
        <v>123</v>
      </c>
      <c r="L1651" t="s">
        <v>39</v>
      </c>
      <c r="M1651">
        <v>94110</v>
      </c>
      <c r="N1651" t="s">
        <v>40</v>
      </c>
      <c r="O1651" t="s">
        <v>438</v>
      </c>
      <c r="P1651" t="s">
        <v>42</v>
      </c>
      <c r="Q1651" t="s">
        <v>86</v>
      </c>
      <c r="R1651" t="s">
        <v>439</v>
      </c>
      <c r="S1651">
        <v>17.940000000000001</v>
      </c>
    </row>
    <row r="1652" spans="1:19" x14ac:dyDescent="0.35">
      <c r="A1652">
        <v>1679</v>
      </c>
      <c r="B1652" t="s">
        <v>4316</v>
      </c>
      <c r="C1652" s="1">
        <v>42254</v>
      </c>
      <c r="D1652" s="1">
        <v>42260</v>
      </c>
      <c r="E1652" s="1" t="str">
        <f t="shared" si="25"/>
        <v>FAST</v>
      </c>
      <c r="F1652" t="s">
        <v>46</v>
      </c>
      <c r="G1652" t="s">
        <v>967</v>
      </c>
      <c r="H1652" t="s">
        <v>968</v>
      </c>
      <c r="I1652" t="s">
        <v>37</v>
      </c>
      <c r="J1652" t="s">
        <v>23</v>
      </c>
      <c r="K1652" t="s">
        <v>142</v>
      </c>
      <c r="L1652" t="s">
        <v>143</v>
      </c>
      <c r="M1652">
        <v>19134</v>
      </c>
      <c r="N1652" t="s">
        <v>144</v>
      </c>
      <c r="O1652" t="s">
        <v>3362</v>
      </c>
      <c r="P1652" t="s">
        <v>42</v>
      </c>
      <c r="Q1652" t="s">
        <v>55</v>
      </c>
      <c r="R1652" t="s">
        <v>3363</v>
      </c>
      <c r="S1652">
        <v>64.784000000000006</v>
      </c>
    </row>
    <row r="1653" spans="1:19" x14ac:dyDescent="0.35">
      <c r="A1653">
        <v>1680</v>
      </c>
      <c r="B1653" t="s">
        <v>4316</v>
      </c>
      <c r="C1653" s="1">
        <v>42254</v>
      </c>
      <c r="D1653" s="1">
        <v>42260</v>
      </c>
      <c r="E1653" s="1" t="str">
        <f t="shared" si="25"/>
        <v>FAST</v>
      </c>
      <c r="F1653" t="s">
        <v>46</v>
      </c>
      <c r="G1653" t="s">
        <v>967</v>
      </c>
      <c r="H1653" t="s">
        <v>968</v>
      </c>
      <c r="I1653" t="s">
        <v>37</v>
      </c>
      <c r="J1653" t="s">
        <v>23</v>
      </c>
      <c r="K1653" t="s">
        <v>142</v>
      </c>
      <c r="L1653" t="s">
        <v>143</v>
      </c>
      <c r="M1653">
        <v>19134</v>
      </c>
      <c r="N1653" t="s">
        <v>144</v>
      </c>
      <c r="O1653" t="s">
        <v>3215</v>
      </c>
      <c r="P1653" t="s">
        <v>67</v>
      </c>
      <c r="Q1653" t="s">
        <v>68</v>
      </c>
      <c r="R1653" t="s">
        <v>3216</v>
      </c>
      <c r="S1653">
        <v>32.381999999999998</v>
      </c>
    </row>
    <row r="1654" spans="1:19" x14ac:dyDescent="0.35">
      <c r="A1654">
        <v>1681</v>
      </c>
      <c r="B1654" t="s">
        <v>4316</v>
      </c>
      <c r="C1654" s="1">
        <v>42254</v>
      </c>
      <c r="D1654" s="1">
        <v>42260</v>
      </c>
      <c r="E1654" s="1" t="str">
        <f t="shared" si="25"/>
        <v>FAST</v>
      </c>
      <c r="F1654" t="s">
        <v>46</v>
      </c>
      <c r="G1654" t="s">
        <v>967</v>
      </c>
      <c r="H1654" t="s">
        <v>968</v>
      </c>
      <c r="I1654" t="s">
        <v>37</v>
      </c>
      <c r="J1654" t="s">
        <v>23</v>
      </c>
      <c r="K1654" t="s">
        <v>142</v>
      </c>
      <c r="L1654" t="s">
        <v>143</v>
      </c>
      <c r="M1654">
        <v>19134</v>
      </c>
      <c r="N1654" t="s">
        <v>144</v>
      </c>
      <c r="O1654" t="s">
        <v>4317</v>
      </c>
      <c r="P1654" t="s">
        <v>28</v>
      </c>
      <c r="Q1654" t="s">
        <v>61</v>
      </c>
      <c r="R1654" t="s">
        <v>4318</v>
      </c>
      <c r="S1654">
        <v>42.368000000000002</v>
      </c>
    </row>
    <row r="1655" spans="1:19" x14ac:dyDescent="0.35">
      <c r="A1655">
        <v>1682</v>
      </c>
      <c r="B1655" t="s">
        <v>4316</v>
      </c>
      <c r="C1655" s="1">
        <v>42254</v>
      </c>
      <c r="D1655" s="1">
        <v>42260</v>
      </c>
      <c r="E1655" s="1" t="str">
        <f t="shared" si="25"/>
        <v>FAST</v>
      </c>
      <c r="F1655" t="s">
        <v>46</v>
      </c>
      <c r="G1655" t="s">
        <v>967</v>
      </c>
      <c r="H1655" t="s">
        <v>968</v>
      </c>
      <c r="I1655" t="s">
        <v>37</v>
      </c>
      <c r="J1655" t="s">
        <v>23</v>
      </c>
      <c r="K1655" t="s">
        <v>142</v>
      </c>
      <c r="L1655" t="s">
        <v>143</v>
      </c>
      <c r="M1655">
        <v>19134</v>
      </c>
      <c r="N1655" t="s">
        <v>144</v>
      </c>
      <c r="O1655" t="s">
        <v>4319</v>
      </c>
      <c r="P1655" t="s">
        <v>67</v>
      </c>
      <c r="Q1655" t="s">
        <v>671</v>
      </c>
      <c r="R1655" t="s">
        <v>4320</v>
      </c>
      <c r="S1655">
        <v>399.54</v>
      </c>
    </row>
    <row r="1656" spans="1:19" x14ac:dyDescent="0.35">
      <c r="A1656">
        <v>1683</v>
      </c>
      <c r="B1656" t="s">
        <v>4321</v>
      </c>
      <c r="C1656" s="1">
        <v>43007</v>
      </c>
      <c r="D1656" s="1">
        <v>43009</v>
      </c>
      <c r="E1656" s="1" t="str">
        <f t="shared" si="25"/>
        <v>SLOW</v>
      </c>
      <c r="F1656" t="s">
        <v>19</v>
      </c>
      <c r="G1656" t="s">
        <v>4322</v>
      </c>
      <c r="H1656" t="s">
        <v>4323</v>
      </c>
      <c r="I1656" t="s">
        <v>22</v>
      </c>
      <c r="J1656" t="s">
        <v>23</v>
      </c>
      <c r="K1656" t="s">
        <v>38</v>
      </c>
      <c r="L1656" t="s">
        <v>39</v>
      </c>
      <c r="M1656">
        <v>90008</v>
      </c>
      <c r="N1656" t="s">
        <v>40</v>
      </c>
      <c r="O1656" t="s">
        <v>2470</v>
      </c>
      <c r="P1656" t="s">
        <v>42</v>
      </c>
      <c r="Q1656" t="s">
        <v>86</v>
      </c>
      <c r="R1656" t="s">
        <v>2471</v>
      </c>
      <c r="S1656">
        <v>18.97</v>
      </c>
    </row>
    <row r="1657" spans="1:19" x14ac:dyDescent="0.35">
      <c r="A1657">
        <v>1684</v>
      </c>
      <c r="B1657" t="s">
        <v>4324</v>
      </c>
      <c r="C1657" s="1">
        <v>43046</v>
      </c>
      <c r="D1657" s="1">
        <v>43051</v>
      </c>
      <c r="E1657" s="1" t="str">
        <f t="shared" si="25"/>
        <v>FAST</v>
      </c>
      <c r="F1657" t="s">
        <v>46</v>
      </c>
      <c r="G1657" t="s">
        <v>983</v>
      </c>
      <c r="H1657" t="s">
        <v>984</v>
      </c>
      <c r="I1657" t="s">
        <v>37</v>
      </c>
      <c r="J1657" t="s">
        <v>23</v>
      </c>
      <c r="K1657" t="s">
        <v>123</v>
      </c>
      <c r="L1657" t="s">
        <v>39</v>
      </c>
      <c r="M1657">
        <v>94110</v>
      </c>
      <c r="N1657" t="s">
        <v>40</v>
      </c>
      <c r="O1657" t="s">
        <v>2419</v>
      </c>
      <c r="P1657" t="s">
        <v>28</v>
      </c>
      <c r="Q1657" t="s">
        <v>61</v>
      </c>
      <c r="R1657" t="s">
        <v>2420</v>
      </c>
      <c r="S1657">
        <v>14.82</v>
      </c>
    </row>
    <row r="1658" spans="1:19" x14ac:dyDescent="0.35">
      <c r="A1658">
        <v>1685</v>
      </c>
      <c r="B1658" t="s">
        <v>4325</v>
      </c>
      <c r="C1658" s="1">
        <v>43214</v>
      </c>
      <c r="D1658" s="1">
        <v>43217</v>
      </c>
      <c r="E1658" s="1" t="str">
        <f t="shared" si="25"/>
        <v>MODERATE</v>
      </c>
      <c r="F1658" t="s">
        <v>184</v>
      </c>
      <c r="G1658" t="s">
        <v>3820</v>
      </c>
      <c r="H1658" t="s">
        <v>3821</v>
      </c>
      <c r="I1658" t="s">
        <v>37</v>
      </c>
      <c r="J1658" t="s">
        <v>23</v>
      </c>
      <c r="K1658" t="s">
        <v>142</v>
      </c>
      <c r="L1658" t="s">
        <v>143</v>
      </c>
      <c r="M1658">
        <v>19143</v>
      </c>
      <c r="N1658" t="s">
        <v>144</v>
      </c>
      <c r="O1658" t="s">
        <v>4326</v>
      </c>
      <c r="P1658" t="s">
        <v>42</v>
      </c>
      <c r="Q1658" t="s">
        <v>74</v>
      </c>
      <c r="R1658" t="s">
        <v>4327</v>
      </c>
      <c r="S1658">
        <v>99.28</v>
      </c>
    </row>
    <row r="1659" spans="1:19" x14ac:dyDescent="0.35">
      <c r="A1659">
        <v>1686</v>
      </c>
      <c r="B1659" t="s">
        <v>4325</v>
      </c>
      <c r="C1659" s="1">
        <v>43214</v>
      </c>
      <c r="D1659" s="1">
        <v>43217</v>
      </c>
      <c r="E1659" s="1" t="str">
        <f t="shared" si="25"/>
        <v>MODERATE</v>
      </c>
      <c r="F1659" t="s">
        <v>184</v>
      </c>
      <c r="G1659" t="s">
        <v>3820</v>
      </c>
      <c r="H1659" t="s">
        <v>3821</v>
      </c>
      <c r="I1659" t="s">
        <v>37</v>
      </c>
      <c r="J1659" t="s">
        <v>23</v>
      </c>
      <c r="K1659" t="s">
        <v>142</v>
      </c>
      <c r="L1659" t="s">
        <v>143</v>
      </c>
      <c r="M1659">
        <v>19143</v>
      </c>
      <c r="N1659" t="s">
        <v>144</v>
      </c>
      <c r="O1659" t="s">
        <v>3539</v>
      </c>
      <c r="P1659" t="s">
        <v>42</v>
      </c>
      <c r="Q1659" t="s">
        <v>71</v>
      </c>
      <c r="R1659" t="s">
        <v>3540</v>
      </c>
      <c r="S1659">
        <v>1.1879999999999999</v>
      </c>
    </row>
    <row r="1660" spans="1:19" x14ac:dyDescent="0.35">
      <c r="A1660">
        <v>1687</v>
      </c>
      <c r="B1660" t="s">
        <v>4325</v>
      </c>
      <c r="C1660" s="1">
        <v>43214</v>
      </c>
      <c r="D1660" s="1">
        <v>43217</v>
      </c>
      <c r="E1660" s="1" t="str">
        <f t="shared" si="25"/>
        <v>MODERATE</v>
      </c>
      <c r="F1660" t="s">
        <v>184</v>
      </c>
      <c r="G1660" t="s">
        <v>3820</v>
      </c>
      <c r="H1660" t="s">
        <v>3821</v>
      </c>
      <c r="I1660" t="s">
        <v>37</v>
      </c>
      <c r="J1660" t="s">
        <v>23</v>
      </c>
      <c r="K1660" t="s">
        <v>142</v>
      </c>
      <c r="L1660" t="s">
        <v>143</v>
      </c>
      <c r="M1660">
        <v>19143</v>
      </c>
      <c r="N1660" t="s">
        <v>144</v>
      </c>
      <c r="O1660" t="s">
        <v>4328</v>
      </c>
      <c r="P1660" t="s">
        <v>42</v>
      </c>
      <c r="Q1660" t="s">
        <v>71</v>
      </c>
      <c r="R1660" t="s">
        <v>4329</v>
      </c>
      <c r="S1660">
        <v>7.5179999999999998</v>
      </c>
    </row>
    <row r="1661" spans="1:19" x14ac:dyDescent="0.35">
      <c r="A1661">
        <v>1688</v>
      </c>
      <c r="B1661" t="s">
        <v>4330</v>
      </c>
      <c r="C1661" s="1">
        <v>43444</v>
      </c>
      <c r="D1661" s="1">
        <v>43446</v>
      </c>
      <c r="E1661" s="1" t="str">
        <f t="shared" si="25"/>
        <v>MODERATE</v>
      </c>
      <c r="F1661" t="s">
        <v>184</v>
      </c>
      <c r="G1661" t="s">
        <v>4114</v>
      </c>
      <c r="H1661" t="s">
        <v>4115</v>
      </c>
      <c r="I1661" t="s">
        <v>22</v>
      </c>
      <c r="J1661" t="s">
        <v>23</v>
      </c>
      <c r="K1661" t="s">
        <v>142</v>
      </c>
      <c r="L1661" t="s">
        <v>143</v>
      </c>
      <c r="M1661">
        <v>19140</v>
      </c>
      <c r="N1661" t="s">
        <v>144</v>
      </c>
      <c r="O1661" t="s">
        <v>2854</v>
      </c>
      <c r="P1661" t="s">
        <v>42</v>
      </c>
      <c r="Q1661" t="s">
        <v>86</v>
      </c>
      <c r="R1661" t="s">
        <v>2855</v>
      </c>
      <c r="S1661">
        <v>10.368</v>
      </c>
    </row>
    <row r="1662" spans="1:19" x14ac:dyDescent="0.35">
      <c r="A1662">
        <v>1689</v>
      </c>
      <c r="B1662" t="s">
        <v>4330</v>
      </c>
      <c r="C1662" s="1">
        <v>43444</v>
      </c>
      <c r="D1662" s="1">
        <v>43446</v>
      </c>
      <c r="E1662" s="1" t="str">
        <f t="shared" si="25"/>
        <v>MODERATE</v>
      </c>
      <c r="F1662" t="s">
        <v>184</v>
      </c>
      <c r="G1662" t="s">
        <v>4114</v>
      </c>
      <c r="H1662" t="s">
        <v>4115</v>
      </c>
      <c r="I1662" t="s">
        <v>22</v>
      </c>
      <c r="J1662" t="s">
        <v>23</v>
      </c>
      <c r="K1662" t="s">
        <v>142</v>
      </c>
      <c r="L1662" t="s">
        <v>143</v>
      </c>
      <c r="M1662">
        <v>19140</v>
      </c>
      <c r="N1662" t="s">
        <v>144</v>
      </c>
      <c r="O1662" t="s">
        <v>2405</v>
      </c>
      <c r="P1662" t="s">
        <v>28</v>
      </c>
      <c r="Q1662" t="s">
        <v>61</v>
      </c>
      <c r="R1662" t="s">
        <v>2406</v>
      </c>
      <c r="S1662">
        <v>310.88</v>
      </c>
    </row>
    <row r="1663" spans="1:19" x14ac:dyDescent="0.35">
      <c r="A1663">
        <v>1690</v>
      </c>
      <c r="B1663" t="s">
        <v>4331</v>
      </c>
      <c r="C1663" s="1">
        <v>42232</v>
      </c>
      <c r="D1663" s="1">
        <v>42236</v>
      </c>
      <c r="E1663" s="1" t="str">
        <f t="shared" si="25"/>
        <v>FAST</v>
      </c>
      <c r="F1663" t="s">
        <v>46</v>
      </c>
      <c r="G1663" t="s">
        <v>529</v>
      </c>
      <c r="H1663" t="s">
        <v>530</v>
      </c>
      <c r="I1663" t="s">
        <v>22</v>
      </c>
      <c r="J1663" t="s">
        <v>23</v>
      </c>
      <c r="K1663" t="s">
        <v>142</v>
      </c>
      <c r="L1663" t="s">
        <v>143</v>
      </c>
      <c r="M1663">
        <v>19143</v>
      </c>
      <c r="N1663" t="s">
        <v>144</v>
      </c>
      <c r="O1663" t="s">
        <v>76</v>
      </c>
      <c r="P1663" t="s">
        <v>28</v>
      </c>
      <c r="Q1663" t="s">
        <v>52</v>
      </c>
      <c r="R1663" t="s">
        <v>77</v>
      </c>
      <c r="S1663">
        <v>853.09199999999998</v>
      </c>
    </row>
    <row r="1664" spans="1:19" x14ac:dyDescent="0.35">
      <c r="A1664">
        <v>1691</v>
      </c>
      <c r="B1664" t="s">
        <v>4332</v>
      </c>
      <c r="C1664" s="1">
        <v>43443</v>
      </c>
      <c r="D1664" s="1">
        <v>43449</v>
      </c>
      <c r="E1664" s="1" t="str">
        <f t="shared" si="25"/>
        <v>FAST</v>
      </c>
      <c r="F1664" t="s">
        <v>46</v>
      </c>
      <c r="G1664" t="s">
        <v>4333</v>
      </c>
      <c r="H1664" t="s">
        <v>4334</v>
      </c>
      <c r="I1664" t="s">
        <v>22</v>
      </c>
      <c r="J1664" t="s">
        <v>23</v>
      </c>
      <c r="K1664" t="s">
        <v>4335</v>
      </c>
      <c r="L1664" t="s">
        <v>248</v>
      </c>
      <c r="M1664">
        <v>46203</v>
      </c>
      <c r="N1664" t="s">
        <v>101</v>
      </c>
      <c r="O1664" t="s">
        <v>4211</v>
      </c>
      <c r="P1664" t="s">
        <v>42</v>
      </c>
      <c r="Q1664" t="s">
        <v>86</v>
      </c>
      <c r="R1664" t="s">
        <v>4212</v>
      </c>
      <c r="S1664">
        <v>33.450000000000003</v>
      </c>
    </row>
    <row r="1665" spans="1:19" x14ac:dyDescent="0.35">
      <c r="A1665">
        <v>1692</v>
      </c>
      <c r="B1665" t="s">
        <v>4332</v>
      </c>
      <c r="C1665" s="1">
        <v>43443</v>
      </c>
      <c r="D1665" s="1">
        <v>43449</v>
      </c>
      <c r="E1665" s="1" t="str">
        <f t="shared" si="25"/>
        <v>FAST</v>
      </c>
      <c r="F1665" t="s">
        <v>46</v>
      </c>
      <c r="G1665" t="s">
        <v>4333</v>
      </c>
      <c r="H1665" t="s">
        <v>4334</v>
      </c>
      <c r="I1665" t="s">
        <v>22</v>
      </c>
      <c r="J1665" t="s">
        <v>23</v>
      </c>
      <c r="K1665" t="s">
        <v>4335</v>
      </c>
      <c r="L1665" t="s">
        <v>248</v>
      </c>
      <c r="M1665">
        <v>46203</v>
      </c>
      <c r="N1665" t="s">
        <v>101</v>
      </c>
      <c r="O1665" t="s">
        <v>339</v>
      </c>
      <c r="P1665" t="s">
        <v>42</v>
      </c>
      <c r="Q1665" t="s">
        <v>71</v>
      </c>
      <c r="R1665" t="s">
        <v>340</v>
      </c>
      <c r="S1665">
        <v>10.4</v>
      </c>
    </row>
    <row r="1666" spans="1:19" x14ac:dyDescent="0.35">
      <c r="A1666">
        <v>1693</v>
      </c>
      <c r="B1666" t="s">
        <v>4336</v>
      </c>
      <c r="C1666" s="1">
        <v>42808</v>
      </c>
      <c r="D1666" s="1">
        <v>42813</v>
      </c>
      <c r="E1666" s="1" t="str">
        <f t="shared" si="25"/>
        <v>FAST</v>
      </c>
      <c r="F1666" t="s">
        <v>46</v>
      </c>
      <c r="G1666" t="s">
        <v>4337</v>
      </c>
      <c r="H1666" t="s">
        <v>4338</v>
      </c>
      <c r="I1666" t="s">
        <v>22</v>
      </c>
      <c r="J1666" t="s">
        <v>23</v>
      </c>
      <c r="K1666" t="s">
        <v>484</v>
      </c>
      <c r="L1666" t="s">
        <v>485</v>
      </c>
      <c r="M1666">
        <v>43229</v>
      </c>
      <c r="N1666" t="s">
        <v>144</v>
      </c>
      <c r="O1666" t="s">
        <v>1890</v>
      </c>
      <c r="P1666" t="s">
        <v>28</v>
      </c>
      <c r="Q1666" t="s">
        <v>61</v>
      </c>
      <c r="R1666" t="s">
        <v>1891</v>
      </c>
      <c r="S1666">
        <v>21.88</v>
      </c>
    </row>
    <row r="1667" spans="1:19" x14ac:dyDescent="0.35">
      <c r="A1667">
        <v>1694</v>
      </c>
      <c r="B1667" t="s">
        <v>4339</v>
      </c>
      <c r="C1667" s="1">
        <v>42912</v>
      </c>
      <c r="D1667" s="1">
        <v>42915</v>
      </c>
      <c r="E1667" s="1" t="str">
        <f t="shared" ref="E1667:E1730" si="26">IF(F1667="STANDARD CLASS","FAST",IF(F1667="SECOND CLASS","SLOW","MODERATE"))</f>
        <v>SLOW</v>
      </c>
      <c r="F1667" t="s">
        <v>19</v>
      </c>
      <c r="G1667" t="s">
        <v>3643</v>
      </c>
      <c r="H1667" t="s">
        <v>3644</v>
      </c>
      <c r="I1667" t="s">
        <v>98</v>
      </c>
      <c r="J1667" t="s">
        <v>23</v>
      </c>
      <c r="K1667" t="s">
        <v>4307</v>
      </c>
      <c r="L1667" t="s">
        <v>100</v>
      </c>
      <c r="M1667">
        <v>75023</v>
      </c>
      <c r="N1667" t="s">
        <v>101</v>
      </c>
      <c r="O1667" t="s">
        <v>4340</v>
      </c>
      <c r="P1667" t="s">
        <v>67</v>
      </c>
      <c r="Q1667" t="s">
        <v>157</v>
      </c>
      <c r="R1667" t="s">
        <v>4341</v>
      </c>
      <c r="S1667">
        <v>13.616</v>
      </c>
    </row>
    <row r="1668" spans="1:19" x14ac:dyDescent="0.35">
      <c r="A1668">
        <v>1695</v>
      </c>
      <c r="B1668" t="s">
        <v>4342</v>
      </c>
      <c r="C1668" s="1">
        <v>42638</v>
      </c>
      <c r="D1668" s="1">
        <v>42641</v>
      </c>
      <c r="E1668" s="1" t="str">
        <f t="shared" si="26"/>
        <v>SLOW</v>
      </c>
      <c r="F1668" t="s">
        <v>19</v>
      </c>
      <c r="G1668" t="s">
        <v>2337</v>
      </c>
      <c r="H1668" t="s">
        <v>2338</v>
      </c>
      <c r="I1668" t="s">
        <v>98</v>
      </c>
      <c r="J1668" t="s">
        <v>23</v>
      </c>
      <c r="K1668" t="s">
        <v>4343</v>
      </c>
      <c r="L1668" t="s">
        <v>775</v>
      </c>
      <c r="M1668">
        <v>7002</v>
      </c>
      <c r="N1668" t="s">
        <v>144</v>
      </c>
      <c r="O1668" t="s">
        <v>4344</v>
      </c>
      <c r="P1668" t="s">
        <v>67</v>
      </c>
      <c r="Q1668" t="s">
        <v>157</v>
      </c>
      <c r="R1668" t="s">
        <v>4345</v>
      </c>
      <c r="S1668">
        <v>63.96</v>
      </c>
    </row>
    <row r="1669" spans="1:19" x14ac:dyDescent="0.35">
      <c r="A1669">
        <v>1696</v>
      </c>
      <c r="B1669" t="s">
        <v>4342</v>
      </c>
      <c r="C1669" s="1">
        <v>42638</v>
      </c>
      <c r="D1669" s="1">
        <v>42641</v>
      </c>
      <c r="E1669" s="1" t="str">
        <f t="shared" si="26"/>
        <v>SLOW</v>
      </c>
      <c r="F1669" t="s">
        <v>19</v>
      </c>
      <c r="G1669" t="s">
        <v>2337</v>
      </c>
      <c r="H1669" t="s">
        <v>2338</v>
      </c>
      <c r="I1669" t="s">
        <v>98</v>
      </c>
      <c r="J1669" t="s">
        <v>23</v>
      </c>
      <c r="K1669" t="s">
        <v>4343</v>
      </c>
      <c r="L1669" t="s">
        <v>775</v>
      </c>
      <c r="M1669">
        <v>7002</v>
      </c>
      <c r="N1669" t="s">
        <v>144</v>
      </c>
      <c r="O1669" t="s">
        <v>1211</v>
      </c>
      <c r="P1669" t="s">
        <v>42</v>
      </c>
      <c r="Q1669" t="s">
        <v>71</v>
      </c>
      <c r="R1669" t="s">
        <v>1212</v>
      </c>
      <c r="S1669">
        <v>14.46</v>
      </c>
    </row>
    <row r="1670" spans="1:19" x14ac:dyDescent="0.35">
      <c r="A1670">
        <v>1697</v>
      </c>
      <c r="B1670" t="s">
        <v>4342</v>
      </c>
      <c r="C1670" s="1">
        <v>42638</v>
      </c>
      <c r="D1670" s="1">
        <v>42641</v>
      </c>
      <c r="E1670" s="1" t="str">
        <f t="shared" si="26"/>
        <v>SLOW</v>
      </c>
      <c r="F1670" t="s">
        <v>19</v>
      </c>
      <c r="G1670" t="s">
        <v>2337</v>
      </c>
      <c r="H1670" t="s">
        <v>2338</v>
      </c>
      <c r="I1670" t="s">
        <v>98</v>
      </c>
      <c r="J1670" t="s">
        <v>23</v>
      </c>
      <c r="K1670" t="s">
        <v>4343</v>
      </c>
      <c r="L1670" t="s">
        <v>775</v>
      </c>
      <c r="M1670">
        <v>7002</v>
      </c>
      <c r="N1670" t="s">
        <v>144</v>
      </c>
      <c r="O1670" t="s">
        <v>307</v>
      </c>
      <c r="P1670" t="s">
        <v>67</v>
      </c>
      <c r="Q1670" t="s">
        <v>68</v>
      </c>
      <c r="R1670" t="s">
        <v>308</v>
      </c>
      <c r="S1670">
        <v>104.98</v>
      </c>
    </row>
    <row r="1671" spans="1:19" x14ac:dyDescent="0.35">
      <c r="A1671">
        <v>1698</v>
      </c>
      <c r="B1671" t="s">
        <v>4346</v>
      </c>
      <c r="C1671" s="1">
        <v>42731</v>
      </c>
      <c r="D1671" s="1">
        <v>42735</v>
      </c>
      <c r="E1671" s="1" t="str">
        <f t="shared" si="26"/>
        <v>FAST</v>
      </c>
      <c r="F1671" t="s">
        <v>46</v>
      </c>
      <c r="G1671" t="s">
        <v>1295</v>
      </c>
      <c r="H1671" t="s">
        <v>1296</v>
      </c>
      <c r="I1671" t="s">
        <v>22</v>
      </c>
      <c r="J1671" t="s">
        <v>23</v>
      </c>
      <c r="K1671" t="s">
        <v>38</v>
      </c>
      <c r="L1671" t="s">
        <v>39</v>
      </c>
      <c r="M1671">
        <v>90008</v>
      </c>
      <c r="N1671" t="s">
        <v>40</v>
      </c>
      <c r="O1671" t="s">
        <v>2509</v>
      </c>
      <c r="P1671" t="s">
        <v>42</v>
      </c>
      <c r="Q1671" t="s">
        <v>74</v>
      </c>
      <c r="R1671" t="s">
        <v>2510</v>
      </c>
      <c r="S1671">
        <v>106.96</v>
      </c>
    </row>
    <row r="1672" spans="1:19" x14ac:dyDescent="0.35">
      <c r="A1672">
        <v>1699</v>
      </c>
      <c r="B1672" t="s">
        <v>4346</v>
      </c>
      <c r="C1672" s="1">
        <v>42731</v>
      </c>
      <c r="D1672" s="1">
        <v>42735</v>
      </c>
      <c r="E1672" s="1" t="str">
        <f t="shared" si="26"/>
        <v>FAST</v>
      </c>
      <c r="F1672" t="s">
        <v>46</v>
      </c>
      <c r="G1672" t="s">
        <v>1295</v>
      </c>
      <c r="H1672" t="s">
        <v>1296</v>
      </c>
      <c r="I1672" t="s">
        <v>22</v>
      </c>
      <c r="J1672" t="s">
        <v>23</v>
      </c>
      <c r="K1672" t="s">
        <v>38</v>
      </c>
      <c r="L1672" t="s">
        <v>39</v>
      </c>
      <c r="M1672">
        <v>90008</v>
      </c>
      <c r="N1672" t="s">
        <v>40</v>
      </c>
      <c r="O1672" t="s">
        <v>4347</v>
      </c>
      <c r="P1672" t="s">
        <v>42</v>
      </c>
      <c r="Q1672" t="s">
        <v>43</v>
      </c>
      <c r="R1672" t="s">
        <v>4348</v>
      </c>
      <c r="S1672">
        <v>21.56</v>
      </c>
    </row>
    <row r="1673" spans="1:19" x14ac:dyDescent="0.35">
      <c r="A1673">
        <v>1700</v>
      </c>
      <c r="B1673" t="s">
        <v>4349</v>
      </c>
      <c r="C1673" s="1">
        <v>42158</v>
      </c>
      <c r="D1673" s="1">
        <v>42162</v>
      </c>
      <c r="E1673" s="1" t="str">
        <f t="shared" si="26"/>
        <v>SLOW</v>
      </c>
      <c r="F1673" t="s">
        <v>19</v>
      </c>
      <c r="G1673" t="s">
        <v>506</v>
      </c>
      <c r="H1673" t="s">
        <v>507</v>
      </c>
      <c r="I1673" t="s">
        <v>22</v>
      </c>
      <c r="J1673" t="s">
        <v>23</v>
      </c>
      <c r="K1673" t="s">
        <v>91</v>
      </c>
      <c r="L1673" t="s">
        <v>92</v>
      </c>
      <c r="M1673">
        <v>98115</v>
      </c>
      <c r="N1673" t="s">
        <v>40</v>
      </c>
      <c r="O1673" t="s">
        <v>3241</v>
      </c>
      <c r="P1673" t="s">
        <v>28</v>
      </c>
      <c r="Q1673" t="s">
        <v>52</v>
      </c>
      <c r="R1673" t="s">
        <v>3242</v>
      </c>
      <c r="S1673">
        <v>515.88</v>
      </c>
    </row>
    <row r="1674" spans="1:19" x14ac:dyDescent="0.35">
      <c r="A1674">
        <v>1701</v>
      </c>
      <c r="B1674" t="s">
        <v>4350</v>
      </c>
      <c r="C1674" s="1">
        <v>42564</v>
      </c>
      <c r="D1674" s="1">
        <v>42566</v>
      </c>
      <c r="E1674" s="1" t="str">
        <f t="shared" si="26"/>
        <v>SLOW</v>
      </c>
      <c r="F1674" t="s">
        <v>19</v>
      </c>
      <c r="G1674" t="s">
        <v>3698</v>
      </c>
      <c r="H1674" t="s">
        <v>3699</v>
      </c>
      <c r="I1674" t="s">
        <v>22</v>
      </c>
      <c r="J1674" t="s">
        <v>23</v>
      </c>
      <c r="K1674" t="s">
        <v>260</v>
      </c>
      <c r="L1674" t="s">
        <v>261</v>
      </c>
      <c r="M1674">
        <v>10035</v>
      </c>
      <c r="N1674" t="s">
        <v>144</v>
      </c>
      <c r="O1674" t="s">
        <v>3017</v>
      </c>
      <c r="P1674" t="s">
        <v>42</v>
      </c>
      <c r="Q1674" t="s">
        <v>71</v>
      </c>
      <c r="R1674" t="s">
        <v>3018</v>
      </c>
      <c r="S1674">
        <v>11.808</v>
      </c>
    </row>
    <row r="1675" spans="1:19" x14ac:dyDescent="0.35">
      <c r="A1675">
        <v>1702</v>
      </c>
      <c r="B1675" t="s">
        <v>4350</v>
      </c>
      <c r="C1675" s="1">
        <v>42564</v>
      </c>
      <c r="D1675" s="1">
        <v>42566</v>
      </c>
      <c r="E1675" s="1" t="str">
        <f t="shared" si="26"/>
        <v>SLOW</v>
      </c>
      <c r="F1675" t="s">
        <v>19</v>
      </c>
      <c r="G1675" t="s">
        <v>3698</v>
      </c>
      <c r="H1675" t="s">
        <v>3699</v>
      </c>
      <c r="I1675" t="s">
        <v>22</v>
      </c>
      <c r="J1675" t="s">
        <v>23</v>
      </c>
      <c r="K1675" t="s">
        <v>260</v>
      </c>
      <c r="L1675" t="s">
        <v>261</v>
      </c>
      <c r="M1675">
        <v>10035</v>
      </c>
      <c r="N1675" t="s">
        <v>144</v>
      </c>
      <c r="O1675" t="s">
        <v>1787</v>
      </c>
      <c r="P1675" t="s">
        <v>28</v>
      </c>
      <c r="Q1675" t="s">
        <v>32</v>
      </c>
      <c r="R1675" t="s">
        <v>1788</v>
      </c>
      <c r="S1675">
        <v>1931.04</v>
      </c>
    </row>
    <row r="1676" spans="1:19" x14ac:dyDescent="0.35">
      <c r="A1676">
        <v>1703</v>
      </c>
      <c r="B1676" t="s">
        <v>4350</v>
      </c>
      <c r="C1676" s="1">
        <v>42564</v>
      </c>
      <c r="D1676" s="1">
        <v>42566</v>
      </c>
      <c r="E1676" s="1" t="str">
        <f t="shared" si="26"/>
        <v>SLOW</v>
      </c>
      <c r="F1676" t="s">
        <v>19</v>
      </c>
      <c r="G1676" t="s">
        <v>3698</v>
      </c>
      <c r="H1676" t="s">
        <v>3699</v>
      </c>
      <c r="I1676" t="s">
        <v>22</v>
      </c>
      <c r="J1676" t="s">
        <v>23</v>
      </c>
      <c r="K1676" t="s">
        <v>260</v>
      </c>
      <c r="L1676" t="s">
        <v>261</v>
      </c>
      <c r="M1676">
        <v>10035</v>
      </c>
      <c r="N1676" t="s">
        <v>144</v>
      </c>
      <c r="O1676" t="s">
        <v>3153</v>
      </c>
      <c r="P1676" t="s">
        <v>42</v>
      </c>
      <c r="Q1676" t="s">
        <v>86</v>
      </c>
      <c r="R1676" t="s">
        <v>182</v>
      </c>
      <c r="S1676">
        <v>9.9600000000000009</v>
      </c>
    </row>
    <row r="1677" spans="1:19" x14ac:dyDescent="0.35">
      <c r="A1677">
        <v>1704</v>
      </c>
      <c r="B1677" t="s">
        <v>4351</v>
      </c>
      <c r="C1677" s="1">
        <v>42037</v>
      </c>
      <c r="D1677" s="1">
        <v>42041</v>
      </c>
      <c r="E1677" s="1" t="str">
        <f t="shared" si="26"/>
        <v>FAST</v>
      </c>
      <c r="F1677" t="s">
        <v>46</v>
      </c>
      <c r="G1677" t="s">
        <v>4352</v>
      </c>
      <c r="H1677" t="s">
        <v>4353</v>
      </c>
      <c r="I1677" t="s">
        <v>98</v>
      </c>
      <c r="J1677" t="s">
        <v>23</v>
      </c>
      <c r="K1677" t="s">
        <v>935</v>
      </c>
      <c r="L1677" t="s">
        <v>39</v>
      </c>
      <c r="M1677">
        <v>92037</v>
      </c>
      <c r="N1677" t="s">
        <v>40</v>
      </c>
      <c r="O1677" t="s">
        <v>4354</v>
      </c>
      <c r="P1677" t="s">
        <v>42</v>
      </c>
      <c r="Q1677" t="s">
        <v>263</v>
      </c>
      <c r="R1677" t="s">
        <v>550</v>
      </c>
      <c r="S1677">
        <v>12.35</v>
      </c>
    </row>
    <row r="1678" spans="1:19" x14ac:dyDescent="0.35">
      <c r="A1678">
        <v>1705</v>
      </c>
      <c r="B1678" t="s">
        <v>4355</v>
      </c>
      <c r="C1678" s="1">
        <v>42802</v>
      </c>
      <c r="D1678" s="1">
        <v>42802</v>
      </c>
      <c r="E1678" s="1" t="str">
        <f t="shared" si="26"/>
        <v>MODERATE</v>
      </c>
      <c r="F1678" t="s">
        <v>1276</v>
      </c>
      <c r="G1678" t="s">
        <v>2539</v>
      </c>
      <c r="H1678" t="s">
        <v>2540</v>
      </c>
      <c r="I1678" t="s">
        <v>22</v>
      </c>
      <c r="J1678" t="s">
        <v>23</v>
      </c>
      <c r="K1678" t="s">
        <v>3906</v>
      </c>
      <c r="L1678" t="s">
        <v>304</v>
      </c>
      <c r="M1678">
        <v>85301</v>
      </c>
      <c r="N1678" t="s">
        <v>40</v>
      </c>
      <c r="O1678" t="s">
        <v>3210</v>
      </c>
      <c r="P1678" t="s">
        <v>42</v>
      </c>
      <c r="Q1678" t="s">
        <v>71</v>
      </c>
      <c r="R1678" t="s">
        <v>3211</v>
      </c>
      <c r="S1678">
        <v>9.702</v>
      </c>
    </row>
    <row r="1679" spans="1:19" x14ac:dyDescent="0.35">
      <c r="A1679">
        <v>1706</v>
      </c>
      <c r="B1679" t="s">
        <v>4356</v>
      </c>
      <c r="C1679" s="1">
        <v>42696</v>
      </c>
      <c r="D1679" s="1">
        <v>42700</v>
      </c>
      <c r="E1679" s="1" t="str">
        <f t="shared" si="26"/>
        <v>FAST</v>
      </c>
      <c r="F1679" t="s">
        <v>46</v>
      </c>
      <c r="G1679" t="s">
        <v>89</v>
      </c>
      <c r="H1679" t="s">
        <v>90</v>
      </c>
      <c r="I1679" t="s">
        <v>22</v>
      </c>
      <c r="J1679" t="s">
        <v>23</v>
      </c>
      <c r="K1679" t="s">
        <v>142</v>
      </c>
      <c r="L1679" t="s">
        <v>143</v>
      </c>
      <c r="M1679">
        <v>19120</v>
      </c>
      <c r="N1679" t="s">
        <v>144</v>
      </c>
      <c r="O1679" t="s">
        <v>2361</v>
      </c>
      <c r="P1679" t="s">
        <v>42</v>
      </c>
      <c r="Q1679" t="s">
        <v>71</v>
      </c>
      <c r="R1679" t="s">
        <v>2362</v>
      </c>
      <c r="S1679">
        <v>11.61</v>
      </c>
    </row>
    <row r="1680" spans="1:19" x14ac:dyDescent="0.35">
      <c r="A1680">
        <v>1707</v>
      </c>
      <c r="B1680" t="s">
        <v>4357</v>
      </c>
      <c r="C1680" s="1">
        <v>43403</v>
      </c>
      <c r="D1680" s="1">
        <v>43409</v>
      </c>
      <c r="E1680" s="1" t="str">
        <f t="shared" si="26"/>
        <v>FAST</v>
      </c>
      <c r="F1680" t="s">
        <v>46</v>
      </c>
      <c r="G1680" t="s">
        <v>4358</v>
      </c>
      <c r="H1680" t="s">
        <v>4359</v>
      </c>
      <c r="I1680" t="s">
        <v>22</v>
      </c>
      <c r="J1680" t="s">
        <v>23</v>
      </c>
      <c r="K1680" t="s">
        <v>123</v>
      </c>
      <c r="L1680" t="s">
        <v>39</v>
      </c>
      <c r="M1680">
        <v>94122</v>
      </c>
      <c r="N1680" t="s">
        <v>40</v>
      </c>
      <c r="O1680" t="s">
        <v>4360</v>
      </c>
      <c r="P1680" t="s">
        <v>42</v>
      </c>
      <c r="Q1680" t="s">
        <v>43</v>
      </c>
      <c r="R1680" t="s">
        <v>4361</v>
      </c>
      <c r="S1680">
        <v>43.86</v>
      </c>
    </row>
    <row r="1681" spans="1:19" x14ac:dyDescent="0.35">
      <c r="A1681">
        <v>1708</v>
      </c>
      <c r="B1681" t="s">
        <v>4357</v>
      </c>
      <c r="C1681" s="1">
        <v>43403</v>
      </c>
      <c r="D1681" s="1">
        <v>43409</v>
      </c>
      <c r="E1681" s="1" t="str">
        <f t="shared" si="26"/>
        <v>FAST</v>
      </c>
      <c r="F1681" t="s">
        <v>46</v>
      </c>
      <c r="G1681" t="s">
        <v>4358</v>
      </c>
      <c r="H1681" t="s">
        <v>4359</v>
      </c>
      <c r="I1681" t="s">
        <v>22</v>
      </c>
      <c r="J1681" t="s">
        <v>23</v>
      </c>
      <c r="K1681" t="s">
        <v>123</v>
      </c>
      <c r="L1681" t="s">
        <v>39</v>
      </c>
      <c r="M1681">
        <v>94122</v>
      </c>
      <c r="N1681" t="s">
        <v>40</v>
      </c>
      <c r="O1681" t="s">
        <v>3529</v>
      </c>
      <c r="P1681" t="s">
        <v>67</v>
      </c>
      <c r="Q1681" t="s">
        <v>68</v>
      </c>
      <c r="R1681" t="s">
        <v>3530</v>
      </c>
      <c r="S1681">
        <v>148.47999999999999</v>
      </c>
    </row>
    <row r="1682" spans="1:19" x14ac:dyDescent="0.35">
      <c r="A1682">
        <v>1710</v>
      </c>
      <c r="B1682" t="s">
        <v>4357</v>
      </c>
      <c r="C1682" s="1">
        <v>43403</v>
      </c>
      <c r="D1682" s="1">
        <v>43409</v>
      </c>
      <c r="E1682" s="1" t="str">
        <f t="shared" si="26"/>
        <v>FAST</v>
      </c>
      <c r="F1682" t="s">
        <v>46</v>
      </c>
      <c r="G1682" t="s">
        <v>4358</v>
      </c>
      <c r="H1682" t="s">
        <v>4359</v>
      </c>
      <c r="I1682" t="s">
        <v>22</v>
      </c>
      <c r="J1682" t="s">
        <v>23</v>
      </c>
      <c r="K1682" t="s">
        <v>123</v>
      </c>
      <c r="L1682" t="s">
        <v>39</v>
      </c>
      <c r="M1682">
        <v>94122</v>
      </c>
      <c r="N1682" t="s">
        <v>40</v>
      </c>
      <c r="O1682" t="s">
        <v>255</v>
      </c>
      <c r="P1682" t="s">
        <v>28</v>
      </c>
      <c r="Q1682" t="s">
        <v>32</v>
      </c>
      <c r="R1682" t="s">
        <v>256</v>
      </c>
      <c r="S1682">
        <v>71.992000000000004</v>
      </c>
    </row>
    <row r="1683" spans="1:19" x14ac:dyDescent="0.35">
      <c r="A1683">
        <v>1712</v>
      </c>
      <c r="B1683" t="s">
        <v>4357</v>
      </c>
      <c r="C1683" s="1">
        <v>43403</v>
      </c>
      <c r="D1683" s="1">
        <v>43409</v>
      </c>
      <c r="E1683" s="1" t="str">
        <f t="shared" si="26"/>
        <v>FAST</v>
      </c>
      <c r="F1683" t="s">
        <v>46</v>
      </c>
      <c r="G1683" t="s">
        <v>4358</v>
      </c>
      <c r="H1683" t="s">
        <v>4359</v>
      </c>
      <c r="I1683" t="s">
        <v>22</v>
      </c>
      <c r="J1683" t="s">
        <v>23</v>
      </c>
      <c r="K1683" t="s">
        <v>123</v>
      </c>
      <c r="L1683" t="s">
        <v>39</v>
      </c>
      <c r="M1683">
        <v>94122</v>
      </c>
      <c r="N1683" t="s">
        <v>40</v>
      </c>
      <c r="O1683" t="s">
        <v>702</v>
      </c>
      <c r="P1683" t="s">
        <v>42</v>
      </c>
      <c r="Q1683" t="s">
        <v>74</v>
      </c>
      <c r="R1683" t="s">
        <v>703</v>
      </c>
      <c r="S1683">
        <v>1702.12</v>
      </c>
    </row>
    <row r="1684" spans="1:19" x14ac:dyDescent="0.35">
      <c r="A1684">
        <v>1713</v>
      </c>
      <c r="B1684" t="s">
        <v>4362</v>
      </c>
      <c r="C1684" s="1">
        <v>42399</v>
      </c>
      <c r="D1684" s="1">
        <v>42404</v>
      </c>
      <c r="E1684" s="1" t="str">
        <f t="shared" si="26"/>
        <v>FAST</v>
      </c>
      <c r="F1684" t="s">
        <v>46</v>
      </c>
      <c r="G1684" t="s">
        <v>1607</v>
      </c>
      <c r="H1684" t="s">
        <v>1608</v>
      </c>
      <c r="I1684" t="s">
        <v>22</v>
      </c>
      <c r="J1684" t="s">
        <v>23</v>
      </c>
      <c r="K1684" t="s">
        <v>180</v>
      </c>
      <c r="L1684" t="s">
        <v>100</v>
      </c>
      <c r="M1684">
        <v>77070</v>
      </c>
      <c r="N1684" t="s">
        <v>101</v>
      </c>
      <c r="O1684" t="s">
        <v>4363</v>
      </c>
      <c r="P1684" t="s">
        <v>42</v>
      </c>
      <c r="Q1684" t="s">
        <v>86</v>
      </c>
      <c r="R1684" t="s">
        <v>4364</v>
      </c>
      <c r="S1684">
        <v>14.304</v>
      </c>
    </row>
    <row r="1685" spans="1:19" x14ac:dyDescent="0.35">
      <c r="A1685">
        <v>1714</v>
      </c>
      <c r="B1685" t="s">
        <v>4365</v>
      </c>
      <c r="C1685" s="1">
        <v>43351</v>
      </c>
      <c r="D1685" s="1">
        <v>43356</v>
      </c>
      <c r="E1685" s="1" t="str">
        <f t="shared" si="26"/>
        <v>SLOW</v>
      </c>
      <c r="F1685" t="s">
        <v>19</v>
      </c>
      <c r="G1685" t="s">
        <v>4285</v>
      </c>
      <c r="H1685" t="s">
        <v>4286</v>
      </c>
      <c r="I1685" t="s">
        <v>22</v>
      </c>
      <c r="J1685" t="s">
        <v>23</v>
      </c>
      <c r="K1685" t="s">
        <v>297</v>
      </c>
      <c r="L1685" t="s">
        <v>205</v>
      </c>
      <c r="M1685">
        <v>60610</v>
      </c>
      <c r="N1685" t="s">
        <v>101</v>
      </c>
      <c r="O1685" t="s">
        <v>795</v>
      </c>
      <c r="P1685" t="s">
        <v>28</v>
      </c>
      <c r="Q1685" t="s">
        <v>52</v>
      </c>
      <c r="R1685" t="s">
        <v>796</v>
      </c>
      <c r="S1685">
        <v>765.625</v>
      </c>
    </row>
    <row r="1686" spans="1:19" x14ac:dyDescent="0.35">
      <c r="A1686">
        <v>1715</v>
      </c>
      <c r="B1686" t="s">
        <v>4366</v>
      </c>
      <c r="C1686" s="1">
        <v>43380</v>
      </c>
      <c r="D1686" s="1">
        <v>43386</v>
      </c>
      <c r="E1686" s="1" t="str">
        <f t="shared" si="26"/>
        <v>FAST</v>
      </c>
      <c r="F1686" t="s">
        <v>46</v>
      </c>
      <c r="G1686" t="s">
        <v>2376</v>
      </c>
      <c r="H1686" t="s">
        <v>2377</v>
      </c>
      <c r="I1686" t="s">
        <v>22</v>
      </c>
      <c r="J1686" t="s">
        <v>23</v>
      </c>
      <c r="K1686" t="s">
        <v>123</v>
      </c>
      <c r="L1686" t="s">
        <v>39</v>
      </c>
      <c r="M1686">
        <v>94110</v>
      </c>
      <c r="N1686" t="s">
        <v>40</v>
      </c>
      <c r="O1686" t="s">
        <v>4367</v>
      </c>
      <c r="P1686" t="s">
        <v>28</v>
      </c>
      <c r="Q1686" t="s">
        <v>29</v>
      </c>
      <c r="R1686" t="s">
        <v>4368</v>
      </c>
      <c r="S1686">
        <v>307.666</v>
      </c>
    </row>
    <row r="1687" spans="1:19" x14ac:dyDescent="0.35">
      <c r="A1687">
        <v>1716</v>
      </c>
      <c r="B1687" t="s">
        <v>4369</v>
      </c>
      <c r="C1687" s="1">
        <v>42855</v>
      </c>
      <c r="D1687" s="1">
        <v>42859</v>
      </c>
      <c r="E1687" s="1" t="str">
        <f t="shared" si="26"/>
        <v>FAST</v>
      </c>
      <c r="F1687" t="s">
        <v>46</v>
      </c>
      <c r="G1687" t="s">
        <v>2094</v>
      </c>
      <c r="H1687" t="s">
        <v>2095</v>
      </c>
      <c r="I1687" t="s">
        <v>22</v>
      </c>
      <c r="J1687" t="s">
        <v>23</v>
      </c>
      <c r="K1687" t="s">
        <v>260</v>
      </c>
      <c r="L1687" t="s">
        <v>261</v>
      </c>
      <c r="M1687">
        <v>10011</v>
      </c>
      <c r="N1687" t="s">
        <v>144</v>
      </c>
      <c r="O1687" t="s">
        <v>1211</v>
      </c>
      <c r="P1687" t="s">
        <v>42</v>
      </c>
      <c r="Q1687" t="s">
        <v>71</v>
      </c>
      <c r="R1687" t="s">
        <v>1212</v>
      </c>
      <c r="S1687">
        <v>7.7119999999999997</v>
      </c>
    </row>
    <row r="1688" spans="1:19" x14ac:dyDescent="0.35">
      <c r="A1688">
        <v>1717</v>
      </c>
      <c r="B1688" t="s">
        <v>4370</v>
      </c>
      <c r="C1688" s="1">
        <v>42874</v>
      </c>
      <c r="D1688" s="1">
        <v>42879</v>
      </c>
      <c r="E1688" s="1" t="str">
        <f t="shared" si="26"/>
        <v>FAST</v>
      </c>
      <c r="F1688" t="s">
        <v>46</v>
      </c>
      <c r="G1688" t="s">
        <v>1734</v>
      </c>
      <c r="H1688" t="s">
        <v>1735</v>
      </c>
      <c r="I1688" t="s">
        <v>22</v>
      </c>
      <c r="J1688" t="s">
        <v>23</v>
      </c>
      <c r="K1688" t="s">
        <v>260</v>
      </c>
      <c r="L1688" t="s">
        <v>261</v>
      </c>
      <c r="M1688">
        <v>10011</v>
      </c>
      <c r="N1688" t="s">
        <v>144</v>
      </c>
      <c r="O1688" t="s">
        <v>2054</v>
      </c>
      <c r="P1688" t="s">
        <v>42</v>
      </c>
      <c r="Q1688" t="s">
        <v>74</v>
      </c>
      <c r="R1688" t="s">
        <v>2055</v>
      </c>
      <c r="S1688">
        <v>242.9</v>
      </c>
    </row>
    <row r="1689" spans="1:19" x14ac:dyDescent="0.35">
      <c r="A1689">
        <v>1718</v>
      </c>
      <c r="B1689" t="s">
        <v>4370</v>
      </c>
      <c r="C1689" s="1">
        <v>42874</v>
      </c>
      <c r="D1689" s="1">
        <v>42879</v>
      </c>
      <c r="E1689" s="1" t="str">
        <f t="shared" si="26"/>
        <v>FAST</v>
      </c>
      <c r="F1689" t="s">
        <v>46</v>
      </c>
      <c r="G1689" t="s">
        <v>1734</v>
      </c>
      <c r="H1689" t="s">
        <v>1735</v>
      </c>
      <c r="I1689" t="s">
        <v>22</v>
      </c>
      <c r="J1689" t="s">
        <v>23</v>
      </c>
      <c r="K1689" t="s">
        <v>260</v>
      </c>
      <c r="L1689" t="s">
        <v>261</v>
      </c>
      <c r="M1689">
        <v>10011</v>
      </c>
      <c r="N1689" t="s">
        <v>144</v>
      </c>
      <c r="O1689" t="s">
        <v>334</v>
      </c>
      <c r="P1689" t="s">
        <v>42</v>
      </c>
      <c r="Q1689" t="s">
        <v>55</v>
      </c>
      <c r="R1689" t="s">
        <v>335</v>
      </c>
      <c r="S1689">
        <v>454.9</v>
      </c>
    </row>
    <row r="1690" spans="1:19" x14ac:dyDescent="0.35">
      <c r="A1690">
        <v>1719</v>
      </c>
      <c r="B1690" t="s">
        <v>4370</v>
      </c>
      <c r="C1690" s="1">
        <v>42874</v>
      </c>
      <c r="D1690" s="1">
        <v>42879</v>
      </c>
      <c r="E1690" s="1" t="str">
        <f t="shared" si="26"/>
        <v>FAST</v>
      </c>
      <c r="F1690" t="s">
        <v>46</v>
      </c>
      <c r="G1690" t="s">
        <v>1734</v>
      </c>
      <c r="H1690" t="s">
        <v>1735</v>
      </c>
      <c r="I1690" t="s">
        <v>22</v>
      </c>
      <c r="J1690" t="s">
        <v>23</v>
      </c>
      <c r="K1690" t="s">
        <v>260</v>
      </c>
      <c r="L1690" t="s">
        <v>261</v>
      </c>
      <c r="M1690">
        <v>10011</v>
      </c>
      <c r="N1690" t="s">
        <v>144</v>
      </c>
      <c r="O1690" t="s">
        <v>4371</v>
      </c>
      <c r="P1690" t="s">
        <v>28</v>
      </c>
      <c r="Q1690" t="s">
        <v>61</v>
      </c>
      <c r="R1690" t="s">
        <v>4372</v>
      </c>
      <c r="S1690">
        <v>35.92</v>
      </c>
    </row>
    <row r="1691" spans="1:19" x14ac:dyDescent="0.35">
      <c r="A1691">
        <v>1720</v>
      </c>
      <c r="B1691" t="s">
        <v>4370</v>
      </c>
      <c r="C1691" s="1">
        <v>42874</v>
      </c>
      <c r="D1691" s="1">
        <v>42879</v>
      </c>
      <c r="E1691" s="1" t="str">
        <f t="shared" si="26"/>
        <v>FAST</v>
      </c>
      <c r="F1691" t="s">
        <v>46</v>
      </c>
      <c r="G1691" t="s">
        <v>1734</v>
      </c>
      <c r="H1691" t="s">
        <v>1735</v>
      </c>
      <c r="I1691" t="s">
        <v>22</v>
      </c>
      <c r="J1691" t="s">
        <v>23</v>
      </c>
      <c r="K1691" t="s">
        <v>260</v>
      </c>
      <c r="L1691" t="s">
        <v>261</v>
      </c>
      <c r="M1691">
        <v>10011</v>
      </c>
      <c r="N1691" t="s">
        <v>144</v>
      </c>
      <c r="O1691" t="s">
        <v>2025</v>
      </c>
      <c r="P1691" t="s">
        <v>28</v>
      </c>
      <c r="Q1691" t="s">
        <v>61</v>
      </c>
      <c r="R1691" t="s">
        <v>2026</v>
      </c>
      <c r="S1691">
        <v>39.76</v>
      </c>
    </row>
    <row r="1692" spans="1:19" x14ac:dyDescent="0.35">
      <c r="A1692">
        <v>1721</v>
      </c>
      <c r="B1692" t="s">
        <v>4370</v>
      </c>
      <c r="C1692" s="1">
        <v>42874</v>
      </c>
      <c r="D1692" s="1">
        <v>42879</v>
      </c>
      <c r="E1692" s="1" t="str">
        <f t="shared" si="26"/>
        <v>FAST</v>
      </c>
      <c r="F1692" t="s">
        <v>46</v>
      </c>
      <c r="G1692" t="s">
        <v>1734</v>
      </c>
      <c r="H1692" t="s">
        <v>1735</v>
      </c>
      <c r="I1692" t="s">
        <v>22</v>
      </c>
      <c r="J1692" t="s">
        <v>23</v>
      </c>
      <c r="K1692" t="s">
        <v>260</v>
      </c>
      <c r="L1692" t="s">
        <v>261</v>
      </c>
      <c r="M1692">
        <v>10011</v>
      </c>
      <c r="N1692" t="s">
        <v>144</v>
      </c>
      <c r="O1692" t="s">
        <v>2027</v>
      </c>
      <c r="P1692" t="s">
        <v>42</v>
      </c>
      <c r="Q1692" t="s">
        <v>71</v>
      </c>
      <c r="R1692" t="s">
        <v>2028</v>
      </c>
      <c r="S1692">
        <v>47.744</v>
      </c>
    </row>
    <row r="1693" spans="1:19" x14ac:dyDescent="0.35">
      <c r="A1693">
        <v>1722</v>
      </c>
      <c r="B1693" t="s">
        <v>4373</v>
      </c>
      <c r="C1693" s="1">
        <v>42724</v>
      </c>
      <c r="D1693" s="1">
        <v>42729</v>
      </c>
      <c r="E1693" s="1" t="str">
        <f t="shared" si="26"/>
        <v>FAST</v>
      </c>
      <c r="F1693" t="s">
        <v>46</v>
      </c>
      <c r="G1693" t="s">
        <v>416</v>
      </c>
      <c r="H1693" t="s">
        <v>417</v>
      </c>
      <c r="I1693" t="s">
        <v>22</v>
      </c>
      <c r="J1693" t="s">
        <v>23</v>
      </c>
      <c r="K1693" t="s">
        <v>297</v>
      </c>
      <c r="L1693" t="s">
        <v>205</v>
      </c>
      <c r="M1693">
        <v>60623</v>
      </c>
      <c r="N1693" t="s">
        <v>101</v>
      </c>
      <c r="O1693" t="s">
        <v>3234</v>
      </c>
      <c r="P1693" t="s">
        <v>67</v>
      </c>
      <c r="Q1693" t="s">
        <v>68</v>
      </c>
      <c r="R1693" t="s">
        <v>3235</v>
      </c>
      <c r="S1693">
        <v>159.98400000000001</v>
      </c>
    </row>
    <row r="1694" spans="1:19" x14ac:dyDescent="0.35">
      <c r="A1694">
        <v>1723</v>
      </c>
      <c r="B1694" t="s">
        <v>4373</v>
      </c>
      <c r="C1694" s="1">
        <v>42724</v>
      </c>
      <c r="D1694" s="1">
        <v>42729</v>
      </c>
      <c r="E1694" s="1" t="str">
        <f t="shared" si="26"/>
        <v>FAST</v>
      </c>
      <c r="F1694" t="s">
        <v>46</v>
      </c>
      <c r="G1694" t="s">
        <v>416</v>
      </c>
      <c r="H1694" t="s">
        <v>417</v>
      </c>
      <c r="I1694" t="s">
        <v>22</v>
      </c>
      <c r="J1694" t="s">
        <v>23</v>
      </c>
      <c r="K1694" t="s">
        <v>297</v>
      </c>
      <c r="L1694" t="s">
        <v>205</v>
      </c>
      <c r="M1694">
        <v>60623</v>
      </c>
      <c r="N1694" t="s">
        <v>101</v>
      </c>
      <c r="O1694" t="s">
        <v>4374</v>
      </c>
      <c r="P1694" t="s">
        <v>67</v>
      </c>
      <c r="Q1694" t="s">
        <v>157</v>
      </c>
      <c r="R1694" t="s">
        <v>4375</v>
      </c>
      <c r="S1694">
        <v>255.96799999999999</v>
      </c>
    </row>
    <row r="1695" spans="1:19" x14ac:dyDescent="0.35">
      <c r="A1695">
        <v>1724</v>
      </c>
      <c r="B1695" t="s">
        <v>4373</v>
      </c>
      <c r="C1695" s="1">
        <v>42724</v>
      </c>
      <c r="D1695" s="1">
        <v>42729</v>
      </c>
      <c r="E1695" s="1" t="str">
        <f t="shared" si="26"/>
        <v>FAST</v>
      </c>
      <c r="F1695" t="s">
        <v>46</v>
      </c>
      <c r="G1695" t="s">
        <v>416</v>
      </c>
      <c r="H1695" t="s">
        <v>417</v>
      </c>
      <c r="I1695" t="s">
        <v>22</v>
      </c>
      <c r="J1695" t="s">
        <v>23</v>
      </c>
      <c r="K1695" t="s">
        <v>297</v>
      </c>
      <c r="L1695" t="s">
        <v>205</v>
      </c>
      <c r="M1695">
        <v>60623</v>
      </c>
      <c r="N1695" t="s">
        <v>101</v>
      </c>
      <c r="O1695" t="s">
        <v>4376</v>
      </c>
      <c r="P1695" t="s">
        <v>28</v>
      </c>
      <c r="Q1695" t="s">
        <v>29</v>
      </c>
      <c r="R1695" t="s">
        <v>4377</v>
      </c>
      <c r="S1695">
        <v>359.05799999999999</v>
      </c>
    </row>
    <row r="1696" spans="1:19" x14ac:dyDescent="0.35">
      <c r="A1696">
        <v>1725</v>
      </c>
      <c r="B1696" t="s">
        <v>4378</v>
      </c>
      <c r="C1696" s="1">
        <v>42723</v>
      </c>
      <c r="D1696" s="1">
        <v>42724</v>
      </c>
      <c r="E1696" s="1" t="str">
        <f t="shared" si="26"/>
        <v>MODERATE</v>
      </c>
      <c r="F1696" t="s">
        <v>184</v>
      </c>
      <c r="G1696" t="s">
        <v>2244</v>
      </c>
      <c r="H1696" t="s">
        <v>2245</v>
      </c>
      <c r="I1696" t="s">
        <v>22</v>
      </c>
      <c r="J1696" t="s">
        <v>23</v>
      </c>
      <c r="K1696" t="s">
        <v>142</v>
      </c>
      <c r="L1696" t="s">
        <v>143</v>
      </c>
      <c r="M1696">
        <v>19143</v>
      </c>
      <c r="N1696" t="s">
        <v>144</v>
      </c>
      <c r="O1696" t="s">
        <v>4379</v>
      </c>
      <c r="P1696" t="s">
        <v>42</v>
      </c>
      <c r="Q1696" t="s">
        <v>74</v>
      </c>
      <c r="R1696" t="s">
        <v>4380</v>
      </c>
      <c r="S1696">
        <v>434.35199999999998</v>
      </c>
    </row>
    <row r="1697" spans="1:19" x14ac:dyDescent="0.35">
      <c r="A1697">
        <v>1726</v>
      </c>
      <c r="B1697" t="s">
        <v>4378</v>
      </c>
      <c r="C1697" s="1">
        <v>42723</v>
      </c>
      <c r="D1697" s="1">
        <v>42724</v>
      </c>
      <c r="E1697" s="1" t="str">
        <f t="shared" si="26"/>
        <v>MODERATE</v>
      </c>
      <c r="F1697" t="s">
        <v>184</v>
      </c>
      <c r="G1697" t="s">
        <v>2244</v>
      </c>
      <c r="H1697" t="s">
        <v>2245</v>
      </c>
      <c r="I1697" t="s">
        <v>22</v>
      </c>
      <c r="J1697" t="s">
        <v>23</v>
      </c>
      <c r="K1697" t="s">
        <v>142</v>
      </c>
      <c r="L1697" t="s">
        <v>143</v>
      </c>
      <c r="M1697">
        <v>19143</v>
      </c>
      <c r="N1697" t="s">
        <v>144</v>
      </c>
      <c r="O1697" t="s">
        <v>4381</v>
      </c>
      <c r="P1697" t="s">
        <v>42</v>
      </c>
      <c r="Q1697" t="s">
        <v>74</v>
      </c>
      <c r="R1697" t="s">
        <v>4382</v>
      </c>
      <c r="S1697">
        <v>3.552</v>
      </c>
    </row>
    <row r="1698" spans="1:19" x14ac:dyDescent="0.35">
      <c r="A1698">
        <v>1727</v>
      </c>
      <c r="B1698" t="s">
        <v>4378</v>
      </c>
      <c r="C1698" s="1">
        <v>42723</v>
      </c>
      <c r="D1698" s="1">
        <v>42724</v>
      </c>
      <c r="E1698" s="1" t="str">
        <f t="shared" si="26"/>
        <v>MODERATE</v>
      </c>
      <c r="F1698" t="s">
        <v>184</v>
      </c>
      <c r="G1698" t="s">
        <v>2244</v>
      </c>
      <c r="H1698" t="s">
        <v>2245</v>
      </c>
      <c r="I1698" t="s">
        <v>22</v>
      </c>
      <c r="J1698" t="s">
        <v>23</v>
      </c>
      <c r="K1698" t="s">
        <v>142</v>
      </c>
      <c r="L1698" t="s">
        <v>143</v>
      </c>
      <c r="M1698">
        <v>19143</v>
      </c>
      <c r="N1698" t="s">
        <v>144</v>
      </c>
      <c r="O1698" t="s">
        <v>4383</v>
      </c>
      <c r="P1698" t="s">
        <v>42</v>
      </c>
      <c r="Q1698" t="s">
        <v>74</v>
      </c>
      <c r="R1698" t="s">
        <v>4384</v>
      </c>
      <c r="S1698">
        <v>88.831999999999994</v>
      </c>
    </row>
    <row r="1699" spans="1:19" x14ac:dyDescent="0.35">
      <c r="A1699">
        <v>1728</v>
      </c>
      <c r="B1699" t="s">
        <v>4385</v>
      </c>
      <c r="C1699" s="1">
        <v>43219</v>
      </c>
      <c r="D1699" s="1">
        <v>43224</v>
      </c>
      <c r="E1699" s="1" t="str">
        <f t="shared" si="26"/>
        <v>SLOW</v>
      </c>
      <c r="F1699" t="s">
        <v>19</v>
      </c>
      <c r="G1699" t="s">
        <v>4386</v>
      </c>
      <c r="H1699" t="s">
        <v>4387</v>
      </c>
      <c r="I1699" t="s">
        <v>37</v>
      </c>
      <c r="J1699" t="s">
        <v>23</v>
      </c>
      <c r="K1699" t="s">
        <v>853</v>
      </c>
      <c r="L1699" t="s">
        <v>485</v>
      </c>
      <c r="M1699">
        <v>43017</v>
      </c>
      <c r="N1699" t="s">
        <v>144</v>
      </c>
      <c r="O1699" t="s">
        <v>4388</v>
      </c>
      <c r="P1699" t="s">
        <v>28</v>
      </c>
      <c r="Q1699" t="s">
        <v>52</v>
      </c>
      <c r="R1699" t="s">
        <v>4389</v>
      </c>
      <c r="S1699">
        <v>1048.3499999999999</v>
      </c>
    </row>
    <row r="1700" spans="1:19" x14ac:dyDescent="0.35">
      <c r="A1700">
        <v>1729</v>
      </c>
      <c r="B1700" t="s">
        <v>4390</v>
      </c>
      <c r="C1700" s="1">
        <v>42773</v>
      </c>
      <c r="D1700" s="1">
        <v>42773</v>
      </c>
      <c r="E1700" s="1" t="str">
        <f t="shared" si="26"/>
        <v>MODERATE</v>
      </c>
      <c r="F1700" t="s">
        <v>1276</v>
      </c>
      <c r="G1700" t="s">
        <v>2032</v>
      </c>
      <c r="H1700" t="s">
        <v>2033</v>
      </c>
      <c r="I1700" t="s">
        <v>22</v>
      </c>
      <c r="J1700" t="s">
        <v>23</v>
      </c>
      <c r="K1700" t="s">
        <v>312</v>
      </c>
      <c r="L1700" t="s">
        <v>313</v>
      </c>
      <c r="M1700">
        <v>22153</v>
      </c>
      <c r="N1700" t="s">
        <v>26</v>
      </c>
      <c r="O1700" t="s">
        <v>4219</v>
      </c>
      <c r="P1700" t="s">
        <v>67</v>
      </c>
      <c r="Q1700" t="s">
        <v>157</v>
      </c>
      <c r="R1700" t="s">
        <v>4220</v>
      </c>
      <c r="S1700">
        <v>100</v>
      </c>
    </row>
    <row r="1701" spans="1:19" x14ac:dyDescent="0.35">
      <c r="A1701">
        <v>1730</v>
      </c>
      <c r="B1701" t="s">
        <v>4390</v>
      </c>
      <c r="C1701" s="1">
        <v>42773</v>
      </c>
      <c r="D1701" s="1">
        <v>42773</v>
      </c>
      <c r="E1701" s="1" t="str">
        <f t="shared" si="26"/>
        <v>MODERATE</v>
      </c>
      <c r="F1701" t="s">
        <v>1276</v>
      </c>
      <c r="G1701" t="s">
        <v>2032</v>
      </c>
      <c r="H1701" t="s">
        <v>2033</v>
      </c>
      <c r="I1701" t="s">
        <v>22</v>
      </c>
      <c r="J1701" t="s">
        <v>23</v>
      </c>
      <c r="K1701" t="s">
        <v>312</v>
      </c>
      <c r="L1701" t="s">
        <v>313</v>
      </c>
      <c r="M1701">
        <v>22153</v>
      </c>
      <c r="N1701" t="s">
        <v>26</v>
      </c>
      <c r="O1701" t="s">
        <v>2744</v>
      </c>
      <c r="P1701" t="s">
        <v>42</v>
      </c>
      <c r="Q1701" t="s">
        <v>43</v>
      </c>
      <c r="R1701" t="s">
        <v>2745</v>
      </c>
      <c r="S1701">
        <v>7.83</v>
      </c>
    </row>
    <row r="1702" spans="1:19" x14ac:dyDescent="0.35">
      <c r="A1702">
        <v>1731</v>
      </c>
      <c r="B1702" t="s">
        <v>4391</v>
      </c>
      <c r="C1702" s="1">
        <v>42275</v>
      </c>
      <c r="D1702" s="1">
        <v>42280</v>
      </c>
      <c r="E1702" s="1" t="str">
        <f t="shared" si="26"/>
        <v>FAST</v>
      </c>
      <c r="F1702" t="s">
        <v>46</v>
      </c>
      <c r="G1702" t="s">
        <v>3903</v>
      </c>
      <c r="H1702" t="s">
        <v>3904</v>
      </c>
      <c r="I1702" t="s">
        <v>37</v>
      </c>
      <c r="J1702" t="s">
        <v>23</v>
      </c>
      <c r="K1702" t="s">
        <v>1686</v>
      </c>
      <c r="L1702" t="s">
        <v>84</v>
      </c>
      <c r="M1702">
        <v>28314</v>
      </c>
      <c r="N1702" t="s">
        <v>26</v>
      </c>
      <c r="O1702" t="s">
        <v>4392</v>
      </c>
      <c r="P1702" t="s">
        <v>42</v>
      </c>
      <c r="Q1702" t="s">
        <v>86</v>
      </c>
      <c r="R1702" t="s">
        <v>4393</v>
      </c>
      <c r="S1702">
        <v>96.256</v>
      </c>
    </row>
    <row r="1703" spans="1:19" x14ac:dyDescent="0.35">
      <c r="A1703">
        <v>1732</v>
      </c>
      <c r="B1703" t="s">
        <v>4391</v>
      </c>
      <c r="C1703" s="1">
        <v>42275</v>
      </c>
      <c r="D1703" s="1">
        <v>42280</v>
      </c>
      <c r="E1703" s="1" t="str">
        <f t="shared" si="26"/>
        <v>FAST</v>
      </c>
      <c r="F1703" t="s">
        <v>46</v>
      </c>
      <c r="G1703" t="s">
        <v>3903</v>
      </c>
      <c r="H1703" t="s">
        <v>3904</v>
      </c>
      <c r="I1703" t="s">
        <v>37</v>
      </c>
      <c r="J1703" t="s">
        <v>23</v>
      </c>
      <c r="K1703" t="s">
        <v>1686</v>
      </c>
      <c r="L1703" t="s">
        <v>84</v>
      </c>
      <c r="M1703">
        <v>28314</v>
      </c>
      <c r="N1703" t="s">
        <v>26</v>
      </c>
      <c r="O1703" t="s">
        <v>555</v>
      </c>
      <c r="P1703" t="s">
        <v>42</v>
      </c>
      <c r="Q1703" t="s">
        <v>86</v>
      </c>
      <c r="R1703" t="s">
        <v>556</v>
      </c>
      <c r="S1703">
        <v>10.688000000000001</v>
      </c>
    </row>
    <row r="1704" spans="1:19" x14ac:dyDescent="0.35">
      <c r="A1704">
        <v>1733</v>
      </c>
      <c r="B1704" t="s">
        <v>4394</v>
      </c>
      <c r="C1704" s="1">
        <v>42926</v>
      </c>
      <c r="D1704" s="1">
        <v>42930</v>
      </c>
      <c r="E1704" s="1" t="str">
        <f t="shared" si="26"/>
        <v>FAST</v>
      </c>
      <c r="F1704" t="s">
        <v>46</v>
      </c>
      <c r="G1704" t="s">
        <v>928</v>
      </c>
      <c r="H1704" t="s">
        <v>929</v>
      </c>
      <c r="I1704" t="s">
        <v>22</v>
      </c>
      <c r="J1704" t="s">
        <v>23</v>
      </c>
      <c r="K1704" t="s">
        <v>802</v>
      </c>
      <c r="L1704" t="s">
        <v>100</v>
      </c>
      <c r="M1704">
        <v>75081</v>
      </c>
      <c r="N1704" t="s">
        <v>101</v>
      </c>
      <c r="O1704" t="s">
        <v>1632</v>
      </c>
      <c r="P1704" t="s">
        <v>42</v>
      </c>
      <c r="Q1704" t="s">
        <v>55</v>
      </c>
      <c r="R1704" t="s">
        <v>1633</v>
      </c>
      <c r="S1704">
        <v>338.04</v>
      </c>
    </row>
    <row r="1705" spans="1:19" x14ac:dyDescent="0.35">
      <c r="A1705">
        <v>1734</v>
      </c>
      <c r="B1705" t="s">
        <v>4394</v>
      </c>
      <c r="C1705" s="1">
        <v>42926</v>
      </c>
      <c r="D1705" s="1">
        <v>42930</v>
      </c>
      <c r="E1705" s="1" t="str">
        <f t="shared" si="26"/>
        <v>FAST</v>
      </c>
      <c r="F1705" t="s">
        <v>46</v>
      </c>
      <c r="G1705" t="s">
        <v>928</v>
      </c>
      <c r="H1705" t="s">
        <v>929</v>
      </c>
      <c r="I1705" t="s">
        <v>22</v>
      </c>
      <c r="J1705" t="s">
        <v>23</v>
      </c>
      <c r="K1705" t="s">
        <v>802</v>
      </c>
      <c r="L1705" t="s">
        <v>100</v>
      </c>
      <c r="M1705">
        <v>75081</v>
      </c>
      <c r="N1705" t="s">
        <v>101</v>
      </c>
      <c r="O1705" t="s">
        <v>1110</v>
      </c>
      <c r="P1705" t="s">
        <v>42</v>
      </c>
      <c r="Q1705" t="s">
        <v>64</v>
      </c>
      <c r="R1705" t="s">
        <v>1111</v>
      </c>
      <c r="S1705">
        <v>154.24</v>
      </c>
    </row>
    <row r="1706" spans="1:19" x14ac:dyDescent="0.35">
      <c r="A1706">
        <v>1735</v>
      </c>
      <c r="B1706" t="s">
        <v>4395</v>
      </c>
      <c r="C1706" s="1">
        <v>43310</v>
      </c>
      <c r="D1706" s="1">
        <v>43313</v>
      </c>
      <c r="E1706" s="1" t="str">
        <f t="shared" si="26"/>
        <v>SLOW</v>
      </c>
      <c r="F1706" t="s">
        <v>19</v>
      </c>
      <c r="G1706" t="s">
        <v>1391</v>
      </c>
      <c r="H1706" t="s">
        <v>1392</v>
      </c>
      <c r="I1706" t="s">
        <v>22</v>
      </c>
      <c r="J1706" t="s">
        <v>23</v>
      </c>
      <c r="K1706" t="s">
        <v>1505</v>
      </c>
      <c r="L1706" t="s">
        <v>84</v>
      </c>
      <c r="M1706">
        <v>28540</v>
      </c>
      <c r="N1706" t="s">
        <v>26</v>
      </c>
      <c r="O1706" t="s">
        <v>4396</v>
      </c>
      <c r="P1706" t="s">
        <v>42</v>
      </c>
      <c r="Q1706" t="s">
        <v>74</v>
      </c>
      <c r="R1706" t="s">
        <v>4397</v>
      </c>
      <c r="S1706">
        <v>34.847999999999999</v>
      </c>
    </row>
    <row r="1707" spans="1:19" x14ac:dyDescent="0.35">
      <c r="A1707">
        <v>1736</v>
      </c>
      <c r="B1707" t="s">
        <v>4395</v>
      </c>
      <c r="C1707" s="1">
        <v>43310</v>
      </c>
      <c r="D1707" s="1">
        <v>43313</v>
      </c>
      <c r="E1707" s="1" t="str">
        <f t="shared" si="26"/>
        <v>SLOW</v>
      </c>
      <c r="F1707" t="s">
        <v>19</v>
      </c>
      <c r="G1707" t="s">
        <v>1391</v>
      </c>
      <c r="H1707" t="s">
        <v>1392</v>
      </c>
      <c r="I1707" t="s">
        <v>22</v>
      </c>
      <c r="J1707" t="s">
        <v>23</v>
      </c>
      <c r="K1707" t="s">
        <v>1505</v>
      </c>
      <c r="L1707" t="s">
        <v>84</v>
      </c>
      <c r="M1707">
        <v>28540</v>
      </c>
      <c r="N1707" t="s">
        <v>26</v>
      </c>
      <c r="O1707" t="s">
        <v>3441</v>
      </c>
      <c r="P1707" t="s">
        <v>67</v>
      </c>
      <c r="Q1707" t="s">
        <v>68</v>
      </c>
      <c r="R1707" t="s">
        <v>3442</v>
      </c>
      <c r="S1707">
        <v>22</v>
      </c>
    </row>
    <row r="1708" spans="1:19" x14ac:dyDescent="0.35">
      <c r="A1708">
        <v>1737</v>
      </c>
      <c r="B1708" t="s">
        <v>4395</v>
      </c>
      <c r="C1708" s="1">
        <v>43310</v>
      </c>
      <c r="D1708" s="1">
        <v>43313</v>
      </c>
      <c r="E1708" s="1" t="str">
        <f t="shared" si="26"/>
        <v>SLOW</v>
      </c>
      <c r="F1708" t="s">
        <v>19</v>
      </c>
      <c r="G1708" t="s">
        <v>1391</v>
      </c>
      <c r="H1708" t="s">
        <v>1392</v>
      </c>
      <c r="I1708" t="s">
        <v>22</v>
      </c>
      <c r="J1708" t="s">
        <v>23</v>
      </c>
      <c r="K1708" t="s">
        <v>1505</v>
      </c>
      <c r="L1708" t="s">
        <v>84</v>
      </c>
      <c r="M1708">
        <v>28540</v>
      </c>
      <c r="N1708" t="s">
        <v>26</v>
      </c>
      <c r="O1708" t="s">
        <v>63</v>
      </c>
      <c r="P1708" t="s">
        <v>42</v>
      </c>
      <c r="Q1708" t="s">
        <v>64</v>
      </c>
      <c r="R1708" t="s">
        <v>65</v>
      </c>
      <c r="S1708">
        <v>4.3680000000000003</v>
      </c>
    </row>
    <row r="1709" spans="1:19" x14ac:dyDescent="0.35">
      <c r="A1709">
        <v>1738</v>
      </c>
      <c r="B1709" t="s">
        <v>4398</v>
      </c>
      <c r="C1709" s="1">
        <v>42616</v>
      </c>
      <c r="D1709" s="1">
        <v>42622</v>
      </c>
      <c r="E1709" s="1" t="str">
        <f t="shared" si="26"/>
        <v>FAST</v>
      </c>
      <c r="F1709" t="s">
        <v>46</v>
      </c>
      <c r="G1709" t="s">
        <v>897</v>
      </c>
      <c r="H1709" t="s">
        <v>898</v>
      </c>
      <c r="I1709" t="s">
        <v>37</v>
      </c>
      <c r="J1709" t="s">
        <v>23</v>
      </c>
      <c r="K1709" t="s">
        <v>123</v>
      </c>
      <c r="L1709" t="s">
        <v>39</v>
      </c>
      <c r="M1709">
        <v>94122</v>
      </c>
      <c r="N1709" t="s">
        <v>40</v>
      </c>
      <c r="O1709" t="s">
        <v>1804</v>
      </c>
      <c r="P1709" t="s">
        <v>42</v>
      </c>
      <c r="Q1709" t="s">
        <v>55</v>
      </c>
      <c r="R1709" t="s">
        <v>1805</v>
      </c>
      <c r="S1709">
        <v>31.44</v>
      </c>
    </row>
    <row r="1710" spans="1:19" x14ac:dyDescent="0.35">
      <c r="A1710">
        <v>1739</v>
      </c>
      <c r="B1710" t="s">
        <v>4398</v>
      </c>
      <c r="C1710" s="1">
        <v>42616</v>
      </c>
      <c r="D1710" s="1">
        <v>42622</v>
      </c>
      <c r="E1710" s="1" t="str">
        <f t="shared" si="26"/>
        <v>FAST</v>
      </c>
      <c r="F1710" t="s">
        <v>46</v>
      </c>
      <c r="G1710" t="s">
        <v>897</v>
      </c>
      <c r="H1710" t="s">
        <v>898</v>
      </c>
      <c r="I1710" t="s">
        <v>37</v>
      </c>
      <c r="J1710" t="s">
        <v>23</v>
      </c>
      <c r="K1710" t="s">
        <v>123</v>
      </c>
      <c r="L1710" t="s">
        <v>39</v>
      </c>
      <c r="M1710">
        <v>94122</v>
      </c>
      <c r="N1710" t="s">
        <v>40</v>
      </c>
      <c r="O1710" t="s">
        <v>4117</v>
      </c>
      <c r="P1710" t="s">
        <v>67</v>
      </c>
      <c r="Q1710" t="s">
        <v>157</v>
      </c>
      <c r="R1710" t="s">
        <v>4118</v>
      </c>
      <c r="S1710">
        <v>17.899999999999999</v>
      </c>
    </row>
    <row r="1711" spans="1:19" x14ac:dyDescent="0.35">
      <c r="A1711">
        <v>1740</v>
      </c>
      <c r="B1711" t="s">
        <v>4398</v>
      </c>
      <c r="C1711" s="1">
        <v>42616</v>
      </c>
      <c r="D1711" s="1">
        <v>42622</v>
      </c>
      <c r="E1711" s="1" t="str">
        <f t="shared" si="26"/>
        <v>FAST</v>
      </c>
      <c r="F1711" t="s">
        <v>46</v>
      </c>
      <c r="G1711" t="s">
        <v>897</v>
      </c>
      <c r="H1711" t="s">
        <v>898</v>
      </c>
      <c r="I1711" t="s">
        <v>37</v>
      </c>
      <c r="J1711" t="s">
        <v>23</v>
      </c>
      <c r="K1711" t="s">
        <v>123</v>
      </c>
      <c r="L1711" t="s">
        <v>39</v>
      </c>
      <c r="M1711">
        <v>94122</v>
      </c>
      <c r="N1711" t="s">
        <v>40</v>
      </c>
      <c r="O1711" t="s">
        <v>4399</v>
      </c>
      <c r="P1711" t="s">
        <v>67</v>
      </c>
      <c r="Q1711" t="s">
        <v>157</v>
      </c>
      <c r="R1711" t="s">
        <v>4400</v>
      </c>
      <c r="S1711">
        <v>129.44999999999999</v>
      </c>
    </row>
    <row r="1712" spans="1:19" x14ac:dyDescent="0.35">
      <c r="A1712">
        <v>1741</v>
      </c>
      <c r="B1712" t="s">
        <v>4401</v>
      </c>
      <c r="C1712" s="1">
        <v>42225</v>
      </c>
      <c r="D1712" s="1">
        <v>42232</v>
      </c>
      <c r="E1712" s="1" t="str">
        <f t="shared" si="26"/>
        <v>FAST</v>
      </c>
      <c r="F1712" t="s">
        <v>46</v>
      </c>
      <c r="G1712" t="s">
        <v>4402</v>
      </c>
      <c r="H1712" t="s">
        <v>4403</v>
      </c>
      <c r="I1712" t="s">
        <v>98</v>
      </c>
      <c r="J1712" t="s">
        <v>23</v>
      </c>
      <c r="K1712" t="s">
        <v>935</v>
      </c>
      <c r="L1712" t="s">
        <v>39</v>
      </c>
      <c r="M1712">
        <v>92037</v>
      </c>
      <c r="N1712" t="s">
        <v>40</v>
      </c>
      <c r="O1712" t="s">
        <v>3678</v>
      </c>
      <c r="P1712" t="s">
        <v>42</v>
      </c>
      <c r="Q1712" t="s">
        <v>43</v>
      </c>
      <c r="R1712" t="s">
        <v>3679</v>
      </c>
      <c r="S1712">
        <v>20.88</v>
      </c>
    </row>
    <row r="1713" spans="1:19" x14ac:dyDescent="0.35">
      <c r="A1713">
        <v>1742</v>
      </c>
      <c r="B1713" t="s">
        <v>4404</v>
      </c>
      <c r="C1713" s="1">
        <v>43403</v>
      </c>
      <c r="D1713" s="1">
        <v>43407</v>
      </c>
      <c r="E1713" s="1" t="str">
        <f t="shared" si="26"/>
        <v>FAST</v>
      </c>
      <c r="F1713" t="s">
        <v>46</v>
      </c>
      <c r="G1713" t="s">
        <v>4131</v>
      </c>
      <c r="H1713" t="s">
        <v>4132</v>
      </c>
      <c r="I1713" t="s">
        <v>22</v>
      </c>
      <c r="J1713" t="s">
        <v>23</v>
      </c>
      <c r="K1713" t="s">
        <v>142</v>
      </c>
      <c r="L1713" t="s">
        <v>143</v>
      </c>
      <c r="M1713">
        <v>19140</v>
      </c>
      <c r="N1713" t="s">
        <v>144</v>
      </c>
      <c r="O1713" t="s">
        <v>4405</v>
      </c>
      <c r="P1713" t="s">
        <v>42</v>
      </c>
      <c r="Q1713" t="s">
        <v>86</v>
      </c>
      <c r="R1713" t="s">
        <v>4406</v>
      </c>
      <c r="S1713">
        <v>20.736000000000001</v>
      </c>
    </row>
    <row r="1714" spans="1:19" x14ac:dyDescent="0.35">
      <c r="A1714">
        <v>1743</v>
      </c>
      <c r="B1714" t="s">
        <v>4404</v>
      </c>
      <c r="C1714" s="1">
        <v>43403</v>
      </c>
      <c r="D1714" s="1">
        <v>43407</v>
      </c>
      <c r="E1714" s="1" t="str">
        <f t="shared" si="26"/>
        <v>FAST</v>
      </c>
      <c r="F1714" t="s">
        <v>46</v>
      </c>
      <c r="G1714" t="s">
        <v>4131</v>
      </c>
      <c r="H1714" t="s">
        <v>4132</v>
      </c>
      <c r="I1714" t="s">
        <v>22</v>
      </c>
      <c r="J1714" t="s">
        <v>23</v>
      </c>
      <c r="K1714" t="s">
        <v>142</v>
      </c>
      <c r="L1714" t="s">
        <v>143</v>
      </c>
      <c r="M1714">
        <v>19140</v>
      </c>
      <c r="N1714" t="s">
        <v>144</v>
      </c>
      <c r="O1714" t="s">
        <v>4231</v>
      </c>
      <c r="P1714" t="s">
        <v>28</v>
      </c>
      <c r="Q1714" t="s">
        <v>61</v>
      </c>
      <c r="R1714" t="s">
        <v>4232</v>
      </c>
      <c r="S1714">
        <v>7.1680000000000001</v>
      </c>
    </row>
    <row r="1715" spans="1:19" x14ac:dyDescent="0.35">
      <c r="A1715">
        <v>1744</v>
      </c>
      <c r="B1715" t="s">
        <v>4404</v>
      </c>
      <c r="C1715" s="1">
        <v>43403</v>
      </c>
      <c r="D1715" s="1">
        <v>43407</v>
      </c>
      <c r="E1715" s="1" t="str">
        <f t="shared" si="26"/>
        <v>FAST</v>
      </c>
      <c r="F1715" t="s">
        <v>46</v>
      </c>
      <c r="G1715" t="s">
        <v>4131</v>
      </c>
      <c r="H1715" t="s">
        <v>4132</v>
      </c>
      <c r="I1715" t="s">
        <v>22</v>
      </c>
      <c r="J1715" t="s">
        <v>23</v>
      </c>
      <c r="K1715" t="s">
        <v>142</v>
      </c>
      <c r="L1715" t="s">
        <v>143</v>
      </c>
      <c r="M1715">
        <v>19140</v>
      </c>
      <c r="N1715" t="s">
        <v>144</v>
      </c>
      <c r="O1715" t="s">
        <v>2703</v>
      </c>
      <c r="P1715" t="s">
        <v>42</v>
      </c>
      <c r="Q1715" t="s">
        <v>55</v>
      </c>
      <c r="R1715" t="s">
        <v>2704</v>
      </c>
      <c r="S1715">
        <v>11.167999999999999</v>
      </c>
    </row>
    <row r="1716" spans="1:19" x14ac:dyDescent="0.35">
      <c r="A1716">
        <v>1745</v>
      </c>
      <c r="B1716" t="s">
        <v>4404</v>
      </c>
      <c r="C1716" s="1">
        <v>43403</v>
      </c>
      <c r="D1716" s="1">
        <v>43407</v>
      </c>
      <c r="E1716" s="1" t="str">
        <f t="shared" si="26"/>
        <v>FAST</v>
      </c>
      <c r="F1716" t="s">
        <v>46</v>
      </c>
      <c r="G1716" t="s">
        <v>4131</v>
      </c>
      <c r="H1716" t="s">
        <v>4132</v>
      </c>
      <c r="I1716" t="s">
        <v>22</v>
      </c>
      <c r="J1716" t="s">
        <v>23</v>
      </c>
      <c r="K1716" t="s">
        <v>142</v>
      </c>
      <c r="L1716" t="s">
        <v>143</v>
      </c>
      <c r="M1716">
        <v>19140</v>
      </c>
      <c r="N1716" t="s">
        <v>144</v>
      </c>
      <c r="O1716" t="s">
        <v>2123</v>
      </c>
      <c r="P1716" t="s">
        <v>67</v>
      </c>
      <c r="Q1716" t="s">
        <v>157</v>
      </c>
      <c r="R1716" t="s">
        <v>2124</v>
      </c>
      <c r="S1716">
        <v>442.4</v>
      </c>
    </row>
    <row r="1717" spans="1:19" x14ac:dyDescent="0.35">
      <c r="A1717">
        <v>1746</v>
      </c>
      <c r="B1717" t="s">
        <v>4407</v>
      </c>
      <c r="C1717" s="1">
        <v>42161</v>
      </c>
      <c r="D1717" s="1">
        <v>42164</v>
      </c>
      <c r="E1717" s="1" t="str">
        <f t="shared" si="26"/>
        <v>MODERATE</v>
      </c>
      <c r="F1717" t="s">
        <v>184</v>
      </c>
      <c r="G1717" t="s">
        <v>2432</v>
      </c>
      <c r="H1717" t="s">
        <v>2433</v>
      </c>
      <c r="I1717" t="s">
        <v>22</v>
      </c>
      <c r="J1717" t="s">
        <v>23</v>
      </c>
      <c r="K1717" t="s">
        <v>379</v>
      </c>
      <c r="L1717" t="s">
        <v>261</v>
      </c>
      <c r="M1717">
        <v>14609</v>
      </c>
      <c r="N1717" t="s">
        <v>144</v>
      </c>
      <c r="O1717" t="s">
        <v>677</v>
      </c>
      <c r="P1717" t="s">
        <v>42</v>
      </c>
      <c r="Q1717" t="s">
        <v>64</v>
      </c>
      <c r="R1717" t="s">
        <v>678</v>
      </c>
      <c r="S1717">
        <v>13.36</v>
      </c>
    </row>
    <row r="1718" spans="1:19" x14ac:dyDescent="0.35">
      <c r="A1718">
        <v>1747</v>
      </c>
      <c r="B1718" t="s">
        <v>4408</v>
      </c>
      <c r="C1718" s="1">
        <v>42960</v>
      </c>
      <c r="D1718" s="1">
        <v>42964</v>
      </c>
      <c r="E1718" s="1" t="str">
        <f t="shared" si="26"/>
        <v>SLOW</v>
      </c>
      <c r="F1718" t="s">
        <v>19</v>
      </c>
      <c r="G1718" t="s">
        <v>1640</v>
      </c>
      <c r="H1718" t="s">
        <v>1641</v>
      </c>
      <c r="I1718" t="s">
        <v>22</v>
      </c>
      <c r="J1718" t="s">
        <v>23</v>
      </c>
      <c r="K1718" t="s">
        <v>1505</v>
      </c>
      <c r="L1718" t="s">
        <v>84</v>
      </c>
      <c r="M1718">
        <v>28540</v>
      </c>
      <c r="N1718" t="s">
        <v>26</v>
      </c>
      <c r="O1718" t="s">
        <v>2331</v>
      </c>
      <c r="P1718" t="s">
        <v>42</v>
      </c>
      <c r="Q1718" t="s">
        <v>71</v>
      </c>
      <c r="R1718" t="s">
        <v>2332</v>
      </c>
      <c r="S1718">
        <v>11.231999999999999</v>
      </c>
    </row>
    <row r="1719" spans="1:19" x14ac:dyDescent="0.35">
      <c r="A1719">
        <v>1748</v>
      </c>
      <c r="B1719" t="s">
        <v>4408</v>
      </c>
      <c r="C1719" s="1">
        <v>42960</v>
      </c>
      <c r="D1719" s="1">
        <v>42964</v>
      </c>
      <c r="E1719" s="1" t="str">
        <f t="shared" si="26"/>
        <v>SLOW</v>
      </c>
      <c r="F1719" t="s">
        <v>19</v>
      </c>
      <c r="G1719" t="s">
        <v>1640</v>
      </c>
      <c r="H1719" t="s">
        <v>1641</v>
      </c>
      <c r="I1719" t="s">
        <v>22</v>
      </c>
      <c r="J1719" t="s">
        <v>23</v>
      </c>
      <c r="K1719" t="s">
        <v>1505</v>
      </c>
      <c r="L1719" t="s">
        <v>84</v>
      </c>
      <c r="M1719">
        <v>28540</v>
      </c>
      <c r="N1719" t="s">
        <v>26</v>
      </c>
      <c r="O1719" t="s">
        <v>4409</v>
      </c>
      <c r="P1719" t="s">
        <v>42</v>
      </c>
      <c r="Q1719" t="s">
        <v>86</v>
      </c>
      <c r="R1719" t="s">
        <v>182</v>
      </c>
      <c r="S1719">
        <v>10.272</v>
      </c>
    </row>
    <row r="1720" spans="1:19" x14ac:dyDescent="0.35">
      <c r="A1720">
        <v>1749</v>
      </c>
      <c r="B1720" t="s">
        <v>4410</v>
      </c>
      <c r="C1720" s="1">
        <v>42119</v>
      </c>
      <c r="D1720" s="1">
        <v>42123</v>
      </c>
      <c r="E1720" s="1" t="str">
        <f t="shared" si="26"/>
        <v>FAST</v>
      </c>
      <c r="F1720" t="s">
        <v>46</v>
      </c>
      <c r="G1720" t="s">
        <v>4411</v>
      </c>
      <c r="H1720" t="s">
        <v>4412</v>
      </c>
      <c r="I1720" t="s">
        <v>98</v>
      </c>
      <c r="J1720" t="s">
        <v>23</v>
      </c>
      <c r="K1720" t="s">
        <v>180</v>
      </c>
      <c r="L1720" t="s">
        <v>100</v>
      </c>
      <c r="M1720">
        <v>77095</v>
      </c>
      <c r="N1720" t="s">
        <v>101</v>
      </c>
      <c r="O1720" t="s">
        <v>2799</v>
      </c>
      <c r="P1720" t="s">
        <v>42</v>
      </c>
      <c r="Q1720" t="s">
        <v>86</v>
      </c>
      <c r="R1720" t="s">
        <v>2800</v>
      </c>
      <c r="S1720">
        <v>10.368</v>
      </c>
    </row>
    <row r="1721" spans="1:19" x14ac:dyDescent="0.35">
      <c r="A1721">
        <v>1751</v>
      </c>
      <c r="B1721" t="s">
        <v>4413</v>
      </c>
      <c r="C1721" s="1">
        <v>42696</v>
      </c>
      <c r="D1721" s="1">
        <v>42701</v>
      </c>
      <c r="E1721" s="1" t="str">
        <f t="shared" si="26"/>
        <v>FAST</v>
      </c>
      <c r="F1721" t="s">
        <v>46</v>
      </c>
      <c r="G1721" t="s">
        <v>2047</v>
      </c>
      <c r="H1721" t="s">
        <v>2048</v>
      </c>
      <c r="I1721" t="s">
        <v>98</v>
      </c>
      <c r="J1721" t="s">
        <v>23</v>
      </c>
      <c r="K1721" t="s">
        <v>667</v>
      </c>
      <c r="L1721" t="s">
        <v>100</v>
      </c>
      <c r="M1721">
        <v>78207</v>
      </c>
      <c r="N1721" t="s">
        <v>101</v>
      </c>
      <c r="O1721" t="s">
        <v>4414</v>
      </c>
      <c r="P1721" t="s">
        <v>28</v>
      </c>
      <c r="Q1721" t="s">
        <v>52</v>
      </c>
      <c r="R1721" t="s">
        <v>4415</v>
      </c>
      <c r="S1721">
        <v>206.96199999999999</v>
      </c>
    </row>
    <row r="1722" spans="1:19" x14ac:dyDescent="0.35">
      <c r="A1722">
        <v>1752</v>
      </c>
      <c r="B1722" t="s">
        <v>4416</v>
      </c>
      <c r="C1722" s="1">
        <v>43387</v>
      </c>
      <c r="D1722" s="1">
        <v>43390</v>
      </c>
      <c r="E1722" s="1" t="str">
        <f t="shared" si="26"/>
        <v>MODERATE</v>
      </c>
      <c r="F1722" t="s">
        <v>184</v>
      </c>
      <c r="G1722" t="s">
        <v>4417</v>
      </c>
      <c r="H1722" t="s">
        <v>4418</v>
      </c>
      <c r="I1722" t="s">
        <v>22</v>
      </c>
      <c r="J1722" t="s">
        <v>23</v>
      </c>
      <c r="K1722" t="s">
        <v>3167</v>
      </c>
      <c r="L1722" t="s">
        <v>39</v>
      </c>
      <c r="M1722">
        <v>94601</v>
      </c>
      <c r="N1722" t="s">
        <v>40</v>
      </c>
      <c r="O1722" t="s">
        <v>1122</v>
      </c>
      <c r="P1722" t="s">
        <v>28</v>
      </c>
      <c r="Q1722" t="s">
        <v>61</v>
      </c>
      <c r="R1722" t="s">
        <v>1123</v>
      </c>
      <c r="S1722">
        <v>9.4600000000000009</v>
      </c>
    </row>
    <row r="1723" spans="1:19" x14ac:dyDescent="0.35">
      <c r="A1723">
        <v>1753</v>
      </c>
      <c r="B1723" t="s">
        <v>4419</v>
      </c>
      <c r="C1723" s="1">
        <v>43436</v>
      </c>
      <c r="D1723" s="1">
        <v>43439</v>
      </c>
      <c r="E1723" s="1" t="str">
        <f t="shared" si="26"/>
        <v>MODERATE</v>
      </c>
      <c r="F1723" t="s">
        <v>184</v>
      </c>
      <c r="G1723" t="s">
        <v>834</v>
      </c>
      <c r="H1723" t="s">
        <v>835</v>
      </c>
      <c r="I1723" t="s">
        <v>37</v>
      </c>
      <c r="J1723" t="s">
        <v>23</v>
      </c>
      <c r="K1723" t="s">
        <v>123</v>
      </c>
      <c r="L1723" t="s">
        <v>39</v>
      </c>
      <c r="M1723">
        <v>94122</v>
      </c>
      <c r="N1723" t="s">
        <v>40</v>
      </c>
      <c r="O1723" t="s">
        <v>3187</v>
      </c>
      <c r="P1723" t="s">
        <v>42</v>
      </c>
      <c r="Q1723" t="s">
        <v>55</v>
      </c>
      <c r="R1723" t="s">
        <v>3188</v>
      </c>
      <c r="S1723">
        <v>559.62</v>
      </c>
    </row>
    <row r="1724" spans="1:19" x14ac:dyDescent="0.35">
      <c r="A1724">
        <v>1754</v>
      </c>
      <c r="B1724" t="s">
        <v>4419</v>
      </c>
      <c r="C1724" s="1">
        <v>43436</v>
      </c>
      <c r="D1724" s="1">
        <v>43439</v>
      </c>
      <c r="E1724" s="1" t="str">
        <f t="shared" si="26"/>
        <v>MODERATE</v>
      </c>
      <c r="F1724" t="s">
        <v>184</v>
      </c>
      <c r="G1724" t="s">
        <v>834</v>
      </c>
      <c r="H1724" t="s">
        <v>835</v>
      </c>
      <c r="I1724" t="s">
        <v>37</v>
      </c>
      <c r="J1724" t="s">
        <v>23</v>
      </c>
      <c r="K1724" t="s">
        <v>123</v>
      </c>
      <c r="L1724" t="s">
        <v>39</v>
      </c>
      <c r="M1724">
        <v>94122</v>
      </c>
      <c r="N1724" t="s">
        <v>40</v>
      </c>
      <c r="O1724" t="s">
        <v>4267</v>
      </c>
      <c r="P1724" t="s">
        <v>42</v>
      </c>
      <c r="Q1724" t="s">
        <v>86</v>
      </c>
      <c r="R1724" t="s">
        <v>4268</v>
      </c>
      <c r="S1724">
        <v>109.92</v>
      </c>
    </row>
    <row r="1725" spans="1:19" x14ac:dyDescent="0.35">
      <c r="A1725">
        <v>1755</v>
      </c>
      <c r="B1725" t="s">
        <v>4419</v>
      </c>
      <c r="C1725" s="1">
        <v>43436</v>
      </c>
      <c r="D1725" s="1">
        <v>43439</v>
      </c>
      <c r="E1725" s="1" t="str">
        <f t="shared" si="26"/>
        <v>MODERATE</v>
      </c>
      <c r="F1725" t="s">
        <v>184</v>
      </c>
      <c r="G1725" t="s">
        <v>834</v>
      </c>
      <c r="H1725" t="s">
        <v>835</v>
      </c>
      <c r="I1725" t="s">
        <v>37</v>
      </c>
      <c r="J1725" t="s">
        <v>23</v>
      </c>
      <c r="K1725" t="s">
        <v>123</v>
      </c>
      <c r="L1725" t="s">
        <v>39</v>
      </c>
      <c r="M1725">
        <v>94122</v>
      </c>
      <c r="N1725" t="s">
        <v>40</v>
      </c>
      <c r="O1725" t="s">
        <v>4420</v>
      </c>
      <c r="P1725" t="s">
        <v>42</v>
      </c>
      <c r="Q1725" t="s">
        <v>86</v>
      </c>
      <c r="R1725" t="s">
        <v>4421</v>
      </c>
      <c r="S1725">
        <v>8.56</v>
      </c>
    </row>
    <row r="1726" spans="1:19" x14ac:dyDescent="0.35">
      <c r="A1726">
        <v>1756</v>
      </c>
      <c r="B1726" t="s">
        <v>4422</v>
      </c>
      <c r="C1726" s="1">
        <v>42712</v>
      </c>
      <c r="D1726" s="1">
        <v>42715</v>
      </c>
      <c r="E1726" s="1" t="str">
        <f t="shared" si="26"/>
        <v>SLOW</v>
      </c>
      <c r="F1726" t="s">
        <v>19</v>
      </c>
      <c r="G1726" t="s">
        <v>4137</v>
      </c>
      <c r="H1726" t="s">
        <v>4138</v>
      </c>
      <c r="I1726" t="s">
        <v>98</v>
      </c>
      <c r="J1726" t="s">
        <v>23</v>
      </c>
      <c r="K1726" t="s">
        <v>99</v>
      </c>
      <c r="L1726" t="s">
        <v>100</v>
      </c>
      <c r="M1726">
        <v>76106</v>
      </c>
      <c r="N1726" t="s">
        <v>101</v>
      </c>
      <c r="O1726" t="s">
        <v>3243</v>
      </c>
      <c r="P1726" t="s">
        <v>42</v>
      </c>
      <c r="Q1726" t="s">
        <v>86</v>
      </c>
      <c r="R1726" t="s">
        <v>3244</v>
      </c>
      <c r="S1726">
        <v>360.71199999999999</v>
      </c>
    </row>
    <row r="1727" spans="1:19" x14ac:dyDescent="0.35">
      <c r="A1727">
        <v>1757</v>
      </c>
      <c r="B1727" t="s">
        <v>4422</v>
      </c>
      <c r="C1727" s="1">
        <v>42712</v>
      </c>
      <c r="D1727" s="1">
        <v>42715</v>
      </c>
      <c r="E1727" s="1" t="str">
        <f t="shared" si="26"/>
        <v>SLOW</v>
      </c>
      <c r="F1727" t="s">
        <v>19</v>
      </c>
      <c r="G1727" t="s">
        <v>4137</v>
      </c>
      <c r="H1727" t="s">
        <v>4138</v>
      </c>
      <c r="I1727" t="s">
        <v>98</v>
      </c>
      <c r="J1727" t="s">
        <v>23</v>
      </c>
      <c r="K1727" t="s">
        <v>99</v>
      </c>
      <c r="L1727" t="s">
        <v>100</v>
      </c>
      <c r="M1727">
        <v>76106</v>
      </c>
      <c r="N1727" t="s">
        <v>101</v>
      </c>
      <c r="O1727" t="s">
        <v>4423</v>
      </c>
      <c r="P1727" t="s">
        <v>67</v>
      </c>
      <c r="Q1727" t="s">
        <v>68</v>
      </c>
      <c r="R1727" t="s">
        <v>4424</v>
      </c>
      <c r="S1727">
        <v>1718.4</v>
      </c>
    </row>
    <row r="1728" spans="1:19" x14ac:dyDescent="0.35">
      <c r="A1728">
        <v>1758</v>
      </c>
      <c r="B1728" t="s">
        <v>4425</v>
      </c>
      <c r="C1728" s="1">
        <v>42564</v>
      </c>
      <c r="D1728" s="1">
        <v>42566</v>
      </c>
      <c r="E1728" s="1" t="str">
        <f t="shared" si="26"/>
        <v>MODERATE</v>
      </c>
      <c r="F1728" t="s">
        <v>184</v>
      </c>
      <c r="G1728" t="s">
        <v>2939</v>
      </c>
      <c r="H1728" t="s">
        <v>2940</v>
      </c>
      <c r="I1728" t="s">
        <v>98</v>
      </c>
      <c r="J1728" t="s">
        <v>23</v>
      </c>
      <c r="K1728" t="s">
        <v>180</v>
      </c>
      <c r="L1728" t="s">
        <v>100</v>
      </c>
      <c r="M1728">
        <v>77095</v>
      </c>
      <c r="N1728" t="s">
        <v>101</v>
      </c>
      <c r="O1728" t="s">
        <v>3895</v>
      </c>
      <c r="P1728" t="s">
        <v>42</v>
      </c>
      <c r="Q1728" t="s">
        <v>71</v>
      </c>
      <c r="R1728" t="s">
        <v>3896</v>
      </c>
      <c r="S1728">
        <v>41.567999999999998</v>
      </c>
    </row>
    <row r="1729" spans="1:19" x14ac:dyDescent="0.35">
      <c r="A1729">
        <v>1759</v>
      </c>
      <c r="B1729" t="s">
        <v>4426</v>
      </c>
      <c r="C1729" s="1">
        <v>42135</v>
      </c>
      <c r="D1729" s="1">
        <v>42141</v>
      </c>
      <c r="E1729" s="1" t="str">
        <f t="shared" si="26"/>
        <v>FAST</v>
      </c>
      <c r="F1729" t="s">
        <v>46</v>
      </c>
      <c r="G1729" t="s">
        <v>4427</v>
      </c>
      <c r="H1729" t="s">
        <v>4428</v>
      </c>
      <c r="I1729" t="s">
        <v>22</v>
      </c>
      <c r="J1729" t="s">
        <v>23</v>
      </c>
      <c r="K1729" t="s">
        <v>180</v>
      </c>
      <c r="L1729" t="s">
        <v>100</v>
      </c>
      <c r="M1729">
        <v>77095</v>
      </c>
      <c r="N1729" t="s">
        <v>101</v>
      </c>
      <c r="O1729" t="s">
        <v>3199</v>
      </c>
      <c r="P1729" t="s">
        <v>67</v>
      </c>
      <c r="Q1729" t="s">
        <v>157</v>
      </c>
      <c r="R1729" t="s">
        <v>3200</v>
      </c>
      <c r="S1729">
        <v>46.863999999999997</v>
      </c>
    </row>
    <row r="1730" spans="1:19" x14ac:dyDescent="0.35">
      <c r="A1730">
        <v>1760</v>
      </c>
      <c r="B1730" t="s">
        <v>4429</v>
      </c>
      <c r="C1730" s="1">
        <v>42009</v>
      </c>
      <c r="D1730" s="1">
        <v>42016</v>
      </c>
      <c r="E1730" s="1" t="str">
        <f t="shared" si="26"/>
        <v>FAST</v>
      </c>
      <c r="F1730" t="s">
        <v>46</v>
      </c>
      <c r="G1730" t="s">
        <v>3898</v>
      </c>
      <c r="H1730" t="s">
        <v>3899</v>
      </c>
      <c r="I1730" t="s">
        <v>22</v>
      </c>
      <c r="J1730" t="s">
        <v>23</v>
      </c>
      <c r="K1730" t="s">
        <v>142</v>
      </c>
      <c r="L1730" t="s">
        <v>143</v>
      </c>
      <c r="M1730">
        <v>19143</v>
      </c>
      <c r="N1730" t="s">
        <v>144</v>
      </c>
      <c r="O1730" t="s">
        <v>1406</v>
      </c>
      <c r="P1730" t="s">
        <v>42</v>
      </c>
      <c r="Q1730" t="s">
        <v>64</v>
      </c>
      <c r="R1730" t="s">
        <v>1407</v>
      </c>
      <c r="S1730">
        <v>19.536000000000001</v>
      </c>
    </row>
    <row r="1731" spans="1:19" x14ac:dyDescent="0.35">
      <c r="A1731">
        <v>1761</v>
      </c>
      <c r="B1731" t="s">
        <v>4430</v>
      </c>
      <c r="C1731" s="1">
        <v>42618</v>
      </c>
      <c r="D1731" s="1">
        <v>42622</v>
      </c>
      <c r="E1731" s="1" t="str">
        <f t="shared" ref="E1731:E1794" si="27">IF(F1731="STANDARD CLASS","FAST",IF(F1731="SECOND CLASS","SLOW","MODERATE"))</f>
        <v>FAST</v>
      </c>
      <c r="F1731" t="s">
        <v>46</v>
      </c>
      <c r="G1731" t="s">
        <v>1295</v>
      </c>
      <c r="H1731" t="s">
        <v>1296</v>
      </c>
      <c r="I1731" t="s">
        <v>22</v>
      </c>
      <c r="J1731" t="s">
        <v>23</v>
      </c>
      <c r="K1731" t="s">
        <v>935</v>
      </c>
      <c r="L1731" t="s">
        <v>39</v>
      </c>
      <c r="M1731">
        <v>92105</v>
      </c>
      <c r="N1731" t="s">
        <v>40</v>
      </c>
      <c r="O1731" t="s">
        <v>4431</v>
      </c>
      <c r="P1731" t="s">
        <v>28</v>
      </c>
      <c r="Q1731" t="s">
        <v>29</v>
      </c>
      <c r="R1731" t="s">
        <v>4432</v>
      </c>
      <c r="S1731">
        <v>411.33199999999999</v>
      </c>
    </row>
    <row r="1732" spans="1:19" x14ac:dyDescent="0.35">
      <c r="A1732">
        <v>1762</v>
      </c>
      <c r="B1732" t="s">
        <v>4430</v>
      </c>
      <c r="C1732" s="1">
        <v>42618</v>
      </c>
      <c r="D1732" s="1">
        <v>42622</v>
      </c>
      <c r="E1732" s="1" t="str">
        <f t="shared" si="27"/>
        <v>FAST</v>
      </c>
      <c r="F1732" t="s">
        <v>46</v>
      </c>
      <c r="G1732" t="s">
        <v>1295</v>
      </c>
      <c r="H1732" t="s">
        <v>1296</v>
      </c>
      <c r="I1732" t="s">
        <v>22</v>
      </c>
      <c r="J1732" t="s">
        <v>23</v>
      </c>
      <c r="K1732" t="s">
        <v>935</v>
      </c>
      <c r="L1732" t="s">
        <v>39</v>
      </c>
      <c r="M1732">
        <v>92105</v>
      </c>
      <c r="N1732" t="s">
        <v>40</v>
      </c>
      <c r="O1732" t="s">
        <v>4433</v>
      </c>
      <c r="P1732" t="s">
        <v>42</v>
      </c>
      <c r="Q1732" t="s">
        <v>71</v>
      </c>
      <c r="R1732" t="s">
        <v>4434</v>
      </c>
      <c r="S1732">
        <v>28.751999999999999</v>
      </c>
    </row>
    <row r="1733" spans="1:19" x14ac:dyDescent="0.35">
      <c r="A1733">
        <v>1763</v>
      </c>
      <c r="B1733" t="s">
        <v>4430</v>
      </c>
      <c r="C1733" s="1">
        <v>42618</v>
      </c>
      <c r="D1733" s="1">
        <v>42622</v>
      </c>
      <c r="E1733" s="1" t="str">
        <f t="shared" si="27"/>
        <v>FAST</v>
      </c>
      <c r="F1733" t="s">
        <v>46</v>
      </c>
      <c r="G1733" t="s">
        <v>1295</v>
      </c>
      <c r="H1733" t="s">
        <v>1296</v>
      </c>
      <c r="I1733" t="s">
        <v>22</v>
      </c>
      <c r="J1733" t="s">
        <v>23</v>
      </c>
      <c r="K1733" t="s">
        <v>935</v>
      </c>
      <c r="L1733" t="s">
        <v>39</v>
      </c>
      <c r="M1733">
        <v>92105</v>
      </c>
      <c r="N1733" t="s">
        <v>40</v>
      </c>
      <c r="O1733" t="s">
        <v>4435</v>
      </c>
      <c r="P1733" t="s">
        <v>28</v>
      </c>
      <c r="Q1733" t="s">
        <v>29</v>
      </c>
      <c r="R1733" t="s">
        <v>4436</v>
      </c>
      <c r="S1733">
        <v>293.19900000000001</v>
      </c>
    </row>
    <row r="1734" spans="1:19" x14ac:dyDescent="0.35">
      <c r="A1734">
        <v>1764</v>
      </c>
      <c r="B1734" t="s">
        <v>4437</v>
      </c>
      <c r="C1734" s="1">
        <v>42951</v>
      </c>
      <c r="D1734" s="1">
        <v>42955</v>
      </c>
      <c r="E1734" s="1" t="str">
        <f t="shared" si="27"/>
        <v>FAST</v>
      </c>
      <c r="F1734" t="s">
        <v>46</v>
      </c>
      <c r="G1734" t="s">
        <v>4438</v>
      </c>
      <c r="H1734" t="s">
        <v>4439</v>
      </c>
      <c r="I1734" t="s">
        <v>98</v>
      </c>
      <c r="J1734" t="s">
        <v>23</v>
      </c>
      <c r="K1734" t="s">
        <v>4311</v>
      </c>
      <c r="L1734" t="s">
        <v>313</v>
      </c>
      <c r="M1734">
        <v>23434</v>
      </c>
      <c r="N1734" t="s">
        <v>26</v>
      </c>
      <c r="O1734" t="s">
        <v>1388</v>
      </c>
      <c r="P1734" t="s">
        <v>42</v>
      </c>
      <c r="Q1734" t="s">
        <v>566</v>
      </c>
      <c r="R1734" t="s">
        <v>1389</v>
      </c>
      <c r="S1734">
        <v>35.06</v>
      </c>
    </row>
    <row r="1735" spans="1:19" x14ac:dyDescent="0.35">
      <c r="A1735">
        <v>1765</v>
      </c>
      <c r="B1735" t="s">
        <v>4437</v>
      </c>
      <c r="C1735" s="1">
        <v>42951</v>
      </c>
      <c r="D1735" s="1">
        <v>42955</v>
      </c>
      <c r="E1735" s="1" t="str">
        <f t="shared" si="27"/>
        <v>FAST</v>
      </c>
      <c r="F1735" t="s">
        <v>46</v>
      </c>
      <c r="G1735" t="s">
        <v>4438</v>
      </c>
      <c r="H1735" t="s">
        <v>4439</v>
      </c>
      <c r="I1735" t="s">
        <v>98</v>
      </c>
      <c r="J1735" t="s">
        <v>23</v>
      </c>
      <c r="K1735" t="s">
        <v>4311</v>
      </c>
      <c r="L1735" t="s">
        <v>313</v>
      </c>
      <c r="M1735">
        <v>23434</v>
      </c>
      <c r="N1735" t="s">
        <v>26</v>
      </c>
      <c r="O1735" t="s">
        <v>2387</v>
      </c>
      <c r="P1735" t="s">
        <v>42</v>
      </c>
      <c r="Q1735" t="s">
        <v>43</v>
      </c>
      <c r="R1735" t="s">
        <v>2388</v>
      </c>
      <c r="S1735">
        <v>4.13</v>
      </c>
    </row>
    <row r="1736" spans="1:19" x14ac:dyDescent="0.35">
      <c r="A1736">
        <v>1766</v>
      </c>
      <c r="B1736" t="s">
        <v>4437</v>
      </c>
      <c r="C1736" s="1">
        <v>42951</v>
      </c>
      <c r="D1736" s="1">
        <v>42955</v>
      </c>
      <c r="E1736" s="1" t="str">
        <f t="shared" si="27"/>
        <v>FAST</v>
      </c>
      <c r="F1736" t="s">
        <v>46</v>
      </c>
      <c r="G1736" t="s">
        <v>4438</v>
      </c>
      <c r="H1736" t="s">
        <v>4439</v>
      </c>
      <c r="I1736" t="s">
        <v>98</v>
      </c>
      <c r="J1736" t="s">
        <v>23</v>
      </c>
      <c r="K1736" t="s">
        <v>4311</v>
      </c>
      <c r="L1736" t="s">
        <v>313</v>
      </c>
      <c r="M1736">
        <v>23434</v>
      </c>
      <c r="N1736" t="s">
        <v>26</v>
      </c>
      <c r="O1736" t="s">
        <v>4440</v>
      </c>
      <c r="P1736" t="s">
        <v>28</v>
      </c>
      <c r="Q1736" t="s">
        <v>61</v>
      </c>
      <c r="R1736" t="s">
        <v>4441</v>
      </c>
      <c r="S1736">
        <v>109.8</v>
      </c>
    </row>
    <row r="1737" spans="1:19" x14ac:dyDescent="0.35">
      <c r="A1737">
        <v>1767</v>
      </c>
      <c r="B1737" t="s">
        <v>4437</v>
      </c>
      <c r="C1737" s="1">
        <v>42951</v>
      </c>
      <c r="D1737" s="1">
        <v>42955</v>
      </c>
      <c r="E1737" s="1" t="str">
        <f t="shared" si="27"/>
        <v>FAST</v>
      </c>
      <c r="F1737" t="s">
        <v>46</v>
      </c>
      <c r="G1737" t="s">
        <v>4438</v>
      </c>
      <c r="H1737" t="s">
        <v>4439</v>
      </c>
      <c r="I1737" t="s">
        <v>98</v>
      </c>
      <c r="J1737" t="s">
        <v>23</v>
      </c>
      <c r="K1737" t="s">
        <v>4311</v>
      </c>
      <c r="L1737" t="s">
        <v>313</v>
      </c>
      <c r="M1737">
        <v>23434</v>
      </c>
      <c r="N1737" t="s">
        <v>26</v>
      </c>
      <c r="O1737" t="s">
        <v>4442</v>
      </c>
      <c r="P1737" t="s">
        <v>42</v>
      </c>
      <c r="Q1737" t="s">
        <v>43</v>
      </c>
      <c r="R1737" t="s">
        <v>4443</v>
      </c>
      <c r="S1737">
        <v>9.82</v>
      </c>
    </row>
    <row r="1738" spans="1:19" x14ac:dyDescent="0.35">
      <c r="A1738">
        <v>1768</v>
      </c>
      <c r="B1738" t="s">
        <v>4444</v>
      </c>
      <c r="C1738" s="1">
        <v>42085</v>
      </c>
      <c r="D1738" s="1">
        <v>42089</v>
      </c>
      <c r="E1738" s="1" t="str">
        <f t="shared" si="27"/>
        <v>FAST</v>
      </c>
      <c r="F1738" t="s">
        <v>46</v>
      </c>
      <c r="G1738" t="s">
        <v>4445</v>
      </c>
      <c r="H1738" t="s">
        <v>4446</v>
      </c>
      <c r="I1738" t="s">
        <v>22</v>
      </c>
      <c r="J1738" t="s">
        <v>23</v>
      </c>
      <c r="K1738" t="s">
        <v>4447</v>
      </c>
      <c r="L1738" t="s">
        <v>84</v>
      </c>
      <c r="M1738">
        <v>27405</v>
      </c>
      <c r="N1738" t="s">
        <v>26</v>
      </c>
      <c r="O1738" t="s">
        <v>249</v>
      </c>
      <c r="P1738" t="s">
        <v>42</v>
      </c>
      <c r="Q1738" t="s">
        <v>71</v>
      </c>
      <c r="R1738" t="s">
        <v>250</v>
      </c>
      <c r="S1738">
        <v>7.6440000000000001</v>
      </c>
    </row>
    <row r="1739" spans="1:19" x14ac:dyDescent="0.35">
      <c r="A1739">
        <v>1769</v>
      </c>
      <c r="B1739" t="s">
        <v>4444</v>
      </c>
      <c r="C1739" s="1">
        <v>42085</v>
      </c>
      <c r="D1739" s="1">
        <v>42089</v>
      </c>
      <c r="E1739" s="1" t="str">
        <f t="shared" si="27"/>
        <v>FAST</v>
      </c>
      <c r="F1739" t="s">
        <v>46</v>
      </c>
      <c r="G1739" t="s">
        <v>4445</v>
      </c>
      <c r="H1739" t="s">
        <v>4446</v>
      </c>
      <c r="I1739" t="s">
        <v>22</v>
      </c>
      <c r="J1739" t="s">
        <v>23</v>
      </c>
      <c r="K1739" t="s">
        <v>4447</v>
      </c>
      <c r="L1739" t="s">
        <v>84</v>
      </c>
      <c r="M1739">
        <v>27405</v>
      </c>
      <c r="N1739" t="s">
        <v>26</v>
      </c>
      <c r="O1739" t="s">
        <v>605</v>
      </c>
      <c r="P1739" t="s">
        <v>42</v>
      </c>
      <c r="Q1739" t="s">
        <v>71</v>
      </c>
      <c r="R1739" t="s">
        <v>606</v>
      </c>
      <c r="S1739">
        <v>51.465000000000003</v>
      </c>
    </row>
    <row r="1740" spans="1:19" x14ac:dyDescent="0.35">
      <c r="A1740">
        <v>1770</v>
      </c>
      <c r="B1740" t="s">
        <v>4448</v>
      </c>
      <c r="C1740" s="1">
        <v>43161</v>
      </c>
      <c r="D1740" s="1">
        <v>43167</v>
      </c>
      <c r="E1740" s="1" t="str">
        <f t="shared" si="27"/>
        <v>FAST</v>
      </c>
      <c r="F1740" t="s">
        <v>46</v>
      </c>
      <c r="G1740" t="s">
        <v>347</v>
      </c>
      <c r="H1740" t="s">
        <v>348</v>
      </c>
      <c r="I1740" t="s">
        <v>37</v>
      </c>
      <c r="J1740" t="s">
        <v>23</v>
      </c>
      <c r="K1740" t="s">
        <v>802</v>
      </c>
      <c r="L1740" t="s">
        <v>100</v>
      </c>
      <c r="M1740">
        <v>75081</v>
      </c>
      <c r="N1740" t="s">
        <v>101</v>
      </c>
      <c r="O1740" t="s">
        <v>1848</v>
      </c>
      <c r="P1740" t="s">
        <v>42</v>
      </c>
      <c r="Q1740" t="s">
        <v>566</v>
      </c>
      <c r="R1740" t="s">
        <v>1283</v>
      </c>
      <c r="S1740">
        <v>6.976</v>
      </c>
    </row>
    <row r="1741" spans="1:19" x14ac:dyDescent="0.35">
      <c r="A1741">
        <v>1771</v>
      </c>
      <c r="B1741" t="s">
        <v>4448</v>
      </c>
      <c r="C1741" s="1">
        <v>43161</v>
      </c>
      <c r="D1741" s="1">
        <v>43167</v>
      </c>
      <c r="E1741" s="1" t="str">
        <f t="shared" si="27"/>
        <v>FAST</v>
      </c>
      <c r="F1741" t="s">
        <v>46</v>
      </c>
      <c r="G1741" t="s">
        <v>347</v>
      </c>
      <c r="H1741" t="s">
        <v>348</v>
      </c>
      <c r="I1741" t="s">
        <v>37</v>
      </c>
      <c r="J1741" t="s">
        <v>23</v>
      </c>
      <c r="K1741" t="s">
        <v>802</v>
      </c>
      <c r="L1741" t="s">
        <v>100</v>
      </c>
      <c r="M1741">
        <v>75081</v>
      </c>
      <c r="N1741" t="s">
        <v>101</v>
      </c>
      <c r="O1741" t="s">
        <v>226</v>
      </c>
      <c r="P1741" t="s">
        <v>42</v>
      </c>
      <c r="Q1741" t="s">
        <v>71</v>
      </c>
      <c r="R1741" t="s">
        <v>227</v>
      </c>
      <c r="S1741">
        <v>12.222</v>
      </c>
    </row>
    <row r="1742" spans="1:19" x14ac:dyDescent="0.35">
      <c r="A1742">
        <v>1772</v>
      </c>
      <c r="B1742" t="s">
        <v>4449</v>
      </c>
      <c r="C1742" s="1">
        <v>43066</v>
      </c>
      <c r="D1742" s="1">
        <v>43068</v>
      </c>
      <c r="E1742" s="1" t="str">
        <f t="shared" si="27"/>
        <v>SLOW</v>
      </c>
      <c r="F1742" t="s">
        <v>19</v>
      </c>
      <c r="G1742" t="s">
        <v>500</v>
      </c>
      <c r="H1742" t="s">
        <v>501</v>
      </c>
      <c r="I1742" t="s">
        <v>37</v>
      </c>
      <c r="J1742" t="s">
        <v>23</v>
      </c>
      <c r="K1742" t="s">
        <v>297</v>
      </c>
      <c r="L1742" t="s">
        <v>205</v>
      </c>
      <c r="M1742">
        <v>60623</v>
      </c>
      <c r="N1742" t="s">
        <v>101</v>
      </c>
      <c r="O1742" t="s">
        <v>3292</v>
      </c>
      <c r="P1742" t="s">
        <v>42</v>
      </c>
      <c r="Q1742" t="s">
        <v>55</v>
      </c>
      <c r="R1742" t="s">
        <v>3293</v>
      </c>
      <c r="S1742">
        <v>97.983999999999995</v>
      </c>
    </row>
    <row r="1743" spans="1:19" x14ac:dyDescent="0.35">
      <c r="A1743">
        <v>1773</v>
      </c>
      <c r="B1743" t="s">
        <v>4449</v>
      </c>
      <c r="C1743" s="1">
        <v>43066</v>
      </c>
      <c r="D1743" s="1">
        <v>43068</v>
      </c>
      <c r="E1743" s="1" t="str">
        <f t="shared" si="27"/>
        <v>SLOW</v>
      </c>
      <c r="F1743" t="s">
        <v>19</v>
      </c>
      <c r="G1743" t="s">
        <v>500</v>
      </c>
      <c r="H1743" t="s">
        <v>501</v>
      </c>
      <c r="I1743" t="s">
        <v>37</v>
      </c>
      <c r="J1743" t="s">
        <v>23</v>
      </c>
      <c r="K1743" t="s">
        <v>297</v>
      </c>
      <c r="L1743" t="s">
        <v>205</v>
      </c>
      <c r="M1743">
        <v>60623</v>
      </c>
      <c r="N1743" t="s">
        <v>101</v>
      </c>
      <c r="O1743" t="s">
        <v>831</v>
      </c>
      <c r="P1743" t="s">
        <v>67</v>
      </c>
      <c r="Q1743" t="s">
        <v>157</v>
      </c>
      <c r="R1743" t="s">
        <v>832</v>
      </c>
      <c r="S1743">
        <v>62.4</v>
      </c>
    </row>
    <row r="1744" spans="1:19" x14ac:dyDescent="0.35">
      <c r="A1744">
        <v>1774</v>
      </c>
      <c r="B1744" t="s">
        <v>4450</v>
      </c>
      <c r="C1744" s="1">
        <v>42122</v>
      </c>
      <c r="D1744" s="1">
        <v>42127</v>
      </c>
      <c r="E1744" s="1" t="str">
        <f t="shared" si="27"/>
        <v>FAST</v>
      </c>
      <c r="F1744" t="s">
        <v>46</v>
      </c>
      <c r="G1744" t="s">
        <v>4154</v>
      </c>
      <c r="H1744" t="s">
        <v>4155</v>
      </c>
      <c r="I1744" t="s">
        <v>37</v>
      </c>
      <c r="J1744" t="s">
        <v>23</v>
      </c>
      <c r="K1744" t="s">
        <v>4451</v>
      </c>
      <c r="L1744" t="s">
        <v>2708</v>
      </c>
      <c r="M1744">
        <v>21215</v>
      </c>
      <c r="N1744" t="s">
        <v>144</v>
      </c>
      <c r="O1744" t="s">
        <v>4452</v>
      </c>
      <c r="P1744" t="s">
        <v>42</v>
      </c>
      <c r="Q1744" t="s">
        <v>71</v>
      </c>
      <c r="R1744" t="s">
        <v>4453</v>
      </c>
      <c r="S1744">
        <v>20.86</v>
      </c>
    </row>
    <row r="1745" spans="1:19" x14ac:dyDescent="0.35">
      <c r="A1745">
        <v>1775</v>
      </c>
      <c r="B1745" t="s">
        <v>4450</v>
      </c>
      <c r="C1745" s="1">
        <v>42122</v>
      </c>
      <c r="D1745" s="1">
        <v>42127</v>
      </c>
      <c r="E1745" s="1" t="str">
        <f t="shared" si="27"/>
        <v>FAST</v>
      </c>
      <c r="F1745" t="s">
        <v>46</v>
      </c>
      <c r="G1745" t="s">
        <v>4154</v>
      </c>
      <c r="H1745" t="s">
        <v>4155</v>
      </c>
      <c r="I1745" t="s">
        <v>37</v>
      </c>
      <c r="J1745" t="s">
        <v>23</v>
      </c>
      <c r="K1745" t="s">
        <v>4451</v>
      </c>
      <c r="L1745" t="s">
        <v>2708</v>
      </c>
      <c r="M1745">
        <v>21215</v>
      </c>
      <c r="N1745" t="s">
        <v>144</v>
      </c>
      <c r="O1745" t="s">
        <v>4454</v>
      </c>
      <c r="P1745" t="s">
        <v>42</v>
      </c>
      <c r="Q1745" t="s">
        <v>55</v>
      </c>
      <c r="R1745" t="s">
        <v>4455</v>
      </c>
      <c r="S1745">
        <v>497.61</v>
      </c>
    </row>
    <row r="1746" spans="1:19" x14ac:dyDescent="0.35">
      <c r="A1746">
        <v>1776</v>
      </c>
      <c r="B1746" t="s">
        <v>4450</v>
      </c>
      <c r="C1746" s="1">
        <v>42122</v>
      </c>
      <c r="D1746" s="1">
        <v>42127</v>
      </c>
      <c r="E1746" s="1" t="str">
        <f t="shared" si="27"/>
        <v>FAST</v>
      </c>
      <c r="F1746" t="s">
        <v>46</v>
      </c>
      <c r="G1746" t="s">
        <v>4154</v>
      </c>
      <c r="H1746" t="s">
        <v>4155</v>
      </c>
      <c r="I1746" t="s">
        <v>37</v>
      </c>
      <c r="J1746" t="s">
        <v>23</v>
      </c>
      <c r="K1746" t="s">
        <v>4451</v>
      </c>
      <c r="L1746" t="s">
        <v>2708</v>
      </c>
      <c r="M1746">
        <v>21215</v>
      </c>
      <c r="N1746" t="s">
        <v>144</v>
      </c>
      <c r="O1746" t="s">
        <v>4456</v>
      </c>
      <c r="P1746" t="s">
        <v>42</v>
      </c>
      <c r="Q1746" t="s">
        <v>64</v>
      </c>
      <c r="R1746" t="s">
        <v>4457</v>
      </c>
      <c r="S1746">
        <v>5.34</v>
      </c>
    </row>
    <row r="1747" spans="1:19" x14ac:dyDescent="0.35">
      <c r="A1747">
        <v>1777</v>
      </c>
      <c r="B1747" t="s">
        <v>4450</v>
      </c>
      <c r="C1747" s="1">
        <v>42122</v>
      </c>
      <c r="D1747" s="1">
        <v>42127</v>
      </c>
      <c r="E1747" s="1" t="str">
        <f t="shared" si="27"/>
        <v>FAST</v>
      </c>
      <c r="F1747" t="s">
        <v>46</v>
      </c>
      <c r="G1747" t="s">
        <v>4154</v>
      </c>
      <c r="H1747" t="s">
        <v>4155</v>
      </c>
      <c r="I1747" t="s">
        <v>37</v>
      </c>
      <c r="J1747" t="s">
        <v>23</v>
      </c>
      <c r="K1747" t="s">
        <v>4451</v>
      </c>
      <c r="L1747" t="s">
        <v>2708</v>
      </c>
      <c r="M1747">
        <v>21215</v>
      </c>
      <c r="N1747" t="s">
        <v>144</v>
      </c>
      <c r="O1747" t="s">
        <v>3168</v>
      </c>
      <c r="P1747" t="s">
        <v>42</v>
      </c>
      <c r="Q1747" t="s">
        <v>43</v>
      </c>
      <c r="R1747" t="s">
        <v>3169</v>
      </c>
      <c r="S1747">
        <v>3.15</v>
      </c>
    </row>
    <row r="1748" spans="1:19" x14ac:dyDescent="0.35">
      <c r="A1748">
        <v>1778</v>
      </c>
      <c r="B1748" t="s">
        <v>4458</v>
      </c>
      <c r="C1748" s="1">
        <v>42698</v>
      </c>
      <c r="D1748" s="1">
        <v>42702</v>
      </c>
      <c r="E1748" s="1" t="str">
        <f t="shared" si="27"/>
        <v>FAST</v>
      </c>
      <c r="F1748" t="s">
        <v>46</v>
      </c>
      <c r="G1748" t="s">
        <v>245</v>
      </c>
      <c r="H1748" t="s">
        <v>246</v>
      </c>
      <c r="I1748" t="s">
        <v>22</v>
      </c>
      <c r="J1748" t="s">
        <v>23</v>
      </c>
      <c r="K1748" t="s">
        <v>38</v>
      </c>
      <c r="L1748" t="s">
        <v>39</v>
      </c>
      <c r="M1748">
        <v>90004</v>
      </c>
      <c r="N1748" t="s">
        <v>40</v>
      </c>
      <c r="O1748" t="s">
        <v>4459</v>
      </c>
      <c r="P1748" t="s">
        <v>42</v>
      </c>
      <c r="Q1748" t="s">
        <v>86</v>
      </c>
      <c r="R1748" t="s">
        <v>4460</v>
      </c>
      <c r="S1748">
        <v>368.91</v>
      </c>
    </row>
    <row r="1749" spans="1:19" x14ac:dyDescent="0.35">
      <c r="A1749">
        <v>1779</v>
      </c>
      <c r="B1749" t="s">
        <v>4458</v>
      </c>
      <c r="C1749" s="1">
        <v>42698</v>
      </c>
      <c r="D1749" s="1">
        <v>42702</v>
      </c>
      <c r="E1749" s="1" t="str">
        <f t="shared" si="27"/>
        <v>FAST</v>
      </c>
      <c r="F1749" t="s">
        <v>46</v>
      </c>
      <c r="G1749" t="s">
        <v>245</v>
      </c>
      <c r="H1749" t="s">
        <v>246</v>
      </c>
      <c r="I1749" t="s">
        <v>22</v>
      </c>
      <c r="J1749" t="s">
        <v>23</v>
      </c>
      <c r="K1749" t="s">
        <v>38</v>
      </c>
      <c r="L1749" t="s">
        <v>39</v>
      </c>
      <c r="M1749">
        <v>90004</v>
      </c>
      <c r="N1749" t="s">
        <v>40</v>
      </c>
      <c r="O1749" t="s">
        <v>1630</v>
      </c>
      <c r="P1749" t="s">
        <v>42</v>
      </c>
      <c r="Q1749" t="s">
        <v>64</v>
      </c>
      <c r="R1749" t="s">
        <v>1631</v>
      </c>
      <c r="S1749">
        <v>14.7</v>
      </c>
    </row>
    <row r="1750" spans="1:19" x14ac:dyDescent="0.35">
      <c r="A1750">
        <v>1780</v>
      </c>
      <c r="B1750" t="s">
        <v>4461</v>
      </c>
      <c r="C1750" s="1">
        <v>43050</v>
      </c>
      <c r="D1750" s="1">
        <v>43055</v>
      </c>
      <c r="E1750" s="1" t="str">
        <f t="shared" si="27"/>
        <v>FAST</v>
      </c>
      <c r="F1750" t="s">
        <v>46</v>
      </c>
      <c r="G1750" t="s">
        <v>3517</v>
      </c>
      <c r="H1750" t="s">
        <v>3518</v>
      </c>
      <c r="I1750" t="s">
        <v>22</v>
      </c>
      <c r="J1750" t="s">
        <v>23</v>
      </c>
      <c r="K1750" t="s">
        <v>260</v>
      </c>
      <c r="L1750" t="s">
        <v>261</v>
      </c>
      <c r="M1750">
        <v>10011</v>
      </c>
      <c r="N1750" t="s">
        <v>144</v>
      </c>
      <c r="O1750" t="s">
        <v>3138</v>
      </c>
      <c r="P1750" t="s">
        <v>67</v>
      </c>
      <c r="Q1750" t="s">
        <v>157</v>
      </c>
      <c r="R1750" t="s">
        <v>3139</v>
      </c>
      <c r="S1750">
        <v>59.97</v>
      </c>
    </row>
    <row r="1751" spans="1:19" x14ac:dyDescent="0.35">
      <c r="A1751">
        <v>1781</v>
      </c>
      <c r="B1751" t="s">
        <v>4461</v>
      </c>
      <c r="C1751" s="1">
        <v>43050</v>
      </c>
      <c r="D1751" s="1">
        <v>43055</v>
      </c>
      <c r="E1751" s="1" t="str">
        <f t="shared" si="27"/>
        <v>FAST</v>
      </c>
      <c r="F1751" t="s">
        <v>46</v>
      </c>
      <c r="G1751" t="s">
        <v>3517</v>
      </c>
      <c r="H1751" t="s">
        <v>3518</v>
      </c>
      <c r="I1751" t="s">
        <v>22</v>
      </c>
      <c r="J1751" t="s">
        <v>23</v>
      </c>
      <c r="K1751" t="s">
        <v>260</v>
      </c>
      <c r="L1751" t="s">
        <v>261</v>
      </c>
      <c r="M1751">
        <v>10011</v>
      </c>
      <c r="N1751" t="s">
        <v>144</v>
      </c>
      <c r="O1751" t="s">
        <v>921</v>
      </c>
      <c r="P1751" t="s">
        <v>42</v>
      </c>
      <c r="Q1751" t="s">
        <v>55</v>
      </c>
      <c r="R1751" t="s">
        <v>922</v>
      </c>
      <c r="S1751">
        <v>83.36</v>
      </c>
    </row>
    <row r="1752" spans="1:19" x14ac:dyDescent="0.35">
      <c r="A1752">
        <v>1782</v>
      </c>
      <c r="B1752" t="s">
        <v>4462</v>
      </c>
      <c r="C1752" s="1">
        <v>42560</v>
      </c>
      <c r="D1752" s="1">
        <v>42564</v>
      </c>
      <c r="E1752" s="1" t="str">
        <f t="shared" si="27"/>
        <v>FAST</v>
      </c>
      <c r="F1752" t="s">
        <v>46</v>
      </c>
      <c r="G1752" t="s">
        <v>983</v>
      </c>
      <c r="H1752" t="s">
        <v>984</v>
      </c>
      <c r="I1752" t="s">
        <v>37</v>
      </c>
      <c r="J1752" t="s">
        <v>23</v>
      </c>
      <c r="K1752" t="s">
        <v>600</v>
      </c>
      <c r="L1752" t="s">
        <v>1233</v>
      </c>
      <c r="M1752">
        <v>2038</v>
      </c>
      <c r="N1752" t="s">
        <v>144</v>
      </c>
      <c r="O1752" t="s">
        <v>4463</v>
      </c>
      <c r="P1752" t="s">
        <v>42</v>
      </c>
      <c r="Q1752" t="s">
        <v>86</v>
      </c>
      <c r="R1752" t="s">
        <v>4464</v>
      </c>
      <c r="S1752">
        <v>6.58</v>
      </c>
    </row>
    <row r="1753" spans="1:19" x14ac:dyDescent="0.35">
      <c r="A1753">
        <v>1783</v>
      </c>
      <c r="B1753" t="s">
        <v>4462</v>
      </c>
      <c r="C1753" s="1">
        <v>42560</v>
      </c>
      <c r="D1753" s="1">
        <v>42564</v>
      </c>
      <c r="E1753" s="1" t="str">
        <f t="shared" si="27"/>
        <v>FAST</v>
      </c>
      <c r="F1753" t="s">
        <v>46</v>
      </c>
      <c r="G1753" t="s">
        <v>983</v>
      </c>
      <c r="H1753" t="s">
        <v>984</v>
      </c>
      <c r="I1753" t="s">
        <v>37</v>
      </c>
      <c r="J1753" t="s">
        <v>23</v>
      </c>
      <c r="K1753" t="s">
        <v>600</v>
      </c>
      <c r="L1753" t="s">
        <v>1233</v>
      </c>
      <c r="M1753">
        <v>2038</v>
      </c>
      <c r="N1753" t="s">
        <v>144</v>
      </c>
      <c r="O1753" t="s">
        <v>3098</v>
      </c>
      <c r="P1753" t="s">
        <v>42</v>
      </c>
      <c r="Q1753" t="s">
        <v>71</v>
      </c>
      <c r="R1753" t="s">
        <v>3099</v>
      </c>
      <c r="S1753">
        <v>122.94</v>
      </c>
    </row>
    <row r="1754" spans="1:19" x14ac:dyDescent="0.35">
      <c r="A1754">
        <v>1784</v>
      </c>
      <c r="B1754" t="s">
        <v>4465</v>
      </c>
      <c r="C1754" s="1">
        <v>43365</v>
      </c>
      <c r="D1754" s="1">
        <v>43369</v>
      </c>
      <c r="E1754" s="1" t="str">
        <f t="shared" si="27"/>
        <v>FAST</v>
      </c>
      <c r="F1754" t="s">
        <v>46</v>
      </c>
      <c r="G1754" t="s">
        <v>4466</v>
      </c>
      <c r="H1754" t="s">
        <v>4467</v>
      </c>
      <c r="I1754" t="s">
        <v>37</v>
      </c>
      <c r="J1754" t="s">
        <v>23</v>
      </c>
      <c r="K1754" t="s">
        <v>2520</v>
      </c>
      <c r="L1754" t="s">
        <v>110</v>
      </c>
      <c r="M1754">
        <v>53209</v>
      </c>
      <c r="N1754" t="s">
        <v>101</v>
      </c>
      <c r="O1754" t="s">
        <v>4267</v>
      </c>
      <c r="P1754" t="s">
        <v>42</v>
      </c>
      <c r="Q1754" t="s">
        <v>86</v>
      </c>
      <c r="R1754" t="s">
        <v>4268</v>
      </c>
      <c r="S1754">
        <v>219.84</v>
      </c>
    </row>
    <row r="1755" spans="1:19" x14ac:dyDescent="0.35">
      <c r="A1755">
        <v>1785</v>
      </c>
      <c r="B1755" t="s">
        <v>4465</v>
      </c>
      <c r="C1755" s="1">
        <v>43365</v>
      </c>
      <c r="D1755" s="1">
        <v>43369</v>
      </c>
      <c r="E1755" s="1" t="str">
        <f t="shared" si="27"/>
        <v>FAST</v>
      </c>
      <c r="F1755" t="s">
        <v>46</v>
      </c>
      <c r="G1755" t="s">
        <v>4466</v>
      </c>
      <c r="H1755" t="s">
        <v>4467</v>
      </c>
      <c r="I1755" t="s">
        <v>37</v>
      </c>
      <c r="J1755" t="s">
        <v>23</v>
      </c>
      <c r="K1755" t="s">
        <v>2520</v>
      </c>
      <c r="L1755" t="s">
        <v>110</v>
      </c>
      <c r="M1755">
        <v>53209</v>
      </c>
      <c r="N1755" t="s">
        <v>101</v>
      </c>
      <c r="O1755" t="s">
        <v>3732</v>
      </c>
      <c r="P1755" t="s">
        <v>67</v>
      </c>
      <c r="Q1755" t="s">
        <v>157</v>
      </c>
      <c r="R1755" t="s">
        <v>3733</v>
      </c>
      <c r="S1755">
        <v>98.16</v>
      </c>
    </row>
    <row r="1756" spans="1:19" x14ac:dyDescent="0.35">
      <c r="A1756">
        <v>1786</v>
      </c>
      <c r="B1756" t="s">
        <v>4465</v>
      </c>
      <c r="C1756" s="1">
        <v>43365</v>
      </c>
      <c r="D1756" s="1">
        <v>43369</v>
      </c>
      <c r="E1756" s="1" t="str">
        <f t="shared" si="27"/>
        <v>FAST</v>
      </c>
      <c r="F1756" t="s">
        <v>46</v>
      </c>
      <c r="G1756" t="s">
        <v>4466</v>
      </c>
      <c r="H1756" t="s">
        <v>4467</v>
      </c>
      <c r="I1756" t="s">
        <v>37</v>
      </c>
      <c r="J1756" t="s">
        <v>23</v>
      </c>
      <c r="K1756" t="s">
        <v>2520</v>
      </c>
      <c r="L1756" t="s">
        <v>110</v>
      </c>
      <c r="M1756">
        <v>53209</v>
      </c>
      <c r="N1756" t="s">
        <v>101</v>
      </c>
      <c r="O1756" t="s">
        <v>3330</v>
      </c>
      <c r="P1756" t="s">
        <v>42</v>
      </c>
      <c r="Q1756" t="s">
        <v>71</v>
      </c>
      <c r="R1756" t="s">
        <v>3331</v>
      </c>
      <c r="S1756">
        <v>33.04</v>
      </c>
    </row>
    <row r="1757" spans="1:19" x14ac:dyDescent="0.35">
      <c r="A1757">
        <v>1787</v>
      </c>
      <c r="B1757" t="s">
        <v>4465</v>
      </c>
      <c r="C1757" s="1">
        <v>43365</v>
      </c>
      <c r="D1757" s="1">
        <v>43369</v>
      </c>
      <c r="E1757" s="1" t="str">
        <f t="shared" si="27"/>
        <v>FAST</v>
      </c>
      <c r="F1757" t="s">
        <v>46</v>
      </c>
      <c r="G1757" t="s">
        <v>4466</v>
      </c>
      <c r="H1757" t="s">
        <v>4467</v>
      </c>
      <c r="I1757" t="s">
        <v>37</v>
      </c>
      <c r="J1757" t="s">
        <v>23</v>
      </c>
      <c r="K1757" t="s">
        <v>2520</v>
      </c>
      <c r="L1757" t="s">
        <v>110</v>
      </c>
      <c r="M1757">
        <v>53209</v>
      </c>
      <c r="N1757" t="s">
        <v>101</v>
      </c>
      <c r="O1757" t="s">
        <v>4468</v>
      </c>
      <c r="P1757" t="s">
        <v>67</v>
      </c>
      <c r="Q1757" t="s">
        <v>68</v>
      </c>
      <c r="R1757" t="s">
        <v>4469</v>
      </c>
      <c r="S1757">
        <v>86.97</v>
      </c>
    </row>
    <row r="1758" spans="1:19" x14ac:dyDescent="0.35">
      <c r="A1758">
        <v>1788</v>
      </c>
      <c r="B1758" t="s">
        <v>4470</v>
      </c>
      <c r="C1758" s="1">
        <v>42415</v>
      </c>
      <c r="D1758" s="1">
        <v>42419</v>
      </c>
      <c r="E1758" s="1" t="str">
        <f t="shared" si="27"/>
        <v>FAST</v>
      </c>
      <c r="F1758" t="s">
        <v>46</v>
      </c>
      <c r="G1758" t="s">
        <v>4471</v>
      </c>
      <c r="H1758" t="s">
        <v>4472</v>
      </c>
      <c r="I1758" t="s">
        <v>37</v>
      </c>
      <c r="J1758" t="s">
        <v>23</v>
      </c>
      <c r="K1758" t="s">
        <v>4473</v>
      </c>
      <c r="L1758" t="s">
        <v>110</v>
      </c>
      <c r="M1758">
        <v>53142</v>
      </c>
      <c r="N1758" t="s">
        <v>101</v>
      </c>
      <c r="O1758" t="s">
        <v>3171</v>
      </c>
      <c r="P1758" t="s">
        <v>67</v>
      </c>
      <c r="Q1758" t="s">
        <v>68</v>
      </c>
      <c r="R1758" t="s">
        <v>3172</v>
      </c>
      <c r="S1758">
        <v>134.97</v>
      </c>
    </row>
    <row r="1759" spans="1:19" x14ac:dyDescent="0.35">
      <c r="A1759">
        <v>1789</v>
      </c>
      <c r="B1759" t="s">
        <v>4470</v>
      </c>
      <c r="C1759" s="1">
        <v>42415</v>
      </c>
      <c r="D1759" s="1">
        <v>42419</v>
      </c>
      <c r="E1759" s="1" t="str">
        <f t="shared" si="27"/>
        <v>FAST</v>
      </c>
      <c r="F1759" t="s">
        <v>46</v>
      </c>
      <c r="G1759" t="s">
        <v>4471</v>
      </c>
      <c r="H1759" t="s">
        <v>4472</v>
      </c>
      <c r="I1759" t="s">
        <v>37</v>
      </c>
      <c r="J1759" t="s">
        <v>23</v>
      </c>
      <c r="K1759" t="s">
        <v>4473</v>
      </c>
      <c r="L1759" t="s">
        <v>110</v>
      </c>
      <c r="M1759">
        <v>53142</v>
      </c>
      <c r="N1759" t="s">
        <v>101</v>
      </c>
      <c r="O1759" t="s">
        <v>2923</v>
      </c>
      <c r="P1759" t="s">
        <v>67</v>
      </c>
      <c r="Q1759" t="s">
        <v>68</v>
      </c>
      <c r="R1759" t="s">
        <v>2924</v>
      </c>
      <c r="S1759">
        <v>699.98</v>
      </c>
    </row>
    <row r="1760" spans="1:19" x14ac:dyDescent="0.35">
      <c r="A1760">
        <v>1790</v>
      </c>
      <c r="B1760" t="s">
        <v>4470</v>
      </c>
      <c r="C1760" s="1">
        <v>42415</v>
      </c>
      <c r="D1760" s="1">
        <v>42419</v>
      </c>
      <c r="E1760" s="1" t="str">
        <f t="shared" si="27"/>
        <v>FAST</v>
      </c>
      <c r="F1760" t="s">
        <v>46</v>
      </c>
      <c r="G1760" t="s">
        <v>4471</v>
      </c>
      <c r="H1760" t="s">
        <v>4472</v>
      </c>
      <c r="I1760" t="s">
        <v>37</v>
      </c>
      <c r="J1760" t="s">
        <v>23</v>
      </c>
      <c r="K1760" t="s">
        <v>4473</v>
      </c>
      <c r="L1760" t="s">
        <v>110</v>
      </c>
      <c r="M1760">
        <v>53142</v>
      </c>
      <c r="N1760" t="s">
        <v>101</v>
      </c>
      <c r="O1760" t="s">
        <v>4474</v>
      </c>
      <c r="P1760" t="s">
        <v>67</v>
      </c>
      <c r="Q1760" t="s">
        <v>157</v>
      </c>
      <c r="R1760" t="s">
        <v>4475</v>
      </c>
      <c r="S1760">
        <v>139.94999999999999</v>
      </c>
    </row>
    <row r="1761" spans="1:19" x14ac:dyDescent="0.35">
      <c r="A1761">
        <v>1791</v>
      </c>
      <c r="B1761" t="s">
        <v>4476</v>
      </c>
      <c r="C1761" s="1">
        <v>42277</v>
      </c>
      <c r="D1761" s="1">
        <v>42281</v>
      </c>
      <c r="E1761" s="1" t="str">
        <f t="shared" si="27"/>
        <v>FAST</v>
      </c>
      <c r="F1761" t="s">
        <v>46</v>
      </c>
      <c r="G1761" t="s">
        <v>1316</v>
      </c>
      <c r="H1761" t="s">
        <v>1317</v>
      </c>
      <c r="I1761" t="s">
        <v>22</v>
      </c>
      <c r="J1761" t="s">
        <v>23</v>
      </c>
      <c r="K1761" t="s">
        <v>260</v>
      </c>
      <c r="L1761" t="s">
        <v>261</v>
      </c>
      <c r="M1761">
        <v>10011</v>
      </c>
      <c r="N1761" t="s">
        <v>144</v>
      </c>
      <c r="O1761" t="s">
        <v>2289</v>
      </c>
      <c r="P1761" t="s">
        <v>42</v>
      </c>
      <c r="Q1761" t="s">
        <v>86</v>
      </c>
      <c r="R1761" t="s">
        <v>2290</v>
      </c>
      <c r="S1761">
        <v>48.94</v>
      </c>
    </row>
    <row r="1762" spans="1:19" x14ac:dyDescent="0.35">
      <c r="A1762">
        <v>1792</v>
      </c>
      <c r="B1762" t="s">
        <v>4477</v>
      </c>
      <c r="C1762" s="1">
        <v>42339</v>
      </c>
      <c r="D1762" s="1">
        <v>42341</v>
      </c>
      <c r="E1762" s="1" t="str">
        <f t="shared" si="27"/>
        <v>MODERATE</v>
      </c>
      <c r="F1762" t="s">
        <v>184</v>
      </c>
      <c r="G1762" t="s">
        <v>2158</v>
      </c>
      <c r="H1762" t="s">
        <v>2159</v>
      </c>
      <c r="I1762" t="s">
        <v>22</v>
      </c>
      <c r="J1762" t="s">
        <v>23</v>
      </c>
      <c r="K1762" t="s">
        <v>109</v>
      </c>
      <c r="L1762" t="s">
        <v>110</v>
      </c>
      <c r="M1762">
        <v>53711</v>
      </c>
      <c r="N1762" t="s">
        <v>101</v>
      </c>
      <c r="O1762" t="s">
        <v>4478</v>
      </c>
      <c r="P1762" t="s">
        <v>28</v>
      </c>
      <c r="Q1762" t="s">
        <v>32</v>
      </c>
      <c r="R1762" t="s">
        <v>4479</v>
      </c>
      <c r="S1762">
        <v>2807.84</v>
      </c>
    </row>
    <row r="1763" spans="1:19" x14ac:dyDescent="0.35">
      <c r="A1763">
        <v>1793</v>
      </c>
      <c r="B1763" t="s">
        <v>4477</v>
      </c>
      <c r="C1763" s="1">
        <v>42339</v>
      </c>
      <c r="D1763" s="1">
        <v>42341</v>
      </c>
      <c r="E1763" s="1" t="str">
        <f t="shared" si="27"/>
        <v>MODERATE</v>
      </c>
      <c r="F1763" t="s">
        <v>184</v>
      </c>
      <c r="G1763" t="s">
        <v>2158</v>
      </c>
      <c r="H1763" t="s">
        <v>2159</v>
      </c>
      <c r="I1763" t="s">
        <v>22</v>
      </c>
      <c r="J1763" t="s">
        <v>23</v>
      </c>
      <c r="K1763" t="s">
        <v>109</v>
      </c>
      <c r="L1763" t="s">
        <v>110</v>
      </c>
      <c r="M1763">
        <v>53711</v>
      </c>
      <c r="N1763" t="s">
        <v>101</v>
      </c>
      <c r="O1763" t="s">
        <v>4480</v>
      </c>
      <c r="P1763" t="s">
        <v>42</v>
      </c>
      <c r="Q1763" t="s">
        <v>64</v>
      </c>
      <c r="R1763" t="s">
        <v>4481</v>
      </c>
      <c r="S1763">
        <v>46.64</v>
      </c>
    </row>
    <row r="1764" spans="1:19" x14ac:dyDescent="0.35">
      <c r="A1764">
        <v>1794</v>
      </c>
      <c r="B1764" t="s">
        <v>4482</v>
      </c>
      <c r="C1764" s="1">
        <v>42346</v>
      </c>
      <c r="D1764" s="1">
        <v>42351</v>
      </c>
      <c r="E1764" s="1" t="str">
        <f t="shared" si="27"/>
        <v>FAST</v>
      </c>
      <c r="F1764" t="s">
        <v>46</v>
      </c>
      <c r="G1764" t="s">
        <v>4483</v>
      </c>
      <c r="H1764" t="s">
        <v>4484</v>
      </c>
      <c r="I1764" t="s">
        <v>37</v>
      </c>
      <c r="J1764" t="s">
        <v>23</v>
      </c>
      <c r="K1764" t="s">
        <v>180</v>
      </c>
      <c r="L1764" t="s">
        <v>100</v>
      </c>
      <c r="M1764">
        <v>77041</v>
      </c>
      <c r="N1764" t="s">
        <v>101</v>
      </c>
      <c r="O1764" t="s">
        <v>511</v>
      </c>
      <c r="P1764" t="s">
        <v>42</v>
      </c>
      <c r="Q1764" t="s">
        <v>55</v>
      </c>
      <c r="R1764" t="s">
        <v>512</v>
      </c>
      <c r="S1764">
        <v>60.415999999999997</v>
      </c>
    </row>
    <row r="1765" spans="1:19" x14ac:dyDescent="0.35">
      <c r="A1765">
        <v>1795</v>
      </c>
      <c r="B1765" t="s">
        <v>4485</v>
      </c>
      <c r="C1765" s="1">
        <v>42983</v>
      </c>
      <c r="D1765" s="1">
        <v>42988</v>
      </c>
      <c r="E1765" s="1" t="str">
        <f t="shared" si="27"/>
        <v>FAST</v>
      </c>
      <c r="F1765" t="s">
        <v>46</v>
      </c>
      <c r="G1765" t="s">
        <v>4486</v>
      </c>
      <c r="H1765" t="s">
        <v>4487</v>
      </c>
      <c r="I1765" t="s">
        <v>98</v>
      </c>
      <c r="J1765" t="s">
        <v>23</v>
      </c>
      <c r="K1765" t="s">
        <v>4488</v>
      </c>
      <c r="L1765" t="s">
        <v>4489</v>
      </c>
      <c r="M1765">
        <v>66062</v>
      </c>
      <c r="N1765" t="s">
        <v>101</v>
      </c>
      <c r="O1765" t="s">
        <v>3519</v>
      </c>
      <c r="P1765" t="s">
        <v>42</v>
      </c>
      <c r="Q1765" t="s">
        <v>64</v>
      </c>
      <c r="R1765" t="s">
        <v>3520</v>
      </c>
      <c r="S1765">
        <v>107.94</v>
      </c>
    </row>
    <row r="1766" spans="1:19" x14ac:dyDescent="0.35">
      <c r="A1766">
        <v>1796</v>
      </c>
      <c r="B1766" t="s">
        <v>4490</v>
      </c>
      <c r="C1766" s="1">
        <v>43339</v>
      </c>
      <c r="D1766" s="1">
        <v>43342</v>
      </c>
      <c r="E1766" s="1" t="str">
        <f t="shared" si="27"/>
        <v>MODERATE</v>
      </c>
      <c r="F1766" t="s">
        <v>184</v>
      </c>
      <c r="G1766" t="s">
        <v>2297</v>
      </c>
      <c r="H1766" t="s">
        <v>2298</v>
      </c>
      <c r="I1766" t="s">
        <v>98</v>
      </c>
      <c r="J1766" t="s">
        <v>23</v>
      </c>
      <c r="K1766" t="s">
        <v>260</v>
      </c>
      <c r="L1766" t="s">
        <v>261</v>
      </c>
      <c r="M1766">
        <v>10024</v>
      </c>
      <c r="N1766" t="s">
        <v>144</v>
      </c>
      <c r="O1766" t="s">
        <v>3323</v>
      </c>
      <c r="P1766" t="s">
        <v>42</v>
      </c>
      <c r="Q1766" t="s">
        <v>55</v>
      </c>
      <c r="R1766" t="s">
        <v>3324</v>
      </c>
      <c r="S1766">
        <v>63.84</v>
      </c>
    </row>
    <row r="1767" spans="1:19" x14ac:dyDescent="0.35">
      <c r="A1767">
        <v>1797</v>
      </c>
      <c r="B1767" t="s">
        <v>4490</v>
      </c>
      <c r="C1767" s="1">
        <v>43339</v>
      </c>
      <c r="D1767" s="1">
        <v>43342</v>
      </c>
      <c r="E1767" s="1" t="str">
        <f t="shared" si="27"/>
        <v>MODERATE</v>
      </c>
      <c r="F1767" t="s">
        <v>184</v>
      </c>
      <c r="G1767" t="s">
        <v>2297</v>
      </c>
      <c r="H1767" t="s">
        <v>2298</v>
      </c>
      <c r="I1767" t="s">
        <v>98</v>
      </c>
      <c r="J1767" t="s">
        <v>23</v>
      </c>
      <c r="K1767" t="s">
        <v>260</v>
      </c>
      <c r="L1767" t="s">
        <v>261</v>
      </c>
      <c r="M1767">
        <v>10024</v>
      </c>
      <c r="N1767" t="s">
        <v>144</v>
      </c>
      <c r="O1767" t="s">
        <v>4491</v>
      </c>
      <c r="P1767" t="s">
        <v>67</v>
      </c>
      <c r="Q1767" t="s">
        <v>68</v>
      </c>
      <c r="R1767" t="s">
        <v>4492</v>
      </c>
      <c r="S1767">
        <v>347.97</v>
      </c>
    </row>
    <row r="1768" spans="1:19" x14ac:dyDescent="0.35">
      <c r="A1768">
        <v>1798</v>
      </c>
      <c r="B1768" t="s">
        <v>4490</v>
      </c>
      <c r="C1768" s="1">
        <v>43339</v>
      </c>
      <c r="D1768" s="1">
        <v>43342</v>
      </c>
      <c r="E1768" s="1" t="str">
        <f t="shared" si="27"/>
        <v>MODERATE</v>
      </c>
      <c r="F1768" t="s">
        <v>184</v>
      </c>
      <c r="G1768" t="s">
        <v>2297</v>
      </c>
      <c r="H1768" t="s">
        <v>2298</v>
      </c>
      <c r="I1768" t="s">
        <v>98</v>
      </c>
      <c r="J1768" t="s">
        <v>23</v>
      </c>
      <c r="K1768" t="s">
        <v>260</v>
      </c>
      <c r="L1768" t="s">
        <v>261</v>
      </c>
      <c r="M1768">
        <v>10024</v>
      </c>
      <c r="N1768" t="s">
        <v>144</v>
      </c>
      <c r="O1768" t="s">
        <v>70</v>
      </c>
      <c r="P1768" t="s">
        <v>42</v>
      </c>
      <c r="Q1768" t="s">
        <v>71</v>
      </c>
      <c r="R1768" t="s">
        <v>72</v>
      </c>
      <c r="S1768">
        <v>37.008000000000003</v>
      </c>
    </row>
    <row r="1769" spans="1:19" x14ac:dyDescent="0.35">
      <c r="A1769">
        <v>1799</v>
      </c>
      <c r="B1769" t="s">
        <v>4493</v>
      </c>
      <c r="C1769" s="1">
        <v>42923</v>
      </c>
      <c r="D1769" s="1">
        <v>42927</v>
      </c>
      <c r="E1769" s="1" t="str">
        <f t="shared" si="27"/>
        <v>FAST</v>
      </c>
      <c r="F1769" t="s">
        <v>46</v>
      </c>
      <c r="G1769" t="s">
        <v>4427</v>
      </c>
      <c r="H1769" t="s">
        <v>4428</v>
      </c>
      <c r="I1769" t="s">
        <v>22</v>
      </c>
      <c r="J1769" t="s">
        <v>23</v>
      </c>
      <c r="K1769" t="s">
        <v>618</v>
      </c>
      <c r="L1769" t="s">
        <v>39</v>
      </c>
      <c r="M1769">
        <v>95123</v>
      </c>
      <c r="N1769" t="s">
        <v>40</v>
      </c>
      <c r="O1769" t="s">
        <v>1855</v>
      </c>
      <c r="P1769" t="s">
        <v>28</v>
      </c>
      <c r="Q1769" t="s">
        <v>61</v>
      </c>
      <c r="R1769" t="s">
        <v>1856</v>
      </c>
      <c r="S1769">
        <v>215.65</v>
      </c>
    </row>
    <row r="1770" spans="1:19" x14ac:dyDescent="0.35">
      <c r="A1770">
        <v>1800</v>
      </c>
      <c r="B1770" t="s">
        <v>4494</v>
      </c>
      <c r="C1770" s="1">
        <v>42955</v>
      </c>
      <c r="D1770" s="1">
        <v>42957</v>
      </c>
      <c r="E1770" s="1" t="str">
        <f t="shared" si="27"/>
        <v>SLOW</v>
      </c>
      <c r="F1770" t="s">
        <v>19</v>
      </c>
      <c r="G1770" t="s">
        <v>4495</v>
      </c>
      <c r="H1770" t="s">
        <v>4496</v>
      </c>
      <c r="I1770" t="s">
        <v>22</v>
      </c>
      <c r="J1770" t="s">
        <v>23</v>
      </c>
      <c r="K1770" t="s">
        <v>802</v>
      </c>
      <c r="L1770" t="s">
        <v>100</v>
      </c>
      <c r="M1770">
        <v>75081</v>
      </c>
      <c r="N1770" t="s">
        <v>101</v>
      </c>
      <c r="O1770" t="s">
        <v>854</v>
      </c>
      <c r="P1770" t="s">
        <v>42</v>
      </c>
      <c r="Q1770" t="s">
        <v>263</v>
      </c>
      <c r="R1770" t="s">
        <v>855</v>
      </c>
      <c r="S1770">
        <v>11.167999999999999</v>
      </c>
    </row>
    <row r="1771" spans="1:19" x14ac:dyDescent="0.35">
      <c r="A1771">
        <v>1801</v>
      </c>
      <c r="B1771" t="s">
        <v>4494</v>
      </c>
      <c r="C1771" s="1">
        <v>42955</v>
      </c>
      <c r="D1771" s="1">
        <v>42957</v>
      </c>
      <c r="E1771" s="1" t="str">
        <f t="shared" si="27"/>
        <v>SLOW</v>
      </c>
      <c r="F1771" t="s">
        <v>19</v>
      </c>
      <c r="G1771" t="s">
        <v>4495</v>
      </c>
      <c r="H1771" t="s">
        <v>4496</v>
      </c>
      <c r="I1771" t="s">
        <v>22</v>
      </c>
      <c r="J1771" t="s">
        <v>23</v>
      </c>
      <c r="K1771" t="s">
        <v>802</v>
      </c>
      <c r="L1771" t="s">
        <v>100</v>
      </c>
      <c r="M1771">
        <v>75081</v>
      </c>
      <c r="N1771" t="s">
        <v>101</v>
      </c>
      <c r="O1771" t="s">
        <v>4497</v>
      </c>
      <c r="P1771" t="s">
        <v>42</v>
      </c>
      <c r="Q1771" t="s">
        <v>86</v>
      </c>
      <c r="R1771" t="s">
        <v>4498</v>
      </c>
      <c r="S1771">
        <v>53.951999999999998</v>
      </c>
    </row>
    <row r="1772" spans="1:19" x14ac:dyDescent="0.35">
      <c r="A1772">
        <v>1802</v>
      </c>
      <c r="B1772" t="s">
        <v>4499</v>
      </c>
      <c r="C1772" s="1">
        <v>43052</v>
      </c>
      <c r="D1772" s="1">
        <v>43058</v>
      </c>
      <c r="E1772" s="1" t="str">
        <f t="shared" si="27"/>
        <v>FAST</v>
      </c>
      <c r="F1772" t="s">
        <v>46</v>
      </c>
      <c r="G1772" t="s">
        <v>1841</v>
      </c>
      <c r="H1772" t="s">
        <v>1842</v>
      </c>
      <c r="I1772" t="s">
        <v>98</v>
      </c>
      <c r="J1772" t="s">
        <v>23</v>
      </c>
      <c r="K1772" t="s">
        <v>1544</v>
      </c>
      <c r="L1772" t="s">
        <v>92</v>
      </c>
      <c r="M1772">
        <v>98002</v>
      </c>
      <c r="N1772" t="s">
        <v>40</v>
      </c>
      <c r="O1772" t="s">
        <v>3920</v>
      </c>
      <c r="P1772" t="s">
        <v>28</v>
      </c>
      <c r="Q1772" t="s">
        <v>61</v>
      </c>
      <c r="R1772" t="s">
        <v>3921</v>
      </c>
      <c r="S1772">
        <v>4.18</v>
      </c>
    </row>
    <row r="1773" spans="1:19" x14ac:dyDescent="0.35">
      <c r="A1773">
        <v>1803</v>
      </c>
      <c r="B1773" t="s">
        <v>4500</v>
      </c>
      <c r="C1773" s="1">
        <v>43365</v>
      </c>
      <c r="D1773" s="1">
        <v>43369</v>
      </c>
      <c r="E1773" s="1" t="str">
        <f t="shared" si="27"/>
        <v>SLOW</v>
      </c>
      <c r="F1773" t="s">
        <v>19</v>
      </c>
      <c r="G1773" t="s">
        <v>2868</v>
      </c>
      <c r="H1773" t="s">
        <v>2869</v>
      </c>
      <c r="I1773" t="s">
        <v>22</v>
      </c>
      <c r="J1773" t="s">
        <v>23</v>
      </c>
      <c r="K1773" t="s">
        <v>142</v>
      </c>
      <c r="L1773" t="s">
        <v>143</v>
      </c>
      <c r="M1773">
        <v>19134</v>
      </c>
      <c r="N1773" t="s">
        <v>144</v>
      </c>
      <c r="O1773" t="s">
        <v>1692</v>
      </c>
      <c r="P1773" t="s">
        <v>42</v>
      </c>
      <c r="Q1773" t="s">
        <v>71</v>
      </c>
      <c r="R1773" t="s">
        <v>1693</v>
      </c>
      <c r="S1773">
        <v>5.6070000000000002</v>
      </c>
    </row>
    <row r="1774" spans="1:19" x14ac:dyDescent="0.35">
      <c r="A1774">
        <v>1804</v>
      </c>
      <c r="B1774" t="s">
        <v>4500</v>
      </c>
      <c r="C1774" s="1">
        <v>43365</v>
      </c>
      <c r="D1774" s="1">
        <v>43369</v>
      </c>
      <c r="E1774" s="1" t="str">
        <f t="shared" si="27"/>
        <v>SLOW</v>
      </c>
      <c r="F1774" t="s">
        <v>19</v>
      </c>
      <c r="G1774" t="s">
        <v>2868</v>
      </c>
      <c r="H1774" t="s">
        <v>2869</v>
      </c>
      <c r="I1774" t="s">
        <v>22</v>
      </c>
      <c r="J1774" t="s">
        <v>23</v>
      </c>
      <c r="K1774" t="s">
        <v>142</v>
      </c>
      <c r="L1774" t="s">
        <v>143</v>
      </c>
      <c r="M1774">
        <v>19134</v>
      </c>
      <c r="N1774" t="s">
        <v>144</v>
      </c>
      <c r="O1774" t="s">
        <v>1780</v>
      </c>
      <c r="P1774" t="s">
        <v>42</v>
      </c>
      <c r="Q1774" t="s">
        <v>566</v>
      </c>
      <c r="R1774" t="s">
        <v>1781</v>
      </c>
      <c r="S1774">
        <v>4663.7359999999999</v>
      </c>
    </row>
    <row r="1775" spans="1:19" x14ac:dyDescent="0.35">
      <c r="A1775">
        <v>1805</v>
      </c>
      <c r="B1775" t="s">
        <v>4500</v>
      </c>
      <c r="C1775" s="1">
        <v>43365</v>
      </c>
      <c r="D1775" s="1">
        <v>43369</v>
      </c>
      <c r="E1775" s="1" t="str">
        <f t="shared" si="27"/>
        <v>SLOW</v>
      </c>
      <c r="F1775" t="s">
        <v>19</v>
      </c>
      <c r="G1775" t="s">
        <v>2868</v>
      </c>
      <c r="H1775" t="s">
        <v>2869</v>
      </c>
      <c r="I1775" t="s">
        <v>22</v>
      </c>
      <c r="J1775" t="s">
        <v>23</v>
      </c>
      <c r="K1775" t="s">
        <v>142</v>
      </c>
      <c r="L1775" t="s">
        <v>143</v>
      </c>
      <c r="M1775">
        <v>19134</v>
      </c>
      <c r="N1775" t="s">
        <v>144</v>
      </c>
      <c r="O1775" t="s">
        <v>4501</v>
      </c>
      <c r="P1775" t="s">
        <v>67</v>
      </c>
      <c r="Q1775" t="s">
        <v>157</v>
      </c>
      <c r="R1775" t="s">
        <v>4502</v>
      </c>
      <c r="S1775">
        <v>79.983999999999995</v>
      </c>
    </row>
    <row r="1776" spans="1:19" x14ac:dyDescent="0.35">
      <c r="A1776">
        <v>1806</v>
      </c>
      <c r="B1776" t="s">
        <v>4503</v>
      </c>
      <c r="C1776" s="1">
        <v>43094</v>
      </c>
      <c r="D1776" s="1">
        <v>43097</v>
      </c>
      <c r="E1776" s="1" t="str">
        <f t="shared" si="27"/>
        <v>MODERATE</v>
      </c>
      <c r="F1776" t="s">
        <v>184</v>
      </c>
      <c r="G1776" t="s">
        <v>1165</v>
      </c>
      <c r="H1776" t="s">
        <v>1166</v>
      </c>
      <c r="I1776" t="s">
        <v>37</v>
      </c>
      <c r="J1776" t="s">
        <v>23</v>
      </c>
      <c r="K1776" t="s">
        <v>38</v>
      </c>
      <c r="L1776" t="s">
        <v>39</v>
      </c>
      <c r="M1776">
        <v>90049</v>
      </c>
      <c r="N1776" t="s">
        <v>40</v>
      </c>
      <c r="O1776" t="s">
        <v>3402</v>
      </c>
      <c r="P1776" t="s">
        <v>67</v>
      </c>
      <c r="Q1776" t="s">
        <v>68</v>
      </c>
      <c r="R1776" t="s">
        <v>3403</v>
      </c>
      <c r="S1776">
        <v>2575.944</v>
      </c>
    </row>
    <row r="1777" spans="1:19" x14ac:dyDescent="0.35">
      <c r="A1777">
        <v>1807</v>
      </c>
      <c r="B1777" t="s">
        <v>4503</v>
      </c>
      <c r="C1777" s="1">
        <v>43094</v>
      </c>
      <c r="D1777" s="1">
        <v>43097</v>
      </c>
      <c r="E1777" s="1" t="str">
        <f t="shared" si="27"/>
        <v>MODERATE</v>
      </c>
      <c r="F1777" t="s">
        <v>184</v>
      </c>
      <c r="G1777" t="s">
        <v>1165</v>
      </c>
      <c r="H1777" t="s">
        <v>1166</v>
      </c>
      <c r="I1777" t="s">
        <v>37</v>
      </c>
      <c r="J1777" t="s">
        <v>23</v>
      </c>
      <c r="K1777" t="s">
        <v>38</v>
      </c>
      <c r="L1777" t="s">
        <v>39</v>
      </c>
      <c r="M1777">
        <v>90049</v>
      </c>
      <c r="N1777" t="s">
        <v>40</v>
      </c>
      <c r="O1777" t="s">
        <v>1959</v>
      </c>
      <c r="P1777" t="s">
        <v>42</v>
      </c>
      <c r="Q1777" t="s">
        <v>86</v>
      </c>
      <c r="R1777" t="s">
        <v>1960</v>
      </c>
      <c r="S1777">
        <v>45.36</v>
      </c>
    </row>
    <row r="1778" spans="1:19" x14ac:dyDescent="0.35">
      <c r="A1778">
        <v>1808</v>
      </c>
      <c r="B1778" t="s">
        <v>4503</v>
      </c>
      <c r="C1778" s="1">
        <v>43094</v>
      </c>
      <c r="D1778" s="1">
        <v>43097</v>
      </c>
      <c r="E1778" s="1" t="str">
        <f t="shared" si="27"/>
        <v>MODERATE</v>
      </c>
      <c r="F1778" t="s">
        <v>184</v>
      </c>
      <c r="G1778" t="s">
        <v>1165</v>
      </c>
      <c r="H1778" t="s">
        <v>1166</v>
      </c>
      <c r="I1778" t="s">
        <v>37</v>
      </c>
      <c r="J1778" t="s">
        <v>23</v>
      </c>
      <c r="K1778" t="s">
        <v>38</v>
      </c>
      <c r="L1778" t="s">
        <v>39</v>
      </c>
      <c r="M1778">
        <v>90049</v>
      </c>
      <c r="N1778" t="s">
        <v>40</v>
      </c>
      <c r="O1778" t="s">
        <v>1834</v>
      </c>
      <c r="P1778" t="s">
        <v>67</v>
      </c>
      <c r="Q1778" t="s">
        <v>157</v>
      </c>
      <c r="R1778" t="s">
        <v>1835</v>
      </c>
      <c r="S1778">
        <v>254.24</v>
      </c>
    </row>
    <row r="1779" spans="1:19" x14ac:dyDescent="0.35">
      <c r="A1779">
        <v>1809</v>
      </c>
      <c r="B1779" t="s">
        <v>4504</v>
      </c>
      <c r="C1779" s="1">
        <v>42777</v>
      </c>
      <c r="D1779" s="1">
        <v>42779</v>
      </c>
      <c r="E1779" s="1" t="str">
        <f t="shared" si="27"/>
        <v>MODERATE</v>
      </c>
      <c r="F1779" t="s">
        <v>184</v>
      </c>
      <c r="G1779" t="s">
        <v>4505</v>
      </c>
      <c r="H1779" t="s">
        <v>4506</v>
      </c>
      <c r="I1779" t="s">
        <v>37</v>
      </c>
      <c r="J1779" t="s">
        <v>23</v>
      </c>
      <c r="K1779" t="s">
        <v>4507</v>
      </c>
      <c r="L1779" t="s">
        <v>637</v>
      </c>
      <c r="M1779">
        <v>74133</v>
      </c>
      <c r="N1779" t="s">
        <v>101</v>
      </c>
      <c r="O1779" t="s">
        <v>4508</v>
      </c>
      <c r="P1779" t="s">
        <v>67</v>
      </c>
      <c r="Q1779" t="s">
        <v>68</v>
      </c>
      <c r="R1779" t="s">
        <v>4509</v>
      </c>
      <c r="S1779">
        <v>69.930000000000007</v>
      </c>
    </row>
    <row r="1780" spans="1:19" x14ac:dyDescent="0.35">
      <c r="A1780">
        <v>1810</v>
      </c>
      <c r="B1780" t="s">
        <v>4510</v>
      </c>
      <c r="C1780" s="1">
        <v>43031</v>
      </c>
      <c r="D1780" s="1">
        <v>43037</v>
      </c>
      <c r="E1780" s="1" t="str">
        <f t="shared" si="27"/>
        <v>FAST</v>
      </c>
      <c r="F1780" t="s">
        <v>46</v>
      </c>
      <c r="G1780" t="s">
        <v>806</v>
      </c>
      <c r="H1780" t="s">
        <v>807</v>
      </c>
      <c r="I1780" t="s">
        <v>37</v>
      </c>
      <c r="J1780" t="s">
        <v>23</v>
      </c>
      <c r="K1780" t="s">
        <v>297</v>
      </c>
      <c r="L1780" t="s">
        <v>205</v>
      </c>
      <c r="M1780">
        <v>60610</v>
      </c>
      <c r="N1780" t="s">
        <v>101</v>
      </c>
      <c r="O1780" t="s">
        <v>4511</v>
      </c>
      <c r="P1780" t="s">
        <v>28</v>
      </c>
      <c r="Q1780" t="s">
        <v>61</v>
      </c>
      <c r="R1780" t="s">
        <v>4512</v>
      </c>
      <c r="S1780">
        <v>16.155999999999999</v>
      </c>
    </row>
    <row r="1781" spans="1:19" x14ac:dyDescent="0.35">
      <c r="A1781">
        <v>1811</v>
      </c>
      <c r="B1781" t="s">
        <v>4510</v>
      </c>
      <c r="C1781" s="1">
        <v>43031</v>
      </c>
      <c r="D1781" s="1">
        <v>43037</v>
      </c>
      <c r="E1781" s="1" t="str">
        <f t="shared" si="27"/>
        <v>FAST</v>
      </c>
      <c r="F1781" t="s">
        <v>46</v>
      </c>
      <c r="G1781" t="s">
        <v>806</v>
      </c>
      <c r="H1781" t="s">
        <v>807</v>
      </c>
      <c r="I1781" t="s">
        <v>37</v>
      </c>
      <c r="J1781" t="s">
        <v>23</v>
      </c>
      <c r="K1781" t="s">
        <v>297</v>
      </c>
      <c r="L1781" t="s">
        <v>205</v>
      </c>
      <c r="M1781">
        <v>60610</v>
      </c>
      <c r="N1781" t="s">
        <v>101</v>
      </c>
      <c r="O1781" t="s">
        <v>4513</v>
      </c>
      <c r="P1781" t="s">
        <v>42</v>
      </c>
      <c r="Q1781" t="s">
        <v>86</v>
      </c>
      <c r="R1781" t="s">
        <v>4514</v>
      </c>
      <c r="S1781">
        <v>54.816000000000003</v>
      </c>
    </row>
    <row r="1782" spans="1:19" x14ac:dyDescent="0.35">
      <c r="A1782">
        <v>1812</v>
      </c>
      <c r="B1782" t="s">
        <v>4515</v>
      </c>
      <c r="C1782" s="1">
        <v>42164</v>
      </c>
      <c r="D1782" s="1">
        <v>42166</v>
      </c>
      <c r="E1782" s="1" t="str">
        <f t="shared" si="27"/>
        <v>SLOW</v>
      </c>
      <c r="F1782" t="s">
        <v>19</v>
      </c>
      <c r="G1782" t="s">
        <v>3131</v>
      </c>
      <c r="H1782" t="s">
        <v>3132</v>
      </c>
      <c r="I1782" t="s">
        <v>22</v>
      </c>
      <c r="J1782" t="s">
        <v>23</v>
      </c>
      <c r="K1782" t="s">
        <v>3291</v>
      </c>
      <c r="L1782" t="s">
        <v>313</v>
      </c>
      <c r="M1782">
        <v>22801</v>
      </c>
      <c r="N1782" t="s">
        <v>26</v>
      </c>
      <c r="O1782" t="s">
        <v>526</v>
      </c>
      <c r="P1782" t="s">
        <v>28</v>
      </c>
      <c r="Q1782" t="s">
        <v>52</v>
      </c>
      <c r="R1782" t="s">
        <v>527</v>
      </c>
      <c r="S1782">
        <v>1441.3</v>
      </c>
    </row>
    <row r="1783" spans="1:19" x14ac:dyDescent="0.35">
      <c r="A1783">
        <v>1813</v>
      </c>
      <c r="B1783" t="s">
        <v>4516</v>
      </c>
      <c r="C1783" s="1">
        <v>43424</v>
      </c>
      <c r="D1783" s="1">
        <v>43430</v>
      </c>
      <c r="E1783" s="1" t="str">
        <f t="shared" si="27"/>
        <v>FAST</v>
      </c>
      <c r="F1783" t="s">
        <v>46</v>
      </c>
      <c r="G1783" t="s">
        <v>4517</v>
      </c>
      <c r="H1783" t="s">
        <v>4518</v>
      </c>
      <c r="I1783" t="s">
        <v>22</v>
      </c>
      <c r="J1783" t="s">
        <v>23</v>
      </c>
      <c r="K1783" t="s">
        <v>594</v>
      </c>
      <c r="L1783" t="s">
        <v>485</v>
      </c>
      <c r="M1783">
        <v>43055</v>
      </c>
      <c r="N1783" t="s">
        <v>144</v>
      </c>
      <c r="O1783" t="s">
        <v>1088</v>
      </c>
      <c r="P1783" t="s">
        <v>28</v>
      </c>
      <c r="Q1783" t="s">
        <v>61</v>
      </c>
      <c r="R1783" t="s">
        <v>1089</v>
      </c>
      <c r="S1783">
        <v>77.599999999999994</v>
      </c>
    </row>
    <row r="1784" spans="1:19" x14ac:dyDescent="0.35">
      <c r="A1784">
        <v>1814</v>
      </c>
      <c r="B1784" t="s">
        <v>4516</v>
      </c>
      <c r="C1784" s="1">
        <v>43424</v>
      </c>
      <c r="D1784" s="1">
        <v>43430</v>
      </c>
      <c r="E1784" s="1" t="str">
        <f t="shared" si="27"/>
        <v>FAST</v>
      </c>
      <c r="F1784" t="s">
        <v>46</v>
      </c>
      <c r="G1784" t="s">
        <v>4517</v>
      </c>
      <c r="H1784" t="s">
        <v>4518</v>
      </c>
      <c r="I1784" t="s">
        <v>22</v>
      </c>
      <c r="J1784" t="s">
        <v>23</v>
      </c>
      <c r="K1784" t="s">
        <v>594</v>
      </c>
      <c r="L1784" t="s">
        <v>485</v>
      </c>
      <c r="M1784">
        <v>43055</v>
      </c>
      <c r="N1784" t="s">
        <v>144</v>
      </c>
      <c r="O1784" t="s">
        <v>1539</v>
      </c>
      <c r="P1784" t="s">
        <v>28</v>
      </c>
      <c r="Q1784" t="s">
        <v>61</v>
      </c>
      <c r="R1784" t="s">
        <v>1540</v>
      </c>
      <c r="S1784">
        <v>4.6559999999999997</v>
      </c>
    </row>
    <row r="1785" spans="1:19" x14ac:dyDescent="0.35">
      <c r="A1785">
        <v>1815</v>
      </c>
      <c r="B1785" t="s">
        <v>4519</v>
      </c>
      <c r="C1785" s="1">
        <v>42627</v>
      </c>
      <c r="D1785" s="1">
        <v>42631</v>
      </c>
      <c r="E1785" s="1" t="str">
        <f t="shared" si="27"/>
        <v>FAST</v>
      </c>
      <c r="F1785" t="s">
        <v>46</v>
      </c>
      <c r="G1785" t="s">
        <v>3396</v>
      </c>
      <c r="H1785" t="s">
        <v>3397</v>
      </c>
      <c r="I1785" t="s">
        <v>37</v>
      </c>
      <c r="J1785" t="s">
        <v>23</v>
      </c>
      <c r="K1785" t="s">
        <v>38</v>
      </c>
      <c r="L1785" t="s">
        <v>39</v>
      </c>
      <c r="M1785">
        <v>90045</v>
      </c>
      <c r="N1785" t="s">
        <v>40</v>
      </c>
      <c r="O1785" t="s">
        <v>913</v>
      </c>
      <c r="P1785" t="s">
        <v>28</v>
      </c>
      <c r="Q1785" t="s">
        <v>52</v>
      </c>
      <c r="R1785" t="s">
        <v>914</v>
      </c>
      <c r="S1785">
        <v>170.136</v>
      </c>
    </row>
    <row r="1786" spans="1:19" x14ac:dyDescent="0.35">
      <c r="A1786">
        <v>1816</v>
      </c>
      <c r="B1786" t="s">
        <v>4520</v>
      </c>
      <c r="C1786" s="1">
        <v>42525</v>
      </c>
      <c r="D1786" s="1">
        <v>42525</v>
      </c>
      <c r="E1786" s="1" t="str">
        <f t="shared" si="27"/>
        <v>MODERATE</v>
      </c>
      <c r="F1786" t="s">
        <v>1276</v>
      </c>
      <c r="G1786" t="s">
        <v>2693</v>
      </c>
      <c r="H1786" t="s">
        <v>2694</v>
      </c>
      <c r="I1786" t="s">
        <v>22</v>
      </c>
      <c r="J1786" t="s">
        <v>23</v>
      </c>
      <c r="K1786" t="s">
        <v>91</v>
      </c>
      <c r="L1786" t="s">
        <v>92</v>
      </c>
      <c r="M1786">
        <v>98105</v>
      </c>
      <c r="N1786" t="s">
        <v>40</v>
      </c>
      <c r="O1786" t="s">
        <v>4521</v>
      </c>
      <c r="P1786" t="s">
        <v>42</v>
      </c>
      <c r="Q1786" t="s">
        <v>43</v>
      </c>
      <c r="R1786" t="s">
        <v>4522</v>
      </c>
      <c r="S1786">
        <v>7.38</v>
      </c>
    </row>
    <row r="1787" spans="1:19" x14ac:dyDescent="0.35">
      <c r="A1787">
        <v>1817</v>
      </c>
      <c r="B1787" t="s">
        <v>4520</v>
      </c>
      <c r="C1787" s="1">
        <v>42525</v>
      </c>
      <c r="D1787" s="1">
        <v>42525</v>
      </c>
      <c r="E1787" s="1" t="str">
        <f t="shared" si="27"/>
        <v>MODERATE</v>
      </c>
      <c r="F1787" t="s">
        <v>1276</v>
      </c>
      <c r="G1787" t="s">
        <v>2693</v>
      </c>
      <c r="H1787" t="s">
        <v>2694</v>
      </c>
      <c r="I1787" t="s">
        <v>22</v>
      </c>
      <c r="J1787" t="s">
        <v>23</v>
      </c>
      <c r="K1787" t="s">
        <v>91</v>
      </c>
      <c r="L1787" t="s">
        <v>92</v>
      </c>
      <c r="M1787">
        <v>98105</v>
      </c>
      <c r="N1787" t="s">
        <v>40</v>
      </c>
      <c r="O1787" t="s">
        <v>767</v>
      </c>
      <c r="P1787" t="s">
        <v>42</v>
      </c>
      <c r="Q1787" t="s">
        <v>64</v>
      </c>
      <c r="R1787" t="s">
        <v>768</v>
      </c>
      <c r="S1787">
        <v>9.26</v>
      </c>
    </row>
    <row r="1788" spans="1:19" x14ac:dyDescent="0.35">
      <c r="A1788">
        <v>1818</v>
      </c>
      <c r="B1788" t="s">
        <v>4523</v>
      </c>
      <c r="C1788" s="1">
        <v>42717</v>
      </c>
      <c r="D1788" s="1">
        <v>42719</v>
      </c>
      <c r="E1788" s="1" t="str">
        <f t="shared" si="27"/>
        <v>SLOW</v>
      </c>
      <c r="F1788" t="s">
        <v>19</v>
      </c>
      <c r="G1788" t="s">
        <v>3611</v>
      </c>
      <c r="H1788" t="s">
        <v>3612</v>
      </c>
      <c r="I1788" t="s">
        <v>22</v>
      </c>
      <c r="J1788" t="s">
        <v>23</v>
      </c>
      <c r="K1788" t="s">
        <v>38</v>
      </c>
      <c r="L1788" t="s">
        <v>39</v>
      </c>
      <c r="M1788">
        <v>90036</v>
      </c>
      <c r="N1788" t="s">
        <v>40</v>
      </c>
      <c r="O1788" t="s">
        <v>4524</v>
      </c>
      <c r="P1788" t="s">
        <v>42</v>
      </c>
      <c r="Q1788" t="s">
        <v>43</v>
      </c>
      <c r="R1788" t="s">
        <v>4525</v>
      </c>
      <c r="S1788">
        <v>9.9600000000000009</v>
      </c>
    </row>
    <row r="1789" spans="1:19" x14ac:dyDescent="0.35">
      <c r="A1789">
        <v>1819</v>
      </c>
      <c r="B1789" t="s">
        <v>4526</v>
      </c>
      <c r="C1789" s="1">
        <v>42149</v>
      </c>
      <c r="D1789" s="1">
        <v>42153</v>
      </c>
      <c r="E1789" s="1" t="str">
        <f t="shared" si="27"/>
        <v>FAST</v>
      </c>
      <c r="F1789" t="s">
        <v>46</v>
      </c>
      <c r="G1789" t="s">
        <v>4527</v>
      </c>
      <c r="H1789" t="s">
        <v>4528</v>
      </c>
      <c r="I1789" t="s">
        <v>22</v>
      </c>
      <c r="J1789" t="s">
        <v>23</v>
      </c>
      <c r="K1789" t="s">
        <v>297</v>
      </c>
      <c r="L1789" t="s">
        <v>205</v>
      </c>
      <c r="M1789">
        <v>60623</v>
      </c>
      <c r="N1789" t="s">
        <v>101</v>
      </c>
      <c r="O1789" t="s">
        <v>4529</v>
      </c>
      <c r="P1789" t="s">
        <v>42</v>
      </c>
      <c r="Q1789" t="s">
        <v>74</v>
      </c>
      <c r="R1789" t="s">
        <v>4530</v>
      </c>
      <c r="S1789">
        <v>75.599999999999994</v>
      </c>
    </row>
    <row r="1790" spans="1:19" x14ac:dyDescent="0.35">
      <c r="A1790">
        <v>1820</v>
      </c>
      <c r="B1790" t="s">
        <v>4526</v>
      </c>
      <c r="C1790" s="1">
        <v>42149</v>
      </c>
      <c r="D1790" s="1">
        <v>42153</v>
      </c>
      <c r="E1790" s="1" t="str">
        <f t="shared" si="27"/>
        <v>FAST</v>
      </c>
      <c r="F1790" t="s">
        <v>46</v>
      </c>
      <c r="G1790" t="s">
        <v>4527</v>
      </c>
      <c r="H1790" t="s">
        <v>4528</v>
      </c>
      <c r="I1790" t="s">
        <v>22</v>
      </c>
      <c r="J1790" t="s">
        <v>23</v>
      </c>
      <c r="K1790" t="s">
        <v>297</v>
      </c>
      <c r="L1790" t="s">
        <v>205</v>
      </c>
      <c r="M1790">
        <v>60623</v>
      </c>
      <c r="N1790" t="s">
        <v>101</v>
      </c>
      <c r="O1790" t="s">
        <v>4531</v>
      </c>
      <c r="P1790" t="s">
        <v>28</v>
      </c>
      <c r="Q1790" t="s">
        <v>61</v>
      </c>
      <c r="R1790" t="s">
        <v>4532</v>
      </c>
      <c r="S1790">
        <v>29.32</v>
      </c>
    </row>
    <row r="1791" spans="1:19" x14ac:dyDescent="0.35">
      <c r="A1791">
        <v>1821</v>
      </c>
      <c r="B1791" t="s">
        <v>4533</v>
      </c>
      <c r="C1791" s="1">
        <v>42782</v>
      </c>
      <c r="D1791" s="1">
        <v>42786</v>
      </c>
      <c r="E1791" s="1" t="str">
        <f t="shared" si="27"/>
        <v>FAST</v>
      </c>
      <c r="F1791" t="s">
        <v>46</v>
      </c>
      <c r="G1791" t="s">
        <v>882</v>
      </c>
      <c r="H1791" t="s">
        <v>883</v>
      </c>
      <c r="I1791" t="s">
        <v>37</v>
      </c>
      <c r="J1791" t="s">
        <v>23</v>
      </c>
      <c r="K1791" t="s">
        <v>297</v>
      </c>
      <c r="L1791" t="s">
        <v>205</v>
      </c>
      <c r="M1791">
        <v>60623</v>
      </c>
      <c r="N1791" t="s">
        <v>101</v>
      </c>
      <c r="O1791" t="s">
        <v>4534</v>
      </c>
      <c r="P1791" t="s">
        <v>42</v>
      </c>
      <c r="Q1791" t="s">
        <v>74</v>
      </c>
      <c r="R1791" t="s">
        <v>4535</v>
      </c>
      <c r="S1791">
        <v>92.063999999999993</v>
      </c>
    </row>
    <row r="1792" spans="1:19" x14ac:dyDescent="0.35">
      <c r="A1792">
        <v>1822</v>
      </c>
      <c r="B1792" t="s">
        <v>4533</v>
      </c>
      <c r="C1792" s="1">
        <v>42782</v>
      </c>
      <c r="D1792" s="1">
        <v>42786</v>
      </c>
      <c r="E1792" s="1" t="str">
        <f t="shared" si="27"/>
        <v>FAST</v>
      </c>
      <c r="F1792" t="s">
        <v>46</v>
      </c>
      <c r="G1792" t="s">
        <v>882</v>
      </c>
      <c r="H1792" t="s">
        <v>883</v>
      </c>
      <c r="I1792" t="s">
        <v>37</v>
      </c>
      <c r="J1792" t="s">
        <v>23</v>
      </c>
      <c r="K1792" t="s">
        <v>297</v>
      </c>
      <c r="L1792" t="s">
        <v>205</v>
      </c>
      <c r="M1792">
        <v>60623</v>
      </c>
      <c r="N1792" t="s">
        <v>101</v>
      </c>
      <c r="O1792" t="s">
        <v>262</v>
      </c>
      <c r="P1792" t="s">
        <v>42</v>
      </c>
      <c r="Q1792" t="s">
        <v>263</v>
      </c>
      <c r="R1792" t="s">
        <v>264</v>
      </c>
      <c r="S1792">
        <v>6.976</v>
      </c>
    </row>
    <row r="1793" spans="1:19" x14ac:dyDescent="0.35">
      <c r="A1793">
        <v>1823</v>
      </c>
      <c r="B1793" t="s">
        <v>4533</v>
      </c>
      <c r="C1793" s="1">
        <v>42782</v>
      </c>
      <c r="D1793" s="1">
        <v>42786</v>
      </c>
      <c r="E1793" s="1" t="str">
        <f t="shared" si="27"/>
        <v>FAST</v>
      </c>
      <c r="F1793" t="s">
        <v>46</v>
      </c>
      <c r="G1793" t="s">
        <v>882</v>
      </c>
      <c r="H1793" t="s">
        <v>883</v>
      </c>
      <c r="I1793" t="s">
        <v>37</v>
      </c>
      <c r="J1793" t="s">
        <v>23</v>
      </c>
      <c r="K1793" t="s">
        <v>297</v>
      </c>
      <c r="L1793" t="s">
        <v>205</v>
      </c>
      <c r="M1793">
        <v>60623</v>
      </c>
      <c r="N1793" t="s">
        <v>101</v>
      </c>
      <c r="O1793" t="s">
        <v>4536</v>
      </c>
      <c r="P1793" t="s">
        <v>28</v>
      </c>
      <c r="Q1793" t="s">
        <v>32</v>
      </c>
      <c r="R1793" t="s">
        <v>4537</v>
      </c>
      <c r="S1793">
        <v>62.957999999999998</v>
      </c>
    </row>
    <row r="1794" spans="1:19" x14ac:dyDescent="0.35">
      <c r="A1794">
        <v>1824</v>
      </c>
      <c r="B1794" t="s">
        <v>4533</v>
      </c>
      <c r="C1794" s="1">
        <v>42782</v>
      </c>
      <c r="D1794" s="1">
        <v>42786</v>
      </c>
      <c r="E1794" s="1" t="str">
        <f t="shared" si="27"/>
        <v>FAST</v>
      </c>
      <c r="F1794" t="s">
        <v>46</v>
      </c>
      <c r="G1794" t="s">
        <v>882</v>
      </c>
      <c r="H1794" t="s">
        <v>883</v>
      </c>
      <c r="I1794" t="s">
        <v>37</v>
      </c>
      <c r="J1794" t="s">
        <v>23</v>
      </c>
      <c r="K1794" t="s">
        <v>297</v>
      </c>
      <c r="L1794" t="s">
        <v>205</v>
      </c>
      <c r="M1794">
        <v>60623</v>
      </c>
      <c r="N1794" t="s">
        <v>101</v>
      </c>
      <c r="O1794" t="s">
        <v>4538</v>
      </c>
      <c r="P1794" t="s">
        <v>42</v>
      </c>
      <c r="Q1794" t="s">
        <v>86</v>
      </c>
      <c r="R1794" t="s">
        <v>4539</v>
      </c>
      <c r="S1794">
        <v>5.1840000000000002</v>
      </c>
    </row>
    <row r="1795" spans="1:19" x14ac:dyDescent="0.35">
      <c r="A1795">
        <v>1825</v>
      </c>
      <c r="B1795" t="s">
        <v>4540</v>
      </c>
      <c r="C1795" s="1">
        <v>43091</v>
      </c>
      <c r="D1795" s="1">
        <v>43097</v>
      </c>
      <c r="E1795" s="1" t="str">
        <f t="shared" ref="E1795:E1858" si="28">IF(F1795="STANDARD CLASS","FAST",IF(F1795="SECOND CLASS","SLOW","MODERATE"))</f>
        <v>FAST</v>
      </c>
      <c r="F1795" t="s">
        <v>46</v>
      </c>
      <c r="G1795" t="s">
        <v>1654</v>
      </c>
      <c r="H1795" t="s">
        <v>1655</v>
      </c>
      <c r="I1795" t="s">
        <v>22</v>
      </c>
      <c r="J1795" t="s">
        <v>23</v>
      </c>
      <c r="K1795" t="s">
        <v>4541</v>
      </c>
      <c r="L1795" t="s">
        <v>410</v>
      </c>
      <c r="M1795">
        <v>97756</v>
      </c>
      <c r="N1795" t="s">
        <v>40</v>
      </c>
      <c r="O1795" t="s">
        <v>3334</v>
      </c>
      <c r="P1795" t="s">
        <v>42</v>
      </c>
      <c r="Q1795" t="s">
        <v>71</v>
      </c>
      <c r="R1795" t="s">
        <v>3335</v>
      </c>
      <c r="S1795">
        <v>31.32</v>
      </c>
    </row>
    <row r="1796" spans="1:19" x14ac:dyDescent="0.35">
      <c r="A1796">
        <v>1827</v>
      </c>
      <c r="B1796" t="s">
        <v>4540</v>
      </c>
      <c r="C1796" s="1">
        <v>43091</v>
      </c>
      <c r="D1796" s="1">
        <v>43097</v>
      </c>
      <c r="E1796" s="1" t="str">
        <f t="shared" si="28"/>
        <v>FAST</v>
      </c>
      <c r="F1796" t="s">
        <v>46</v>
      </c>
      <c r="G1796" t="s">
        <v>1654</v>
      </c>
      <c r="H1796" t="s">
        <v>1655</v>
      </c>
      <c r="I1796" t="s">
        <v>22</v>
      </c>
      <c r="J1796" t="s">
        <v>23</v>
      </c>
      <c r="K1796" t="s">
        <v>4541</v>
      </c>
      <c r="L1796" t="s">
        <v>410</v>
      </c>
      <c r="M1796">
        <v>97756</v>
      </c>
      <c r="N1796" t="s">
        <v>40</v>
      </c>
      <c r="O1796" t="s">
        <v>4542</v>
      </c>
      <c r="P1796" t="s">
        <v>28</v>
      </c>
      <c r="Q1796" t="s">
        <v>61</v>
      </c>
      <c r="R1796" t="s">
        <v>4543</v>
      </c>
      <c r="S1796">
        <v>22.783999999999999</v>
      </c>
    </row>
    <row r="1797" spans="1:19" x14ac:dyDescent="0.35">
      <c r="A1797">
        <v>1828</v>
      </c>
      <c r="B1797" t="s">
        <v>4544</v>
      </c>
      <c r="C1797" s="1">
        <v>42774</v>
      </c>
      <c r="D1797" s="1">
        <v>42777</v>
      </c>
      <c r="E1797" s="1" t="str">
        <f t="shared" si="28"/>
        <v>SLOW</v>
      </c>
      <c r="F1797" t="s">
        <v>19</v>
      </c>
      <c r="G1797" t="s">
        <v>4545</v>
      </c>
      <c r="H1797" t="s">
        <v>4546</v>
      </c>
      <c r="I1797" t="s">
        <v>98</v>
      </c>
      <c r="J1797" t="s">
        <v>23</v>
      </c>
      <c r="K1797" t="s">
        <v>4547</v>
      </c>
      <c r="L1797" t="s">
        <v>84</v>
      </c>
      <c r="M1797">
        <v>27604</v>
      </c>
      <c r="N1797" t="s">
        <v>26</v>
      </c>
      <c r="O1797" t="s">
        <v>4548</v>
      </c>
      <c r="P1797" t="s">
        <v>67</v>
      </c>
      <c r="Q1797" t="s">
        <v>68</v>
      </c>
      <c r="R1797" t="s">
        <v>4549</v>
      </c>
      <c r="S1797">
        <v>1127.9760000000001</v>
      </c>
    </row>
    <row r="1798" spans="1:19" x14ac:dyDescent="0.35">
      <c r="A1798">
        <v>1829</v>
      </c>
      <c r="B1798" t="s">
        <v>4550</v>
      </c>
      <c r="C1798" s="1">
        <v>42564</v>
      </c>
      <c r="D1798" s="1">
        <v>42566</v>
      </c>
      <c r="E1798" s="1" t="str">
        <f t="shared" si="28"/>
        <v>SLOW</v>
      </c>
      <c r="F1798" t="s">
        <v>19</v>
      </c>
      <c r="G1798" t="s">
        <v>4551</v>
      </c>
      <c r="H1798" t="s">
        <v>4552</v>
      </c>
      <c r="I1798" t="s">
        <v>37</v>
      </c>
      <c r="J1798" t="s">
        <v>23</v>
      </c>
      <c r="K1798" t="s">
        <v>3522</v>
      </c>
      <c r="L1798" t="s">
        <v>1258</v>
      </c>
      <c r="M1798">
        <v>31204</v>
      </c>
      <c r="N1798" t="s">
        <v>26</v>
      </c>
      <c r="O1798" t="s">
        <v>2752</v>
      </c>
      <c r="P1798" t="s">
        <v>42</v>
      </c>
      <c r="Q1798" t="s">
        <v>86</v>
      </c>
      <c r="R1798" t="s">
        <v>2753</v>
      </c>
      <c r="S1798">
        <v>38.880000000000003</v>
      </c>
    </row>
    <row r="1799" spans="1:19" x14ac:dyDescent="0.35">
      <c r="A1799">
        <v>1830</v>
      </c>
      <c r="B1799" t="s">
        <v>4553</v>
      </c>
      <c r="C1799" s="1">
        <v>42142</v>
      </c>
      <c r="D1799" s="1">
        <v>42148</v>
      </c>
      <c r="E1799" s="1" t="str">
        <f t="shared" si="28"/>
        <v>FAST</v>
      </c>
      <c r="F1799" t="s">
        <v>46</v>
      </c>
      <c r="G1799" t="s">
        <v>792</v>
      </c>
      <c r="H1799" t="s">
        <v>793</v>
      </c>
      <c r="I1799" t="s">
        <v>22</v>
      </c>
      <c r="J1799" t="s">
        <v>23</v>
      </c>
      <c r="K1799" t="s">
        <v>2160</v>
      </c>
      <c r="L1799" t="s">
        <v>485</v>
      </c>
      <c r="M1799">
        <v>44105</v>
      </c>
      <c r="N1799" t="s">
        <v>144</v>
      </c>
      <c r="O1799" t="s">
        <v>4554</v>
      </c>
      <c r="P1799" t="s">
        <v>67</v>
      </c>
      <c r="Q1799" t="s">
        <v>68</v>
      </c>
      <c r="R1799" t="s">
        <v>4555</v>
      </c>
      <c r="S1799">
        <v>779.79600000000005</v>
      </c>
    </row>
    <row r="1800" spans="1:19" x14ac:dyDescent="0.35">
      <c r="A1800">
        <v>1831</v>
      </c>
      <c r="B1800" t="s">
        <v>4556</v>
      </c>
      <c r="C1800" s="1">
        <v>43394</v>
      </c>
      <c r="D1800" s="1">
        <v>43394</v>
      </c>
      <c r="E1800" s="1" t="str">
        <f t="shared" si="28"/>
        <v>MODERATE</v>
      </c>
      <c r="F1800" t="s">
        <v>1276</v>
      </c>
      <c r="G1800" t="s">
        <v>2939</v>
      </c>
      <c r="H1800" t="s">
        <v>2940</v>
      </c>
      <c r="I1800" t="s">
        <v>98</v>
      </c>
      <c r="J1800" t="s">
        <v>23</v>
      </c>
      <c r="K1800" t="s">
        <v>4557</v>
      </c>
      <c r="L1800" t="s">
        <v>637</v>
      </c>
      <c r="M1800">
        <v>74403</v>
      </c>
      <c r="N1800" t="s">
        <v>101</v>
      </c>
      <c r="O1800" t="s">
        <v>4558</v>
      </c>
      <c r="P1800" t="s">
        <v>67</v>
      </c>
      <c r="Q1800" t="s">
        <v>68</v>
      </c>
      <c r="R1800" t="s">
        <v>4559</v>
      </c>
      <c r="S1800">
        <v>1439.92</v>
      </c>
    </row>
    <row r="1801" spans="1:19" x14ac:dyDescent="0.35">
      <c r="A1801">
        <v>1832</v>
      </c>
      <c r="B1801" t="s">
        <v>4556</v>
      </c>
      <c r="C1801" s="1">
        <v>43394</v>
      </c>
      <c r="D1801" s="1">
        <v>43394</v>
      </c>
      <c r="E1801" s="1" t="str">
        <f t="shared" si="28"/>
        <v>MODERATE</v>
      </c>
      <c r="F1801" t="s">
        <v>1276</v>
      </c>
      <c r="G1801" t="s">
        <v>2939</v>
      </c>
      <c r="H1801" t="s">
        <v>2940</v>
      </c>
      <c r="I1801" t="s">
        <v>98</v>
      </c>
      <c r="J1801" t="s">
        <v>23</v>
      </c>
      <c r="K1801" t="s">
        <v>4557</v>
      </c>
      <c r="L1801" t="s">
        <v>637</v>
      </c>
      <c r="M1801">
        <v>74403</v>
      </c>
      <c r="N1801" t="s">
        <v>101</v>
      </c>
      <c r="O1801" t="s">
        <v>2847</v>
      </c>
      <c r="P1801" t="s">
        <v>28</v>
      </c>
      <c r="Q1801" t="s">
        <v>52</v>
      </c>
      <c r="R1801" t="s">
        <v>2848</v>
      </c>
      <c r="S1801">
        <v>262.11</v>
      </c>
    </row>
    <row r="1802" spans="1:19" x14ac:dyDescent="0.35">
      <c r="A1802">
        <v>1833</v>
      </c>
      <c r="B1802" t="s">
        <v>4560</v>
      </c>
      <c r="C1802" s="1">
        <v>42679</v>
      </c>
      <c r="D1802" s="1">
        <v>42683</v>
      </c>
      <c r="E1802" s="1" t="str">
        <f t="shared" si="28"/>
        <v>FAST</v>
      </c>
      <c r="F1802" t="s">
        <v>46</v>
      </c>
      <c r="G1802" t="s">
        <v>2733</v>
      </c>
      <c r="H1802" t="s">
        <v>2734</v>
      </c>
      <c r="I1802" t="s">
        <v>37</v>
      </c>
      <c r="J1802" t="s">
        <v>23</v>
      </c>
      <c r="K1802" t="s">
        <v>724</v>
      </c>
      <c r="L1802" t="s">
        <v>84</v>
      </c>
      <c r="M1802">
        <v>28110</v>
      </c>
      <c r="N1802" t="s">
        <v>26</v>
      </c>
      <c r="O1802" t="s">
        <v>3344</v>
      </c>
      <c r="P1802" t="s">
        <v>28</v>
      </c>
      <c r="Q1802" t="s">
        <v>32</v>
      </c>
      <c r="R1802" t="s">
        <v>3345</v>
      </c>
      <c r="S1802">
        <v>207</v>
      </c>
    </row>
    <row r="1803" spans="1:19" x14ac:dyDescent="0.35">
      <c r="A1803">
        <v>1834</v>
      </c>
      <c r="B1803" t="s">
        <v>4561</v>
      </c>
      <c r="C1803" s="1">
        <v>43313</v>
      </c>
      <c r="D1803" s="1">
        <v>43319</v>
      </c>
      <c r="E1803" s="1" t="str">
        <f t="shared" si="28"/>
        <v>FAST</v>
      </c>
      <c r="F1803" t="s">
        <v>46</v>
      </c>
      <c r="G1803" t="s">
        <v>3670</v>
      </c>
      <c r="H1803" t="s">
        <v>3671</v>
      </c>
      <c r="I1803" t="s">
        <v>37</v>
      </c>
      <c r="J1803" t="s">
        <v>23</v>
      </c>
      <c r="K1803" t="s">
        <v>1225</v>
      </c>
      <c r="L1803" t="s">
        <v>100</v>
      </c>
      <c r="M1803">
        <v>78745</v>
      </c>
      <c r="N1803" t="s">
        <v>101</v>
      </c>
      <c r="O1803" t="s">
        <v>4562</v>
      </c>
      <c r="P1803" t="s">
        <v>67</v>
      </c>
      <c r="Q1803" t="s">
        <v>671</v>
      </c>
      <c r="R1803" t="s">
        <v>4563</v>
      </c>
      <c r="S1803">
        <v>1439.982</v>
      </c>
    </row>
    <row r="1804" spans="1:19" x14ac:dyDescent="0.35">
      <c r="A1804">
        <v>1835</v>
      </c>
      <c r="B1804" t="s">
        <v>4561</v>
      </c>
      <c r="C1804" s="1">
        <v>43313</v>
      </c>
      <c r="D1804" s="1">
        <v>43319</v>
      </c>
      <c r="E1804" s="1" t="str">
        <f t="shared" si="28"/>
        <v>FAST</v>
      </c>
      <c r="F1804" t="s">
        <v>46</v>
      </c>
      <c r="G1804" t="s">
        <v>3670</v>
      </c>
      <c r="H1804" t="s">
        <v>3671</v>
      </c>
      <c r="I1804" t="s">
        <v>37</v>
      </c>
      <c r="J1804" t="s">
        <v>23</v>
      </c>
      <c r="K1804" t="s">
        <v>1225</v>
      </c>
      <c r="L1804" t="s">
        <v>100</v>
      </c>
      <c r="M1804">
        <v>78745</v>
      </c>
      <c r="N1804" t="s">
        <v>101</v>
      </c>
      <c r="O1804" t="s">
        <v>4564</v>
      </c>
      <c r="P1804" t="s">
        <v>42</v>
      </c>
      <c r="Q1804" t="s">
        <v>86</v>
      </c>
      <c r="R1804" t="s">
        <v>4565</v>
      </c>
      <c r="S1804">
        <v>36.287999999999997</v>
      </c>
    </row>
    <row r="1805" spans="1:19" x14ac:dyDescent="0.35">
      <c r="A1805">
        <v>1836</v>
      </c>
      <c r="B1805" t="s">
        <v>4566</v>
      </c>
      <c r="C1805" s="1">
        <v>42176</v>
      </c>
      <c r="D1805" s="1">
        <v>42179</v>
      </c>
      <c r="E1805" s="1" t="str">
        <f t="shared" si="28"/>
        <v>MODERATE</v>
      </c>
      <c r="F1805" t="s">
        <v>184</v>
      </c>
      <c r="G1805" t="s">
        <v>4427</v>
      </c>
      <c r="H1805" t="s">
        <v>4428</v>
      </c>
      <c r="I1805" t="s">
        <v>22</v>
      </c>
      <c r="J1805" t="s">
        <v>23</v>
      </c>
      <c r="K1805" t="s">
        <v>4567</v>
      </c>
      <c r="L1805" t="s">
        <v>736</v>
      </c>
      <c r="M1805">
        <v>6450</v>
      </c>
      <c r="N1805" t="s">
        <v>144</v>
      </c>
      <c r="O1805" t="s">
        <v>124</v>
      </c>
      <c r="P1805" t="s">
        <v>42</v>
      </c>
      <c r="Q1805" t="s">
        <v>64</v>
      </c>
      <c r="R1805" t="s">
        <v>125</v>
      </c>
      <c r="S1805">
        <v>21.4</v>
      </c>
    </row>
    <row r="1806" spans="1:19" x14ac:dyDescent="0.35">
      <c r="A1806">
        <v>1837</v>
      </c>
      <c r="B1806" t="s">
        <v>4568</v>
      </c>
      <c r="C1806" s="1">
        <v>43150</v>
      </c>
      <c r="D1806" s="1">
        <v>43152</v>
      </c>
      <c r="E1806" s="1" t="str">
        <f t="shared" si="28"/>
        <v>SLOW</v>
      </c>
      <c r="F1806" t="s">
        <v>19</v>
      </c>
      <c r="G1806" t="s">
        <v>3888</v>
      </c>
      <c r="H1806" t="s">
        <v>3889</v>
      </c>
      <c r="I1806" t="s">
        <v>37</v>
      </c>
      <c r="J1806" t="s">
        <v>23</v>
      </c>
      <c r="K1806" t="s">
        <v>3229</v>
      </c>
      <c r="L1806" t="s">
        <v>1258</v>
      </c>
      <c r="M1806">
        <v>30076</v>
      </c>
      <c r="N1806" t="s">
        <v>26</v>
      </c>
      <c r="O1806" t="s">
        <v>679</v>
      </c>
      <c r="P1806" t="s">
        <v>42</v>
      </c>
      <c r="Q1806" t="s">
        <v>74</v>
      </c>
      <c r="R1806" t="s">
        <v>680</v>
      </c>
      <c r="S1806">
        <v>1245.8599999999999</v>
      </c>
    </row>
    <row r="1807" spans="1:19" x14ac:dyDescent="0.35">
      <c r="A1807">
        <v>1838</v>
      </c>
      <c r="B1807" t="s">
        <v>4569</v>
      </c>
      <c r="C1807" s="1">
        <v>42217</v>
      </c>
      <c r="D1807" s="1">
        <v>42221</v>
      </c>
      <c r="E1807" s="1" t="str">
        <f t="shared" si="28"/>
        <v>FAST</v>
      </c>
      <c r="F1807" t="s">
        <v>46</v>
      </c>
      <c r="G1807" t="s">
        <v>4570</v>
      </c>
      <c r="H1807" t="s">
        <v>4571</v>
      </c>
      <c r="I1807" t="s">
        <v>37</v>
      </c>
      <c r="J1807" t="s">
        <v>23</v>
      </c>
      <c r="K1807" t="s">
        <v>454</v>
      </c>
      <c r="L1807" t="s">
        <v>84</v>
      </c>
      <c r="M1807">
        <v>28205</v>
      </c>
      <c r="N1807" t="s">
        <v>26</v>
      </c>
      <c r="O1807" t="s">
        <v>41</v>
      </c>
      <c r="P1807" t="s">
        <v>42</v>
      </c>
      <c r="Q1807" t="s">
        <v>43</v>
      </c>
      <c r="R1807" t="s">
        <v>44</v>
      </c>
      <c r="S1807">
        <v>17.544</v>
      </c>
    </row>
    <row r="1808" spans="1:19" x14ac:dyDescent="0.35">
      <c r="A1808">
        <v>1840</v>
      </c>
      <c r="B1808" t="s">
        <v>4569</v>
      </c>
      <c r="C1808" s="1">
        <v>42217</v>
      </c>
      <c r="D1808" s="1">
        <v>42221</v>
      </c>
      <c r="E1808" s="1" t="str">
        <f t="shared" si="28"/>
        <v>FAST</v>
      </c>
      <c r="F1808" t="s">
        <v>46</v>
      </c>
      <c r="G1808" t="s">
        <v>4570</v>
      </c>
      <c r="H1808" t="s">
        <v>4571</v>
      </c>
      <c r="I1808" t="s">
        <v>37</v>
      </c>
      <c r="J1808" t="s">
        <v>23</v>
      </c>
      <c r="K1808" t="s">
        <v>454</v>
      </c>
      <c r="L1808" t="s">
        <v>84</v>
      </c>
      <c r="M1808">
        <v>28205</v>
      </c>
      <c r="N1808" t="s">
        <v>26</v>
      </c>
      <c r="O1808" t="s">
        <v>4572</v>
      </c>
      <c r="P1808" t="s">
        <v>42</v>
      </c>
      <c r="Q1808" t="s">
        <v>74</v>
      </c>
      <c r="R1808" t="s">
        <v>4573</v>
      </c>
      <c r="S1808">
        <v>62.92</v>
      </c>
    </row>
    <row r="1809" spans="1:19" x14ac:dyDescent="0.35">
      <c r="A1809">
        <v>1841</v>
      </c>
      <c r="B1809" t="s">
        <v>4569</v>
      </c>
      <c r="C1809" s="1">
        <v>42217</v>
      </c>
      <c r="D1809" s="1">
        <v>42221</v>
      </c>
      <c r="E1809" s="1" t="str">
        <f t="shared" si="28"/>
        <v>FAST</v>
      </c>
      <c r="F1809" t="s">
        <v>46</v>
      </c>
      <c r="G1809" t="s">
        <v>4570</v>
      </c>
      <c r="H1809" t="s">
        <v>4571</v>
      </c>
      <c r="I1809" t="s">
        <v>37</v>
      </c>
      <c r="J1809" t="s">
        <v>23</v>
      </c>
      <c r="K1809" t="s">
        <v>454</v>
      </c>
      <c r="L1809" t="s">
        <v>84</v>
      </c>
      <c r="M1809">
        <v>28205</v>
      </c>
      <c r="N1809" t="s">
        <v>26</v>
      </c>
      <c r="O1809" t="s">
        <v>547</v>
      </c>
      <c r="P1809" t="s">
        <v>42</v>
      </c>
      <c r="Q1809" t="s">
        <v>86</v>
      </c>
      <c r="R1809" t="s">
        <v>548</v>
      </c>
      <c r="S1809">
        <v>78.304000000000002</v>
      </c>
    </row>
    <row r="1810" spans="1:19" x14ac:dyDescent="0.35">
      <c r="A1810">
        <v>1842</v>
      </c>
      <c r="B1810" t="s">
        <v>4574</v>
      </c>
      <c r="C1810" s="1">
        <v>42934</v>
      </c>
      <c r="D1810" s="1">
        <v>42939</v>
      </c>
      <c r="E1810" s="1" t="str">
        <f t="shared" si="28"/>
        <v>FAST</v>
      </c>
      <c r="F1810" t="s">
        <v>46</v>
      </c>
      <c r="G1810" t="s">
        <v>4575</v>
      </c>
      <c r="H1810" t="s">
        <v>4576</v>
      </c>
      <c r="I1810" t="s">
        <v>37</v>
      </c>
      <c r="J1810" t="s">
        <v>23</v>
      </c>
      <c r="K1810" t="s">
        <v>4577</v>
      </c>
      <c r="L1810" t="s">
        <v>25</v>
      </c>
      <c r="M1810">
        <v>42104</v>
      </c>
      <c r="N1810" t="s">
        <v>26</v>
      </c>
      <c r="O1810" t="s">
        <v>4578</v>
      </c>
      <c r="P1810" t="s">
        <v>28</v>
      </c>
      <c r="Q1810" t="s">
        <v>32</v>
      </c>
      <c r="R1810" t="s">
        <v>4579</v>
      </c>
      <c r="S1810">
        <v>140.81</v>
      </c>
    </row>
    <row r="1811" spans="1:19" x14ac:dyDescent="0.35">
      <c r="A1811">
        <v>1843</v>
      </c>
      <c r="B1811" t="s">
        <v>4580</v>
      </c>
      <c r="C1811" s="1">
        <v>42409</v>
      </c>
      <c r="D1811" s="1">
        <v>42411</v>
      </c>
      <c r="E1811" s="1" t="str">
        <f t="shared" si="28"/>
        <v>SLOW</v>
      </c>
      <c r="F1811" t="s">
        <v>19</v>
      </c>
      <c r="G1811" t="s">
        <v>1159</v>
      </c>
      <c r="H1811" t="s">
        <v>1160</v>
      </c>
      <c r="I1811" t="s">
        <v>37</v>
      </c>
      <c r="J1811" t="s">
        <v>23</v>
      </c>
      <c r="K1811" t="s">
        <v>667</v>
      </c>
      <c r="L1811" t="s">
        <v>100</v>
      </c>
      <c r="M1811">
        <v>78207</v>
      </c>
      <c r="N1811" t="s">
        <v>101</v>
      </c>
      <c r="O1811" t="s">
        <v>1185</v>
      </c>
      <c r="P1811" t="s">
        <v>42</v>
      </c>
      <c r="Q1811" t="s">
        <v>43</v>
      </c>
      <c r="R1811" t="s">
        <v>1186</v>
      </c>
      <c r="S1811">
        <v>40.095999999999997</v>
      </c>
    </row>
    <row r="1812" spans="1:19" x14ac:dyDescent="0.35">
      <c r="A1812">
        <v>1844</v>
      </c>
      <c r="B1812" t="s">
        <v>4580</v>
      </c>
      <c r="C1812" s="1">
        <v>42409</v>
      </c>
      <c r="D1812" s="1">
        <v>42411</v>
      </c>
      <c r="E1812" s="1" t="str">
        <f t="shared" si="28"/>
        <v>SLOW</v>
      </c>
      <c r="F1812" t="s">
        <v>19</v>
      </c>
      <c r="G1812" t="s">
        <v>1159</v>
      </c>
      <c r="H1812" t="s">
        <v>1160</v>
      </c>
      <c r="I1812" t="s">
        <v>37</v>
      </c>
      <c r="J1812" t="s">
        <v>23</v>
      </c>
      <c r="K1812" t="s">
        <v>667</v>
      </c>
      <c r="L1812" t="s">
        <v>100</v>
      </c>
      <c r="M1812">
        <v>78207</v>
      </c>
      <c r="N1812" t="s">
        <v>101</v>
      </c>
      <c r="O1812" t="s">
        <v>4581</v>
      </c>
      <c r="P1812" t="s">
        <v>28</v>
      </c>
      <c r="Q1812" t="s">
        <v>61</v>
      </c>
      <c r="R1812" t="s">
        <v>4582</v>
      </c>
      <c r="S1812">
        <v>40.783999999999999</v>
      </c>
    </row>
    <row r="1813" spans="1:19" x14ac:dyDescent="0.35">
      <c r="A1813">
        <v>1845</v>
      </c>
      <c r="B1813" t="s">
        <v>4583</v>
      </c>
      <c r="C1813" s="1">
        <v>43310</v>
      </c>
      <c r="D1813" s="1">
        <v>43314</v>
      </c>
      <c r="E1813" s="1" t="str">
        <f t="shared" si="28"/>
        <v>FAST</v>
      </c>
      <c r="F1813" t="s">
        <v>46</v>
      </c>
      <c r="G1813" t="s">
        <v>4584</v>
      </c>
      <c r="H1813" t="s">
        <v>4585</v>
      </c>
      <c r="I1813" t="s">
        <v>22</v>
      </c>
      <c r="J1813" t="s">
        <v>23</v>
      </c>
      <c r="K1813" t="s">
        <v>91</v>
      </c>
      <c r="L1813" t="s">
        <v>92</v>
      </c>
      <c r="M1813">
        <v>98115</v>
      </c>
      <c r="N1813" t="s">
        <v>40</v>
      </c>
      <c r="O1813" t="s">
        <v>156</v>
      </c>
      <c r="P1813" t="s">
        <v>67</v>
      </c>
      <c r="Q1813" t="s">
        <v>157</v>
      </c>
      <c r="R1813" t="s">
        <v>158</v>
      </c>
      <c r="S1813">
        <v>90.57</v>
      </c>
    </row>
    <row r="1814" spans="1:19" x14ac:dyDescent="0.35">
      <c r="A1814">
        <v>1846</v>
      </c>
      <c r="B1814" t="s">
        <v>4586</v>
      </c>
      <c r="C1814" s="1">
        <v>43112</v>
      </c>
      <c r="D1814" s="1">
        <v>43117</v>
      </c>
      <c r="E1814" s="1" t="str">
        <f t="shared" si="28"/>
        <v>SLOW</v>
      </c>
      <c r="F1814" t="s">
        <v>19</v>
      </c>
      <c r="G1814" t="s">
        <v>4411</v>
      </c>
      <c r="H1814" t="s">
        <v>4412</v>
      </c>
      <c r="I1814" t="s">
        <v>98</v>
      </c>
      <c r="J1814" t="s">
        <v>23</v>
      </c>
      <c r="K1814" t="s">
        <v>92</v>
      </c>
      <c r="L1814" t="s">
        <v>3004</v>
      </c>
      <c r="M1814">
        <v>20016</v>
      </c>
      <c r="N1814" t="s">
        <v>144</v>
      </c>
      <c r="O1814" t="s">
        <v>555</v>
      </c>
      <c r="P1814" t="s">
        <v>42</v>
      </c>
      <c r="Q1814" t="s">
        <v>86</v>
      </c>
      <c r="R1814" t="s">
        <v>556</v>
      </c>
      <c r="S1814">
        <v>40.08</v>
      </c>
    </row>
    <row r="1815" spans="1:19" x14ac:dyDescent="0.35">
      <c r="A1815">
        <v>1847</v>
      </c>
      <c r="B1815" t="s">
        <v>4586</v>
      </c>
      <c r="C1815" s="1">
        <v>43112</v>
      </c>
      <c r="D1815" s="1">
        <v>43117</v>
      </c>
      <c r="E1815" s="1" t="str">
        <f t="shared" si="28"/>
        <v>SLOW</v>
      </c>
      <c r="F1815" t="s">
        <v>19</v>
      </c>
      <c r="G1815" t="s">
        <v>4411</v>
      </c>
      <c r="H1815" t="s">
        <v>4412</v>
      </c>
      <c r="I1815" t="s">
        <v>98</v>
      </c>
      <c r="J1815" t="s">
        <v>23</v>
      </c>
      <c r="K1815" t="s">
        <v>92</v>
      </c>
      <c r="L1815" t="s">
        <v>3004</v>
      </c>
      <c r="M1815">
        <v>20016</v>
      </c>
      <c r="N1815" t="s">
        <v>144</v>
      </c>
      <c r="O1815" t="s">
        <v>4587</v>
      </c>
      <c r="P1815" t="s">
        <v>28</v>
      </c>
      <c r="Q1815" t="s">
        <v>61</v>
      </c>
      <c r="R1815" t="s">
        <v>4588</v>
      </c>
      <c r="S1815">
        <v>37.68</v>
      </c>
    </row>
    <row r="1816" spans="1:19" x14ac:dyDescent="0.35">
      <c r="A1816">
        <v>1848</v>
      </c>
      <c r="B1816" t="s">
        <v>4589</v>
      </c>
      <c r="C1816" s="1">
        <v>43353</v>
      </c>
      <c r="D1816" s="1">
        <v>43353</v>
      </c>
      <c r="E1816" s="1" t="str">
        <f t="shared" si="28"/>
        <v>MODERATE</v>
      </c>
      <c r="F1816" t="s">
        <v>1276</v>
      </c>
      <c r="G1816" t="s">
        <v>3255</v>
      </c>
      <c r="H1816" t="s">
        <v>3256</v>
      </c>
      <c r="I1816" t="s">
        <v>37</v>
      </c>
      <c r="J1816" t="s">
        <v>23</v>
      </c>
      <c r="K1816" t="s">
        <v>38</v>
      </c>
      <c r="L1816" t="s">
        <v>39</v>
      </c>
      <c r="M1816">
        <v>90004</v>
      </c>
      <c r="N1816" t="s">
        <v>40</v>
      </c>
      <c r="O1816" t="s">
        <v>1152</v>
      </c>
      <c r="P1816" t="s">
        <v>28</v>
      </c>
      <c r="Q1816" t="s">
        <v>32</v>
      </c>
      <c r="R1816" t="s">
        <v>1153</v>
      </c>
      <c r="S1816">
        <v>362.35199999999998</v>
      </c>
    </row>
    <row r="1817" spans="1:19" x14ac:dyDescent="0.35">
      <c r="A1817">
        <v>1849</v>
      </c>
      <c r="B1817" t="s">
        <v>4589</v>
      </c>
      <c r="C1817" s="1">
        <v>43353</v>
      </c>
      <c r="D1817" s="1">
        <v>43353</v>
      </c>
      <c r="E1817" s="1" t="str">
        <f t="shared" si="28"/>
        <v>MODERATE</v>
      </c>
      <c r="F1817" t="s">
        <v>1276</v>
      </c>
      <c r="G1817" t="s">
        <v>3255</v>
      </c>
      <c r="H1817" t="s">
        <v>3256</v>
      </c>
      <c r="I1817" t="s">
        <v>37</v>
      </c>
      <c r="J1817" t="s">
        <v>23</v>
      </c>
      <c r="K1817" t="s">
        <v>38</v>
      </c>
      <c r="L1817" t="s">
        <v>39</v>
      </c>
      <c r="M1817">
        <v>90004</v>
      </c>
      <c r="N1817" t="s">
        <v>40</v>
      </c>
      <c r="O1817" t="s">
        <v>1206</v>
      </c>
      <c r="P1817" t="s">
        <v>42</v>
      </c>
      <c r="Q1817" t="s">
        <v>71</v>
      </c>
      <c r="R1817" t="s">
        <v>1207</v>
      </c>
      <c r="S1817">
        <v>7.1840000000000002</v>
      </c>
    </row>
    <row r="1818" spans="1:19" x14ac:dyDescent="0.35">
      <c r="A1818">
        <v>1850</v>
      </c>
      <c r="B1818" t="s">
        <v>4590</v>
      </c>
      <c r="C1818" s="1">
        <v>42571</v>
      </c>
      <c r="D1818" s="1">
        <v>42576</v>
      </c>
      <c r="E1818" s="1" t="str">
        <f t="shared" si="28"/>
        <v>SLOW</v>
      </c>
      <c r="F1818" t="s">
        <v>19</v>
      </c>
      <c r="G1818" t="s">
        <v>2811</v>
      </c>
      <c r="H1818" t="s">
        <v>2812</v>
      </c>
      <c r="I1818" t="s">
        <v>22</v>
      </c>
      <c r="J1818" t="s">
        <v>23</v>
      </c>
      <c r="K1818" t="s">
        <v>4591</v>
      </c>
      <c r="L1818" t="s">
        <v>248</v>
      </c>
      <c r="M1818">
        <v>46614</v>
      </c>
      <c r="N1818" t="s">
        <v>101</v>
      </c>
      <c r="O1818" t="s">
        <v>4592</v>
      </c>
      <c r="P1818" t="s">
        <v>42</v>
      </c>
      <c r="Q1818" t="s">
        <v>55</v>
      </c>
      <c r="R1818" t="s">
        <v>4593</v>
      </c>
      <c r="S1818">
        <v>34.76</v>
      </c>
    </row>
    <row r="1819" spans="1:19" x14ac:dyDescent="0.35">
      <c r="A1819">
        <v>1851</v>
      </c>
      <c r="B1819" t="s">
        <v>4590</v>
      </c>
      <c r="C1819" s="1">
        <v>42571</v>
      </c>
      <c r="D1819" s="1">
        <v>42576</v>
      </c>
      <c r="E1819" s="1" t="str">
        <f t="shared" si="28"/>
        <v>SLOW</v>
      </c>
      <c r="F1819" t="s">
        <v>19</v>
      </c>
      <c r="G1819" t="s">
        <v>2811</v>
      </c>
      <c r="H1819" t="s">
        <v>2812</v>
      </c>
      <c r="I1819" t="s">
        <v>22</v>
      </c>
      <c r="J1819" t="s">
        <v>23</v>
      </c>
      <c r="K1819" t="s">
        <v>4591</v>
      </c>
      <c r="L1819" t="s">
        <v>248</v>
      </c>
      <c r="M1819">
        <v>46614</v>
      </c>
      <c r="N1819" t="s">
        <v>101</v>
      </c>
      <c r="O1819" t="s">
        <v>2223</v>
      </c>
      <c r="P1819" t="s">
        <v>67</v>
      </c>
      <c r="Q1819" t="s">
        <v>157</v>
      </c>
      <c r="R1819" t="s">
        <v>2224</v>
      </c>
      <c r="S1819">
        <v>831.2</v>
      </c>
    </row>
    <row r="1820" spans="1:19" x14ac:dyDescent="0.35">
      <c r="A1820">
        <v>1852</v>
      </c>
      <c r="B1820" t="s">
        <v>4590</v>
      </c>
      <c r="C1820" s="1">
        <v>42571</v>
      </c>
      <c r="D1820" s="1">
        <v>42576</v>
      </c>
      <c r="E1820" s="1" t="str">
        <f t="shared" si="28"/>
        <v>SLOW</v>
      </c>
      <c r="F1820" t="s">
        <v>19</v>
      </c>
      <c r="G1820" t="s">
        <v>2811</v>
      </c>
      <c r="H1820" t="s">
        <v>2812</v>
      </c>
      <c r="I1820" t="s">
        <v>22</v>
      </c>
      <c r="J1820" t="s">
        <v>23</v>
      </c>
      <c r="K1820" t="s">
        <v>4591</v>
      </c>
      <c r="L1820" t="s">
        <v>248</v>
      </c>
      <c r="M1820">
        <v>46614</v>
      </c>
      <c r="N1820" t="s">
        <v>101</v>
      </c>
      <c r="O1820" t="s">
        <v>4594</v>
      </c>
      <c r="P1820" t="s">
        <v>42</v>
      </c>
      <c r="Q1820" t="s">
        <v>86</v>
      </c>
      <c r="R1820" t="s">
        <v>4595</v>
      </c>
      <c r="S1820">
        <v>26.4</v>
      </c>
    </row>
    <row r="1821" spans="1:19" x14ac:dyDescent="0.35">
      <c r="A1821">
        <v>1853</v>
      </c>
      <c r="B1821" t="s">
        <v>4590</v>
      </c>
      <c r="C1821" s="1">
        <v>42571</v>
      </c>
      <c r="D1821" s="1">
        <v>42576</v>
      </c>
      <c r="E1821" s="1" t="str">
        <f t="shared" si="28"/>
        <v>SLOW</v>
      </c>
      <c r="F1821" t="s">
        <v>19</v>
      </c>
      <c r="G1821" t="s">
        <v>2811</v>
      </c>
      <c r="H1821" t="s">
        <v>2812</v>
      </c>
      <c r="I1821" t="s">
        <v>22</v>
      </c>
      <c r="J1821" t="s">
        <v>23</v>
      </c>
      <c r="K1821" t="s">
        <v>4591</v>
      </c>
      <c r="L1821" t="s">
        <v>248</v>
      </c>
      <c r="M1821">
        <v>46614</v>
      </c>
      <c r="N1821" t="s">
        <v>101</v>
      </c>
      <c r="O1821" t="s">
        <v>1454</v>
      </c>
      <c r="P1821" t="s">
        <v>42</v>
      </c>
      <c r="Q1821" t="s">
        <v>169</v>
      </c>
      <c r="R1821" t="s">
        <v>1455</v>
      </c>
      <c r="S1821">
        <v>106.75</v>
      </c>
    </row>
    <row r="1822" spans="1:19" x14ac:dyDescent="0.35">
      <c r="A1822">
        <v>1854</v>
      </c>
      <c r="B1822" t="s">
        <v>4590</v>
      </c>
      <c r="C1822" s="1">
        <v>42571</v>
      </c>
      <c r="D1822" s="1">
        <v>42576</v>
      </c>
      <c r="E1822" s="1" t="str">
        <f t="shared" si="28"/>
        <v>SLOW</v>
      </c>
      <c r="F1822" t="s">
        <v>19</v>
      </c>
      <c r="G1822" t="s">
        <v>2811</v>
      </c>
      <c r="H1822" t="s">
        <v>2812</v>
      </c>
      <c r="I1822" t="s">
        <v>22</v>
      </c>
      <c r="J1822" t="s">
        <v>23</v>
      </c>
      <c r="K1822" t="s">
        <v>4591</v>
      </c>
      <c r="L1822" t="s">
        <v>248</v>
      </c>
      <c r="M1822">
        <v>46614</v>
      </c>
      <c r="N1822" t="s">
        <v>101</v>
      </c>
      <c r="O1822" t="s">
        <v>4596</v>
      </c>
      <c r="P1822" t="s">
        <v>42</v>
      </c>
      <c r="Q1822" t="s">
        <v>86</v>
      </c>
      <c r="R1822" t="s">
        <v>4597</v>
      </c>
      <c r="S1822">
        <v>97.82</v>
      </c>
    </row>
    <row r="1823" spans="1:19" x14ac:dyDescent="0.35">
      <c r="A1823">
        <v>1855</v>
      </c>
      <c r="B1823" t="s">
        <v>4590</v>
      </c>
      <c r="C1823" s="1">
        <v>42571</v>
      </c>
      <c r="D1823" s="1">
        <v>42576</v>
      </c>
      <c r="E1823" s="1" t="str">
        <f t="shared" si="28"/>
        <v>SLOW</v>
      </c>
      <c r="F1823" t="s">
        <v>19</v>
      </c>
      <c r="G1823" t="s">
        <v>2811</v>
      </c>
      <c r="H1823" t="s">
        <v>2812</v>
      </c>
      <c r="I1823" t="s">
        <v>22</v>
      </c>
      <c r="J1823" t="s">
        <v>23</v>
      </c>
      <c r="K1823" t="s">
        <v>4591</v>
      </c>
      <c r="L1823" t="s">
        <v>248</v>
      </c>
      <c r="M1823">
        <v>46614</v>
      </c>
      <c r="N1823" t="s">
        <v>101</v>
      </c>
      <c r="O1823" t="s">
        <v>387</v>
      </c>
      <c r="P1823" t="s">
        <v>42</v>
      </c>
      <c r="Q1823" t="s">
        <v>55</v>
      </c>
      <c r="R1823" t="s">
        <v>388</v>
      </c>
      <c r="S1823">
        <v>141.4</v>
      </c>
    </row>
    <row r="1824" spans="1:19" x14ac:dyDescent="0.35">
      <c r="A1824">
        <v>1856</v>
      </c>
      <c r="B1824" t="s">
        <v>4598</v>
      </c>
      <c r="C1824" s="1">
        <v>42168</v>
      </c>
      <c r="D1824" s="1">
        <v>42172</v>
      </c>
      <c r="E1824" s="1" t="str">
        <f t="shared" si="28"/>
        <v>FAST</v>
      </c>
      <c r="F1824" t="s">
        <v>46</v>
      </c>
      <c r="G1824" t="s">
        <v>4386</v>
      </c>
      <c r="H1824" t="s">
        <v>4387</v>
      </c>
      <c r="I1824" t="s">
        <v>37</v>
      </c>
      <c r="J1824" t="s">
        <v>23</v>
      </c>
      <c r="K1824" t="s">
        <v>38</v>
      </c>
      <c r="L1824" t="s">
        <v>39</v>
      </c>
      <c r="M1824">
        <v>90032</v>
      </c>
      <c r="N1824" t="s">
        <v>40</v>
      </c>
      <c r="O1824" t="s">
        <v>4599</v>
      </c>
      <c r="P1824" t="s">
        <v>42</v>
      </c>
      <c r="Q1824" t="s">
        <v>64</v>
      </c>
      <c r="R1824" t="s">
        <v>3006</v>
      </c>
      <c r="S1824">
        <v>14.52</v>
      </c>
    </row>
    <row r="1825" spans="1:19" x14ac:dyDescent="0.35">
      <c r="A1825">
        <v>1857</v>
      </c>
      <c r="B1825" t="s">
        <v>4600</v>
      </c>
      <c r="C1825" s="1">
        <v>43232</v>
      </c>
      <c r="D1825" s="1">
        <v>43235</v>
      </c>
      <c r="E1825" s="1" t="str">
        <f t="shared" si="28"/>
        <v>SLOW</v>
      </c>
      <c r="F1825" t="s">
        <v>19</v>
      </c>
      <c r="G1825" t="s">
        <v>1209</v>
      </c>
      <c r="H1825" t="s">
        <v>1210</v>
      </c>
      <c r="I1825" t="s">
        <v>37</v>
      </c>
      <c r="J1825" t="s">
        <v>23</v>
      </c>
      <c r="K1825" t="s">
        <v>180</v>
      </c>
      <c r="L1825" t="s">
        <v>100</v>
      </c>
      <c r="M1825">
        <v>77041</v>
      </c>
      <c r="N1825" t="s">
        <v>101</v>
      </c>
      <c r="O1825" t="s">
        <v>3507</v>
      </c>
      <c r="P1825" t="s">
        <v>42</v>
      </c>
      <c r="Q1825" t="s">
        <v>55</v>
      </c>
      <c r="R1825" t="s">
        <v>3508</v>
      </c>
      <c r="S1825">
        <v>127.92</v>
      </c>
    </row>
    <row r="1826" spans="1:19" x14ac:dyDescent="0.35">
      <c r="A1826">
        <v>1858</v>
      </c>
      <c r="B1826" t="s">
        <v>4600</v>
      </c>
      <c r="C1826" s="1">
        <v>43232</v>
      </c>
      <c r="D1826" s="1">
        <v>43235</v>
      </c>
      <c r="E1826" s="1" t="str">
        <f t="shared" si="28"/>
        <v>SLOW</v>
      </c>
      <c r="F1826" t="s">
        <v>19</v>
      </c>
      <c r="G1826" t="s">
        <v>1209</v>
      </c>
      <c r="H1826" t="s">
        <v>1210</v>
      </c>
      <c r="I1826" t="s">
        <v>37</v>
      </c>
      <c r="J1826" t="s">
        <v>23</v>
      </c>
      <c r="K1826" t="s">
        <v>180</v>
      </c>
      <c r="L1826" t="s">
        <v>100</v>
      </c>
      <c r="M1826">
        <v>77041</v>
      </c>
      <c r="N1826" t="s">
        <v>101</v>
      </c>
      <c r="O1826" t="s">
        <v>4601</v>
      </c>
      <c r="P1826" t="s">
        <v>42</v>
      </c>
      <c r="Q1826" t="s">
        <v>71</v>
      </c>
      <c r="R1826" t="s">
        <v>4602</v>
      </c>
      <c r="S1826">
        <v>34.24</v>
      </c>
    </row>
    <row r="1827" spans="1:19" x14ac:dyDescent="0.35">
      <c r="A1827">
        <v>1859</v>
      </c>
      <c r="B1827" t="s">
        <v>4603</v>
      </c>
      <c r="C1827" s="1">
        <v>42616</v>
      </c>
      <c r="D1827" s="1">
        <v>42618</v>
      </c>
      <c r="E1827" s="1" t="str">
        <f t="shared" si="28"/>
        <v>MODERATE</v>
      </c>
      <c r="F1827" t="s">
        <v>184</v>
      </c>
      <c r="G1827" t="s">
        <v>693</v>
      </c>
      <c r="H1827" t="s">
        <v>694</v>
      </c>
      <c r="I1827" t="s">
        <v>37</v>
      </c>
      <c r="J1827" t="s">
        <v>23</v>
      </c>
      <c r="K1827" t="s">
        <v>502</v>
      </c>
      <c r="L1827" t="s">
        <v>736</v>
      </c>
      <c r="M1827">
        <v>6010</v>
      </c>
      <c r="N1827" t="s">
        <v>144</v>
      </c>
      <c r="O1827" t="s">
        <v>102</v>
      </c>
      <c r="P1827" t="s">
        <v>42</v>
      </c>
      <c r="Q1827" t="s">
        <v>74</v>
      </c>
      <c r="R1827" t="s">
        <v>103</v>
      </c>
      <c r="S1827">
        <v>137.62</v>
      </c>
    </row>
    <row r="1828" spans="1:19" x14ac:dyDescent="0.35">
      <c r="A1828">
        <v>1860</v>
      </c>
      <c r="B1828" t="s">
        <v>4603</v>
      </c>
      <c r="C1828" s="1">
        <v>42616</v>
      </c>
      <c r="D1828" s="1">
        <v>42618</v>
      </c>
      <c r="E1828" s="1" t="str">
        <f t="shared" si="28"/>
        <v>MODERATE</v>
      </c>
      <c r="F1828" t="s">
        <v>184</v>
      </c>
      <c r="G1828" t="s">
        <v>693</v>
      </c>
      <c r="H1828" t="s">
        <v>694</v>
      </c>
      <c r="I1828" t="s">
        <v>37</v>
      </c>
      <c r="J1828" t="s">
        <v>23</v>
      </c>
      <c r="K1828" t="s">
        <v>502</v>
      </c>
      <c r="L1828" t="s">
        <v>736</v>
      </c>
      <c r="M1828">
        <v>6010</v>
      </c>
      <c r="N1828" t="s">
        <v>144</v>
      </c>
      <c r="O1828" t="s">
        <v>4604</v>
      </c>
      <c r="P1828" t="s">
        <v>67</v>
      </c>
      <c r="Q1828" t="s">
        <v>68</v>
      </c>
      <c r="R1828" t="s">
        <v>4605</v>
      </c>
      <c r="S1828">
        <v>100.49</v>
      </c>
    </row>
    <row r="1829" spans="1:19" x14ac:dyDescent="0.35">
      <c r="A1829">
        <v>1861</v>
      </c>
      <c r="B1829" t="s">
        <v>4606</v>
      </c>
      <c r="C1829" s="1">
        <v>43185</v>
      </c>
      <c r="D1829" s="1">
        <v>43186</v>
      </c>
      <c r="E1829" s="1" t="str">
        <f t="shared" si="28"/>
        <v>MODERATE</v>
      </c>
      <c r="F1829" t="s">
        <v>184</v>
      </c>
      <c r="G1829" t="s">
        <v>2492</v>
      </c>
      <c r="H1829" t="s">
        <v>2493</v>
      </c>
      <c r="I1829" t="s">
        <v>22</v>
      </c>
      <c r="J1829" t="s">
        <v>23</v>
      </c>
      <c r="K1829" t="s">
        <v>260</v>
      </c>
      <c r="L1829" t="s">
        <v>261</v>
      </c>
      <c r="M1829">
        <v>10009</v>
      </c>
      <c r="N1829" t="s">
        <v>144</v>
      </c>
      <c r="O1829" t="s">
        <v>4607</v>
      </c>
      <c r="P1829" t="s">
        <v>28</v>
      </c>
      <c r="Q1829" t="s">
        <v>29</v>
      </c>
      <c r="R1829" t="s">
        <v>4608</v>
      </c>
      <c r="S1829">
        <v>257.56799999999998</v>
      </c>
    </row>
    <row r="1830" spans="1:19" x14ac:dyDescent="0.35">
      <c r="A1830">
        <v>1862</v>
      </c>
      <c r="B1830" t="s">
        <v>4606</v>
      </c>
      <c r="C1830" s="1">
        <v>43185</v>
      </c>
      <c r="D1830" s="1">
        <v>43186</v>
      </c>
      <c r="E1830" s="1" t="str">
        <f t="shared" si="28"/>
        <v>MODERATE</v>
      </c>
      <c r="F1830" t="s">
        <v>184</v>
      </c>
      <c r="G1830" t="s">
        <v>2492</v>
      </c>
      <c r="H1830" t="s">
        <v>2493</v>
      </c>
      <c r="I1830" t="s">
        <v>22</v>
      </c>
      <c r="J1830" t="s">
        <v>23</v>
      </c>
      <c r="K1830" t="s">
        <v>260</v>
      </c>
      <c r="L1830" t="s">
        <v>261</v>
      </c>
      <c r="M1830">
        <v>10009</v>
      </c>
      <c r="N1830" t="s">
        <v>144</v>
      </c>
      <c r="O1830" t="s">
        <v>728</v>
      </c>
      <c r="P1830" t="s">
        <v>67</v>
      </c>
      <c r="Q1830" t="s">
        <v>68</v>
      </c>
      <c r="R1830" t="s">
        <v>729</v>
      </c>
      <c r="S1830">
        <v>119.96</v>
      </c>
    </row>
    <row r="1831" spans="1:19" x14ac:dyDescent="0.35">
      <c r="A1831">
        <v>1863</v>
      </c>
      <c r="B1831" t="s">
        <v>4609</v>
      </c>
      <c r="C1831" s="1">
        <v>42320</v>
      </c>
      <c r="D1831" s="1">
        <v>42320</v>
      </c>
      <c r="E1831" s="1" t="str">
        <f t="shared" si="28"/>
        <v>MODERATE</v>
      </c>
      <c r="F1831" t="s">
        <v>1276</v>
      </c>
      <c r="G1831" t="s">
        <v>1409</v>
      </c>
      <c r="H1831" t="s">
        <v>1410</v>
      </c>
      <c r="I1831" t="s">
        <v>22</v>
      </c>
      <c r="J1831" t="s">
        <v>23</v>
      </c>
      <c r="K1831" t="s">
        <v>667</v>
      </c>
      <c r="L1831" t="s">
        <v>100</v>
      </c>
      <c r="M1831">
        <v>78207</v>
      </c>
      <c r="N1831" t="s">
        <v>101</v>
      </c>
      <c r="O1831" t="s">
        <v>748</v>
      </c>
      <c r="P1831" t="s">
        <v>42</v>
      </c>
      <c r="Q1831" t="s">
        <v>55</v>
      </c>
      <c r="R1831" t="s">
        <v>749</v>
      </c>
      <c r="S1831">
        <v>49.631999999999998</v>
      </c>
    </row>
    <row r="1832" spans="1:19" x14ac:dyDescent="0.35">
      <c r="A1832">
        <v>1864</v>
      </c>
      <c r="B1832" t="s">
        <v>4610</v>
      </c>
      <c r="C1832" s="1">
        <v>43021</v>
      </c>
      <c r="D1832" s="1">
        <v>43025</v>
      </c>
      <c r="E1832" s="1" t="str">
        <f t="shared" si="28"/>
        <v>FAST</v>
      </c>
      <c r="F1832" t="s">
        <v>46</v>
      </c>
      <c r="G1832" t="s">
        <v>4611</v>
      </c>
      <c r="H1832" t="s">
        <v>4612</v>
      </c>
      <c r="I1832" t="s">
        <v>37</v>
      </c>
      <c r="J1832" t="s">
        <v>23</v>
      </c>
      <c r="K1832" t="s">
        <v>443</v>
      </c>
      <c r="L1832" t="s">
        <v>444</v>
      </c>
      <c r="M1832">
        <v>80013</v>
      </c>
      <c r="N1832" t="s">
        <v>40</v>
      </c>
      <c r="O1832" t="s">
        <v>1213</v>
      </c>
      <c r="P1832" t="s">
        <v>28</v>
      </c>
      <c r="Q1832" t="s">
        <v>52</v>
      </c>
      <c r="R1832" t="s">
        <v>1214</v>
      </c>
      <c r="S1832">
        <v>727.45</v>
      </c>
    </row>
    <row r="1833" spans="1:19" x14ac:dyDescent="0.35">
      <c r="A1833">
        <v>1865</v>
      </c>
      <c r="B1833" t="s">
        <v>4610</v>
      </c>
      <c r="C1833" s="1">
        <v>43021</v>
      </c>
      <c r="D1833" s="1">
        <v>43025</v>
      </c>
      <c r="E1833" s="1" t="str">
        <f t="shared" si="28"/>
        <v>FAST</v>
      </c>
      <c r="F1833" t="s">
        <v>46</v>
      </c>
      <c r="G1833" t="s">
        <v>4611</v>
      </c>
      <c r="H1833" t="s">
        <v>4612</v>
      </c>
      <c r="I1833" t="s">
        <v>37</v>
      </c>
      <c r="J1833" t="s">
        <v>23</v>
      </c>
      <c r="K1833" t="s">
        <v>443</v>
      </c>
      <c r="L1833" t="s">
        <v>444</v>
      </c>
      <c r="M1833">
        <v>80013</v>
      </c>
      <c r="N1833" t="s">
        <v>40</v>
      </c>
      <c r="O1833" t="s">
        <v>4613</v>
      </c>
      <c r="P1833" t="s">
        <v>28</v>
      </c>
      <c r="Q1833" t="s">
        <v>61</v>
      </c>
      <c r="R1833" t="s">
        <v>4614</v>
      </c>
      <c r="S1833">
        <v>24.96</v>
      </c>
    </row>
    <row r="1834" spans="1:19" x14ac:dyDescent="0.35">
      <c r="A1834">
        <v>1866</v>
      </c>
      <c r="B1834" t="s">
        <v>4615</v>
      </c>
      <c r="C1834" s="1">
        <v>43416</v>
      </c>
      <c r="D1834" s="1">
        <v>43416</v>
      </c>
      <c r="E1834" s="1" t="str">
        <f t="shared" si="28"/>
        <v>MODERATE</v>
      </c>
      <c r="F1834" t="s">
        <v>1276</v>
      </c>
      <c r="G1834" t="s">
        <v>2021</v>
      </c>
      <c r="H1834" t="s">
        <v>2022</v>
      </c>
      <c r="I1834" t="s">
        <v>37</v>
      </c>
      <c r="J1834" t="s">
        <v>23</v>
      </c>
      <c r="K1834" t="s">
        <v>594</v>
      </c>
      <c r="L1834" t="s">
        <v>485</v>
      </c>
      <c r="M1834">
        <v>43055</v>
      </c>
      <c r="N1834" t="s">
        <v>144</v>
      </c>
      <c r="O1834" t="s">
        <v>4616</v>
      </c>
      <c r="P1834" t="s">
        <v>67</v>
      </c>
      <c r="Q1834" t="s">
        <v>68</v>
      </c>
      <c r="R1834" t="s">
        <v>4617</v>
      </c>
      <c r="S1834">
        <v>370.78199999999998</v>
      </c>
    </row>
    <row r="1835" spans="1:19" x14ac:dyDescent="0.35">
      <c r="A1835">
        <v>1867</v>
      </c>
      <c r="B1835" t="s">
        <v>4618</v>
      </c>
      <c r="C1835" s="1">
        <v>43205</v>
      </c>
      <c r="D1835" s="1">
        <v>43208</v>
      </c>
      <c r="E1835" s="1" t="str">
        <f t="shared" si="28"/>
        <v>MODERATE</v>
      </c>
      <c r="F1835" t="s">
        <v>184</v>
      </c>
      <c r="G1835" t="s">
        <v>2794</v>
      </c>
      <c r="H1835" t="s">
        <v>2795</v>
      </c>
      <c r="I1835" t="s">
        <v>37</v>
      </c>
      <c r="J1835" t="s">
        <v>23</v>
      </c>
      <c r="K1835" t="s">
        <v>24</v>
      </c>
      <c r="L1835" t="s">
        <v>1377</v>
      </c>
      <c r="M1835">
        <v>89015</v>
      </c>
      <c r="N1835" t="s">
        <v>40</v>
      </c>
      <c r="O1835" t="s">
        <v>3084</v>
      </c>
      <c r="P1835" t="s">
        <v>28</v>
      </c>
      <c r="Q1835" t="s">
        <v>61</v>
      </c>
      <c r="R1835" t="s">
        <v>3085</v>
      </c>
      <c r="S1835">
        <v>196.45</v>
      </c>
    </row>
    <row r="1836" spans="1:19" x14ac:dyDescent="0.35">
      <c r="A1836">
        <v>1868</v>
      </c>
      <c r="B1836" t="s">
        <v>4619</v>
      </c>
      <c r="C1836" s="1">
        <v>42546</v>
      </c>
      <c r="D1836" s="1">
        <v>42552</v>
      </c>
      <c r="E1836" s="1" t="str">
        <f t="shared" si="28"/>
        <v>FAST</v>
      </c>
      <c r="F1836" t="s">
        <v>46</v>
      </c>
      <c r="G1836" t="s">
        <v>4545</v>
      </c>
      <c r="H1836" t="s">
        <v>4546</v>
      </c>
      <c r="I1836" t="s">
        <v>98</v>
      </c>
      <c r="J1836" t="s">
        <v>23</v>
      </c>
      <c r="K1836" t="s">
        <v>142</v>
      </c>
      <c r="L1836" t="s">
        <v>143</v>
      </c>
      <c r="M1836">
        <v>19143</v>
      </c>
      <c r="N1836" t="s">
        <v>144</v>
      </c>
      <c r="O1836" t="s">
        <v>4620</v>
      </c>
      <c r="P1836" t="s">
        <v>42</v>
      </c>
      <c r="Q1836" t="s">
        <v>86</v>
      </c>
      <c r="R1836" t="s">
        <v>4621</v>
      </c>
      <c r="S1836">
        <v>31.103999999999999</v>
      </c>
    </row>
    <row r="1837" spans="1:19" x14ac:dyDescent="0.35">
      <c r="A1837">
        <v>1869</v>
      </c>
      <c r="B1837" t="s">
        <v>4619</v>
      </c>
      <c r="C1837" s="1">
        <v>42546</v>
      </c>
      <c r="D1837" s="1">
        <v>42552</v>
      </c>
      <c r="E1837" s="1" t="str">
        <f t="shared" si="28"/>
        <v>FAST</v>
      </c>
      <c r="F1837" t="s">
        <v>46</v>
      </c>
      <c r="G1837" t="s">
        <v>4545</v>
      </c>
      <c r="H1837" t="s">
        <v>4546</v>
      </c>
      <c r="I1837" t="s">
        <v>98</v>
      </c>
      <c r="J1837" t="s">
        <v>23</v>
      </c>
      <c r="K1837" t="s">
        <v>142</v>
      </c>
      <c r="L1837" t="s">
        <v>143</v>
      </c>
      <c r="M1837">
        <v>19143</v>
      </c>
      <c r="N1837" t="s">
        <v>144</v>
      </c>
      <c r="O1837" t="s">
        <v>4622</v>
      </c>
      <c r="P1837" t="s">
        <v>42</v>
      </c>
      <c r="Q1837" t="s">
        <v>55</v>
      </c>
      <c r="R1837" t="s">
        <v>4623</v>
      </c>
      <c r="S1837">
        <v>78.256</v>
      </c>
    </row>
    <row r="1838" spans="1:19" x14ac:dyDescent="0.35">
      <c r="A1838">
        <v>1870</v>
      </c>
      <c r="B1838" t="s">
        <v>4624</v>
      </c>
      <c r="C1838" s="1">
        <v>42973</v>
      </c>
      <c r="D1838" s="1">
        <v>42976</v>
      </c>
      <c r="E1838" s="1" t="str">
        <f t="shared" si="28"/>
        <v>SLOW</v>
      </c>
      <c r="F1838" t="s">
        <v>19</v>
      </c>
      <c r="G1838" t="s">
        <v>1937</v>
      </c>
      <c r="H1838" t="s">
        <v>1938</v>
      </c>
      <c r="I1838" t="s">
        <v>22</v>
      </c>
      <c r="J1838" t="s">
        <v>23</v>
      </c>
      <c r="K1838" t="s">
        <v>91</v>
      </c>
      <c r="L1838" t="s">
        <v>92</v>
      </c>
      <c r="M1838">
        <v>98103</v>
      </c>
      <c r="N1838" t="s">
        <v>40</v>
      </c>
      <c r="O1838" t="s">
        <v>2752</v>
      </c>
      <c r="P1838" t="s">
        <v>42</v>
      </c>
      <c r="Q1838" t="s">
        <v>86</v>
      </c>
      <c r="R1838" t="s">
        <v>2753</v>
      </c>
      <c r="S1838">
        <v>6.48</v>
      </c>
    </row>
    <row r="1839" spans="1:19" x14ac:dyDescent="0.35">
      <c r="A1839">
        <v>1871</v>
      </c>
      <c r="B1839" t="s">
        <v>4625</v>
      </c>
      <c r="C1839" s="1">
        <v>42206</v>
      </c>
      <c r="D1839" s="1">
        <v>42210</v>
      </c>
      <c r="E1839" s="1" t="str">
        <f t="shared" si="28"/>
        <v>FAST</v>
      </c>
      <c r="F1839" t="s">
        <v>46</v>
      </c>
      <c r="G1839" t="s">
        <v>4626</v>
      </c>
      <c r="H1839" t="s">
        <v>4627</v>
      </c>
      <c r="I1839" t="s">
        <v>37</v>
      </c>
      <c r="J1839" t="s">
        <v>23</v>
      </c>
      <c r="K1839" t="s">
        <v>123</v>
      </c>
      <c r="L1839" t="s">
        <v>39</v>
      </c>
      <c r="M1839">
        <v>94122</v>
      </c>
      <c r="N1839" t="s">
        <v>40</v>
      </c>
      <c r="O1839" t="s">
        <v>4628</v>
      </c>
      <c r="P1839" t="s">
        <v>42</v>
      </c>
      <c r="Q1839" t="s">
        <v>64</v>
      </c>
      <c r="R1839" t="s">
        <v>4629</v>
      </c>
      <c r="S1839">
        <v>99.2</v>
      </c>
    </row>
    <row r="1840" spans="1:19" x14ac:dyDescent="0.35">
      <c r="A1840">
        <v>1872</v>
      </c>
      <c r="B1840" t="s">
        <v>4625</v>
      </c>
      <c r="C1840" s="1">
        <v>42206</v>
      </c>
      <c r="D1840" s="1">
        <v>42210</v>
      </c>
      <c r="E1840" s="1" t="str">
        <f t="shared" si="28"/>
        <v>FAST</v>
      </c>
      <c r="F1840" t="s">
        <v>46</v>
      </c>
      <c r="G1840" t="s">
        <v>4626</v>
      </c>
      <c r="H1840" t="s">
        <v>4627</v>
      </c>
      <c r="I1840" t="s">
        <v>37</v>
      </c>
      <c r="J1840" t="s">
        <v>23</v>
      </c>
      <c r="K1840" t="s">
        <v>123</v>
      </c>
      <c r="L1840" t="s">
        <v>39</v>
      </c>
      <c r="M1840">
        <v>94122</v>
      </c>
      <c r="N1840" t="s">
        <v>40</v>
      </c>
      <c r="O1840" t="s">
        <v>1706</v>
      </c>
      <c r="P1840" t="s">
        <v>28</v>
      </c>
      <c r="Q1840" t="s">
        <v>32</v>
      </c>
      <c r="R1840" t="s">
        <v>1707</v>
      </c>
      <c r="S1840">
        <v>801.56799999999998</v>
      </c>
    </row>
    <row r="1841" spans="1:19" x14ac:dyDescent="0.35">
      <c r="A1841">
        <v>1873</v>
      </c>
      <c r="B1841" t="s">
        <v>4625</v>
      </c>
      <c r="C1841" s="1">
        <v>42206</v>
      </c>
      <c r="D1841" s="1">
        <v>42210</v>
      </c>
      <c r="E1841" s="1" t="str">
        <f t="shared" si="28"/>
        <v>FAST</v>
      </c>
      <c r="F1841" t="s">
        <v>46</v>
      </c>
      <c r="G1841" t="s">
        <v>4626</v>
      </c>
      <c r="H1841" t="s">
        <v>4627</v>
      </c>
      <c r="I1841" t="s">
        <v>37</v>
      </c>
      <c r="J1841" t="s">
        <v>23</v>
      </c>
      <c r="K1841" t="s">
        <v>123</v>
      </c>
      <c r="L1841" t="s">
        <v>39</v>
      </c>
      <c r="M1841">
        <v>94122</v>
      </c>
      <c r="N1841" t="s">
        <v>40</v>
      </c>
      <c r="O1841" t="s">
        <v>4630</v>
      </c>
      <c r="P1841" t="s">
        <v>28</v>
      </c>
      <c r="Q1841" t="s">
        <v>52</v>
      </c>
      <c r="R1841" t="s">
        <v>4631</v>
      </c>
      <c r="S1841">
        <v>272.84800000000001</v>
      </c>
    </row>
    <row r="1842" spans="1:19" x14ac:dyDescent="0.35">
      <c r="A1842">
        <v>1874</v>
      </c>
      <c r="B1842" t="s">
        <v>4632</v>
      </c>
      <c r="C1842" s="1">
        <v>43425</v>
      </c>
      <c r="D1842" s="1">
        <v>43429</v>
      </c>
      <c r="E1842" s="1" t="str">
        <f t="shared" si="28"/>
        <v>FAST</v>
      </c>
      <c r="F1842" t="s">
        <v>46</v>
      </c>
      <c r="G1842" t="s">
        <v>4633</v>
      </c>
      <c r="H1842" t="s">
        <v>4634</v>
      </c>
      <c r="I1842" t="s">
        <v>22</v>
      </c>
      <c r="J1842" t="s">
        <v>23</v>
      </c>
      <c r="K1842" t="s">
        <v>4635</v>
      </c>
      <c r="L1842" t="s">
        <v>92</v>
      </c>
      <c r="M1842">
        <v>99207</v>
      </c>
      <c r="N1842" t="s">
        <v>40</v>
      </c>
      <c r="O1842" t="s">
        <v>4636</v>
      </c>
      <c r="P1842" t="s">
        <v>28</v>
      </c>
      <c r="Q1842" t="s">
        <v>52</v>
      </c>
      <c r="R1842" t="s">
        <v>4637</v>
      </c>
      <c r="S1842">
        <v>70.98</v>
      </c>
    </row>
    <row r="1843" spans="1:19" x14ac:dyDescent="0.35">
      <c r="A1843">
        <v>1875</v>
      </c>
      <c r="B1843" t="s">
        <v>4638</v>
      </c>
      <c r="C1843" s="1">
        <v>42159</v>
      </c>
      <c r="D1843" s="1">
        <v>42164</v>
      </c>
      <c r="E1843" s="1" t="str">
        <f t="shared" si="28"/>
        <v>FAST</v>
      </c>
      <c r="F1843" t="s">
        <v>46</v>
      </c>
      <c r="G1843" t="s">
        <v>751</v>
      </c>
      <c r="H1843" t="s">
        <v>752</v>
      </c>
      <c r="I1843" t="s">
        <v>98</v>
      </c>
      <c r="J1843" t="s">
        <v>23</v>
      </c>
      <c r="K1843" t="s">
        <v>484</v>
      </c>
      <c r="L1843" t="s">
        <v>485</v>
      </c>
      <c r="M1843">
        <v>43229</v>
      </c>
      <c r="N1843" t="s">
        <v>144</v>
      </c>
      <c r="O1843" t="s">
        <v>3410</v>
      </c>
      <c r="P1843" t="s">
        <v>42</v>
      </c>
      <c r="Q1843" t="s">
        <v>86</v>
      </c>
      <c r="R1843" t="s">
        <v>182</v>
      </c>
      <c r="S1843">
        <v>16.224</v>
      </c>
    </row>
    <row r="1844" spans="1:19" x14ac:dyDescent="0.35">
      <c r="A1844">
        <v>1876</v>
      </c>
      <c r="B1844" t="s">
        <v>4639</v>
      </c>
      <c r="C1844" s="1">
        <v>42804</v>
      </c>
      <c r="D1844" s="1">
        <v>42810</v>
      </c>
      <c r="E1844" s="1" t="str">
        <f t="shared" si="28"/>
        <v>FAST</v>
      </c>
      <c r="F1844" t="s">
        <v>46</v>
      </c>
      <c r="G1844" t="s">
        <v>1437</v>
      </c>
      <c r="H1844" t="s">
        <v>1438</v>
      </c>
      <c r="I1844" t="s">
        <v>22</v>
      </c>
      <c r="J1844" t="s">
        <v>23</v>
      </c>
      <c r="K1844" t="s">
        <v>1161</v>
      </c>
      <c r="L1844" t="s">
        <v>261</v>
      </c>
      <c r="M1844">
        <v>11561</v>
      </c>
      <c r="N1844" t="s">
        <v>144</v>
      </c>
      <c r="O1844" t="s">
        <v>2259</v>
      </c>
      <c r="P1844" t="s">
        <v>28</v>
      </c>
      <c r="Q1844" t="s">
        <v>29</v>
      </c>
      <c r="R1844" t="s">
        <v>2260</v>
      </c>
      <c r="S1844">
        <v>176.78399999999999</v>
      </c>
    </row>
    <row r="1845" spans="1:19" x14ac:dyDescent="0.35">
      <c r="A1845">
        <v>1877</v>
      </c>
      <c r="B1845" t="s">
        <v>4640</v>
      </c>
      <c r="C1845" s="1">
        <v>43184</v>
      </c>
      <c r="D1845" s="1">
        <v>43188</v>
      </c>
      <c r="E1845" s="1" t="str">
        <f t="shared" si="28"/>
        <v>FAST</v>
      </c>
      <c r="F1845" t="s">
        <v>46</v>
      </c>
      <c r="G1845" t="s">
        <v>4641</v>
      </c>
      <c r="H1845" t="s">
        <v>4642</v>
      </c>
      <c r="I1845" t="s">
        <v>22</v>
      </c>
      <c r="J1845" t="s">
        <v>23</v>
      </c>
      <c r="K1845" t="s">
        <v>667</v>
      </c>
      <c r="L1845" t="s">
        <v>100</v>
      </c>
      <c r="M1845">
        <v>78207</v>
      </c>
      <c r="N1845" t="s">
        <v>101</v>
      </c>
      <c r="O1845" t="s">
        <v>1798</v>
      </c>
      <c r="P1845" t="s">
        <v>67</v>
      </c>
      <c r="Q1845" t="s">
        <v>68</v>
      </c>
      <c r="R1845" t="s">
        <v>1799</v>
      </c>
      <c r="S1845">
        <v>470.37599999999998</v>
      </c>
    </row>
    <row r="1846" spans="1:19" x14ac:dyDescent="0.35">
      <c r="A1846">
        <v>1878</v>
      </c>
      <c r="B1846" t="s">
        <v>4643</v>
      </c>
      <c r="C1846" s="1">
        <v>43463</v>
      </c>
      <c r="D1846" s="1">
        <v>43467</v>
      </c>
      <c r="E1846" s="1" t="str">
        <f t="shared" si="28"/>
        <v>FAST</v>
      </c>
      <c r="F1846" t="s">
        <v>46</v>
      </c>
      <c r="G1846" t="s">
        <v>4222</v>
      </c>
      <c r="H1846" t="s">
        <v>4223</v>
      </c>
      <c r="I1846" t="s">
        <v>22</v>
      </c>
      <c r="J1846" t="s">
        <v>23</v>
      </c>
      <c r="K1846" t="s">
        <v>38</v>
      </c>
      <c r="L1846" t="s">
        <v>39</v>
      </c>
      <c r="M1846">
        <v>90049</v>
      </c>
      <c r="N1846" t="s">
        <v>40</v>
      </c>
      <c r="O1846" t="s">
        <v>3154</v>
      </c>
      <c r="P1846" t="s">
        <v>28</v>
      </c>
      <c r="Q1846" t="s">
        <v>32</v>
      </c>
      <c r="R1846" t="s">
        <v>3155</v>
      </c>
      <c r="S1846">
        <v>393.56799999999998</v>
      </c>
    </row>
    <row r="1847" spans="1:19" x14ac:dyDescent="0.35">
      <c r="A1847">
        <v>1879</v>
      </c>
      <c r="B1847" t="s">
        <v>4643</v>
      </c>
      <c r="C1847" s="1">
        <v>43463</v>
      </c>
      <c r="D1847" s="1">
        <v>43467</v>
      </c>
      <c r="E1847" s="1" t="str">
        <f t="shared" si="28"/>
        <v>FAST</v>
      </c>
      <c r="F1847" t="s">
        <v>46</v>
      </c>
      <c r="G1847" t="s">
        <v>4222</v>
      </c>
      <c r="H1847" t="s">
        <v>4223</v>
      </c>
      <c r="I1847" t="s">
        <v>22</v>
      </c>
      <c r="J1847" t="s">
        <v>23</v>
      </c>
      <c r="K1847" t="s">
        <v>38</v>
      </c>
      <c r="L1847" t="s">
        <v>39</v>
      </c>
      <c r="M1847">
        <v>90049</v>
      </c>
      <c r="N1847" t="s">
        <v>40</v>
      </c>
      <c r="O1847" t="s">
        <v>848</v>
      </c>
      <c r="P1847" t="s">
        <v>67</v>
      </c>
      <c r="Q1847" t="s">
        <v>68</v>
      </c>
      <c r="R1847" t="s">
        <v>849</v>
      </c>
      <c r="S1847">
        <v>302.37599999999998</v>
      </c>
    </row>
    <row r="1848" spans="1:19" x14ac:dyDescent="0.35">
      <c r="A1848">
        <v>1880</v>
      </c>
      <c r="B1848" t="s">
        <v>4644</v>
      </c>
      <c r="C1848" s="1">
        <v>43187</v>
      </c>
      <c r="D1848" s="1">
        <v>43192</v>
      </c>
      <c r="E1848" s="1" t="str">
        <f t="shared" si="28"/>
        <v>FAST</v>
      </c>
      <c r="F1848" t="s">
        <v>46</v>
      </c>
      <c r="G1848" t="s">
        <v>2604</v>
      </c>
      <c r="H1848" t="s">
        <v>2605</v>
      </c>
      <c r="I1848" t="s">
        <v>37</v>
      </c>
      <c r="J1848" t="s">
        <v>23</v>
      </c>
      <c r="K1848" t="s">
        <v>1505</v>
      </c>
      <c r="L1848" t="s">
        <v>50</v>
      </c>
      <c r="M1848">
        <v>32216</v>
      </c>
      <c r="N1848" t="s">
        <v>26</v>
      </c>
      <c r="O1848" t="s">
        <v>3826</v>
      </c>
      <c r="P1848" t="s">
        <v>42</v>
      </c>
      <c r="Q1848" t="s">
        <v>71</v>
      </c>
      <c r="R1848" t="s">
        <v>3827</v>
      </c>
      <c r="S1848">
        <v>68.742000000000004</v>
      </c>
    </row>
    <row r="1849" spans="1:19" x14ac:dyDescent="0.35">
      <c r="A1849">
        <v>1881</v>
      </c>
      <c r="B1849" t="s">
        <v>4645</v>
      </c>
      <c r="C1849" s="1">
        <v>42434</v>
      </c>
      <c r="D1849" s="1">
        <v>42434</v>
      </c>
      <c r="E1849" s="1" t="str">
        <f t="shared" si="28"/>
        <v>MODERATE</v>
      </c>
      <c r="F1849" t="s">
        <v>1276</v>
      </c>
      <c r="G1849" t="s">
        <v>1400</v>
      </c>
      <c r="H1849" t="s">
        <v>1401</v>
      </c>
      <c r="I1849" t="s">
        <v>22</v>
      </c>
      <c r="J1849" t="s">
        <v>23</v>
      </c>
      <c r="K1849" t="s">
        <v>260</v>
      </c>
      <c r="L1849" t="s">
        <v>261</v>
      </c>
      <c r="M1849">
        <v>10011</v>
      </c>
      <c r="N1849" t="s">
        <v>144</v>
      </c>
      <c r="O1849" t="s">
        <v>4646</v>
      </c>
      <c r="P1849" t="s">
        <v>42</v>
      </c>
      <c r="Q1849" t="s">
        <v>169</v>
      </c>
      <c r="R1849" t="s">
        <v>658</v>
      </c>
      <c r="S1849">
        <v>29.34</v>
      </c>
    </row>
    <row r="1850" spans="1:19" x14ac:dyDescent="0.35">
      <c r="A1850">
        <v>1882</v>
      </c>
      <c r="B1850" t="s">
        <v>4645</v>
      </c>
      <c r="C1850" s="1">
        <v>42434</v>
      </c>
      <c r="D1850" s="1">
        <v>42434</v>
      </c>
      <c r="E1850" s="1" t="str">
        <f t="shared" si="28"/>
        <v>MODERATE</v>
      </c>
      <c r="F1850" t="s">
        <v>1276</v>
      </c>
      <c r="G1850" t="s">
        <v>1400</v>
      </c>
      <c r="H1850" t="s">
        <v>1401</v>
      </c>
      <c r="I1850" t="s">
        <v>22</v>
      </c>
      <c r="J1850" t="s">
        <v>23</v>
      </c>
      <c r="K1850" t="s">
        <v>260</v>
      </c>
      <c r="L1850" t="s">
        <v>261</v>
      </c>
      <c r="M1850">
        <v>10011</v>
      </c>
      <c r="N1850" t="s">
        <v>144</v>
      </c>
      <c r="O1850" t="s">
        <v>298</v>
      </c>
      <c r="P1850" t="s">
        <v>28</v>
      </c>
      <c r="Q1850" t="s">
        <v>32</v>
      </c>
      <c r="R1850" t="s">
        <v>299</v>
      </c>
      <c r="S1850">
        <v>383.60700000000003</v>
      </c>
    </row>
    <row r="1851" spans="1:19" x14ac:dyDescent="0.35">
      <c r="A1851">
        <v>1883</v>
      </c>
      <c r="B1851" t="s">
        <v>4645</v>
      </c>
      <c r="C1851" s="1">
        <v>42434</v>
      </c>
      <c r="D1851" s="1">
        <v>42434</v>
      </c>
      <c r="E1851" s="1" t="str">
        <f t="shared" si="28"/>
        <v>MODERATE</v>
      </c>
      <c r="F1851" t="s">
        <v>1276</v>
      </c>
      <c r="G1851" t="s">
        <v>1400</v>
      </c>
      <c r="H1851" t="s">
        <v>1401</v>
      </c>
      <c r="I1851" t="s">
        <v>22</v>
      </c>
      <c r="J1851" t="s">
        <v>23</v>
      </c>
      <c r="K1851" t="s">
        <v>260</v>
      </c>
      <c r="L1851" t="s">
        <v>261</v>
      </c>
      <c r="M1851">
        <v>10011</v>
      </c>
      <c r="N1851" t="s">
        <v>144</v>
      </c>
      <c r="O1851" t="s">
        <v>1632</v>
      </c>
      <c r="P1851" t="s">
        <v>42</v>
      </c>
      <c r="Q1851" t="s">
        <v>55</v>
      </c>
      <c r="R1851" t="s">
        <v>1633</v>
      </c>
      <c r="S1851">
        <v>563.4</v>
      </c>
    </row>
    <row r="1852" spans="1:19" x14ac:dyDescent="0.35">
      <c r="A1852">
        <v>1884</v>
      </c>
      <c r="B1852" t="s">
        <v>4647</v>
      </c>
      <c r="C1852" s="1">
        <v>43052</v>
      </c>
      <c r="D1852" s="1">
        <v>43056</v>
      </c>
      <c r="E1852" s="1" t="str">
        <f t="shared" si="28"/>
        <v>FAST</v>
      </c>
      <c r="F1852" t="s">
        <v>46</v>
      </c>
      <c r="G1852" t="s">
        <v>2110</v>
      </c>
      <c r="H1852" t="s">
        <v>2111</v>
      </c>
      <c r="I1852" t="s">
        <v>98</v>
      </c>
      <c r="J1852" t="s">
        <v>23</v>
      </c>
      <c r="K1852" t="s">
        <v>142</v>
      </c>
      <c r="L1852" t="s">
        <v>143</v>
      </c>
      <c r="M1852">
        <v>19143</v>
      </c>
      <c r="N1852" t="s">
        <v>144</v>
      </c>
      <c r="O1852" t="s">
        <v>3760</v>
      </c>
      <c r="P1852" t="s">
        <v>42</v>
      </c>
      <c r="Q1852" t="s">
        <v>86</v>
      </c>
      <c r="R1852" t="s">
        <v>3761</v>
      </c>
      <c r="S1852">
        <v>217.05600000000001</v>
      </c>
    </row>
    <row r="1853" spans="1:19" x14ac:dyDescent="0.35">
      <c r="A1853">
        <v>1885</v>
      </c>
      <c r="B1853" t="s">
        <v>4648</v>
      </c>
      <c r="C1853" s="1">
        <v>43119</v>
      </c>
      <c r="D1853" s="1">
        <v>43123</v>
      </c>
      <c r="E1853" s="1" t="str">
        <f t="shared" si="28"/>
        <v>SLOW</v>
      </c>
      <c r="F1853" t="s">
        <v>19</v>
      </c>
      <c r="G1853" t="s">
        <v>2422</v>
      </c>
      <c r="H1853" t="s">
        <v>2423</v>
      </c>
      <c r="I1853" t="s">
        <v>22</v>
      </c>
      <c r="J1853" t="s">
        <v>23</v>
      </c>
      <c r="K1853" t="s">
        <v>4649</v>
      </c>
      <c r="L1853" t="s">
        <v>100</v>
      </c>
      <c r="M1853">
        <v>76248</v>
      </c>
      <c r="N1853" t="s">
        <v>101</v>
      </c>
      <c r="O1853" t="s">
        <v>4650</v>
      </c>
      <c r="P1853" t="s">
        <v>42</v>
      </c>
      <c r="Q1853" t="s">
        <v>43</v>
      </c>
      <c r="R1853" t="s">
        <v>4651</v>
      </c>
      <c r="S1853">
        <v>6</v>
      </c>
    </row>
    <row r="1854" spans="1:19" x14ac:dyDescent="0.35">
      <c r="A1854">
        <v>1886</v>
      </c>
      <c r="B1854" t="s">
        <v>4652</v>
      </c>
      <c r="C1854" s="1">
        <v>42847</v>
      </c>
      <c r="D1854" s="1">
        <v>42851</v>
      </c>
      <c r="E1854" s="1" t="str">
        <f t="shared" si="28"/>
        <v>SLOW</v>
      </c>
      <c r="F1854" t="s">
        <v>19</v>
      </c>
      <c r="G1854" t="s">
        <v>377</v>
      </c>
      <c r="H1854" t="s">
        <v>378</v>
      </c>
      <c r="I1854" t="s">
        <v>22</v>
      </c>
      <c r="J1854" t="s">
        <v>23</v>
      </c>
      <c r="K1854" t="s">
        <v>123</v>
      </c>
      <c r="L1854" t="s">
        <v>39</v>
      </c>
      <c r="M1854">
        <v>94122</v>
      </c>
      <c r="N1854" t="s">
        <v>40</v>
      </c>
      <c r="O1854" t="s">
        <v>4653</v>
      </c>
      <c r="P1854" t="s">
        <v>28</v>
      </c>
      <c r="Q1854" t="s">
        <v>61</v>
      </c>
      <c r="R1854" t="s">
        <v>4654</v>
      </c>
      <c r="S1854">
        <v>31.56</v>
      </c>
    </row>
    <row r="1855" spans="1:19" x14ac:dyDescent="0.35">
      <c r="A1855">
        <v>1887</v>
      </c>
      <c r="B1855" t="s">
        <v>4655</v>
      </c>
      <c r="C1855" s="1">
        <v>42137</v>
      </c>
      <c r="D1855" s="1">
        <v>42139</v>
      </c>
      <c r="E1855" s="1" t="str">
        <f t="shared" si="28"/>
        <v>MODERATE</v>
      </c>
      <c r="F1855" t="s">
        <v>184</v>
      </c>
      <c r="G1855" t="s">
        <v>3129</v>
      </c>
      <c r="H1855" t="s">
        <v>3130</v>
      </c>
      <c r="I1855" t="s">
        <v>98</v>
      </c>
      <c r="J1855" t="s">
        <v>23</v>
      </c>
      <c r="K1855" t="s">
        <v>2304</v>
      </c>
      <c r="L1855" t="s">
        <v>50</v>
      </c>
      <c r="M1855">
        <v>33012</v>
      </c>
      <c r="N1855" t="s">
        <v>26</v>
      </c>
      <c r="O1855" t="s">
        <v>1768</v>
      </c>
      <c r="P1855" t="s">
        <v>42</v>
      </c>
      <c r="Q1855" t="s">
        <v>263</v>
      </c>
      <c r="R1855" t="s">
        <v>550</v>
      </c>
      <c r="S1855">
        <v>7.1040000000000001</v>
      </c>
    </row>
    <row r="1856" spans="1:19" x14ac:dyDescent="0.35">
      <c r="A1856">
        <v>1888</v>
      </c>
      <c r="B1856" t="s">
        <v>4655</v>
      </c>
      <c r="C1856" s="1">
        <v>42137</v>
      </c>
      <c r="D1856" s="1">
        <v>42139</v>
      </c>
      <c r="E1856" s="1" t="str">
        <f t="shared" si="28"/>
        <v>MODERATE</v>
      </c>
      <c r="F1856" t="s">
        <v>184</v>
      </c>
      <c r="G1856" t="s">
        <v>3129</v>
      </c>
      <c r="H1856" t="s">
        <v>3130</v>
      </c>
      <c r="I1856" t="s">
        <v>98</v>
      </c>
      <c r="J1856" t="s">
        <v>23</v>
      </c>
      <c r="K1856" t="s">
        <v>2304</v>
      </c>
      <c r="L1856" t="s">
        <v>50</v>
      </c>
      <c r="M1856">
        <v>33012</v>
      </c>
      <c r="N1856" t="s">
        <v>26</v>
      </c>
      <c r="O1856" t="s">
        <v>3444</v>
      </c>
      <c r="P1856" t="s">
        <v>42</v>
      </c>
      <c r="Q1856" t="s">
        <v>71</v>
      </c>
      <c r="R1856" t="s">
        <v>3445</v>
      </c>
      <c r="S1856">
        <v>398.35199999999998</v>
      </c>
    </row>
    <row r="1857" spans="1:19" x14ac:dyDescent="0.35">
      <c r="A1857">
        <v>1889</v>
      </c>
      <c r="B1857" t="s">
        <v>4656</v>
      </c>
      <c r="C1857" s="1">
        <v>42298</v>
      </c>
      <c r="D1857" s="1">
        <v>42299</v>
      </c>
      <c r="E1857" s="1" t="str">
        <f t="shared" si="28"/>
        <v>MODERATE</v>
      </c>
      <c r="F1857" t="s">
        <v>184</v>
      </c>
      <c r="G1857" t="s">
        <v>160</v>
      </c>
      <c r="H1857" t="s">
        <v>161</v>
      </c>
      <c r="I1857" t="s">
        <v>22</v>
      </c>
      <c r="J1857" t="s">
        <v>23</v>
      </c>
      <c r="K1857" t="s">
        <v>735</v>
      </c>
      <c r="L1857" t="s">
        <v>485</v>
      </c>
      <c r="M1857">
        <v>45014</v>
      </c>
      <c r="N1857" t="s">
        <v>144</v>
      </c>
      <c r="O1857" t="s">
        <v>1972</v>
      </c>
      <c r="P1857" t="s">
        <v>42</v>
      </c>
      <c r="Q1857" t="s">
        <v>74</v>
      </c>
      <c r="R1857" t="s">
        <v>1973</v>
      </c>
      <c r="S1857">
        <v>121.792</v>
      </c>
    </row>
    <row r="1858" spans="1:19" x14ac:dyDescent="0.35">
      <c r="A1858">
        <v>1890</v>
      </c>
      <c r="B1858" t="s">
        <v>4656</v>
      </c>
      <c r="C1858" s="1">
        <v>42298</v>
      </c>
      <c r="D1858" s="1">
        <v>42299</v>
      </c>
      <c r="E1858" s="1" t="str">
        <f t="shared" si="28"/>
        <v>MODERATE</v>
      </c>
      <c r="F1858" t="s">
        <v>184</v>
      </c>
      <c r="G1858" t="s">
        <v>160</v>
      </c>
      <c r="H1858" t="s">
        <v>161</v>
      </c>
      <c r="I1858" t="s">
        <v>22</v>
      </c>
      <c r="J1858" t="s">
        <v>23</v>
      </c>
      <c r="K1858" t="s">
        <v>735</v>
      </c>
      <c r="L1858" t="s">
        <v>485</v>
      </c>
      <c r="M1858">
        <v>45014</v>
      </c>
      <c r="N1858" t="s">
        <v>144</v>
      </c>
      <c r="O1858" t="s">
        <v>1340</v>
      </c>
      <c r="P1858" t="s">
        <v>28</v>
      </c>
      <c r="Q1858" t="s">
        <v>52</v>
      </c>
      <c r="R1858" t="s">
        <v>1341</v>
      </c>
      <c r="S1858">
        <v>409.59</v>
      </c>
    </row>
    <row r="1859" spans="1:19" x14ac:dyDescent="0.35">
      <c r="A1859">
        <v>1891</v>
      </c>
      <c r="B1859" t="s">
        <v>4657</v>
      </c>
      <c r="C1859" s="1">
        <v>42077</v>
      </c>
      <c r="D1859" s="1">
        <v>42081</v>
      </c>
      <c r="E1859" s="1" t="str">
        <f t="shared" ref="E1859:E1922" si="29">IF(F1859="STANDARD CLASS","FAST",IF(F1859="SECOND CLASS","SLOW","MODERATE"))</f>
        <v>FAST</v>
      </c>
      <c r="F1859" t="s">
        <v>46</v>
      </c>
      <c r="G1859" t="s">
        <v>1345</v>
      </c>
      <c r="H1859" t="s">
        <v>1346</v>
      </c>
      <c r="I1859" t="s">
        <v>37</v>
      </c>
      <c r="J1859" t="s">
        <v>23</v>
      </c>
      <c r="K1859" t="s">
        <v>1439</v>
      </c>
      <c r="L1859" t="s">
        <v>39</v>
      </c>
      <c r="M1859">
        <v>92646</v>
      </c>
      <c r="N1859" t="s">
        <v>40</v>
      </c>
      <c r="O1859" t="s">
        <v>2010</v>
      </c>
      <c r="P1859" t="s">
        <v>42</v>
      </c>
      <c r="Q1859" t="s">
        <v>86</v>
      </c>
      <c r="R1859" t="s">
        <v>2011</v>
      </c>
      <c r="S1859">
        <v>10.56</v>
      </c>
    </row>
    <row r="1860" spans="1:19" x14ac:dyDescent="0.35">
      <c r="A1860">
        <v>1892</v>
      </c>
      <c r="B1860" t="s">
        <v>4657</v>
      </c>
      <c r="C1860" s="1">
        <v>42077</v>
      </c>
      <c r="D1860" s="1">
        <v>42081</v>
      </c>
      <c r="E1860" s="1" t="str">
        <f t="shared" si="29"/>
        <v>FAST</v>
      </c>
      <c r="F1860" t="s">
        <v>46</v>
      </c>
      <c r="G1860" t="s">
        <v>1345</v>
      </c>
      <c r="H1860" t="s">
        <v>1346</v>
      </c>
      <c r="I1860" t="s">
        <v>37</v>
      </c>
      <c r="J1860" t="s">
        <v>23</v>
      </c>
      <c r="K1860" t="s">
        <v>1439</v>
      </c>
      <c r="L1860" t="s">
        <v>39</v>
      </c>
      <c r="M1860">
        <v>92646</v>
      </c>
      <c r="N1860" t="s">
        <v>40</v>
      </c>
      <c r="O1860" t="s">
        <v>4658</v>
      </c>
      <c r="P1860" t="s">
        <v>42</v>
      </c>
      <c r="Q1860" t="s">
        <v>64</v>
      </c>
      <c r="R1860" t="s">
        <v>4659</v>
      </c>
      <c r="S1860">
        <v>3.38</v>
      </c>
    </row>
    <row r="1861" spans="1:19" x14ac:dyDescent="0.35">
      <c r="A1861">
        <v>1893</v>
      </c>
      <c r="B1861" t="s">
        <v>4660</v>
      </c>
      <c r="C1861" s="1">
        <v>43456</v>
      </c>
      <c r="D1861" s="1">
        <v>43458</v>
      </c>
      <c r="E1861" s="1" t="str">
        <f t="shared" si="29"/>
        <v>SLOW</v>
      </c>
      <c r="F1861" t="s">
        <v>19</v>
      </c>
      <c r="G1861" t="s">
        <v>1607</v>
      </c>
      <c r="H1861" t="s">
        <v>1608</v>
      </c>
      <c r="I1861" t="s">
        <v>22</v>
      </c>
      <c r="J1861" t="s">
        <v>23</v>
      </c>
      <c r="K1861" t="s">
        <v>4661</v>
      </c>
      <c r="L1861" t="s">
        <v>50</v>
      </c>
      <c r="M1861">
        <v>32127</v>
      </c>
      <c r="N1861" t="s">
        <v>26</v>
      </c>
      <c r="O1861" t="s">
        <v>4646</v>
      </c>
      <c r="P1861" t="s">
        <v>42</v>
      </c>
      <c r="Q1861" t="s">
        <v>169</v>
      </c>
      <c r="R1861" t="s">
        <v>658</v>
      </c>
      <c r="S1861">
        <v>7.8239999999999998</v>
      </c>
    </row>
    <row r="1862" spans="1:19" x14ac:dyDescent="0.35">
      <c r="A1862">
        <v>1894</v>
      </c>
      <c r="B1862" t="s">
        <v>4662</v>
      </c>
      <c r="C1862" s="1">
        <v>43063</v>
      </c>
      <c r="D1862" s="1">
        <v>43068</v>
      </c>
      <c r="E1862" s="1" t="str">
        <f t="shared" si="29"/>
        <v>FAST</v>
      </c>
      <c r="F1862" t="s">
        <v>46</v>
      </c>
      <c r="G1862" t="s">
        <v>2178</v>
      </c>
      <c r="H1862" t="s">
        <v>2179</v>
      </c>
      <c r="I1862" t="s">
        <v>22</v>
      </c>
      <c r="J1862" t="s">
        <v>23</v>
      </c>
      <c r="K1862" t="s">
        <v>4663</v>
      </c>
      <c r="L1862" t="s">
        <v>410</v>
      </c>
      <c r="M1862">
        <v>97504</v>
      </c>
      <c r="N1862" t="s">
        <v>40</v>
      </c>
      <c r="O1862" t="s">
        <v>4664</v>
      </c>
      <c r="P1862" t="s">
        <v>42</v>
      </c>
      <c r="Q1862" t="s">
        <v>86</v>
      </c>
      <c r="R1862" t="s">
        <v>4665</v>
      </c>
      <c r="S1862">
        <v>24.783999999999999</v>
      </c>
    </row>
    <row r="1863" spans="1:19" x14ac:dyDescent="0.35">
      <c r="A1863">
        <v>1895</v>
      </c>
      <c r="B1863" t="s">
        <v>4666</v>
      </c>
      <c r="C1863" s="1">
        <v>43436</v>
      </c>
      <c r="D1863" s="1">
        <v>43439</v>
      </c>
      <c r="E1863" s="1" t="str">
        <f t="shared" si="29"/>
        <v>MODERATE</v>
      </c>
      <c r="F1863" t="s">
        <v>184</v>
      </c>
      <c r="G1863" t="s">
        <v>4667</v>
      </c>
      <c r="H1863" t="s">
        <v>4668</v>
      </c>
      <c r="I1863" t="s">
        <v>22</v>
      </c>
      <c r="J1863" t="s">
        <v>23</v>
      </c>
      <c r="K1863" t="s">
        <v>4669</v>
      </c>
      <c r="L1863" t="s">
        <v>313</v>
      </c>
      <c r="M1863">
        <v>22901</v>
      </c>
      <c r="N1863" t="s">
        <v>26</v>
      </c>
      <c r="O1863" t="s">
        <v>4670</v>
      </c>
      <c r="P1863" t="s">
        <v>42</v>
      </c>
      <c r="Q1863" t="s">
        <v>64</v>
      </c>
      <c r="R1863" t="s">
        <v>4671</v>
      </c>
      <c r="S1863">
        <v>34.65</v>
      </c>
    </row>
    <row r="1864" spans="1:19" x14ac:dyDescent="0.35">
      <c r="A1864">
        <v>1896</v>
      </c>
      <c r="B1864" t="s">
        <v>4672</v>
      </c>
      <c r="C1864" s="1">
        <v>42735</v>
      </c>
      <c r="D1864" s="1">
        <v>42739</v>
      </c>
      <c r="E1864" s="1" t="str">
        <f t="shared" si="29"/>
        <v>FAST</v>
      </c>
      <c r="F1864" t="s">
        <v>46</v>
      </c>
      <c r="G1864" t="s">
        <v>1037</v>
      </c>
      <c r="H1864" t="s">
        <v>1038</v>
      </c>
      <c r="I1864" t="s">
        <v>22</v>
      </c>
      <c r="J1864" t="s">
        <v>23</v>
      </c>
      <c r="K1864" t="s">
        <v>4673</v>
      </c>
      <c r="L1864" t="s">
        <v>1742</v>
      </c>
      <c r="M1864">
        <v>59801</v>
      </c>
      <c r="N1864" t="s">
        <v>40</v>
      </c>
      <c r="O1864" t="s">
        <v>2187</v>
      </c>
      <c r="P1864" t="s">
        <v>42</v>
      </c>
      <c r="Q1864" t="s">
        <v>71</v>
      </c>
      <c r="R1864" t="s">
        <v>2188</v>
      </c>
      <c r="S1864">
        <v>487.98399999999998</v>
      </c>
    </row>
    <row r="1865" spans="1:19" x14ac:dyDescent="0.35">
      <c r="A1865">
        <v>1897</v>
      </c>
      <c r="B1865" t="s">
        <v>4674</v>
      </c>
      <c r="C1865" s="1">
        <v>43376</v>
      </c>
      <c r="D1865" s="1">
        <v>43379</v>
      </c>
      <c r="E1865" s="1" t="str">
        <f t="shared" si="29"/>
        <v>MODERATE</v>
      </c>
      <c r="F1865" t="s">
        <v>184</v>
      </c>
      <c r="G1865" t="s">
        <v>4675</v>
      </c>
      <c r="H1865" t="s">
        <v>4676</v>
      </c>
      <c r="I1865" t="s">
        <v>22</v>
      </c>
      <c r="J1865" t="s">
        <v>23</v>
      </c>
      <c r="K1865" t="s">
        <v>399</v>
      </c>
      <c r="L1865" t="s">
        <v>223</v>
      </c>
      <c r="M1865">
        <v>55407</v>
      </c>
      <c r="N1865" t="s">
        <v>101</v>
      </c>
      <c r="O1865" t="s">
        <v>4677</v>
      </c>
      <c r="P1865" t="s">
        <v>42</v>
      </c>
      <c r="Q1865" t="s">
        <v>71</v>
      </c>
      <c r="R1865" t="s">
        <v>4678</v>
      </c>
      <c r="S1865">
        <v>1793.98</v>
      </c>
    </row>
    <row r="1866" spans="1:19" x14ac:dyDescent="0.35">
      <c r="A1866">
        <v>1898</v>
      </c>
      <c r="B1866" t="s">
        <v>4679</v>
      </c>
      <c r="C1866" s="1">
        <v>42245</v>
      </c>
      <c r="D1866" s="1">
        <v>42249</v>
      </c>
      <c r="E1866" s="1" t="str">
        <f t="shared" si="29"/>
        <v>SLOW</v>
      </c>
      <c r="F1866" t="s">
        <v>19</v>
      </c>
      <c r="G1866" t="s">
        <v>2966</v>
      </c>
      <c r="H1866" t="s">
        <v>2967</v>
      </c>
      <c r="I1866" t="s">
        <v>22</v>
      </c>
      <c r="J1866" t="s">
        <v>23</v>
      </c>
      <c r="K1866" t="s">
        <v>1402</v>
      </c>
      <c r="L1866" t="s">
        <v>50</v>
      </c>
      <c r="M1866">
        <v>33178</v>
      </c>
      <c r="N1866" t="s">
        <v>26</v>
      </c>
      <c r="O1866" t="s">
        <v>4680</v>
      </c>
      <c r="P1866" t="s">
        <v>42</v>
      </c>
      <c r="Q1866" t="s">
        <v>169</v>
      </c>
      <c r="R1866" t="s">
        <v>4681</v>
      </c>
      <c r="S1866">
        <v>29.808</v>
      </c>
    </row>
    <row r="1867" spans="1:19" x14ac:dyDescent="0.35">
      <c r="A1867">
        <v>1899</v>
      </c>
      <c r="B1867" t="s">
        <v>4679</v>
      </c>
      <c r="C1867" s="1">
        <v>42245</v>
      </c>
      <c r="D1867" s="1">
        <v>42249</v>
      </c>
      <c r="E1867" s="1" t="str">
        <f t="shared" si="29"/>
        <v>SLOW</v>
      </c>
      <c r="F1867" t="s">
        <v>19</v>
      </c>
      <c r="G1867" t="s">
        <v>2966</v>
      </c>
      <c r="H1867" t="s">
        <v>2967</v>
      </c>
      <c r="I1867" t="s">
        <v>22</v>
      </c>
      <c r="J1867" t="s">
        <v>23</v>
      </c>
      <c r="K1867" t="s">
        <v>1402</v>
      </c>
      <c r="L1867" t="s">
        <v>50</v>
      </c>
      <c r="M1867">
        <v>33178</v>
      </c>
      <c r="N1867" t="s">
        <v>26</v>
      </c>
      <c r="O1867" t="s">
        <v>4682</v>
      </c>
      <c r="P1867" t="s">
        <v>42</v>
      </c>
      <c r="Q1867" t="s">
        <v>71</v>
      </c>
      <c r="R1867" t="s">
        <v>4683</v>
      </c>
      <c r="S1867">
        <v>505.17599999999999</v>
      </c>
    </row>
    <row r="1868" spans="1:19" x14ac:dyDescent="0.35">
      <c r="A1868">
        <v>1900</v>
      </c>
      <c r="B1868" t="s">
        <v>4679</v>
      </c>
      <c r="C1868" s="1">
        <v>42245</v>
      </c>
      <c r="D1868" s="1">
        <v>42249</v>
      </c>
      <c r="E1868" s="1" t="str">
        <f t="shared" si="29"/>
        <v>SLOW</v>
      </c>
      <c r="F1868" t="s">
        <v>19</v>
      </c>
      <c r="G1868" t="s">
        <v>2966</v>
      </c>
      <c r="H1868" t="s">
        <v>2967</v>
      </c>
      <c r="I1868" t="s">
        <v>22</v>
      </c>
      <c r="J1868" t="s">
        <v>23</v>
      </c>
      <c r="K1868" t="s">
        <v>1402</v>
      </c>
      <c r="L1868" t="s">
        <v>50</v>
      </c>
      <c r="M1868">
        <v>33178</v>
      </c>
      <c r="N1868" t="s">
        <v>26</v>
      </c>
      <c r="O1868" t="s">
        <v>1681</v>
      </c>
      <c r="P1868" t="s">
        <v>28</v>
      </c>
      <c r="Q1868" t="s">
        <v>52</v>
      </c>
      <c r="R1868" t="s">
        <v>1682</v>
      </c>
      <c r="S1868">
        <v>174.05850000000001</v>
      </c>
    </row>
    <row r="1869" spans="1:19" x14ac:dyDescent="0.35">
      <c r="A1869">
        <v>1901</v>
      </c>
      <c r="B1869" t="s">
        <v>4684</v>
      </c>
      <c r="C1869" s="1">
        <v>42915</v>
      </c>
      <c r="D1869" s="1">
        <v>42919</v>
      </c>
      <c r="E1869" s="1" t="str">
        <f t="shared" si="29"/>
        <v>SLOW</v>
      </c>
      <c r="F1869" t="s">
        <v>19</v>
      </c>
      <c r="G1869" t="s">
        <v>3962</v>
      </c>
      <c r="H1869" t="s">
        <v>3963</v>
      </c>
      <c r="I1869" t="s">
        <v>22</v>
      </c>
      <c r="J1869" t="s">
        <v>23</v>
      </c>
      <c r="K1869" t="s">
        <v>2551</v>
      </c>
      <c r="L1869" t="s">
        <v>373</v>
      </c>
      <c r="M1869">
        <v>29501</v>
      </c>
      <c r="N1869" t="s">
        <v>26</v>
      </c>
      <c r="O1869" t="s">
        <v>3507</v>
      </c>
      <c r="P1869" t="s">
        <v>42</v>
      </c>
      <c r="Q1869" t="s">
        <v>55</v>
      </c>
      <c r="R1869" t="s">
        <v>3508</v>
      </c>
      <c r="S1869">
        <v>191.88</v>
      </c>
    </row>
    <row r="1870" spans="1:19" x14ac:dyDescent="0.35">
      <c r="A1870">
        <v>1902</v>
      </c>
      <c r="B1870" t="s">
        <v>4685</v>
      </c>
      <c r="C1870" s="1">
        <v>42967</v>
      </c>
      <c r="D1870" s="1">
        <v>42970</v>
      </c>
      <c r="E1870" s="1" t="str">
        <f t="shared" si="29"/>
        <v>MODERATE</v>
      </c>
      <c r="F1870" t="s">
        <v>184</v>
      </c>
      <c r="G1870" t="s">
        <v>918</v>
      </c>
      <c r="H1870" t="s">
        <v>919</v>
      </c>
      <c r="I1870" t="s">
        <v>98</v>
      </c>
      <c r="J1870" t="s">
        <v>23</v>
      </c>
      <c r="K1870" t="s">
        <v>867</v>
      </c>
      <c r="L1870" t="s">
        <v>232</v>
      </c>
      <c r="M1870">
        <v>48205</v>
      </c>
      <c r="N1870" t="s">
        <v>101</v>
      </c>
      <c r="O1870" t="s">
        <v>4686</v>
      </c>
      <c r="P1870" t="s">
        <v>67</v>
      </c>
      <c r="Q1870" t="s">
        <v>68</v>
      </c>
      <c r="R1870" t="s">
        <v>4687</v>
      </c>
      <c r="S1870">
        <v>14.78</v>
      </c>
    </row>
    <row r="1871" spans="1:19" x14ac:dyDescent="0.35">
      <c r="A1871">
        <v>1903</v>
      </c>
      <c r="B1871" t="s">
        <v>4688</v>
      </c>
      <c r="C1871" s="1">
        <v>43394</v>
      </c>
      <c r="D1871" s="1">
        <v>43395</v>
      </c>
      <c r="E1871" s="1" t="str">
        <f t="shared" si="29"/>
        <v>MODERATE</v>
      </c>
      <c r="F1871" t="s">
        <v>184</v>
      </c>
      <c r="G1871" t="s">
        <v>3820</v>
      </c>
      <c r="H1871" t="s">
        <v>3821</v>
      </c>
      <c r="I1871" t="s">
        <v>37</v>
      </c>
      <c r="J1871" t="s">
        <v>23</v>
      </c>
      <c r="K1871" t="s">
        <v>312</v>
      </c>
      <c r="L1871" t="s">
        <v>410</v>
      </c>
      <c r="M1871">
        <v>97477</v>
      </c>
      <c r="N1871" t="s">
        <v>40</v>
      </c>
      <c r="O1871" t="s">
        <v>2489</v>
      </c>
      <c r="P1871" t="s">
        <v>42</v>
      </c>
      <c r="Q1871" t="s">
        <v>86</v>
      </c>
      <c r="R1871" t="s">
        <v>2490</v>
      </c>
      <c r="S1871">
        <v>5.1840000000000002</v>
      </c>
    </row>
    <row r="1872" spans="1:19" x14ac:dyDescent="0.35">
      <c r="A1872">
        <v>1904</v>
      </c>
      <c r="B1872" t="s">
        <v>4688</v>
      </c>
      <c r="C1872" s="1">
        <v>43394</v>
      </c>
      <c r="D1872" s="1">
        <v>43395</v>
      </c>
      <c r="E1872" s="1" t="str">
        <f t="shared" si="29"/>
        <v>MODERATE</v>
      </c>
      <c r="F1872" t="s">
        <v>184</v>
      </c>
      <c r="G1872" t="s">
        <v>3820</v>
      </c>
      <c r="H1872" t="s">
        <v>3821</v>
      </c>
      <c r="I1872" t="s">
        <v>37</v>
      </c>
      <c r="J1872" t="s">
        <v>23</v>
      </c>
      <c r="K1872" t="s">
        <v>312</v>
      </c>
      <c r="L1872" t="s">
        <v>410</v>
      </c>
      <c r="M1872">
        <v>97477</v>
      </c>
      <c r="N1872" t="s">
        <v>40</v>
      </c>
      <c r="O1872" t="s">
        <v>4689</v>
      </c>
      <c r="P1872" t="s">
        <v>28</v>
      </c>
      <c r="Q1872" t="s">
        <v>32</v>
      </c>
      <c r="R1872" t="s">
        <v>4690</v>
      </c>
      <c r="S1872">
        <v>478.48</v>
      </c>
    </row>
    <row r="1873" spans="1:19" x14ac:dyDescent="0.35">
      <c r="A1873">
        <v>1905</v>
      </c>
      <c r="B1873" t="s">
        <v>4688</v>
      </c>
      <c r="C1873" s="1">
        <v>43394</v>
      </c>
      <c r="D1873" s="1">
        <v>43395</v>
      </c>
      <c r="E1873" s="1" t="str">
        <f t="shared" si="29"/>
        <v>MODERATE</v>
      </c>
      <c r="F1873" t="s">
        <v>184</v>
      </c>
      <c r="G1873" t="s">
        <v>3820</v>
      </c>
      <c r="H1873" t="s">
        <v>3821</v>
      </c>
      <c r="I1873" t="s">
        <v>37</v>
      </c>
      <c r="J1873" t="s">
        <v>23</v>
      </c>
      <c r="K1873" t="s">
        <v>312</v>
      </c>
      <c r="L1873" t="s">
        <v>410</v>
      </c>
      <c r="M1873">
        <v>97477</v>
      </c>
      <c r="N1873" t="s">
        <v>40</v>
      </c>
      <c r="O1873" t="s">
        <v>3604</v>
      </c>
      <c r="P1873" t="s">
        <v>67</v>
      </c>
      <c r="Q1873" t="s">
        <v>157</v>
      </c>
      <c r="R1873" t="s">
        <v>3605</v>
      </c>
      <c r="S1873">
        <v>28.4</v>
      </c>
    </row>
    <row r="1874" spans="1:19" x14ac:dyDescent="0.35">
      <c r="A1874">
        <v>1906</v>
      </c>
      <c r="B1874" t="s">
        <v>4691</v>
      </c>
      <c r="C1874" s="1">
        <v>43394</v>
      </c>
      <c r="D1874" s="1">
        <v>43397</v>
      </c>
      <c r="E1874" s="1" t="str">
        <f t="shared" si="29"/>
        <v>MODERATE</v>
      </c>
      <c r="F1874" t="s">
        <v>184</v>
      </c>
      <c r="G1874" t="s">
        <v>4692</v>
      </c>
      <c r="H1874" t="s">
        <v>4693</v>
      </c>
      <c r="I1874" t="s">
        <v>37</v>
      </c>
      <c r="J1874" t="s">
        <v>23</v>
      </c>
      <c r="K1874" t="s">
        <v>4335</v>
      </c>
      <c r="L1874" t="s">
        <v>248</v>
      </c>
      <c r="M1874">
        <v>46203</v>
      </c>
      <c r="N1874" t="s">
        <v>101</v>
      </c>
      <c r="O1874" t="s">
        <v>1609</v>
      </c>
      <c r="P1874" t="s">
        <v>42</v>
      </c>
      <c r="Q1874" t="s">
        <v>55</v>
      </c>
      <c r="R1874" t="s">
        <v>1610</v>
      </c>
      <c r="S1874">
        <v>909.12</v>
      </c>
    </row>
    <row r="1875" spans="1:19" x14ac:dyDescent="0.35">
      <c r="A1875">
        <v>1907</v>
      </c>
      <c r="B1875" t="s">
        <v>4694</v>
      </c>
      <c r="C1875" s="1">
        <v>42872</v>
      </c>
      <c r="D1875" s="1">
        <v>42876</v>
      </c>
      <c r="E1875" s="1" t="str">
        <f t="shared" si="29"/>
        <v>FAST</v>
      </c>
      <c r="F1875" t="s">
        <v>46</v>
      </c>
      <c r="G1875" t="s">
        <v>4471</v>
      </c>
      <c r="H1875" t="s">
        <v>4472</v>
      </c>
      <c r="I1875" t="s">
        <v>37</v>
      </c>
      <c r="J1875" t="s">
        <v>23</v>
      </c>
      <c r="K1875" t="s">
        <v>4695</v>
      </c>
      <c r="L1875" t="s">
        <v>50</v>
      </c>
      <c r="M1875">
        <v>32712</v>
      </c>
      <c r="N1875" t="s">
        <v>26</v>
      </c>
      <c r="O1875" t="s">
        <v>4696</v>
      </c>
      <c r="P1875" t="s">
        <v>42</v>
      </c>
      <c r="Q1875" t="s">
        <v>71</v>
      </c>
      <c r="R1875" t="s">
        <v>4697</v>
      </c>
      <c r="S1875">
        <v>2.952</v>
      </c>
    </row>
    <row r="1876" spans="1:19" x14ac:dyDescent="0.35">
      <c r="A1876">
        <v>1908</v>
      </c>
      <c r="B1876" t="s">
        <v>4694</v>
      </c>
      <c r="C1876" s="1">
        <v>42872</v>
      </c>
      <c r="D1876" s="1">
        <v>42876</v>
      </c>
      <c r="E1876" s="1" t="str">
        <f t="shared" si="29"/>
        <v>FAST</v>
      </c>
      <c r="F1876" t="s">
        <v>46</v>
      </c>
      <c r="G1876" t="s">
        <v>4471</v>
      </c>
      <c r="H1876" t="s">
        <v>4472</v>
      </c>
      <c r="I1876" t="s">
        <v>37</v>
      </c>
      <c r="J1876" t="s">
        <v>23</v>
      </c>
      <c r="K1876" t="s">
        <v>4695</v>
      </c>
      <c r="L1876" t="s">
        <v>50</v>
      </c>
      <c r="M1876">
        <v>32712</v>
      </c>
      <c r="N1876" t="s">
        <v>26</v>
      </c>
      <c r="O1876" t="s">
        <v>1883</v>
      </c>
      <c r="P1876" t="s">
        <v>42</v>
      </c>
      <c r="Q1876" t="s">
        <v>71</v>
      </c>
      <c r="R1876" t="s">
        <v>1884</v>
      </c>
      <c r="S1876">
        <v>27.018000000000001</v>
      </c>
    </row>
    <row r="1877" spans="1:19" x14ac:dyDescent="0.35">
      <c r="A1877">
        <v>1909</v>
      </c>
      <c r="B1877" t="s">
        <v>4698</v>
      </c>
      <c r="C1877" s="1">
        <v>42403</v>
      </c>
      <c r="D1877" s="1">
        <v>42404</v>
      </c>
      <c r="E1877" s="1" t="str">
        <f t="shared" si="29"/>
        <v>MODERATE</v>
      </c>
      <c r="F1877" t="s">
        <v>184</v>
      </c>
      <c r="G1877" t="s">
        <v>3813</v>
      </c>
      <c r="H1877" t="s">
        <v>3814</v>
      </c>
      <c r="I1877" t="s">
        <v>37</v>
      </c>
      <c r="J1877" t="s">
        <v>23</v>
      </c>
      <c r="K1877" t="s">
        <v>38</v>
      </c>
      <c r="L1877" t="s">
        <v>39</v>
      </c>
      <c r="M1877">
        <v>90008</v>
      </c>
      <c r="N1877" t="s">
        <v>40</v>
      </c>
      <c r="O1877" t="s">
        <v>4699</v>
      </c>
      <c r="P1877" t="s">
        <v>28</v>
      </c>
      <c r="Q1877" t="s">
        <v>61</v>
      </c>
      <c r="R1877" t="s">
        <v>4700</v>
      </c>
      <c r="S1877">
        <v>136.91999999999999</v>
      </c>
    </row>
    <row r="1878" spans="1:19" x14ac:dyDescent="0.35">
      <c r="A1878">
        <v>1910</v>
      </c>
      <c r="B1878" t="s">
        <v>4701</v>
      </c>
      <c r="C1878" s="1">
        <v>43452</v>
      </c>
      <c r="D1878" s="1">
        <v>43457</v>
      </c>
      <c r="E1878" s="1" t="str">
        <f t="shared" si="29"/>
        <v>FAST</v>
      </c>
      <c r="F1878" t="s">
        <v>46</v>
      </c>
      <c r="G1878" t="s">
        <v>4702</v>
      </c>
      <c r="H1878" t="s">
        <v>4703</v>
      </c>
      <c r="I1878" t="s">
        <v>22</v>
      </c>
      <c r="J1878" t="s">
        <v>23</v>
      </c>
      <c r="K1878" t="s">
        <v>2317</v>
      </c>
      <c r="L1878" t="s">
        <v>261</v>
      </c>
      <c r="M1878">
        <v>11572</v>
      </c>
      <c r="N1878" t="s">
        <v>144</v>
      </c>
      <c r="O1878" t="s">
        <v>4704</v>
      </c>
      <c r="P1878" t="s">
        <v>28</v>
      </c>
      <c r="Q1878" t="s">
        <v>61</v>
      </c>
      <c r="R1878" t="s">
        <v>4705</v>
      </c>
      <c r="S1878">
        <v>18.96</v>
      </c>
    </row>
    <row r="1879" spans="1:19" x14ac:dyDescent="0.35">
      <c r="A1879">
        <v>1911</v>
      </c>
      <c r="B1879" t="s">
        <v>4706</v>
      </c>
      <c r="C1879" s="1">
        <v>43054</v>
      </c>
      <c r="D1879" s="1">
        <v>43061</v>
      </c>
      <c r="E1879" s="1" t="str">
        <f t="shared" si="29"/>
        <v>FAST</v>
      </c>
      <c r="F1879" t="s">
        <v>46</v>
      </c>
      <c r="G1879" t="s">
        <v>347</v>
      </c>
      <c r="H1879" t="s">
        <v>348</v>
      </c>
      <c r="I1879" t="s">
        <v>37</v>
      </c>
      <c r="J1879" t="s">
        <v>23</v>
      </c>
      <c r="K1879" t="s">
        <v>38</v>
      </c>
      <c r="L1879" t="s">
        <v>39</v>
      </c>
      <c r="M1879">
        <v>90008</v>
      </c>
      <c r="N1879" t="s">
        <v>40</v>
      </c>
      <c r="O1879" t="s">
        <v>894</v>
      </c>
      <c r="P1879" t="s">
        <v>67</v>
      </c>
      <c r="Q1879" t="s">
        <v>157</v>
      </c>
      <c r="R1879" t="s">
        <v>1764</v>
      </c>
      <c r="S1879">
        <v>99.39</v>
      </c>
    </row>
    <row r="1880" spans="1:19" x14ac:dyDescent="0.35">
      <c r="A1880">
        <v>1912</v>
      </c>
      <c r="B1880" t="s">
        <v>4707</v>
      </c>
      <c r="C1880" s="1">
        <v>43284</v>
      </c>
      <c r="D1880" s="1">
        <v>43287</v>
      </c>
      <c r="E1880" s="1" t="str">
        <f t="shared" si="29"/>
        <v>SLOW</v>
      </c>
      <c r="F1880" t="s">
        <v>19</v>
      </c>
      <c r="G1880" t="s">
        <v>3255</v>
      </c>
      <c r="H1880" t="s">
        <v>3256</v>
      </c>
      <c r="I1880" t="s">
        <v>37</v>
      </c>
      <c r="J1880" t="s">
        <v>23</v>
      </c>
      <c r="K1880" t="s">
        <v>180</v>
      </c>
      <c r="L1880" t="s">
        <v>100</v>
      </c>
      <c r="M1880">
        <v>77041</v>
      </c>
      <c r="N1880" t="s">
        <v>101</v>
      </c>
      <c r="O1880" t="s">
        <v>4708</v>
      </c>
      <c r="P1880" t="s">
        <v>42</v>
      </c>
      <c r="Q1880" t="s">
        <v>86</v>
      </c>
      <c r="R1880" t="s">
        <v>4709</v>
      </c>
      <c r="S1880">
        <v>273.89600000000002</v>
      </c>
    </row>
    <row r="1881" spans="1:19" x14ac:dyDescent="0.35">
      <c r="A1881">
        <v>1913</v>
      </c>
      <c r="B1881" t="s">
        <v>4707</v>
      </c>
      <c r="C1881" s="1">
        <v>43284</v>
      </c>
      <c r="D1881" s="1">
        <v>43287</v>
      </c>
      <c r="E1881" s="1" t="str">
        <f t="shared" si="29"/>
        <v>SLOW</v>
      </c>
      <c r="F1881" t="s">
        <v>19</v>
      </c>
      <c r="G1881" t="s">
        <v>3255</v>
      </c>
      <c r="H1881" t="s">
        <v>3256</v>
      </c>
      <c r="I1881" t="s">
        <v>37</v>
      </c>
      <c r="J1881" t="s">
        <v>23</v>
      </c>
      <c r="K1881" t="s">
        <v>180</v>
      </c>
      <c r="L1881" t="s">
        <v>100</v>
      </c>
      <c r="M1881">
        <v>77041</v>
      </c>
      <c r="N1881" t="s">
        <v>101</v>
      </c>
      <c r="O1881" t="s">
        <v>4710</v>
      </c>
      <c r="P1881" t="s">
        <v>67</v>
      </c>
      <c r="Q1881" t="s">
        <v>671</v>
      </c>
      <c r="R1881" t="s">
        <v>4711</v>
      </c>
      <c r="S1881">
        <v>597.13199999999995</v>
      </c>
    </row>
    <row r="1882" spans="1:19" x14ac:dyDescent="0.35">
      <c r="A1882">
        <v>1914</v>
      </c>
      <c r="B1882" t="s">
        <v>4712</v>
      </c>
      <c r="C1882" s="1">
        <v>42019</v>
      </c>
      <c r="D1882" s="1">
        <v>42021</v>
      </c>
      <c r="E1882" s="1" t="str">
        <f t="shared" si="29"/>
        <v>MODERATE</v>
      </c>
      <c r="F1882" t="s">
        <v>184</v>
      </c>
      <c r="G1882" t="s">
        <v>4713</v>
      </c>
      <c r="H1882" t="s">
        <v>4714</v>
      </c>
      <c r="I1882" t="s">
        <v>22</v>
      </c>
      <c r="J1882" t="s">
        <v>23</v>
      </c>
      <c r="K1882" t="s">
        <v>3229</v>
      </c>
      <c r="L1882" t="s">
        <v>1258</v>
      </c>
      <c r="M1882">
        <v>30076</v>
      </c>
      <c r="N1882" t="s">
        <v>26</v>
      </c>
      <c r="O1882" t="s">
        <v>1006</v>
      </c>
      <c r="P1882" t="s">
        <v>67</v>
      </c>
      <c r="Q1882" t="s">
        <v>157</v>
      </c>
      <c r="R1882" t="s">
        <v>1007</v>
      </c>
      <c r="S1882">
        <v>149.94999999999999</v>
      </c>
    </row>
    <row r="1883" spans="1:19" x14ac:dyDescent="0.35">
      <c r="A1883">
        <v>1915</v>
      </c>
      <c r="B1883" t="s">
        <v>4715</v>
      </c>
      <c r="C1883" s="1">
        <v>43220</v>
      </c>
      <c r="D1883" s="1">
        <v>43225</v>
      </c>
      <c r="E1883" s="1" t="str">
        <f t="shared" si="29"/>
        <v>FAST</v>
      </c>
      <c r="F1883" t="s">
        <v>46</v>
      </c>
      <c r="G1883" t="s">
        <v>2926</v>
      </c>
      <c r="H1883" t="s">
        <v>2927</v>
      </c>
      <c r="I1883" t="s">
        <v>98</v>
      </c>
      <c r="J1883" t="s">
        <v>23</v>
      </c>
      <c r="K1883" t="s">
        <v>3430</v>
      </c>
      <c r="L1883" t="s">
        <v>50</v>
      </c>
      <c r="M1883">
        <v>33437</v>
      </c>
      <c r="N1883" t="s">
        <v>26</v>
      </c>
      <c r="O1883" t="s">
        <v>4716</v>
      </c>
      <c r="P1883" t="s">
        <v>42</v>
      </c>
      <c r="Q1883" t="s">
        <v>43</v>
      </c>
      <c r="R1883" t="s">
        <v>4717</v>
      </c>
      <c r="S1883">
        <v>4.6079999999999997</v>
      </c>
    </row>
    <row r="1884" spans="1:19" x14ac:dyDescent="0.35">
      <c r="A1884">
        <v>1916</v>
      </c>
      <c r="B1884" t="s">
        <v>4715</v>
      </c>
      <c r="C1884" s="1">
        <v>43220</v>
      </c>
      <c r="D1884" s="1">
        <v>43225</v>
      </c>
      <c r="E1884" s="1" t="str">
        <f t="shared" si="29"/>
        <v>FAST</v>
      </c>
      <c r="F1884" t="s">
        <v>46</v>
      </c>
      <c r="G1884" t="s">
        <v>2926</v>
      </c>
      <c r="H1884" t="s">
        <v>2927</v>
      </c>
      <c r="I1884" t="s">
        <v>98</v>
      </c>
      <c r="J1884" t="s">
        <v>23</v>
      </c>
      <c r="K1884" t="s">
        <v>3430</v>
      </c>
      <c r="L1884" t="s">
        <v>50</v>
      </c>
      <c r="M1884">
        <v>33437</v>
      </c>
      <c r="N1884" t="s">
        <v>26</v>
      </c>
      <c r="O1884" t="s">
        <v>3461</v>
      </c>
      <c r="P1884" t="s">
        <v>42</v>
      </c>
      <c r="Q1884" t="s">
        <v>64</v>
      </c>
      <c r="R1884" t="s">
        <v>3006</v>
      </c>
      <c r="S1884">
        <v>15.528</v>
      </c>
    </row>
    <row r="1885" spans="1:19" x14ac:dyDescent="0.35">
      <c r="A1885">
        <v>1917</v>
      </c>
      <c r="B1885" t="s">
        <v>4715</v>
      </c>
      <c r="C1885" s="1">
        <v>43220</v>
      </c>
      <c r="D1885" s="1">
        <v>43225</v>
      </c>
      <c r="E1885" s="1" t="str">
        <f t="shared" si="29"/>
        <v>FAST</v>
      </c>
      <c r="F1885" t="s">
        <v>46</v>
      </c>
      <c r="G1885" t="s">
        <v>2926</v>
      </c>
      <c r="H1885" t="s">
        <v>2927</v>
      </c>
      <c r="I1885" t="s">
        <v>98</v>
      </c>
      <c r="J1885" t="s">
        <v>23</v>
      </c>
      <c r="K1885" t="s">
        <v>3430</v>
      </c>
      <c r="L1885" t="s">
        <v>50</v>
      </c>
      <c r="M1885">
        <v>33437</v>
      </c>
      <c r="N1885" t="s">
        <v>26</v>
      </c>
      <c r="O1885" t="s">
        <v>2464</v>
      </c>
      <c r="P1885" t="s">
        <v>42</v>
      </c>
      <c r="Q1885" t="s">
        <v>43</v>
      </c>
      <c r="R1885" t="s">
        <v>2465</v>
      </c>
      <c r="S1885">
        <v>11.952</v>
      </c>
    </row>
    <row r="1886" spans="1:19" x14ac:dyDescent="0.35">
      <c r="A1886">
        <v>1918</v>
      </c>
      <c r="B1886" t="s">
        <v>4718</v>
      </c>
      <c r="C1886" s="1">
        <v>42682</v>
      </c>
      <c r="D1886" s="1">
        <v>42688</v>
      </c>
      <c r="E1886" s="1" t="str">
        <f t="shared" si="29"/>
        <v>FAST</v>
      </c>
      <c r="F1886" t="s">
        <v>46</v>
      </c>
      <c r="G1886" t="s">
        <v>3798</v>
      </c>
      <c r="H1886" t="s">
        <v>3799</v>
      </c>
      <c r="I1886" t="s">
        <v>22</v>
      </c>
      <c r="J1886" t="s">
        <v>23</v>
      </c>
      <c r="K1886" t="s">
        <v>600</v>
      </c>
      <c r="L1886" t="s">
        <v>1233</v>
      </c>
      <c r="M1886">
        <v>2038</v>
      </c>
      <c r="N1886" t="s">
        <v>144</v>
      </c>
      <c r="O1886" t="s">
        <v>1452</v>
      </c>
      <c r="P1886" t="s">
        <v>42</v>
      </c>
      <c r="Q1886" t="s">
        <v>64</v>
      </c>
      <c r="R1886" t="s">
        <v>1453</v>
      </c>
      <c r="S1886">
        <v>11.65</v>
      </c>
    </row>
    <row r="1887" spans="1:19" x14ac:dyDescent="0.35">
      <c r="A1887">
        <v>1919</v>
      </c>
      <c r="B1887" t="s">
        <v>4719</v>
      </c>
      <c r="C1887" s="1">
        <v>42673</v>
      </c>
      <c r="D1887" s="1">
        <v>42675</v>
      </c>
      <c r="E1887" s="1" t="str">
        <f t="shared" si="29"/>
        <v>SLOW</v>
      </c>
      <c r="F1887" t="s">
        <v>19</v>
      </c>
      <c r="G1887" t="s">
        <v>4545</v>
      </c>
      <c r="H1887" t="s">
        <v>4546</v>
      </c>
      <c r="I1887" t="s">
        <v>98</v>
      </c>
      <c r="J1887" t="s">
        <v>23</v>
      </c>
      <c r="K1887" t="s">
        <v>867</v>
      </c>
      <c r="L1887" t="s">
        <v>232</v>
      </c>
      <c r="M1887">
        <v>48227</v>
      </c>
      <c r="N1887" t="s">
        <v>101</v>
      </c>
      <c r="O1887" t="s">
        <v>4720</v>
      </c>
      <c r="P1887" t="s">
        <v>67</v>
      </c>
      <c r="Q1887" t="s">
        <v>68</v>
      </c>
      <c r="R1887" t="s">
        <v>4721</v>
      </c>
      <c r="S1887">
        <v>299.89999999999998</v>
      </c>
    </row>
    <row r="1888" spans="1:19" x14ac:dyDescent="0.35">
      <c r="A1888">
        <v>1920</v>
      </c>
      <c r="B1888" t="s">
        <v>4722</v>
      </c>
      <c r="C1888" s="1">
        <v>43329</v>
      </c>
      <c r="D1888" s="1">
        <v>43331</v>
      </c>
      <c r="E1888" s="1" t="str">
        <f t="shared" si="29"/>
        <v>MODERATE</v>
      </c>
      <c r="F1888" t="s">
        <v>184</v>
      </c>
      <c r="G1888" t="s">
        <v>4723</v>
      </c>
      <c r="H1888" t="s">
        <v>4724</v>
      </c>
      <c r="I1888" t="s">
        <v>37</v>
      </c>
      <c r="J1888" t="s">
        <v>23</v>
      </c>
      <c r="K1888" t="s">
        <v>4064</v>
      </c>
      <c r="L1888" t="s">
        <v>261</v>
      </c>
      <c r="M1888">
        <v>13601</v>
      </c>
      <c r="N1888" t="s">
        <v>144</v>
      </c>
      <c r="O1888" t="s">
        <v>4725</v>
      </c>
      <c r="P1888" t="s">
        <v>42</v>
      </c>
      <c r="Q1888" t="s">
        <v>71</v>
      </c>
      <c r="R1888" t="s">
        <v>4726</v>
      </c>
      <c r="S1888">
        <v>895.92</v>
      </c>
    </row>
    <row r="1889" spans="1:19" x14ac:dyDescent="0.35">
      <c r="A1889">
        <v>1921</v>
      </c>
      <c r="B1889" t="s">
        <v>4722</v>
      </c>
      <c r="C1889" s="1">
        <v>43329</v>
      </c>
      <c r="D1889" s="1">
        <v>43331</v>
      </c>
      <c r="E1889" s="1" t="str">
        <f t="shared" si="29"/>
        <v>MODERATE</v>
      </c>
      <c r="F1889" t="s">
        <v>184</v>
      </c>
      <c r="G1889" t="s">
        <v>4723</v>
      </c>
      <c r="H1889" t="s">
        <v>4724</v>
      </c>
      <c r="I1889" t="s">
        <v>37</v>
      </c>
      <c r="J1889" t="s">
        <v>23</v>
      </c>
      <c r="K1889" t="s">
        <v>4064</v>
      </c>
      <c r="L1889" t="s">
        <v>261</v>
      </c>
      <c r="M1889">
        <v>13601</v>
      </c>
      <c r="N1889" t="s">
        <v>144</v>
      </c>
      <c r="O1889" t="s">
        <v>4727</v>
      </c>
      <c r="P1889" t="s">
        <v>28</v>
      </c>
      <c r="Q1889" t="s">
        <v>32</v>
      </c>
      <c r="R1889" t="s">
        <v>4728</v>
      </c>
      <c r="S1889">
        <v>462.56400000000002</v>
      </c>
    </row>
    <row r="1890" spans="1:19" x14ac:dyDescent="0.35">
      <c r="A1890">
        <v>1922</v>
      </c>
      <c r="B1890" t="s">
        <v>4729</v>
      </c>
      <c r="C1890" s="1">
        <v>42646</v>
      </c>
      <c r="D1890" s="1">
        <v>42652</v>
      </c>
      <c r="E1890" s="1" t="str">
        <f t="shared" si="29"/>
        <v>FAST</v>
      </c>
      <c r="F1890" t="s">
        <v>46</v>
      </c>
      <c r="G1890" t="s">
        <v>760</v>
      </c>
      <c r="H1890" t="s">
        <v>761</v>
      </c>
      <c r="I1890" t="s">
        <v>37</v>
      </c>
      <c r="J1890" t="s">
        <v>23</v>
      </c>
      <c r="K1890" t="s">
        <v>4730</v>
      </c>
      <c r="L1890" t="s">
        <v>143</v>
      </c>
      <c r="M1890">
        <v>19601</v>
      </c>
      <c r="N1890" t="s">
        <v>144</v>
      </c>
      <c r="O1890" t="s">
        <v>4731</v>
      </c>
      <c r="P1890" t="s">
        <v>42</v>
      </c>
      <c r="Q1890" t="s">
        <v>55</v>
      </c>
      <c r="R1890" t="s">
        <v>2627</v>
      </c>
      <c r="S1890">
        <v>15.007999999999999</v>
      </c>
    </row>
    <row r="1891" spans="1:19" x14ac:dyDescent="0.35">
      <c r="A1891">
        <v>1923</v>
      </c>
      <c r="B1891" t="s">
        <v>4732</v>
      </c>
      <c r="C1891" s="1">
        <v>42924</v>
      </c>
      <c r="D1891" s="1">
        <v>42926</v>
      </c>
      <c r="E1891" s="1" t="str">
        <f t="shared" si="29"/>
        <v>SLOW</v>
      </c>
      <c r="F1891" t="s">
        <v>19</v>
      </c>
      <c r="G1891" t="s">
        <v>4733</v>
      </c>
      <c r="H1891" t="s">
        <v>4734</v>
      </c>
      <c r="I1891" t="s">
        <v>37</v>
      </c>
      <c r="J1891" t="s">
        <v>23</v>
      </c>
      <c r="K1891" t="s">
        <v>1115</v>
      </c>
      <c r="L1891" t="s">
        <v>100</v>
      </c>
      <c r="M1891">
        <v>76017</v>
      </c>
      <c r="N1891" t="s">
        <v>101</v>
      </c>
      <c r="O1891" t="s">
        <v>4735</v>
      </c>
      <c r="P1891" t="s">
        <v>67</v>
      </c>
      <c r="Q1891" t="s">
        <v>68</v>
      </c>
      <c r="R1891" t="s">
        <v>4736</v>
      </c>
      <c r="S1891">
        <v>863.64</v>
      </c>
    </row>
    <row r="1892" spans="1:19" x14ac:dyDescent="0.35">
      <c r="A1892">
        <v>1924</v>
      </c>
      <c r="B1892" t="s">
        <v>4732</v>
      </c>
      <c r="C1892" s="1">
        <v>42924</v>
      </c>
      <c r="D1892" s="1">
        <v>42926</v>
      </c>
      <c r="E1892" s="1" t="str">
        <f t="shared" si="29"/>
        <v>SLOW</v>
      </c>
      <c r="F1892" t="s">
        <v>19</v>
      </c>
      <c r="G1892" t="s">
        <v>4733</v>
      </c>
      <c r="H1892" t="s">
        <v>4734</v>
      </c>
      <c r="I1892" t="s">
        <v>37</v>
      </c>
      <c r="J1892" t="s">
        <v>23</v>
      </c>
      <c r="K1892" t="s">
        <v>1115</v>
      </c>
      <c r="L1892" t="s">
        <v>100</v>
      </c>
      <c r="M1892">
        <v>76017</v>
      </c>
      <c r="N1892" t="s">
        <v>101</v>
      </c>
      <c r="O1892" t="s">
        <v>1545</v>
      </c>
      <c r="P1892" t="s">
        <v>42</v>
      </c>
      <c r="Q1892" t="s">
        <v>64</v>
      </c>
      <c r="R1892" t="s">
        <v>1546</v>
      </c>
      <c r="S1892">
        <v>47.616</v>
      </c>
    </row>
    <row r="1893" spans="1:19" x14ac:dyDescent="0.35">
      <c r="A1893">
        <v>1925</v>
      </c>
      <c r="B1893" t="s">
        <v>4737</v>
      </c>
      <c r="C1893" s="1">
        <v>43439</v>
      </c>
      <c r="D1893" s="1">
        <v>43441</v>
      </c>
      <c r="E1893" s="1" t="str">
        <f t="shared" si="29"/>
        <v>SLOW</v>
      </c>
      <c r="F1893" t="s">
        <v>19</v>
      </c>
      <c r="G1893" t="s">
        <v>2213</v>
      </c>
      <c r="H1893" t="s">
        <v>2214</v>
      </c>
      <c r="I1893" t="s">
        <v>22</v>
      </c>
      <c r="J1893" t="s">
        <v>23</v>
      </c>
      <c r="K1893" t="s">
        <v>935</v>
      </c>
      <c r="L1893" t="s">
        <v>39</v>
      </c>
      <c r="M1893">
        <v>92024</v>
      </c>
      <c r="N1893" t="s">
        <v>40</v>
      </c>
      <c r="O1893" t="s">
        <v>1308</v>
      </c>
      <c r="P1893" t="s">
        <v>42</v>
      </c>
      <c r="Q1893" t="s">
        <v>86</v>
      </c>
      <c r="R1893" t="s">
        <v>1309</v>
      </c>
      <c r="S1893">
        <v>92.94</v>
      </c>
    </row>
    <row r="1894" spans="1:19" x14ac:dyDescent="0.35">
      <c r="A1894">
        <v>1926</v>
      </c>
      <c r="B1894" t="s">
        <v>4738</v>
      </c>
      <c r="C1894" s="1">
        <v>43168</v>
      </c>
      <c r="D1894" s="1">
        <v>43172</v>
      </c>
      <c r="E1894" s="1" t="str">
        <f t="shared" si="29"/>
        <v>FAST</v>
      </c>
      <c r="F1894" t="s">
        <v>46</v>
      </c>
      <c r="G1894" t="s">
        <v>2880</v>
      </c>
      <c r="H1894" t="s">
        <v>2881</v>
      </c>
      <c r="I1894" t="s">
        <v>37</v>
      </c>
      <c r="J1894" t="s">
        <v>23</v>
      </c>
      <c r="K1894" t="s">
        <v>123</v>
      </c>
      <c r="L1894" t="s">
        <v>39</v>
      </c>
      <c r="M1894">
        <v>94110</v>
      </c>
      <c r="N1894" t="s">
        <v>40</v>
      </c>
      <c r="O1894" t="s">
        <v>1168</v>
      </c>
      <c r="P1894" t="s">
        <v>67</v>
      </c>
      <c r="Q1894" t="s">
        <v>157</v>
      </c>
      <c r="R1894" t="s">
        <v>1169</v>
      </c>
      <c r="S1894">
        <v>199.98</v>
      </c>
    </row>
    <row r="1895" spans="1:19" x14ac:dyDescent="0.35">
      <c r="A1895">
        <v>1927</v>
      </c>
      <c r="B1895" t="s">
        <v>4739</v>
      </c>
      <c r="C1895" s="1">
        <v>42895</v>
      </c>
      <c r="D1895" s="1">
        <v>42901</v>
      </c>
      <c r="E1895" s="1" t="str">
        <f t="shared" si="29"/>
        <v>FAST</v>
      </c>
      <c r="F1895" t="s">
        <v>46</v>
      </c>
      <c r="G1895" t="s">
        <v>3434</v>
      </c>
      <c r="H1895" t="s">
        <v>3435</v>
      </c>
      <c r="I1895" t="s">
        <v>22</v>
      </c>
      <c r="J1895" t="s">
        <v>23</v>
      </c>
      <c r="K1895" t="s">
        <v>38</v>
      </c>
      <c r="L1895" t="s">
        <v>39</v>
      </c>
      <c r="M1895">
        <v>90045</v>
      </c>
      <c r="N1895" t="s">
        <v>40</v>
      </c>
      <c r="O1895" t="s">
        <v>4740</v>
      </c>
      <c r="P1895" t="s">
        <v>67</v>
      </c>
      <c r="Q1895" t="s">
        <v>68</v>
      </c>
      <c r="R1895" t="s">
        <v>4741</v>
      </c>
      <c r="S1895">
        <v>177.48</v>
      </c>
    </row>
    <row r="1896" spans="1:19" x14ac:dyDescent="0.35">
      <c r="A1896">
        <v>1928</v>
      </c>
      <c r="B1896" t="s">
        <v>4742</v>
      </c>
      <c r="C1896" s="1">
        <v>43432</v>
      </c>
      <c r="D1896" s="1">
        <v>43435</v>
      </c>
      <c r="E1896" s="1" t="str">
        <f t="shared" si="29"/>
        <v>MODERATE</v>
      </c>
      <c r="F1896" t="s">
        <v>184</v>
      </c>
      <c r="G1896" t="s">
        <v>2467</v>
      </c>
      <c r="H1896" t="s">
        <v>2468</v>
      </c>
      <c r="I1896" t="s">
        <v>22</v>
      </c>
      <c r="J1896" t="s">
        <v>23</v>
      </c>
      <c r="K1896" t="s">
        <v>794</v>
      </c>
      <c r="L1896" t="s">
        <v>444</v>
      </c>
      <c r="M1896">
        <v>80219</v>
      </c>
      <c r="N1896" t="s">
        <v>40</v>
      </c>
      <c r="O1896" t="s">
        <v>1604</v>
      </c>
      <c r="P1896" t="s">
        <v>42</v>
      </c>
      <c r="Q1896" t="s">
        <v>86</v>
      </c>
      <c r="R1896" t="s">
        <v>1605</v>
      </c>
      <c r="S1896">
        <v>88.768000000000001</v>
      </c>
    </row>
    <row r="1897" spans="1:19" x14ac:dyDescent="0.35">
      <c r="A1897">
        <v>1929</v>
      </c>
      <c r="B1897" t="s">
        <v>4743</v>
      </c>
      <c r="C1897" s="1">
        <v>43175</v>
      </c>
      <c r="D1897" s="1">
        <v>43177</v>
      </c>
      <c r="E1897" s="1" t="str">
        <f t="shared" si="29"/>
        <v>SLOW</v>
      </c>
      <c r="F1897" t="s">
        <v>19</v>
      </c>
      <c r="G1897" t="s">
        <v>772</v>
      </c>
      <c r="H1897" t="s">
        <v>773</v>
      </c>
      <c r="I1897" t="s">
        <v>98</v>
      </c>
      <c r="J1897" t="s">
        <v>23</v>
      </c>
      <c r="K1897" t="s">
        <v>91</v>
      </c>
      <c r="L1897" t="s">
        <v>92</v>
      </c>
      <c r="M1897">
        <v>98105</v>
      </c>
      <c r="N1897" t="s">
        <v>40</v>
      </c>
      <c r="O1897" t="s">
        <v>4744</v>
      </c>
      <c r="P1897" t="s">
        <v>42</v>
      </c>
      <c r="Q1897" t="s">
        <v>86</v>
      </c>
      <c r="R1897" t="s">
        <v>4745</v>
      </c>
      <c r="S1897">
        <v>6.48</v>
      </c>
    </row>
    <row r="1898" spans="1:19" x14ac:dyDescent="0.35">
      <c r="A1898">
        <v>1930</v>
      </c>
      <c r="B1898" t="s">
        <v>4743</v>
      </c>
      <c r="C1898" s="1">
        <v>43175</v>
      </c>
      <c r="D1898" s="1">
        <v>43177</v>
      </c>
      <c r="E1898" s="1" t="str">
        <f t="shared" si="29"/>
        <v>SLOW</v>
      </c>
      <c r="F1898" t="s">
        <v>19</v>
      </c>
      <c r="G1898" t="s">
        <v>772</v>
      </c>
      <c r="H1898" t="s">
        <v>773</v>
      </c>
      <c r="I1898" t="s">
        <v>98</v>
      </c>
      <c r="J1898" t="s">
        <v>23</v>
      </c>
      <c r="K1898" t="s">
        <v>91</v>
      </c>
      <c r="L1898" t="s">
        <v>92</v>
      </c>
      <c r="M1898">
        <v>98105</v>
      </c>
      <c r="N1898" t="s">
        <v>40</v>
      </c>
      <c r="O1898" t="s">
        <v>996</v>
      </c>
      <c r="P1898" t="s">
        <v>42</v>
      </c>
      <c r="Q1898" t="s">
        <v>55</v>
      </c>
      <c r="R1898" t="s">
        <v>997</v>
      </c>
      <c r="S1898">
        <v>46.51</v>
      </c>
    </row>
    <row r="1899" spans="1:19" x14ac:dyDescent="0.35">
      <c r="A1899">
        <v>1931</v>
      </c>
      <c r="B1899" t="s">
        <v>4743</v>
      </c>
      <c r="C1899" s="1">
        <v>43175</v>
      </c>
      <c r="D1899" s="1">
        <v>43177</v>
      </c>
      <c r="E1899" s="1" t="str">
        <f t="shared" si="29"/>
        <v>SLOW</v>
      </c>
      <c r="F1899" t="s">
        <v>19</v>
      </c>
      <c r="G1899" t="s">
        <v>772</v>
      </c>
      <c r="H1899" t="s">
        <v>773</v>
      </c>
      <c r="I1899" t="s">
        <v>98</v>
      </c>
      <c r="J1899" t="s">
        <v>23</v>
      </c>
      <c r="K1899" t="s">
        <v>91</v>
      </c>
      <c r="L1899" t="s">
        <v>92</v>
      </c>
      <c r="M1899">
        <v>98105</v>
      </c>
      <c r="N1899" t="s">
        <v>40</v>
      </c>
      <c r="O1899" t="s">
        <v>3467</v>
      </c>
      <c r="P1899" t="s">
        <v>67</v>
      </c>
      <c r="Q1899" t="s">
        <v>68</v>
      </c>
      <c r="R1899" t="s">
        <v>3468</v>
      </c>
      <c r="S1899">
        <v>659.976</v>
      </c>
    </row>
    <row r="1900" spans="1:19" x14ac:dyDescent="0.35">
      <c r="A1900">
        <v>1932</v>
      </c>
      <c r="B1900" t="s">
        <v>4746</v>
      </c>
      <c r="C1900" s="1">
        <v>43066</v>
      </c>
      <c r="D1900" s="1">
        <v>43068</v>
      </c>
      <c r="E1900" s="1" t="str">
        <f t="shared" si="29"/>
        <v>SLOW</v>
      </c>
      <c r="F1900" t="s">
        <v>19</v>
      </c>
      <c r="G1900" t="s">
        <v>953</v>
      </c>
      <c r="H1900" t="s">
        <v>954</v>
      </c>
      <c r="I1900" t="s">
        <v>22</v>
      </c>
      <c r="J1900" t="s">
        <v>23</v>
      </c>
      <c r="K1900" t="s">
        <v>610</v>
      </c>
      <c r="L1900" t="s">
        <v>304</v>
      </c>
      <c r="M1900">
        <v>85254</v>
      </c>
      <c r="N1900" t="s">
        <v>40</v>
      </c>
      <c r="O1900" t="s">
        <v>4747</v>
      </c>
      <c r="P1900" t="s">
        <v>67</v>
      </c>
      <c r="Q1900" t="s">
        <v>68</v>
      </c>
      <c r="R1900" t="s">
        <v>4748</v>
      </c>
      <c r="S1900">
        <v>271.99200000000002</v>
      </c>
    </row>
    <row r="1901" spans="1:19" x14ac:dyDescent="0.35">
      <c r="A1901">
        <v>1933</v>
      </c>
      <c r="B1901" t="s">
        <v>4749</v>
      </c>
      <c r="C1901" s="1">
        <v>43318</v>
      </c>
      <c r="D1901" s="1">
        <v>43322</v>
      </c>
      <c r="E1901" s="1" t="str">
        <f t="shared" si="29"/>
        <v>SLOW</v>
      </c>
      <c r="F1901" t="s">
        <v>19</v>
      </c>
      <c r="G1901" t="s">
        <v>2278</v>
      </c>
      <c r="H1901" t="s">
        <v>2279</v>
      </c>
      <c r="I1901" t="s">
        <v>22</v>
      </c>
      <c r="J1901" t="s">
        <v>23</v>
      </c>
      <c r="K1901" t="s">
        <v>4229</v>
      </c>
      <c r="L1901" t="s">
        <v>725</v>
      </c>
      <c r="M1901">
        <v>70506</v>
      </c>
      <c r="N1901" t="s">
        <v>26</v>
      </c>
      <c r="O1901" t="s">
        <v>4750</v>
      </c>
      <c r="P1901" t="s">
        <v>28</v>
      </c>
      <c r="Q1901" t="s">
        <v>29</v>
      </c>
      <c r="R1901" t="s">
        <v>4751</v>
      </c>
      <c r="S1901">
        <v>145.74</v>
      </c>
    </row>
    <row r="1902" spans="1:19" x14ac:dyDescent="0.35">
      <c r="A1902">
        <v>1934</v>
      </c>
      <c r="B1902" t="s">
        <v>4749</v>
      </c>
      <c r="C1902" s="1">
        <v>43318</v>
      </c>
      <c r="D1902" s="1">
        <v>43322</v>
      </c>
      <c r="E1902" s="1" t="str">
        <f t="shared" si="29"/>
        <v>SLOW</v>
      </c>
      <c r="F1902" t="s">
        <v>19</v>
      </c>
      <c r="G1902" t="s">
        <v>2278</v>
      </c>
      <c r="H1902" t="s">
        <v>2279</v>
      </c>
      <c r="I1902" t="s">
        <v>22</v>
      </c>
      <c r="J1902" t="s">
        <v>23</v>
      </c>
      <c r="K1902" t="s">
        <v>4229</v>
      </c>
      <c r="L1902" t="s">
        <v>725</v>
      </c>
      <c r="M1902">
        <v>70506</v>
      </c>
      <c r="N1902" t="s">
        <v>26</v>
      </c>
      <c r="O1902" t="s">
        <v>253</v>
      </c>
      <c r="P1902" t="s">
        <v>28</v>
      </c>
      <c r="Q1902" t="s">
        <v>61</v>
      </c>
      <c r="R1902" t="s">
        <v>254</v>
      </c>
      <c r="S1902">
        <v>15.4</v>
      </c>
    </row>
    <row r="1903" spans="1:19" x14ac:dyDescent="0.35">
      <c r="A1903">
        <v>1935</v>
      </c>
      <c r="B1903" t="s">
        <v>4752</v>
      </c>
      <c r="C1903" s="1">
        <v>43431</v>
      </c>
      <c r="D1903" s="1">
        <v>43437</v>
      </c>
      <c r="E1903" s="1" t="str">
        <f t="shared" si="29"/>
        <v>FAST</v>
      </c>
      <c r="F1903" t="s">
        <v>46</v>
      </c>
      <c r="G1903" t="s">
        <v>2880</v>
      </c>
      <c r="H1903" t="s">
        <v>2881</v>
      </c>
      <c r="I1903" t="s">
        <v>37</v>
      </c>
      <c r="J1903" t="s">
        <v>23</v>
      </c>
      <c r="K1903" t="s">
        <v>123</v>
      </c>
      <c r="L1903" t="s">
        <v>39</v>
      </c>
      <c r="M1903">
        <v>94109</v>
      </c>
      <c r="N1903" t="s">
        <v>40</v>
      </c>
      <c r="O1903" t="s">
        <v>4596</v>
      </c>
      <c r="P1903" t="s">
        <v>42</v>
      </c>
      <c r="Q1903" t="s">
        <v>86</v>
      </c>
      <c r="R1903" t="s">
        <v>4597</v>
      </c>
      <c r="S1903">
        <v>244.55</v>
      </c>
    </row>
    <row r="1904" spans="1:19" x14ac:dyDescent="0.35">
      <c r="A1904">
        <v>1936</v>
      </c>
      <c r="B1904" t="s">
        <v>4752</v>
      </c>
      <c r="C1904" s="1">
        <v>43431</v>
      </c>
      <c r="D1904" s="1">
        <v>43437</v>
      </c>
      <c r="E1904" s="1" t="str">
        <f t="shared" si="29"/>
        <v>FAST</v>
      </c>
      <c r="F1904" t="s">
        <v>46</v>
      </c>
      <c r="G1904" t="s">
        <v>2880</v>
      </c>
      <c r="H1904" t="s">
        <v>2881</v>
      </c>
      <c r="I1904" t="s">
        <v>37</v>
      </c>
      <c r="J1904" t="s">
        <v>23</v>
      </c>
      <c r="K1904" t="s">
        <v>123</v>
      </c>
      <c r="L1904" t="s">
        <v>39</v>
      </c>
      <c r="M1904">
        <v>94109</v>
      </c>
      <c r="N1904" t="s">
        <v>40</v>
      </c>
      <c r="O1904" t="s">
        <v>4753</v>
      </c>
      <c r="P1904" t="s">
        <v>67</v>
      </c>
      <c r="Q1904" t="s">
        <v>157</v>
      </c>
      <c r="R1904" t="s">
        <v>4754</v>
      </c>
      <c r="S1904">
        <v>166.16</v>
      </c>
    </row>
    <row r="1905" spans="1:19" x14ac:dyDescent="0.35">
      <c r="A1905">
        <v>1937</v>
      </c>
      <c r="B1905" t="s">
        <v>4755</v>
      </c>
      <c r="C1905" s="1">
        <v>42515</v>
      </c>
      <c r="D1905" s="1">
        <v>42517</v>
      </c>
      <c r="E1905" s="1" t="str">
        <f t="shared" si="29"/>
        <v>SLOW</v>
      </c>
      <c r="F1905" t="s">
        <v>19</v>
      </c>
      <c r="G1905" t="s">
        <v>3923</v>
      </c>
      <c r="H1905" t="s">
        <v>3924</v>
      </c>
      <c r="I1905" t="s">
        <v>98</v>
      </c>
      <c r="J1905" t="s">
        <v>23</v>
      </c>
      <c r="K1905" t="s">
        <v>123</v>
      </c>
      <c r="L1905" t="s">
        <v>39</v>
      </c>
      <c r="M1905">
        <v>94109</v>
      </c>
      <c r="N1905" t="s">
        <v>40</v>
      </c>
      <c r="O1905" t="s">
        <v>3375</v>
      </c>
      <c r="P1905" t="s">
        <v>28</v>
      </c>
      <c r="Q1905" t="s">
        <v>61</v>
      </c>
      <c r="R1905" t="s">
        <v>3376</v>
      </c>
      <c r="S1905">
        <v>14.73</v>
      </c>
    </row>
    <row r="1906" spans="1:19" x14ac:dyDescent="0.35">
      <c r="A1906">
        <v>1938</v>
      </c>
      <c r="B1906" t="s">
        <v>4756</v>
      </c>
      <c r="C1906" s="1">
        <v>42924</v>
      </c>
      <c r="D1906" s="1">
        <v>42928</v>
      </c>
      <c r="E1906" s="1" t="str">
        <f t="shared" si="29"/>
        <v>FAST</v>
      </c>
      <c r="F1906" t="s">
        <v>46</v>
      </c>
      <c r="G1906" t="s">
        <v>4757</v>
      </c>
      <c r="H1906" t="s">
        <v>4758</v>
      </c>
      <c r="I1906" t="s">
        <v>22</v>
      </c>
      <c r="J1906" t="s">
        <v>23</v>
      </c>
      <c r="K1906" t="s">
        <v>4759</v>
      </c>
      <c r="L1906" t="s">
        <v>444</v>
      </c>
      <c r="M1906">
        <v>80020</v>
      </c>
      <c r="N1906" t="s">
        <v>40</v>
      </c>
      <c r="O1906" t="s">
        <v>4760</v>
      </c>
      <c r="P1906" t="s">
        <v>42</v>
      </c>
      <c r="Q1906" t="s">
        <v>71</v>
      </c>
      <c r="R1906" t="s">
        <v>4761</v>
      </c>
      <c r="S1906">
        <v>19.968</v>
      </c>
    </row>
    <row r="1907" spans="1:19" x14ac:dyDescent="0.35">
      <c r="A1907">
        <v>1939</v>
      </c>
      <c r="B1907" t="s">
        <v>4756</v>
      </c>
      <c r="C1907" s="1">
        <v>42924</v>
      </c>
      <c r="D1907" s="1">
        <v>42928</v>
      </c>
      <c r="E1907" s="1" t="str">
        <f t="shared" si="29"/>
        <v>FAST</v>
      </c>
      <c r="F1907" t="s">
        <v>46</v>
      </c>
      <c r="G1907" t="s">
        <v>4757</v>
      </c>
      <c r="H1907" t="s">
        <v>4758</v>
      </c>
      <c r="I1907" t="s">
        <v>22</v>
      </c>
      <c r="J1907" t="s">
        <v>23</v>
      </c>
      <c r="K1907" t="s">
        <v>4759</v>
      </c>
      <c r="L1907" t="s">
        <v>444</v>
      </c>
      <c r="M1907">
        <v>80020</v>
      </c>
      <c r="N1907" t="s">
        <v>40</v>
      </c>
      <c r="O1907" t="s">
        <v>4762</v>
      </c>
      <c r="P1907" t="s">
        <v>42</v>
      </c>
      <c r="Q1907" t="s">
        <v>55</v>
      </c>
      <c r="R1907" t="s">
        <v>4763</v>
      </c>
      <c r="S1907">
        <v>33.488</v>
      </c>
    </row>
    <row r="1908" spans="1:19" x14ac:dyDescent="0.35">
      <c r="A1908">
        <v>1940</v>
      </c>
      <c r="B1908" t="s">
        <v>4756</v>
      </c>
      <c r="C1908" s="1">
        <v>42924</v>
      </c>
      <c r="D1908" s="1">
        <v>42928</v>
      </c>
      <c r="E1908" s="1" t="str">
        <f t="shared" si="29"/>
        <v>FAST</v>
      </c>
      <c r="F1908" t="s">
        <v>46</v>
      </c>
      <c r="G1908" t="s">
        <v>4757</v>
      </c>
      <c r="H1908" t="s">
        <v>4758</v>
      </c>
      <c r="I1908" t="s">
        <v>22</v>
      </c>
      <c r="J1908" t="s">
        <v>23</v>
      </c>
      <c r="K1908" t="s">
        <v>4759</v>
      </c>
      <c r="L1908" t="s">
        <v>444</v>
      </c>
      <c r="M1908">
        <v>80020</v>
      </c>
      <c r="N1908" t="s">
        <v>40</v>
      </c>
      <c r="O1908" t="s">
        <v>154</v>
      </c>
      <c r="P1908" t="s">
        <v>42</v>
      </c>
      <c r="Q1908" t="s">
        <v>71</v>
      </c>
      <c r="R1908" t="s">
        <v>155</v>
      </c>
      <c r="S1908">
        <v>8.7360000000000007</v>
      </c>
    </row>
    <row r="1909" spans="1:19" x14ac:dyDescent="0.35">
      <c r="A1909">
        <v>1941</v>
      </c>
      <c r="B1909" t="s">
        <v>4756</v>
      </c>
      <c r="C1909" s="1">
        <v>42924</v>
      </c>
      <c r="D1909" s="1">
        <v>42928</v>
      </c>
      <c r="E1909" s="1" t="str">
        <f t="shared" si="29"/>
        <v>FAST</v>
      </c>
      <c r="F1909" t="s">
        <v>46</v>
      </c>
      <c r="G1909" t="s">
        <v>4757</v>
      </c>
      <c r="H1909" t="s">
        <v>4758</v>
      </c>
      <c r="I1909" t="s">
        <v>22</v>
      </c>
      <c r="J1909" t="s">
        <v>23</v>
      </c>
      <c r="K1909" t="s">
        <v>4759</v>
      </c>
      <c r="L1909" t="s">
        <v>444</v>
      </c>
      <c r="M1909">
        <v>80020</v>
      </c>
      <c r="N1909" t="s">
        <v>40</v>
      </c>
      <c r="O1909" t="s">
        <v>675</v>
      </c>
      <c r="P1909" t="s">
        <v>28</v>
      </c>
      <c r="Q1909" t="s">
        <v>32</v>
      </c>
      <c r="R1909" t="s">
        <v>676</v>
      </c>
      <c r="S1909">
        <v>662.88</v>
      </c>
    </row>
    <row r="1910" spans="1:19" x14ac:dyDescent="0.35">
      <c r="A1910">
        <v>1942</v>
      </c>
      <c r="B1910" t="s">
        <v>4764</v>
      </c>
      <c r="C1910" s="1">
        <v>43341</v>
      </c>
      <c r="D1910" s="1">
        <v>43344</v>
      </c>
      <c r="E1910" s="1" t="str">
        <f t="shared" si="29"/>
        <v>MODERATE</v>
      </c>
      <c r="F1910" t="s">
        <v>184</v>
      </c>
      <c r="G1910" t="s">
        <v>3632</v>
      </c>
      <c r="H1910" t="s">
        <v>3633</v>
      </c>
      <c r="I1910" t="s">
        <v>37</v>
      </c>
      <c r="J1910" t="s">
        <v>23</v>
      </c>
      <c r="K1910" t="s">
        <v>1307</v>
      </c>
      <c r="L1910" t="s">
        <v>205</v>
      </c>
      <c r="M1910">
        <v>62301</v>
      </c>
      <c r="N1910" t="s">
        <v>101</v>
      </c>
      <c r="O1910" t="s">
        <v>837</v>
      </c>
      <c r="P1910" t="s">
        <v>42</v>
      </c>
      <c r="Q1910" t="s">
        <v>43</v>
      </c>
      <c r="R1910" t="s">
        <v>838</v>
      </c>
      <c r="S1910">
        <v>47.36</v>
      </c>
    </row>
    <row r="1911" spans="1:19" x14ac:dyDescent="0.35">
      <c r="A1911">
        <v>1943</v>
      </c>
      <c r="B1911" t="s">
        <v>4764</v>
      </c>
      <c r="C1911" s="1">
        <v>43341</v>
      </c>
      <c r="D1911" s="1">
        <v>43344</v>
      </c>
      <c r="E1911" s="1" t="str">
        <f t="shared" si="29"/>
        <v>MODERATE</v>
      </c>
      <c r="F1911" t="s">
        <v>184</v>
      </c>
      <c r="G1911" t="s">
        <v>3632</v>
      </c>
      <c r="H1911" t="s">
        <v>3633</v>
      </c>
      <c r="I1911" t="s">
        <v>37</v>
      </c>
      <c r="J1911" t="s">
        <v>23</v>
      </c>
      <c r="K1911" t="s">
        <v>1307</v>
      </c>
      <c r="L1911" t="s">
        <v>205</v>
      </c>
      <c r="M1911">
        <v>62301</v>
      </c>
      <c r="N1911" t="s">
        <v>101</v>
      </c>
      <c r="O1911" t="s">
        <v>1745</v>
      </c>
      <c r="P1911" t="s">
        <v>42</v>
      </c>
      <c r="Q1911" t="s">
        <v>55</v>
      </c>
      <c r="R1911" t="s">
        <v>1746</v>
      </c>
      <c r="S1911">
        <v>27.44</v>
      </c>
    </row>
    <row r="1912" spans="1:19" x14ac:dyDescent="0.35">
      <c r="A1912">
        <v>1944</v>
      </c>
      <c r="B1912" t="s">
        <v>4764</v>
      </c>
      <c r="C1912" s="1">
        <v>43341</v>
      </c>
      <c r="D1912" s="1">
        <v>43344</v>
      </c>
      <c r="E1912" s="1" t="str">
        <f t="shared" si="29"/>
        <v>MODERATE</v>
      </c>
      <c r="F1912" t="s">
        <v>184</v>
      </c>
      <c r="G1912" t="s">
        <v>3632</v>
      </c>
      <c r="H1912" t="s">
        <v>3633</v>
      </c>
      <c r="I1912" t="s">
        <v>37</v>
      </c>
      <c r="J1912" t="s">
        <v>23</v>
      </c>
      <c r="K1912" t="s">
        <v>1307</v>
      </c>
      <c r="L1912" t="s">
        <v>205</v>
      </c>
      <c r="M1912">
        <v>62301</v>
      </c>
      <c r="N1912" t="s">
        <v>101</v>
      </c>
      <c r="O1912" t="s">
        <v>2908</v>
      </c>
      <c r="P1912" t="s">
        <v>42</v>
      </c>
      <c r="Q1912" t="s">
        <v>71</v>
      </c>
      <c r="R1912" t="s">
        <v>2909</v>
      </c>
      <c r="S1912">
        <v>3.24</v>
      </c>
    </row>
    <row r="1913" spans="1:19" x14ac:dyDescent="0.35">
      <c r="A1913">
        <v>1945</v>
      </c>
      <c r="B1913" t="s">
        <v>4765</v>
      </c>
      <c r="C1913" s="1">
        <v>42906</v>
      </c>
      <c r="D1913" s="1">
        <v>42912</v>
      </c>
      <c r="E1913" s="1" t="str">
        <f t="shared" si="29"/>
        <v>FAST</v>
      </c>
      <c r="F1913" t="s">
        <v>46</v>
      </c>
      <c r="G1913" t="s">
        <v>882</v>
      </c>
      <c r="H1913" t="s">
        <v>883</v>
      </c>
      <c r="I1913" t="s">
        <v>37</v>
      </c>
      <c r="J1913" t="s">
        <v>23</v>
      </c>
      <c r="K1913" t="s">
        <v>4175</v>
      </c>
      <c r="L1913" t="s">
        <v>100</v>
      </c>
      <c r="M1913">
        <v>75007</v>
      </c>
      <c r="N1913" t="s">
        <v>101</v>
      </c>
      <c r="O1913" t="s">
        <v>3959</v>
      </c>
      <c r="P1913" t="s">
        <v>67</v>
      </c>
      <c r="Q1913" t="s">
        <v>157</v>
      </c>
      <c r="R1913" t="s">
        <v>3960</v>
      </c>
      <c r="S1913">
        <v>95.968000000000004</v>
      </c>
    </row>
    <row r="1914" spans="1:19" x14ac:dyDescent="0.35">
      <c r="A1914">
        <v>1946</v>
      </c>
      <c r="B1914" t="s">
        <v>4765</v>
      </c>
      <c r="C1914" s="1">
        <v>42906</v>
      </c>
      <c r="D1914" s="1">
        <v>42912</v>
      </c>
      <c r="E1914" s="1" t="str">
        <f t="shared" si="29"/>
        <v>FAST</v>
      </c>
      <c r="F1914" t="s">
        <v>46</v>
      </c>
      <c r="G1914" t="s">
        <v>882</v>
      </c>
      <c r="H1914" t="s">
        <v>883</v>
      </c>
      <c r="I1914" t="s">
        <v>37</v>
      </c>
      <c r="J1914" t="s">
        <v>23</v>
      </c>
      <c r="K1914" t="s">
        <v>4175</v>
      </c>
      <c r="L1914" t="s">
        <v>100</v>
      </c>
      <c r="M1914">
        <v>75007</v>
      </c>
      <c r="N1914" t="s">
        <v>101</v>
      </c>
      <c r="O1914" t="s">
        <v>4538</v>
      </c>
      <c r="P1914" t="s">
        <v>42</v>
      </c>
      <c r="Q1914" t="s">
        <v>86</v>
      </c>
      <c r="R1914" t="s">
        <v>4539</v>
      </c>
      <c r="S1914">
        <v>10.368</v>
      </c>
    </row>
    <row r="1915" spans="1:19" x14ac:dyDescent="0.35">
      <c r="A1915">
        <v>1947</v>
      </c>
      <c r="B1915" t="s">
        <v>4766</v>
      </c>
      <c r="C1915" s="1">
        <v>43345</v>
      </c>
      <c r="D1915" s="1">
        <v>43349</v>
      </c>
      <c r="E1915" s="1" t="str">
        <f t="shared" si="29"/>
        <v>FAST</v>
      </c>
      <c r="F1915" t="s">
        <v>46</v>
      </c>
      <c r="G1915" t="s">
        <v>4767</v>
      </c>
      <c r="H1915" t="s">
        <v>4768</v>
      </c>
      <c r="I1915" t="s">
        <v>37</v>
      </c>
      <c r="J1915" t="s">
        <v>23</v>
      </c>
      <c r="K1915" t="s">
        <v>260</v>
      </c>
      <c r="L1915" t="s">
        <v>261</v>
      </c>
      <c r="M1915">
        <v>10009</v>
      </c>
      <c r="N1915" t="s">
        <v>144</v>
      </c>
      <c r="O1915" t="s">
        <v>1300</v>
      </c>
      <c r="P1915" t="s">
        <v>42</v>
      </c>
      <c r="Q1915" t="s">
        <v>64</v>
      </c>
      <c r="R1915" t="s">
        <v>1301</v>
      </c>
      <c r="S1915">
        <v>23.1</v>
      </c>
    </row>
    <row r="1916" spans="1:19" x14ac:dyDescent="0.35">
      <c r="A1916">
        <v>1948</v>
      </c>
      <c r="B1916" t="s">
        <v>4766</v>
      </c>
      <c r="C1916" s="1">
        <v>43345</v>
      </c>
      <c r="D1916" s="1">
        <v>43349</v>
      </c>
      <c r="E1916" s="1" t="str">
        <f t="shared" si="29"/>
        <v>FAST</v>
      </c>
      <c r="F1916" t="s">
        <v>46</v>
      </c>
      <c r="G1916" t="s">
        <v>4767</v>
      </c>
      <c r="H1916" t="s">
        <v>4768</v>
      </c>
      <c r="I1916" t="s">
        <v>37</v>
      </c>
      <c r="J1916" t="s">
        <v>23</v>
      </c>
      <c r="K1916" t="s">
        <v>260</v>
      </c>
      <c r="L1916" t="s">
        <v>261</v>
      </c>
      <c r="M1916">
        <v>10009</v>
      </c>
      <c r="N1916" t="s">
        <v>144</v>
      </c>
      <c r="O1916" t="s">
        <v>4511</v>
      </c>
      <c r="P1916" t="s">
        <v>28</v>
      </c>
      <c r="Q1916" t="s">
        <v>61</v>
      </c>
      <c r="R1916" t="s">
        <v>4512</v>
      </c>
      <c r="S1916">
        <v>11.54</v>
      </c>
    </row>
    <row r="1917" spans="1:19" x14ac:dyDescent="0.35">
      <c r="A1917">
        <v>1949</v>
      </c>
      <c r="B1917" t="s">
        <v>4766</v>
      </c>
      <c r="C1917" s="1">
        <v>43345</v>
      </c>
      <c r="D1917" s="1">
        <v>43349</v>
      </c>
      <c r="E1917" s="1" t="str">
        <f t="shared" si="29"/>
        <v>FAST</v>
      </c>
      <c r="F1917" t="s">
        <v>46</v>
      </c>
      <c r="G1917" t="s">
        <v>4767</v>
      </c>
      <c r="H1917" t="s">
        <v>4768</v>
      </c>
      <c r="I1917" t="s">
        <v>37</v>
      </c>
      <c r="J1917" t="s">
        <v>23</v>
      </c>
      <c r="K1917" t="s">
        <v>260</v>
      </c>
      <c r="L1917" t="s">
        <v>261</v>
      </c>
      <c r="M1917">
        <v>10009</v>
      </c>
      <c r="N1917" t="s">
        <v>144</v>
      </c>
      <c r="O1917" t="s">
        <v>1581</v>
      </c>
      <c r="P1917" t="s">
        <v>28</v>
      </c>
      <c r="Q1917" t="s">
        <v>52</v>
      </c>
      <c r="R1917" t="s">
        <v>1582</v>
      </c>
      <c r="S1917">
        <v>254.52600000000001</v>
      </c>
    </row>
    <row r="1918" spans="1:19" x14ac:dyDescent="0.35">
      <c r="A1918">
        <v>1950</v>
      </c>
      <c r="B1918" t="s">
        <v>4766</v>
      </c>
      <c r="C1918" s="1">
        <v>43345</v>
      </c>
      <c r="D1918" s="1">
        <v>43349</v>
      </c>
      <c r="E1918" s="1" t="str">
        <f t="shared" si="29"/>
        <v>FAST</v>
      </c>
      <c r="F1918" t="s">
        <v>46</v>
      </c>
      <c r="G1918" t="s">
        <v>4767</v>
      </c>
      <c r="H1918" t="s">
        <v>4768</v>
      </c>
      <c r="I1918" t="s">
        <v>37</v>
      </c>
      <c r="J1918" t="s">
        <v>23</v>
      </c>
      <c r="K1918" t="s">
        <v>260</v>
      </c>
      <c r="L1918" t="s">
        <v>261</v>
      </c>
      <c r="M1918">
        <v>10009</v>
      </c>
      <c r="N1918" t="s">
        <v>144</v>
      </c>
      <c r="O1918" t="s">
        <v>424</v>
      </c>
      <c r="P1918" t="s">
        <v>42</v>
      </c>
      <c r="Q1918" t="s">
        <v>74</v>
      </c>
      <c r="R1918" t="s">
        <v>425</v>
      </c>
      <c r="S1918">
        <v>12.98</v>
      </c>
    </row>
    <row r="1919" spans="1:19" x14ac:dyDescent="0.35">
      <c r="A1919">
        <v>1951</v>
      </c>
      <c r="B1919" t="s">
        <v>4766</v>
      </c>
      <c r="C1919" s="1">
        <v>43345</v>
      </c>
      <c r="D1919" s="1">
        <v>43349</v>
      </c>
      <c r="E1919" s="1" t="str">
        <f t="shared" si="29"/>
        <v>FAST</v>
      </c>
      <c r="F1919" t="s">
        <v>46</v>
      </c>
      <c r="G1919" t="s">
        <v>4767</v>
      </c>
      <c r="H1919" t="s">
        <v>4768</v>
      </c>
      <c r="I1919" t="s">
        <v>37</v>
      </c>
      <c r="J1919" t="s">
        <v>23</v>
      </c>
      <c r="K1919" t="s">
        <v>260</v>
      </c>
      <c r="L1919" t="s">
        <v>261</v>
      </c>
      <c r="M1919">
        <v>10009</v>
      </c>
      <c r="N1919" t="s">
        <v>144</v>
      </c>
      <c r="O1919" t="s">
        <v>3554</v>
      </c>
      <c r="P1919" t="s">
        <v>42</v>
      </c>
      <c r="Q1919" t="s">
        <v>71</v>
      </c>
      <c r="R1919" t="s">
        <v>3555</v>
      </c>
      <c r="S1919">
        <v>26.431999999999999</v>
      </c>
    </row>
    <row r="1920" spans="1:19" x14ac:dyDescent="0.35">
      <c r="A1920">
        <v>1952</v>
      </c>
      <c r="B1920" t="s">
        <v>4766</v>
      </c>
      <c r="C1920" s="1">
        <v>43345</v>
      </c>
      <c r="D1920" s="1">
        <v>43349</v>
      </c>
      <c r="E1920" s="1" t="str">
        <f t="shared" si="29"/>
        <v>FAST</v>
      </c>
      <c r="F1920" t="s">
        <v>46</v>
      </c>
      <c r="G1920" t="s">
        <v>4767</v>
      </c>
      <c r="H1920" t="s">
        <v>4768</v>
      </c>
      <c r="I1920" t="s">
        <v>37</v>
      </c>
      <c r="J1920" t="s">
        <v>23</v>
      </c>
      <c r="K1920" t="s">
        <v>260</v>
      </c>
      <c r="L1920" t="s">
        <v>261</v>
      </c>
      <c r="M1920">
        <v>10009</v>
      </c>
      <c r="N1920" t="s">
        <v>144</v>
      </c>
      <c r="O1920" t="s">
        <v>3029</v>
      </c>
      <c r="P1920" t="s">
        <v>67</v>
      </c>
      <c r="Q1920" t="s">
        <v>68</v>
      </c>
      <c r="R1920" t="s">
        <v>3030</v>
      </c>
      <c r="S1920">
        <v>197.97</v>
      </c>
    </row>
    <row r="1921" spans="1:19" x14ac:dyDescent="0.35">
      <c r="A1921">
        <v>1953</v>
      </c>
      <c r="B1921" t="s">
        <v>4766</v>
      </c>
      <c r="C1921" s="1">
        <v>43345</v>
      </c>
      <c r="D1921" s="1">
        <v>43349</v>
      </c>
      <c r="E1921" s="1" t="str">
        <f t="shared" si="29"/>
        <v>FAST</v>
      </c>
      <c r="F1921" t="s">
        <v>46</v>
      </c>
      <c r="G1921" t="s">
        <v>4767</v>
      </c>
      <c r="H1921" t="s">
        <v>4768</v>
      </c>
      <c r="I1921" t="s">
        <v>37</v>
      </c>
      <c r="J1921" t="s">
        <v>23</v>
      </c>
      <c r="K1921" t="s">
        <v>260</v>
      </c>
      <c r="L1921" t="s">
        <v>261</v>
      </c>
      <c r="M1921">
        <v>10009</v>
      </c>
      <c r="N1921" t="s">
        <v>144</v>
      </c>
      <c r="O1921" t="s">
        <v>4100</v>
      </c>
      <c r="P1921" t="s">
        <v>42</v>
      </c>
      <c r="Q1921" t="s">
        <v>43</v>
      </c>
      <c r="R1921" t="s">
        <v>4101</v>
      </c>
      <c r="S1921">
        <v>18.899999999999999</v>
      </c>
    </row>
    <row r="1922" spans="1:19" x14ac:dyDescent="0.35">
      <c r="A1922">
        <v>1954</v>
      </c>
      <c r="B1922" t="s">
        <v>4766</v>
      </c>
      <c r="C1922" s="1">
        <v>43345</v>
      </c>
      <c r="D1922" s="1">
        <v>43349</v>
      </c>
      <c r="E1922" s="1" t="str">
        <f t="shared" si="29"/>
        <v>FAST</v>
      </c>
      <c r="F1922" t="s">
        <v>46</v>
      </c>
      <c r="G1922" t="s">
        <v>4767</v>
      </c>
      <c r="H1922" t="s">
        <v>4768</v>
      </c>
      <c r="I1922" t="s">
        <v>37</v>
      </c>
      <c r="J1922" t="s">
        <v>23</v>
      </c>
      <c r="K1922" t="s">
        <v>260</v>
      </c>
      <c r="L1922" t="s">
        <v>261</v>
      </c>
      <c r="M1922">
        <v>10009</v>
      </c>
      <c r="N1922" t="s">
        <v>144</v>
      </c>
      <c r="O1922" t="s">
        <v>1773</v>
      </c>
      <c r="P1922" t="s">
        <v>28</v>
      </c>
      <c r="Q1922" t="s">
        <v>32</v>
      </c>
      <c r="R1922" t="s">
        <v>1774</v>
      </c>
      <c r="S1922">
        <v>1282.4100000000001</v>
      </c>
    </row>
    <row r="1923" spans="1:19" x14ac:dyDescent="0.35">
      <c r="A1923">
        <v>1955</v>
      </c>
      <c r="B1923" t="s">
        <v>4766</v>
      </c>
      <c r="C1923" s="1">
        <v>43345</v>
      </c>
      <c r="D1923" s="1">
        <v>43349</v>
      </c>
      <c r="E1923" s="1" t="str">
        <f t="shared" ref="E1923:E1986" si="30">IF(F1923="STANDARD CLASS","FAST",IF(F1923="SECOND CLASS","SLOW","MODERATE"))</f>
        <v>FAST</v>
      </c>
      <c r="F1923" t="s">
        <v>46</v>
      </c>
      <c r="G1923" t="s">
        <v>4767</v>
      </c>
      <c r="H1923" t="s">
        <v>4768</v>
      </c>
      <c r="I1923" t="s">
        <v>37</v>
      </c>
      <c r="J1923" t="s">
        <v>23</v>
      </c>
      <c r="K1923" t="s">
        <v>260</v>
      </c>
      <c r="L1923" t="s">
        <v>261</v>
      </c>
      <c r="M1923">
        <v>10009</v>
      </c>
      <c r="N1923" t="s">
        <v>144</v>
      </c>
      <c r="O1923" t="s">
        <v>4769</v>
      </c>
      <c r="P1923" t="s">
        <v>42</v>
      </c>
      <c r="Q1923" t="s">
        <v>64</v>
      </c>
      <c r="R1923" t="s">
        <v>4770</v>
      </c>
      <c r="S1923">
        <v>4.92</v>
      </c>
    </row>
    <row r="1924" spans="1:19" x14ac:dyDescent="0.35">
      <c r="A1924">
        <v>1956</v>
      </c>
      <c r="B1924" t="s">
        <v>4766</v>
      </c>
      <c r="C1924" s="1">
        <v>43345</v>
      </c>
      <c r="D1924" s="1">
        <v>43349</v>
      </c>
      <c r="E1924" s="1" t="str">
        <f t="shared" si="30"/>
        <v>FAST</v>
      </c>
      <c r="F1924" t="s">
        <v>46</v>
      </c>
      <c r="G1924" t="s">
        <v>4767</v>
      </c>
      <c r="H1924" t="s">
        <v>4768</v>
      </c>
      <c r="I1924" t="s">
        <v>37</v>
      </c>
      <c r="J1924" t="s">
        <v>23</v>
      </c>
      <c r="K1924" t="s">
        <v>260</v>
      </c>
      <c r="L1924" t="s">
        <v>261</v>
      </c>
      <c r="M1924">
        <v>10009</v>
      </c>
      <c r="N1924" t="s">
        <v>144</v>
      </c>
      <c r="O1924" t="s">
        <v>4771</v>
      </c>
      <c r="P1924" t="s">
        <v>67</v>
      </c>
      <c r="Q1924" t="s">
        <v>157</v>
      </c>
      <c r="R1924" t="s">
        <v>4772</v>
      </c>
      <c r="S1924">
        <v>238</v>
      </c>
    </row>
    <row r="1925" spans="1:19" x14ac:dyDescent="0.35">
      <c r="A1925">
        <v>1957</v>
      </c>
      <c r="B1925" t="s">
        <v>4766</v>
      </c>
      <c r="C1925" s="1">
        <v>43345</v>
      </c>
      <c r="D1925" s="1">
        <v>43349</v>
      </c>
      <c r="E1925" s="1" t="str">
        <f t="shared" si="30"/>
        <v>FAST</v>
      </c>
      <c r="F1925" t="s">
        <v>46</v>
      </c>
      <c r="G1925" t="s">
        <v>4767</v>
      </c>
      <c r="H1925" t="s">
        <v>4768</v>
      </c>
      <c r="I1925" t="s">
        <v>37</v>
      </c>
      <c r="J1925" t="s">
        <v>23</v>
      </c>
      <c r="K1925" t="s">
        <v>260</v>
      </c>
      <c r="L1925" t="s">
        <v>261</v>
      </c>
      <c r="M1925">
        <v>10009</v>
      </c>
      <c r="N1925" t="s">
        <v>144</v>
      </c>
      <c r="O1925" t="s">
        <v>843</v>
      </c>
      <c r="P1925" t="s">
        <v>67</v>
      </c>
      <c r="Q1925" t="s">
        <v>157</v>
      </c>
      <c r="R1925" t="s">
        <v>844</v>
      </c>
      <c r="S1925">
        <v>167.97</v>
      </c>
    </row>
    <row r="1926" spans="1:19" x14ac:dyDescent="0.35">
      <c r="A1926">
        <v>1958</v>
      </c>
      <c r="B1926" t="s">
        <v>4766</v>
      </c>
      <c r="C1926" s="1">
        <v>43345</v>
      </c>
      <c r="D1926" s="1">
        <v>43349</v>
      </c>
      <c r="E1926" s="1" t="str">
        <f t="shared" si="30"/>
        <v>FAST</v>
      </c>
      <c r="F1926" t="s">
        <v>46</v>
      </c>
      <c r="G1926" t="s">
        <v>4767</v>
      </c>
      <c r="H1926" t="s">
        <v>4768</v>
      </c>
      <c r="I1926" t="s">
        <v>37</v>
      </c>
      <c r="J1926" t="s">
        <v>23</v>
      </c>
      <c r="K1926" t="s">
        <v>260</v>
      </c>
      <c r="L1926" t="s">
        <v>261</v>
      </c>
      <c r="M1926">
        <v>10009</v>
      </c>
      <c r="N1926" t="s">
        <v>144</v>
      </c>
      <c r="O1926" t="s">
        <v>4420</v>
      </c>
      <c r="P1926" t="s">
        <v>42</v>
      </c>
      <c r="Q1926" t="s">
        <v>86</v>
      </c>
      <c r="R1926" t="s">
        <v>4421</v>
      </c>
      <c r="S1926">
        <v>17.12</v>
      </c>
    </row>
    <row r="1927" spans="1:19" x14ac:dyDescent="0.35">
      <c r="A1927">
        <v>1960</v>
      </c>
      <c r="B1927" t="s">
        <v>4773</v>
      </c>
      <c r="C1927" s="1">
        <v>43353</v>
      </c>
      <c r="D1927" s="1">
        <v>43358</v>
      </c>
      <c r="E1927" s="1" t="str">
        <f t="shared" si="30"/>
        <v>SLOW</v>
      </c>
      <c r="F1927" t="s">
        <v>19</v>
      </c>
      <c r="G1927" t="s">
        <v>2912</v>
      </c>
      <c r="H1927" t="s">
        <v>2913</v>
      </c>
      <c r="I1927" t="s">
        <v>22</v>
      </c>
      <c r="J1927" t="s">
        <v>23</v>
      </c>
      <c r="K1927" t="s">
        <v>312</v>
      </c>
      <c r="L1927" t="s">
        <v>584</v>
      </c>
      <c r="M1927">
        <v>65807</v>
      </c>
      <c r="N1927" t="s">
        <v>101</v>
      </c>
      <c r="O1927" t="s">
        <v>4774</v>
      </c>
      <c r="P1927" t="s">
        <v>42</v>
      </c>
      <c r="Q1927" t="s">
        <v>74</v>
      </c>
      <c r="R1927" t="s">
        <v>4775</v>
      </c>
      <c r="S1927">
        <v>33.99</v>
      </c>
    </row>
    <row r="1928" spans="1:19" x14ac:dyDescent="0.35">
      <c r="A1928">
        <v>1961</v>
      </c>
      <c r="B1928" t="s">
        <v>4773</v>
      </c>
      <c r="C1928" s="1">
        <v>43353</v>
      </c>
      <c r="D1928" s="1">
        <v>43358</v>
      </c>
      <c r="E1928" s="1" t="str">
        <f t="shared" si="30"/>
        <v>SLOW</v>
      </c>
      <c r="F1928" t="s">
        <v>19</v>
      </c>
      <c r="G1928" t="s">
        <v>2912</v>
      </c>
      <c r="H1928" t="s">
        <v>2913</v>
      </c>
      <c r="I1928" t="s">
        <v>22</v>
      </c>
      <c r="J1928" t="s">
        <v>23</v>
      </c>
      <c r="K1928" t="s">
        <v>312</v>
      </c>
      <c r="L1928" t="s">
        <v>584</v>
      </c>
      <c r="M1928">
        <v>65807</v>
      </c>
      <c r="N1928" t="s">
        <v>101</v>
      </c>
      <c r="O1928" t="s">
        <v>4295</v>
      </c>
      <c r="P1928" t="s">
        <v>67</v>
      </c>
      <c r="Q1928" t="s">
        <v>157</v>
      </c>
      <c r="R1928" t="s">
        <v>4296</v>
      </c>
      <c r="S1928">
        <v>296.85000000000002</v>
      </c>
    </row>
    <row r="1929" spans="1:19" x14ac:dyDescent="0.35">
      <c r="A1929">
        <v>1962</v>
      </c>
      <c r="B1929" t="s">
        <v>4773</v>
      </c>
      <c r="C1929" s="1">
        <v>43353</v>
      </c>
      <c r="D1929" s="1">
        <v>43358</v>
      </c>
      <c r="E1929" s="1" t="str">
        <f t="shared" si="30"/>
        <v>SLOW</v>
      </c>
      <c r="F1929" t="s">
        <v>19</v>
      </c>
      <c r="G1929" t="s">
        <v>2912</v>
      </c>
      <c r="H1929" t="s">
        <v>2913</v>
      </c>
      <c r="I1929" t="s">
        <v>22</v>
      </c>
      <c r="J1929" t="s">
        <v>23</v>
      </c>
      <c r="K1929" t="s">
        <v>312</v>
      </c>
      <c r="L1929" t="s">
        <v>584</v>
      </c>
      <c r="M1929">
        <v>65807</v>
      </c>
      <c r="N1929" t="s">
        <v>101</v>
      </c>
      <c r="O1929" t="s">
        <v>4776</v>
      </c>
      <c r="P1929" t="s">
        <v>67</v>
      </c>
      <c r="Q1929" t="s">
        <v>157</v>
      </c>
      <c r="R1929" t="s">
        <v>4777</v>
      </c>
      <c r="S1929">
        <v>112.8</v>
      </c>
    </row>
    <row r="1930" spans="1:19" x14ac:dyDescent="0.35">
      <c r="A1930">
        <v>1963</v>
      </c>
      <c r="B1930" t="s">
        <v>4773</v>
      </c>
      <c r="C1930" s="1">
        <v>43353</v>
      </c>
      <c r="D1930" s="1">
        <v>43358</v>
      </c>
      <c r="E1930" s="1" t="str">
        <f t="shared" si="30"/>
        <v>SLOW</v>
      </c>
      <c r="F1930" t="s">
        <v>19</v>
      </c>
      <c r="G1930" t="s">
        <v>2912</v>
      </c>
      <c r="H1930" t="s">
        <v>2913</v>
      </c>
      <c r="I1930" t="s">
        <v>22</v>
      </c>
      <c r="J1930" t="s">
        <v>23</v>
      </c>
      <c r="K1930" t="s">
        <v>312</v>
      </c>
      <c r="L1930" t="s">
        <v>584</v>
      </c>
      <c r="M1930">
        <v>65807</v>
      </c>
      <c r="N1930" t="s">
        <v>101</v>
      </c>
      <c r="O1930" t="s">
        <v>4778</v>
      </c>
      <c r="P1930" t="s">
        <v>42</v>
      </c>
      <c r="Q1930" t="s">
        <v>71</v>
      </c>
      <c r="R1930" t="s">
        <v>4779</v>
      </c>
      <c r="S1930">
        <v>13.71</v>
      </c>
    </row>
    <row r="1931" spans="1:19" x14ac:dyDescent="0.35">
      <c r="A1931">
        <v>1964</v>
      </c>
      <c r="B1931" t="s">
        <v>4773</v>
      </c>
      <c r="C1931" s="1">
        <v>43353</v>
      </c>
      <c r="D1931" s="1">
        <v>43358</v>
      </c>
      <c r="E1931" s="1" t="str">
        <f t="shared" si="30"/>
        <v>SLOW</v>
      </c>
      <c r="F1931" t="s">
        <v>19</v>
      </c>
      <c r="G1931" t="s">
        <v>2912</v>
      </c>
      <c r="H1931" t="s">
        <v>2913</v>
      </c>
      <c r="I1931" t="s">
        <v>22</v>
      </c>
      <c r="J1931" t="s">
        <v>23</v>
      </c>
      <c r="K1931" t="s">
        <v>312</v>
      </c>
      <c r="L1931" t="s">
        <v>584</v>
      </c>
      <c r="M1931">
        <v>65807</v>
      </c>
      <c r="N1931" t="s">
        <v>101</v>
      </c>
      <c r="O1931" t="s">
        <v>4021</v>
      </c>
      <c r="P1931" t="s">
        <v>42</v>
      </c>
      <c r="Q1931" t="s">
        <v>86</v>
      </c>
      <c r="R1931" t="s">
        <v>4022</v>
      </c>
      <c r="S1931">
        <v>24.9</v>
      </c>
    </row>
    <row r="1932" spans="1:19" x14ac:dyDescent="0.35">
      <c r="A1932">
        <v>1965</v>
      </c>
      <c r="B1932" t="s">
        <v>4773</v>
      </c>
      <c r="C1932" s="1">
        <v>43353</v>
      </c>
      <c r="D1932" s="1">
        <v>43358</v>
      </c>
      <c r="E1932" s="1" t="str">
        <f t="shared" si="30"/>
        <v>SLOW</v>
      </c>
      <c r="F1932" t="s">
        <v>19</v>
      </c>
      <c r="G1932" t="s">
        <v>2912</v>
      </c>
      <c r="H1932" t="s">
        <v>2913</v>
      </c>
      <c r="I1932" t="s">
        <v>22</v>
      </c>
      <c r="J1932" t="s">
        <v>23</v>
      </c>
      <c r="K1932" t="s">
        <v>312</v>
      </c>
      <c r="L1932" t="s">
        <v>584</v>
      </c>
      <c r="M1932">
        <v>65807</v>
      </c>
      <c r="N1932" t="s">
        <v>101</v>
      </c>
      <c r="O1932" t="s">
        <v>2400</v>
      </c>
      <c r="P1932" t="s">
        <v>42</v>
      </c>
      <c r="Q1932" t="s">
        <v>55</v>
      </c>
      <c r="R1932" t="s">
        <v>2401</v>
      </c>
      <c r="S1932">
        <v>286.29000000000002</v>
      </c>
    </row>
    <row r="1933" spans="1:19" x14ac:dyDescent="0.35">
      <c r="A1933">
        <v>1966</v>
      </c>
      <c r="B1933" t="s">
        <v>4773</v>
      </c>
      <c r="C1933" s="1">
        <v>43353</v>
      </c>
      <c r="D1933" s="1">
        <v>43358</v>
      </c>
      <c r="E1933" s="1" t="str">
        <f t="shared" si="30"/>
        <v>SLOW</v>
      </c>
      <c r="F1933" t="s">
        <v>19</v>
      </c>
      <c r="G1933" t="s">
        <v>2912</v>
      </c>
      <c r="H1933" t="s">
        <v>2913</v>
      </c>
      <c r="I1933" t="s">
        <v>22</v>
      </c>
      <c r="J1933" t="s">
        <v>23</v>
      </c>
      <c r="K1933" t="s">
        <v>312</v>
      </c>
      <c r="L1933" t="s">
        <v>584</v>
      </c>
      <c r="M1933">
        <v>65807</v>
      </c>
      <c r="N1933" t="s">
        <v>101</v>
      </c>
      <c r="O1933" t="s">
        <v>4780</v>
      </c>
      <c r="P1933" t="s">
        <v>42</v>
      </c>
      <c r="Q1933" t="s">
        <v>74</v>
      </c>
      <c r="R1933" t="s">
        <v>4781</v>
      </c>
      <c r="S1933">
        <v>24.18</v>
      </c>
    </row>
    <row r="1934" spans="1:19" x14ac:dyDescent="0.35">
      <c r="A1934">
        <v>1967</v>
      </c>
      <c r="B1934" t="s">
        <v>4782</v>
      </c>
      <c r="C1934" s="1">
        <v>43455</v>
      </c>
      <c r="D1934" s="1">
        <v>43462</v>
      </c>
      <c r="E1934" s="1" t="str">
        <f t="shared" si="30"/>
        <v>FAST</v>
      </c>
      <c r="F1934" t="s">
        <v>46</v>
      </c>
      <c r="G1934" t="s">
        <v>1752</v>
      </c>
      <c r="H1934" t="s">
        <v>1753</v>
      </c>
      <c r="I1934" t="s">
        <v>22</v>
      </c>
      <c r="J1934" t="s">
        <v>23</v>
      </c>
      <c r="K1934" t="s">
        <v>4783</v>
      </c>
      <c r="L1934" t="s">
        <v>775</v>
      </c>
      <c r="M1934">
        <v>7501</v>
      </c>
      <c r="N1934" t="s">
        <v>144</v>
      </c>
      <c r="O1934" t="s">
        <v>2066</v>
      </c>
      <c r="P1934" t="s">
        <v>67</v>
      </c>
      <c r="Q1934" t="s">
        <v>68</v>
      </c>
      <c r="R1934" t="s">
        <v>2067</v>
      </c>
      <c r="S1934">
        <v>281.97000000000003</v>
      </c>
    </row>
    <row r="1935" spans="1:19" x14ac:dyDescent="0.35">
      <c r="A1935">
        <v>1968</v>
      </c>
      <c r="B1935" t="s">
        <v>4782</v>
      </c>
      <c r="C1935" s="1">
        <v>43455</v>
      </c>
      <c r="D1935" s="1">
        <v>43462</v>
      </c>
      <c r="E1935" s="1" t="str">
        <f t="shared" si="30"/>
        <v>FAST</v>
      </c>
      <c r="F1935" t="s">
        <v>46</v>
      </c>
      <c r="G1935" t="s">
        <v>1752</v>
      </c>
      <c r="H1935" t="s">
        <v>1753</v>
      </c>
      <c r="I1935" t="s">
        <v>22</v>
      </c>
      <c r="J1935" t="s">
        <v>23</v>
      </c>
      <c r="K1935" t="s">
        <v>4783</v>
      </c>
      <c r="L1935" t="s">
        <v>775</v>
      </c>
      <c r="M1935">
        <v>7501</v>
      </c>
      <c r="N1935" t="s">
        <v>144</v>
      </c>
      <c r="O1935" t="s">
        <v>4784</v>
      </c>
      <c r="P1935" t="s">
        <v>42</v>
      </c>
      <c r="Q1935" t="s">
        <v>566</v>
      </c>
      <c r="R1935" t="s">
        <v>4785</v>
      </c>
      <c r="S1935">
        <v>69.5</v>
      </c>
    </row>
    <row r="1936" spans="1:19" x14ac:dyDescent="0.35">
      <c r="A1936">
        <v>1969</v>
      </c>
      <c r="B1936" t="s">
        <v>4782</v>
      </c>
      <c r="C1936" s="1">
        <v>43455</v>
      </c>
      <c r="D1936" s="1">
        <v>43462</v>
      </c>
      <c r="E1936" s="1" t="str">
        <f t="shared" si="30"/>
        <v>FAST</v>
      </c>
      <c r="F1936" t="s">
        <v>46</v>
      </c>
      <c r="G1936" t="s">
        <v>1752</v>
      </c>
      <c r="H1936" t="s">
        <v>1753</v>
      </c>
      <c r="I1936" t="s">
        <v>22</v>
      </c>
      <c r="J1936" t="s">
        <v>23</v>
      </c>
      <c r="K1936" t="s">
        <v>4783</v>
      </c>
      <c r="L1936" t="s">
        <v>775</v>
      </c>
      <c r="M1936">
        <v>7501</v>
      </c>
      <c r="N1936" t="s">
        <v>144</v>
      </c>
      <c r="O1936" t="s">
        <v>688</v>
      </c>
      <c r="P1936" t="s">
        <v>42</v>
      </c>
      <c r="Q1936" t="s">
        <v>86</v>
      </c>
      <c r="R1936" t="s">
        <v>689</v>
      </c>
      <c r="S1936">
        <v>166.44</v>
      </c>
    </row>
    <row r="1937" spans="1:19" x14ac:dyDescent="0.35">
      <c r="A1937">
        <v>1970</v>
      </c>
      <c r="B1937" t="s">
        <v>4786</v>
      </c>
      <c r="C1937" s="1">
        <v>43366</v>
      </c>
      <c r="D1937" s="1">
        <v>43372</v>
      </c>
      <c r="E1937" s="1" t="str">
        <f t="shared" si="30"/>
        <v>FAST</v>
      </c>
      <c r="F1937" t="s">
        <v>46</v>
      </c>
      <c r="G1937" t="s">
        <v>1850</v>
      </c>
      <c r="H1937" t="s">
        <v>1851</v>
      </c>
      <c r="I1937" t="s">
        <v>22</v>
      </c>
      <c r="J1937" t="s">
        <v>23</v>
      </c>
      <c r="K1937" t="s">
        <v>4507</v>
      </c>
      <c r="L1937" t="s">
        <v>637</v>
      </c>
      <c r="M1937">
        <v>74133</v>
      </c>
      <c r="N1937" t="s">
        <v>101</v>
      </c>
      <c r="O1937" t="s">
        <v>719</v>
      </c>
      <c r="P1937" t="s">
        <v>67</v>
      </c>
      <c r="Q1937" t="s">
        <v>157</v>
      </c>
      <c r="R1937" t="s">
        <v>720</v>
      </c>
      <c r="S1937">
        <v>291.95999999999998</v>
      </c>
    </row>
    <row r="1938" spans="1:19" x14ac:dyDescent="0.35">
      <c r="A1938">
        <v>1971</v>
      </c>
      <c r="B1938" t="s">
        <v>4787</v>
      </c>
      <c r="C1938" s="1">
        <v>43226</v>
      </c>
      <c r="D1938" s="1">
        <v>43231</v>
      </c>
      <c r="E1938" s="1" t="str">
        <f t="shared" si="30"/>
        <v>FAST</v>
      </c>
      <c r="F1938" t="s">
        <v>46</v>
      </c>
      <c r="G1938" t="s">
        <v>4438</v>
      </c>
      <c r="H1938" t="s">
        <v>4439</v>
      </c>
      <c r="I1938" t="s">
        <v>98</v>
      </c>
      <c r="J1938" t="s">
        <v>23</v>
      </c>
      <c r="K1938" t="s">
        <v>297</v>
      </c>
      <c r="L1938" t="s">
        <v>205</v>
      </c>
      <c r="M1938">
        <v>60623</v>
      </c>
      <c r="N1938" t="s">
        <v>101</v>
      </c>
      <c r="O1938" t="s">
        <v>4456</v>
      </c>
      <c r="P1938" t="s">
        <v>42</v>
      </c>
      <c r="Q1938" t="s">
        <v>64</v>
      </c>
      <c r="R1938" t="s">
        <v>4457</v>
      </c>
      <c r="S1938">
        <v>6.4080000000000004</v>
      </c>
    </row>
    <row r="1939" spans="1:19" x14ac:dyDescent="0.35">
      <c r="A1939">
        <v>1972</v>
      </c>
      <c r="B1939" t="s">
        <v>4787</v>
      </c>
      <c r="C1939" s="1">
        <v>43226</v>
      </c>
      <c r="D1939" s="1">
        <v>43231</v>
      </c>
      <c r="E1939" s="1" t="str">
        <f t="shared" si="30"/>
        <v>FAST</v>
      </c>
      <c r="F1939" t="s">
        <v>46</v>
      </c>
      <c r="G1939" t="s">
        <v>4438</v>
      </c>
      <c r="H1939" t="s">
        <v>4439</v>
      </c>
      <c r="I1939" t="s">
        <v>98</v>
      </c>
      <c r="J1939" t="s">
        <v>23</v>
      </c>
      <c r="K1939" t="s">
        <v>297</v>
      </c>
      <c r="L1939" t="s">
        <v>205</v>
      </c>
      <c r="M1939">
        <v>60623</v>
      </c>
      <c r="N1939" t="s">
        <v>101</v>
      </c>
      <c r="O1939" t="s">
        <v>719</v>
      </c>
      <c r="P1939" t="s">
        <v>67</v>
      </c>
      <c r="Q1939" t="s">
        <v>157</v>
      </c>
      <c r="R1939" t="s">
        <v>720</v>
      </c>
      <c r="S1939">
        <v>408.74400000000003</v>
      </c>
    </row>
    <row r="1940" spans="1:19" x14ac:dyDescent="0.35">
      <c r="A1940">
        <v>1973</v>
      </c>
      <c r="B1940" t="s">
        <v>4788</v>
      </c>
      <c r="C1940" s="1">
        <v>42352</v>
      </c>
      <c r="D1940" s="1">
        <v>42357</v>
      </c>
      <c r="E1940" s="1" t="str">
        <f t="shared" si="30"/>
        <v>FAST</v>
      </c>
      <c r="F1940" t="s">
        <v>46</v>
      </c>
      <c r="G1940" t="s">
        <v>4789</v>
      </c>
      <c r="H1940" t="s">
        <v>4790</v>
      </c>
      <c r="I1940" t="s">
        <v>22</v>
      </c>
      <c r="J1940" t="s">
        <v>23</v>
      </c>
      <c r="K1940" t="s">
        <v>297</v>
      </c>
      <c r="L1940" t="s">
        <v>205</v>
      </c>
      <c r="M1940">
        <v>60610</v>
      </c>
      <c r="N1940" t="s">
        <v>101</v>
      </c>
      <c r="O1940" t="s">
        <v>4791</v>
      </c>
      <c r="P1940" t="s">
        <v>42</v>
      </c>
      <c r="Q1940" t="s">
        <v>71</v>
      </c>
      <c r="R1940" t="s">
        <v>4792</v>
      </c>
      <c r="S1940">
        <v>5.1040000000000001</v>
      </c>
    </row>
    <row r="1941" spans="1:19" x14ac:dyDescent="0.35">
      <c r="A1941">
        <v>1974</v>
      </c>
      <c r="B1941" t="s">
        <v>4788</v>
      </c>
      <c r="C1941" s="1">
        <v>42352</v>
      </c>
      <c r="D1941" s="1">
        <v>42357</v>
      </c>
      <c r="E1941" s="1" t="str">
        <f t="shared" si="30"/>
        <v>FAST</v>
      </c>
      <c r="F1941" t="s">
        <v>46</v>
      </c>
      <c r="G1941" t="s">
        <v>4789</v>
      </c>
      <c r="H1941" t="s">
        <v>4790</v>
      </c>
      <c r="I1941" t="s">
        <v>22</v>
      </c>
      <c r="J1941" t="s">
        <v>23</v>
      </c>
      <c r="K1941" t="s">
        <v>297</v>
      </c>
      <c r="L1941" t="s">
        <v>205</v>
      </c>
      <c r="M1941">
        <v>60610</v>
      </c>
      <c r="N1941" t="s">
        <v>101</v>
      </c>
      <c r="O1941" t="s">
        <v>3113</v>
      </c>
      <c r="P1941" t="s">
        <v>42</v>
      </c>
      <c r="Q1941" t="s">
        <v>263</v>
      </c>
      <c r="R1941" t="s">
        <v>3114</v>
      </c>
      <c r="S1941">
        <v>2.8959999999999999</v>
      </c>
    </row>
    <row r="1942" spans="1:19" x14ac:dyDescent="0.35">
      <c r="A1942">
        <v>1975</v>
      </c>
      <c r="B1942" t="s">
        <v>4788</v>
      </c>
      <c r="C1942" s="1">
        <v>42352</v>
      </c>
      <c r="D1942" s="1">
        <v>42357</v>
      </c>
      <c r="E1942" s="1" t="str">
        <f t="shared" si="30"/>
        <v>FAST</v>
      </c>
      <c r="F1942" t="s">
        <v>46</v>
      </c>
      <c r="G1942" t="s">
        <v>4789</v>
      </c>
      <c r="H1942" t="s">
        <v>4790</v>
      </c>
      <c r="I1942" t="s">
        <v>22</v>
      </c>
      <c r="J1942" t="s">
        <v>23</v>
      </c>
      <c r="K1942" t="s">
        <v>297</v>
      </c>
      <c r="L1942" t="s">
        <v>205</v>
      </c>
      <c r="M1942">
        <v>60610</v>
      </c>
      <c r="N1942" t="s">
        <v>101</v>
      </c>
      <c r="O1942" t="s">
        <v>4793</v>
      </c>
      <c r="P1942" t="s">
        <v>67</v>
      </c>
      <c r="Q1942" t="s">
        <v>157</v>
      </c>
      <c r="R1942" t="s">
        <v>4794</v>
      </c>
      <c r="S1942">
        <v>35.015999999999998</v>
      </c>
    </row>
    <row r="1943" spans="1:19" x14ac:dyDescent="0.35">
      <c r="A1943">
        <v>1976</v>
      </c>
      <c r="B1943" t="s">
        <v>4795</v>
      </c>
      <c r="C1943" s="1">
        <v>42295</v>
      </c>
      <c r="D1943" s="1">
        <v>42297</v>
      </c>
      <c r="E1943" s="1" t="str">
        <f t="shared" si="30"/>
        <v>SLOW</v>
      </c>
      <c r="F1943" t="s">
        <v>19</v>
      </c>
      <c r="G1943" t="s">
        <v>1096</v>
      </c>
      <c r="H1943" t="s">
        <v>1097</v>
      </c>
      <c r="I1943" t="s">
        <v>37</v>
      </c>
      <c r="J1943" t="s">
        <v>23</v>
      </c>
      <c r="K1943" t="s">
        <v>1797</v>
      </c>
      <c r="L1943" t="s">
        <v>350</v>
      </c>
      <c r="M1943">
        <v>36116</v>
      </c>
      <c r="N1943" t="s">
        <v>26</v>
      </c>
      <c r="O1943" t="s">
        <v>826</v>
      </c>
      <c r="P1943" t="s">
        <v>42</v>
      </c>
      <c r="Q1943" t="s">
        <v>55</v>
      </c>
      <c r="R1943" t="s">
        <v>827</v>
      </c>
      <c r="S1943">
        <v>275.97000000000003</v>
      </c>
    </row>
    <row r="1944" spans="1:19" x14ac:dyDescent="0.35">
      <c r="A1944">
        <v>1977</v>
      </c>
      <c r="B1944" t="s">
        <v>4795</v>
      </c>
      <c r="C1944" s="1">
        <v>42295</v>
      </c>
      <c r="D1944" s="1">
        <v>42297</v>
      </c>
      <c r="E1944" s="1" t="str">
        <f t="shared" si="30"/>
        <v>SLOW</v>
      </c>
      <c r="F1944" t="s">
        <v>19</v>
      </c>
      <c r="G1944" t="s">
        <v>1096</v>
      </c>
      <c r="H1944" t="s">
        <v>1097</v>
      </c>
      <c r="I1944" t="s">
        <v>37</v>
      </c>
      <c r="J1944" t="s">
        <v>23</v>
      </c>
      <c r="K1944" t="s">
        <v>1797</v>
      </c>
      <c r="L1944" t="s">
        <v>350</v>
      </c>
      <c r="M1944">
        <v>36116</v>
      </c>
      <c r="N1944" t="s">
        <v>26</v>
      </c>
      <c r="O1944" t="s">
        <v>4796</v>
      </c>
      <c r="P1944" t="s">
        <v>67</v>
      </c>
      <c r="Q1944" t="s">
        <v>68</v>
      </c>
      <c r="R1944" t="s">
        <v>4797</v>
      </c>
      <c r="S1944">
        <v>1394.95</v>
      </c>
    </row>
    <row r="1945" spans="1:19" x14ac:dyDescent="0.35">
      <c r="A1945">
        <v>1978</v>
      </c>
      <c r="B1945" t="s">
        <v>4795</v>
      </c>
      <c r="C1945" s="1">
        <v>42295</v>
      </c>
      <c r="D1945" s="1">
        <v>42297</v>
      </c>
      <c r="E1945" s="1" t="str">
        <f t="shared" si="30"/>
        <v>SLOW</v>
      </c>
      <c r="F1945" t="s">
        <v>19</v>
      </c>
      <c r="G1945" t="s">
        <v>1096</v>
      </c>
      <c r="H1945" t="s">
        <v>1097</v>
      </c>
      <c r="I1945" t="s">
        <v>37</v>
      </c>
      <c r="J1945" t="s">
        <v>23</v>
      </c>
      <c r="K1945" t="s">
        <v>1797</v>
      </c>
      <c r="L1945" t="s">
        <v>350</v>
      </c>
      <c r="M1945">
        <v>36116</v>
      </c>
      <c r="N1945" t="s">
        <v>26</v>
      </c>
      <c r="O1945" t="s">
        <v>4798</v>
      </c>
      <c r="P1945" t="s">
        <v>28</v>
      </c>
      <c r="Q1945" t="s">
        <v>32</v>
      </c>
      <c r="R1945" t="s">
        <v>4799</v>
      </c>
      <c r="S1945">
        <v>545.88</v>
      </c>
    </row>
    <row r="1946" spans="1:19" x14ac:dyDescent="0.35">
      <c r="A1946">
        <v>1979</v>
      </c>
      <c r="B1946" t="s">
        <v>4800</v>
      </c>
      <c r="C1946" s="1">
        <v>42498</v>
      </c>
      <c r="D1946" s="1">
        <v>42502</v>
      </c>
      <c r="E1946" s="1" t="str">
        <f t="shared" si="30"/>
        <v>FAST</v>
      </c>
      <c r="F1946" t="s">
        <v>46</v>
      </c>
      <c r="G1946" t="s">
        <v>1801</v>
      </c>
      <c r="H1946" t="s">
        <v>1802</v>
      </c>
      <c r="I1946" t="s">
        <v>22</v>
      </c>
      <c r="J1946" t="s">
        <v>23</v>
      </c>
      <c r="K1946" t="s">
        <v>1956</v>
      </c>
      <c r="L1946" t="s">
        <v>410</v>
      </c>
      <c r="M1946">
        <v>97301</v>
      </c>
      <c r="N1946" t="s">
        <v>40</v>
      </c>
      <c r="O1946" t="s">
        <v>4801</v>
      </c>
      <c r="P1946" t="s">
        <v>42</v>
      </c>
      <c r="Q1946" t="s">
        <v>64</v>
      </c>
      <c r="R1946" t="s">
        <v>4802</v>
      </c>
      <c r="S1946">
        <v>5.2480000000000002</v>
      </c>
    </row>
    <row r="1947" spans="1:19" x14ac:dyDescent="0.35">
      <c r="A1947">
        <v>1980</v>
      </c>
      <c r="B1947" t="s">
        <v>4803</v>
      </c>
      <c r="C1947" s="1">
        <v>42839</v>
      </c>
      <c r="D1947" s="1">
        <v>42839</v>
      </c>
      <c r="E1947" s="1" t="str">
        <f t="shared" si="30"/>
        <v>MODERATE</v>
      </c>
      <c r="F1947" t="s">
        <v>1276</v>
      </c>
      <c r="G1947" t="s">
        <v>3706</v>
      </c>
      <c r="H1947" t="s">
        <v>3707</v>
      </c>
      <c r="I1947" t="s">
        <v>22</v>
      </c>
      <c r="J1947" t="s">
        <v>23</v>
      </c>
      <c r="K1947" t="s">
        <v>3906</v>
      </c>
      <c r="L1947" t="s">
        <v>304</v>
      </c>
      <c r="M1947">
        <v>85301</v>
      </c>
      <c r="N1947" t="s">
        <v>40</v>
      </c>
      <c r="O1947" t="s">
        <v>1124</v>
      </c>
      <c r="P1947" t="s">
        <v>28</v>
      </c>
      <c r="Q1947" t="s">
        <v>32</v>
      </c>
      <c r="R1947" t="s">
        <v>1125</v>
      </c>
      <c r="S1947">
        <v>933.53599999999994</v>
      </c>
    </row>
    <row r="1948" spans="1:19" x14ac:dyDescent="0.35">
      <c r="A1948">
        <v>1981</v>
      </c>
      <c r="B1948" t="s">
        <v>4803</v>
      </c>
      <c r="C1948" s="1">
        <v>42839</v>
      </c>
      <c r="D1948" s="1">
        <v>42839</v>
      </c>
      <c r="E1948" s="1" t="str">
        <f t="shared" si="30"/>
        <v>MODERATE</v>
      </c>
      <c r="F1948" t="s">
        <v>1276</v>
      </c>
      <c r="G1948" t="s">
        <v>3706</v>
      </c>
      <c r="H1948" t="s">
        <v>3707</v>
      </c>
      <c r="I1948" t="s">
        <v>22</v>
      </c>
      <c r="J1948" t="s">
        <v>23</v>
      </c>
      <c r="K1948" t="s">
        <v>3906</v>
      </c>
      <c r="L1948" t="s">
        <v>304</v>
      </c>
      <c r="M1948">
        <v>85301</v>
      </c>
      <c r="N1948" t="s">
        <v>40</v>
      </c>
      <c r="O1948" t="s">
        <v>941</v>
      </c>
      <c r="P1948" t="s">
        <v>42</v>
      </c>
      <c r="Q1948" t="s">
        <v>55</v>
      </c>
      <c r="R1948" t="s">
        <v>942</v>
      </c>
      <c r="S1948">
        <v>42.975999999999999</v>
      </c>
    </row>
    <row r="1949" spans="1:19" x14ac:dyDescent="0.35">
      <c r="A1949">
        <v>1983</v>
      </c>
      <c r="B1949" t="s">
        <v>4804</v>
      </c>
      <c r="C1949" s="1">
        <v>42341</v>
      </c>
      <c r="D1949" s="1">
        <v>42347</v>
      </c>
      <c r="E1949" s="1" t="str">
        <f t="shared" si="30"/>
        <v>FAST</v>
      </c>
      <c r="F1949" t="s">
        <v>46</v>
      </c>
      <c r="G1949" t="s">
        <v>1350</v>
      </c>
      <c r="H1949" t="s">
        <v>1351</v>
      </c>
      <c r="I1949" t="s">
        <v>22</v>
      </c>
      <c r="J1949" t="s">
        <v>23</v>
      </c>
      <c r="K1949" t="s">
        <v>4805</v>
      </c>
      <c r="L1949" t="s">
        <v>637</v>
      </c>
      <c r="M1949">
        <v>73120</v>
      </c>
      <c r="N1949" t="s">
        <v>101</v>
      </c>
      <c r="O1949" t="s">
        <v>4806</v>
      </c>
      <c r="P1949" t="s">
        <v>67</v>
      </c>
      <c r="Q1949" t="s">
        <v>68</v>
      </c>
      <c r="R1949" t="s">
        <v>4807</v>
      </c>
      <c r="S1949">
        <v>479.96</v>
      </c>
    </row>
    <row r="1950" spans="1:19" x14ac:dyDescent="0.35">
      <c r="A1950">
        <v>1984</v>
      </c>
      <c r="B1950" t="s">
        <v>4808</v>
      </c>
      <c r="C1950" s="1">
        <v>42333</v>
      </c>
      <c r="D1950" s="1">
        <v>42335</v>
      </c>
      <c r="E1950" s="1" t="str">
        <f t="shared" si="30"/>
        <v>SLOW</v>
      </c>
      <c r="F1950" t="s">
        <v>19</v>
      </c>
      <c r="G1950" t="s">
        <v>3607</v>
      </c>
      <c r="H1950" t="s">
        <v>3608</v>
      </c>
      <c r="I1950" t="s">
        <v>37</v>
      </c>
      <c r="J1950" t="s">
        <v>23</v>
      </c>
      <c r="K1950" t="s">
        <v>979</v>
      </c>
      <c r="L1950" t="s">
        <v>39</v>
      </c>
      <c r="M1950">
        <v>94513</v>
      </c>
      <c r="N1950" t="s">
        <v>40</v>
      </c>
      <c r="O1950" t="s">
        <v>2509</v>
      </c>
      <c r="P1950" t="s">
        <v>42</v>
      </c>
      <c r="Q1950" t="s">
        <v>74</v>
      </c>
      <c r="R1950" t="s">
        <v>2510</v>
      </c>
      <c r="S1950">
        <v>320.88</v>
      </c>
    </row>
    <row r="1951" spans="1:19" x14ac:dyDescent="0.35">
      <c r="A1951">
        <v>1985</v>
      </c>
      <c r="B1951" t="s">
        <v>4808</v>
      </c>
      <c r="C1951" s="1">
        <v>42333</v>
      </c>
      <c r="D1951" s="1">
        <v>42335</v>
      </c>
      <c r="E1951" s="1" t="str">
        <f t="shared" si="30"/>
        <v>SLOW</v>
      </c>
      <c r="F1951" t="s">
        <v>19</v>
      </c>
      <c r="G1951" t="s">
        <v>3607</v>
      </c>
      <c r="H1951" t="s">
        <v>3608</v>
      </c>
      <c r="I1951" t="s">
        <v>37</v>
      </c>
      <c r="J1951" t="s">
        <v>23</v>
      </c>
      <c r="K1951" t="s">
        <v>979</v>
      </c>
      <c r="L1951" t="s">
        <v>39</v>
      </c>
      <c r="M1951">
        <v>94513</v>
      </c>
      <c r="N1951" t="s">
        <v>40</v>
      </c>
      <c r="O1951" t="s">
        <v>2859</v>
      </c>
      <c r="P1951" t="s">
        <v>28</v>
      </c>
      <c r="Q1951" t="s">
        <v>61</v>
      </c>
      <c r="R1951" t="s">
        <v>910</v>
      </c>
      <c r="S1951">
        <v>23.88</v>
      </c>
    </row>
    <row r="1952" spans="1:19" x14ac:dyDescent="0.35">
      <c r="A1952">
        <v>1986</v>
      </c>
      <c r="B1952" t="s">
        <v>4808</v>
      </c>
      <c r="C1952" s="1">
        <v>42333</v>
      </c>
      <c r="D1952" s="1">
        <v>42335</v>
      </c>
      <c r="E1952" s="1" t="str">
        <f t="shared" si="30"/>
        <v>SLOW</v>
      </c>
      <c r="F1952" t="s">
        <v>19</v>
      </c>
      <c r="G1952" t="s">
        <v>3607</v>
      </c>
      <c r="H1952" t="s">
        <v>3608</v>
      </c>
      <c r="I1952" t="s">
        <v>37</v>
      </c>
      <c r="J1952" t="s">
        <v>23</v>
      </c>
      <c r="K1952" t="s">
        <v>979</v>
      </c>
      <c r="L1952" t="s">
        <v>39</v>
      </c>
      <c r="M1952">
        <v>94513</v>
      </c>
      <c r="N1952" t="s">
        <v>40</v>
      </c>
      <c r="O1952" t="s">
        <v>4211</v>
      </c>
      <c r="P1952" t="s">
        <v>42</v>
      </c>
      <c r="Q1952" t="s">
        <v>86</v>
      </c>
      <c r="R1952" t="s">
        <v>4212</v>
      </c>
      <c r="S1952">
        <v>26.76</v>
      </c>
    </row>
    <row r="1953" spans="1:19" x14ac:dyDescent="0.35">
      <c r="A1953">
        <v>1987</v>
      </c>
      <c r="B1953" t="s">
        <v>4809</v>
      </c>
      <c r="C1953" s="1">
        <v>42941</v>
      </c>
      <c r="D1953" s="1">
        <v>42943</v>
      </c>
      <c r="E1953" s="1" t="str">
        <f t="shared" si="30"/>
        <v>MODERATE</v>
      </c>
      <c r="F1953" t="s">
        <v>184</v>
      </c>
      <c r="G1953" t="s">
        <v>4810</v>
      </c>
      <c r="H1953" t="s">
        <v>4811</v>
      </c>
      <c r="I1953" t="s">
        <v>22</v>
      </c>
      <c r="J1953" t="s">
        <v>23</v>
      </c>
      <c r="K1953" t="s">
        <v>484</v>
      </c>
      <c r="L1953" t="s">
        <v>485</v>
      </c>
      <c r="M1953">
        <v>43229</v>
      </c>
      <c r="N1953" t="s">
        <v>144</v>
      </c>
      <c r="O1953" t="s">
        <v>1203</v>
      </c>
      <c r="P1953" t="s">
        <v>67</v>
      </c>
      <c r="Q1953" t="s">
        <v>1204</v>
      </c>
      <c r="R1953" t="s">
        <v>1205</v>
      </c>
      <c r="S1953">
        <v>1439.9760000000001</v>
      </c>
    </row>
    <row r="1954" spans="1:19" x14ac:dyDescent="0.35">
      <c r="A1954">
        <v>1988</v>
      </c>
      <c r="B1954" t="s">
        <v>4812</v>
      </c>
      <c r="C1954" s="1">
        <v>42683</v>
      </c>
      <c r="D1954" s="1">
        <v>42687</v>
      </c>
      <c r="E1954" s="1" t="str">
        <f t="shared" si="30"/>
        <v>FAST</v>
      </c>
      <c r="F1954" t="s">
        <v>46</v>
      </c>
      <c r="G1954" t="s">
        <v>4667</v>
      </c>
      <c r="H1954" t="s">
        <v>4668</v>
      </c>
      <c r="I1954" t="s">
        <v>22</v>
      </c>
      <c r="J1954" t="s">
        <v>23</v>
      </c>
      <c r="K1954" t="s">
        <v>312</v>
      </c>
      <c r="L1954" t="s">
        <v>584</v>
      </c>
      <c r="M1954">
        <v>65807</v>
      </c>
      <c r="N1954" t="s">
        <v>101</v>
      </c>
      <c r="O1954" t="s">
        <v>4813</v>
      </c>
      <c r="P1954" t="s">
        <v>42</v>
      </c>
      <c r="Q1954" t="s">
        <v>71</v>
      </c>
      <c r="R1954" t="s">
        <v>4814</v>
      </c>
      <c r="S1954">
        <v>17.22</v>
      </c>
    </row>
    <row r="1955" spans="1:19" x14ac:dyDescent="0.35">
      <c r="A1955">
        <v>1989</v>
      </c>
      <c r="B1955" t="s">
        <v>4812</v>
      </c>
      <c r="C1955" s="1">
        <v>42683</v>
      </c>
      <c r="D1955" s="1">
        <v>42687</v>
      </c>
      <c r="E1955" s="1" t="str">
        <f t="shared" si="30"/>
        <v>FAST</v>
      </c>
      <c r="F1955" t="s">
        <v>46</v>
      </c>
      <c r="G1955" t="s">
        <v>4667</v>
      </c>
      <c r="H1955" t="s">
        <v>4668</v>
      </c>
      <c r="I1955" t="s">
        <v>22</v>
      </c>
      <c r="J1955" t="s">
        <v>23</v>
      </c>
      <c r="K1955" t="s">
        <v>312</v>
      </c>
      <c r="L1955" t="s">
        <v>584</v>
      </c>
      <c r="M1955">
        <v>65807</v>
      </c>
      <c r="N1955" t="s">
        <v>101</v>
      </c>
      <c r="O1955" t="s">
        <v>4815</v>
      </c>
      <c r="P1955" t="s">
        <v>28</v>
      </c>
      <c r="Q1955" t="s">
        <v>52</v>
      </c>
      <c r="R1955" t="s">
        <v>4816</v>
      </c>
      <c r="S1955">
        <v>1024.3800000000001</v>
      </c>
    </row>
    <row r="1956" spans="1:19" x14ac:dyDescent="0.35">
      <c r="A1956">
        <v>1991</v>
      </c>
      <c r="B1956" t="s">
        <v>4812</v>
      </c>
      <c r="C1956" s="1">
        <v>42683</v>
      </c>
      <c r="D1956" s="1">
        <v>42687</v>
      </c>
      <c r="E1956" s="1" t="str">
        <f t="shared" si="30"/>
        <v>FAST</v>
      </c>
      <c r="F1956" t="s">
        <v>46</v>
      </c>
      <c r="G1956" t="s">
        <v>4667</v>
      </c>
      <c r="H1956" t="s">
        <v>4668</v>
      </c>
      <c r="I1956" t="s">
        <v>22</v>
      </c>
      <c r="J1956" t="s">
        <v>23</v>
      </c>
      <c r="K1956" t="s">
        <v>312</v>
      </c>
      <c r="L1956" t="s">
        <v>584</v>
      </c>
      <c r="M1956">
        <v>65807</v>
      </c>
      <c r="N1956" t="s">
        <v>101</v>
      </c>
      <c r="O1956" t="s">
        <v>4817</v>
      </c>
      <c r="P1956" t="s">
        <v>42</v>
      </c>
      <c r="Q1956" t="s">
        <v>86</v>
      </c>
      <c r="R1956" t="s">
        <v>4818</v>
      </c>
      <c r="S1956">
        <v>17.34</v>
      </c>
    </row>
    <row r="1957" spans="1:19" x14ac:dyDescent="0.35">
      <c r="A1957">
        <v>1992</v>
      </c>
      <c r="B1957" t="s">
        <v>4819</v>
      </c>
      <c r="C1957" s="1">
        <v>43155</v>
      </c>
      <c r="D1957" s="1">
        <v>43159</v>
      </c>
      <c r="E1957" s="1" t="str">
        <f t="shared" si="30"/>
        <v>FAST</v>
      </c>
      <c r="F1957" t="s">
        <v>46</v>
      </c>
      <c r="G1957" t="s">
        <v>4810</v>
      </c>
      <c r="H1957" t="s">
        <v>4811</v>
      </c>
      <c r="I1957" t="s">
        <v>22</v>
      </c>
      <c r="J1957" t="s">
        <v>23</v>
      </c>
      <c r="K1957" t="s">
        <v>142</v>
      </c>
      <c r="L1957" t="s">
        <v>143</v>
      </c>
      <c r="M1957">
        <v>19134</v>
      </c>
      <c r="N1957" t="s">
        <v>144</v>
      </c>
      <c r="O1957" t="s">
        <v>3554</v>
      </c>
      <c r="P1957" t="s">
        <v>42</v>
      </c>
      <c r="Q1957" t="s">
        <v>71</v>
      </c>
      <c r="R1957" t="s">
        <v>3555</v>
      </c>
      <c r="S1957">
        <v>4.9560000000000004</v>
      </c>
    </row>
    <row r="1958" spans="1:19" x14ac:dyDescent="0.35">
      <c r="A1958">
        <v>1993</v>
      </c>
      <c r="B1958" t="s">
        <v>4820</v>
      </c>
      <c r="C1958" s="1">
        <v>43276</v>
      </c>
      <c r="D1958" s="1">
        <v>43283</v>
      </c>
      <c r="E1958" s="1" t="str">
        <f t="shared" si="30"/>
        <v>FAST</v>
      </c>
      <c r="F1958" t="s">
        <v>46</v>
      </c>
      <c r="G1958" t="s">
        <v>4438</v>
      </c>
      <c r="H1958" t="s">
        <v>4439</v>
      </c>
      <c r="I1958" t="s">
        <v>98</v>
      </c>
      <c r="J1958" t="s">
        <v>23</v>
      </c>
      <c r="K1958" t="s">
        <v>312</v>
      </c>
      <c r="L1958" t="s">
        <v>410</v>
      </c>
      <c r="M1958">
        <v>97477</v>
      </c>
      <c r="N1958" t="s">
        <v>40</v>
      </c>
      <c r="O1958" t="s">
        <v>1647</v>
      </c>
      <c r="P1958" t="s">
        <v>42</v>
      </c>
      <c r="Q1958" t="s">
        <v>43</v>
      </c>
      <c r="R1958" t="s">
        <v>1648</v>
      </c>
      <c r="S1958">
        <v>71.040000000000006</v>
      </c>
    </row>
    <row r="1959" spans="1:19" x14ac:dyDescent="0.35">
      <c r="A1959">
        <v>1994</v>
      </c>
      <c r="B1959" t="s">
        <v>4820</v>
      </c>
      <c r="C1959" s="1">
        <v>43276</v>
      </c>
      <c r="D1959" s="1">
        <v>43283</v>
      </c>
      <c r="E1959" s="1" t="str">
        <f t="shared" si="30"/>
        <v>FAST</v>
      </c>
      <c r="F1959" t="s">
        <v>46</v>
      </c>
      <c r="G1959" t="s">
        <v>4438</v>
      </c>
      <c r="H1959" t="s">
        <v>4439</v>
      </c>
      <c r="I1959" t="s">
        <v>98</v>
      </c>
      <c r="J1959" t="s">
        <v>23</v>
      </c>
      <c r="K1959" t="s">
        <v>312</v>
      </c>
      <c r="L1959" t="s">
        <v>410</v>
      </c>
      <c r="M1959">
        <v>97477</v>
      </c>
      <c r="N1959" t="s">
        <v>40</v>
      </c>
      <c r="O1959" t="s">
        <v>4821</v>
      </c>
      <c r="P1959" t="s">
        <v>42</v>
      </c>
      <c r="Q1959" t="s">
        <v>64</v>
      </c>
      <c r="R1959" t="s">
        <v>4822</v>
      </c>
      <c r="S1959">
        <v>5.3440000000000003</v>
      </c>
    </row>
    <row r="1960" spans="1:19" x14ac:dyDescent="0.35">
      <c r="A1960">
        <v>1995</v>
      </c>
      <c r="B1960" t="s">
        <v>4820</v>
      </c>
      <c r="C1960" s="1">
        <v>43276</v>
      </c>
      <c r="D1960" s="1">
        <v>43283</v>
      </c>
      <c r="E1960" s="1" t="str">
        <f t="shared" si="30"/>
        <v>FAST</v>
      </c>
      <c r="F1960" t="s">
        <v>46</v>
      </c>
      <c r="G1960" t="s">
        <v>4438</v>
      </c>
      <c r="H1960" t="s">
        <v>4439</v>
      </c>
      <c r="I1960" t="s">
        <v>98</v>
      </c>
      <c r="J1960" t="s">
        <v>23</v>
      </c>
      <c r="K1960" t="s">
        <v>312</v>
      </c>
      <c r="L1960" t="s">
        <v>410</v>
      </c>
      <c r="M1960">
        <v>97477</v>
      </c>
      <c r="N1960" t="s">
        <v>40</v>
      </c>
      <c r="O1960" t="s">
        <v>4823</v>
      </c>
      <c r="P1960" t="s">
        <v>42</v>
      </c>
      <c r="Q1960" t="s">
        <v>263</v>
      </c>
      <c r="R1960" t="s">
        <v>4824</v>
      </c>
      <c r="S1960">
        <v>11.304</v>
      </c>
    </row>
    <row r="1961" spans="1:19" x14ac:dyDescent="0.35">
      <c r="A1961">
        <v>1997</v>
      </c>
      <c r="B1961" t="s">
        <v>4825</v>
      </c>
      <c r="C1961" s="1">
        <v>43436</v>
      </c>
      <c r="D1961" s="1">
        <v>43438</v>
      </c>
      <c r="E1961" s="1" t="str">
        <f t="shared" si="30"/>
        <v>SLOW</v>
      </c>
      <c r="F1961" t="s">
        <v>19</v>
      </c>
      <c r="G1961" t="s">
        <v>4826</v>
      </c>
      <c r="H1961" t="s">
        <v>4827</v>
      </c>
      <c r="I1961" t="s">
        <v>22</v>
      </c>
      <c r="J1961" t="s">
        <v>23</v>
      </c>
      <c r="K1961" t="s">
        <v>180</v>
      </c>
      <c r="L1961" t="s">
        <v>100</v>
      </c>
      <c r="M1961">
        <v>77036</v>
      </c>
      <c r="N1961" t="s">
        <v>101</v>
      </c>
      <c r="O1961" t="s">
        <v>1890</v>
      </c>
      <c r="P1961" t="s">
        <v>28</v>
      </c>
      <c r="Q1961" t="s">
        <v>61</v>
      </c>
      <c r="R1961" t="s">
        <v>1891</v>
      </c>
      <c r="S1961">
        <v>8.7520000000000007</v>
      </c>
    </row>
    <row r="1962" spans="1:19" x14ac:dyDescent="0.35">
      <c r="A1962">
        <v>1998</v>
      </c>
      <c r="B1962" t="s">
        <v>4828</v>
      </c>
      <c r="C1962" s="1">
        <v>42041</v>
      </c>
      <c r="D1962" s="1">
        <v>42044</v>
      </c>
      <c r="E1962" s="1" t="str">
        <f t="shared" si="30"/>
        <v>MODERATE</v>
      </c>
      <c r="F1962" t="s">
        <v>184</v>
      </c>
      <c r="G1962" t="s">
        <v>4551</v>
      </c>
      <c r="H1962" t="s">
        <v>4552</v>
      </c>
      <c r="I1962" t="s">
        <v>37</v>
      </c>
      <c r="J1962" t="s">
        <v>23</v>
      </c>
      <c r="K1962" t="s">
        <v>4829</v>
      </c>
      <c r="L1962" t="s">
        <v>313</v>
      </c>
      <c r="M1962">
        <v>23320</v>
      </c>
      <c r="N1962" t="s">
        <v>26</v>
      </c>
      <c r="O1962" t="s">
        <v>2099</v>
      </c>
      <c r="P1962" t="s">
        <v>42</v>
      </c>
      <c r="Q1962" t="s">
        <v>43</v>
      </c>
      <c r="R1962" t="s">
        <v>2100</v>
      </c>
      <c r="S1962">
        <v>15</v>
      </c>
    </row>
    <row r="1963" spans="1:19" x14ac:dyDescent="0.35">
      <c r="A1963">
        <v>1999</v>
      </c>
      <c r="B1963" t="s">
        <v>4828</v>
      </c>
      <c r="C1963" s="1">
        <v>42041</v>
      </c>
      <c r="D1963" s="1">
        <v>42044</v>
      </c>
      <c r="E1963" s="1" t="str">
        <f t="shared" si="30"/>
        <v>MODERATE</v>
      </c>
      <c r="F1963" t="s">
        <v>184</v>
      </c>
      <c r="G1963" t="s">
        <v>4551</v>
      </c>
      <c r="H1963" t="s">
        <v>4552</v>
      </c>
      <c r="I1963" t="s">
        <v>37</v>
      </c>
      <c r="J1963" t="s">
        <v>23</v>
      </c>
      <c r="K1963" t="s">
        <v>4829</v>
      </c>
      <c r="L1963" t="s">
        <v>313</v>
      </c>
      <c r="M1963">
        <v>23320</v>
      </c>
      <c r="N1963" t="s">
        <v>26</v>
      </c>
      <c r="O1963" t="s">
        <v>1179</v>
      </c>
      <c r="P1963" t="s">
        <v>67</v>
      </c>
      <c r="Q1963" t="s">
        <v>68</v>
      </c>
      <c r="R1963" t="s">
        <v>1180</v>
      </c>
      <c r="S1963">
        <v>161.61000000000001</v>
      </c>
    </row>
    <row r="1964" spans="1:19" x14ac:dyDescent="0.35">
      <c r="A1964">
        <v>2000</v>
      </c>
      <c r="B1964" t="s">
        <v>4828</v>
      </c>
      <c r="C1964" s="1">
        <v>42041</v>
      </c>
      <c r="D1964" s="1">
        <v>42044</v>
      </c>
      <c r="E1964" s="1" t="str">
        <f t="shared" si="30"/>
        <v>MODERATE</v>
      </c>
      <c r="F1964" t="s">
        <v>184</v>
      </c>
      <c r="G1964" t="s">
        <v>4551</v>
      </c>
      <c r="H1964" t="s">
        <v>4552</v>
      </c>
      <c r="I1964" t="s">
        <v>37</v>
      </c>
      <c r="J1964" t="s">
        <v>23</v>
      </c>
      <c r="K1964" t="s">
        <v>4829</v>
      </c>
      <c r="L1964" t="s">
        <v>313</v>
      </c>
      <c r="M1964">
        <v>23320</v>
      </c>
      <c r="N1964" t="s">
        <v>26</v>
      </c>
      <c r="O1964" t="s">
        <v>4468</v>
      </c>
      <c r="P1964" t="s">
        <v>67</v>
      </c>
      <c r="Q1964" t="s">
        <v>68</v>
      </c>
      <c r="R1964" t="s">
        <v>4469</v>
      </c>
      <c r="S1964">
        <v>144.94999999999999</v>
      </c>
    </row>
    <row r="1965" spans="1:19" x14ac:dyDescent="0.35">
      <c r="A1965">
        <v>2001</v>
      </c>
      <c r="B1965" t="s">
        <v>4830</v>
      </c>
      <c r="C1965" s="1">
        <v>43201</v>
      </c>
      <c r="D1965" s="1">
        <v>43208</v>
      </c>
      <c r="E1965" s="1" t="str">
        <f t="shared" si="30"/>
        <v>FAST</v>
      </c>
      <c r="F1965" t="s">
        <v>46</v>
      </c>
      <c r="G1965" t="s">
        <v>4831</v>
      </c>
      <c r="H1965" t="s">
        <v>4832</v>
      </c>
      <c r="I1965" t="s">
        <v>22</v>
      </c>
      <c r="J1965" t="s">
        <v>23</v>
      </c>
      <c r="K1965" t="s">
        <v>590</v>
      </c>
      <c r="L1965" t="s">
        <v>39</v>
      </c>
      <c r="M1965">
        <v>91104</v>
      </c>
      <c r="N1965" t="s">
        <v>40</v>
      </c>
      <c r="O1965" t="s">
        <v>431</v>
      </c>
      <c r="P1965" t="s">
        <v>67</v>
      </c>
      <c r="Q1965" t="s">
        <v>157</v>
      </c>
      <c r="R1965" t="s">
        <v>432</v>
      </c>
      <c r="S1965">
        <v>199.95</v>
      </c>
    </row>
    <row r="1966" spans="1:19" x14ac:dyDescent="0.35">
      <c r="A1966">
        <v>2002</v>
      </c>
      <c r="B1966" t="s">
        <v>4830</v>
      </c>
      <c r="C1966" s="1">
        <v>43201</v>
      </c>
      <c r="D1966" s="1">
        <v>43208</v>
      </c>
      <c r="E1966" s="1" t="str">
        <f t="shared" si="30"/>
        <v>FAST</v>
      </c>
      <c r="F1966" t="s">
        <v>46</v>
      </c>
      <c r="G1966" t="s">
        <v>4831</v>
      </c>
      <c r="H1966" t="s">
        <v>4832</v>
      </c>
      <c r="I1966" t="s">
        <v>22</v>
      </c>
      <c r="J1966" t="s">
        <v>23</v>
      </c>
      <c r="K1966" t="s">
        <v>590</v>
      </c>
      <c r="L1966" t="s">
        <v>39</v>
      </c>
      <c r="M1966">
        <v>91104</v>
      </c>
      <c r="N1966" t="s">
        <v>40</v>
      </c>
      <c r="O1966" t="s">
        <v>4157</v>
      </c>
      <c r="P1966" t="s">
        <v>42</v>
      </c>
      <c r="Q1966" t="s">
        <v>64</v>
      </c>
      <c r="R1966" t="s">
        <v>4158</v>
      </c>
      <c r="S1966">
        <v>41.86</v>
      </c>
    </row>
    <row r="1967" spans="1:19" x14ac:dyDescent="0.35">
      <c r="A1967">
        <v>2003</v>
      </c>
      <c r="B1967" t="s">
        <v>4833</v>
      </c>
      <c r="C1967" s="1">
        <v>43459</v>
      </c>
      <c r="D1967" s="1">
        <v>43462</v>
      </c>
      <c r="E1967" s="1" t="str">
        <f t="shared" si="30"/>
        <v>SLOW</v>
      </c>
      <c r="F1967" t="s">
        <v>19</v>
      </c>
      <c r="G1967" t="s">
        <v>4417</v>
      </c>
      <c r="H1967" t="s">
        <v>4418</v>
      </c>
      <c r="I1967" t="s">
        <v>22</v>
      </c>
      <c r="J1967" t="s">
        <v>23</v>
      </c>
      <c r="K1967" t="s">
        <v>1457</v>
      </c>
      <c r="L1967" t="s">
        <v>25</v>
      </c>
      <c r="M1967">
        <v>40214</v>
      </c>
      <c r="N1967" t="s">
        <v>26</v>
      </c>
      <c r="O1967" t="s">
        <v>3507</v>
      </c>
      <c r="P1967" t="s">
        <v>42</v>
      </c>
      <c r="Q1967" t="s">
        <v>55</v>
      </c>
      <c r="R1967" t="s">
        <v>3508</v>
      </c>
      <c r="S1967">
        <v>95.94</v>
      </c>
    </row>
    <row r="1968" spans="1:19" x14ac:dyDescent="0.35">
      <c r="A1968">
        <v>2004</v>
      </c>
      <c r="B1968" t="s">
        <v>4833</v>
      </c>
      <c r="C1968" s="1">
        <v>43459</v>
      </c>
      <c r="D1968" s="1">
        <v>43462</v>
      </c>
      <c r="E1968" s="1" t="str">
        <f t="shared" si="30"/>
        <v>SLOW</v>
      </c>
      <c r="F1968" t="s">
        <v>19</v>
      </c>
      <c r="G1968" t="s">
        <v>4417</v>
      </c>
      <c r="H1968" t="s">
        <v>4418</v>
      </c>
      <c r="I1968" t="s">
        <v>22</v>
      </c>
      <c r="J1968" t="s">
        <v>23</v>
      </c>
      <c r="K1968" t="s">
        <v>1457</v>
      </c>
      <c r="L1968" t="s">
        <v>25</v>
      </c>
      <c r="M1968">
        <v>40214</v>
      </c>
      <c r="N1968" t="s">
        <v>26</v>
      </c>
      <c r="O1968" t="s">
        <v>298</v>
      </c>
      <c r="P1968" t="s">
        <v>28</v>
      </c>
      <c r="Q1968" t="s">
        <v>32</v>
      </c>
      <c r="R1968" t="s">
        <v>299</v>
      </c>
      <c r="S1968">
        <v>304.45</v>
      </c>
    </row>
    <row r="1969" spans="1:19" x14ac:dyDescent="0.35">
      <c r="A1969">
        <v>2005</v>
      </c>
      <c r="B1969" t="s">
        <v>4834</v>
      </c>
      <c r="C1969" s="1">
        <v>43201</v>
      </c>
      <c r="D1969" s="1">
        <v>43208</v>
      </c>
      <c r="E1969" s="1" t="str">
        <f t="shared" si="30"/>
        <v>FAST</v>
      </c>
      <c r="F1969" t="s">
        <v>46</v>
      </c>
      <c r="G1969" t="s">
        <v>2770</v>
      </c>
      <c r="H1969" t="s">
        <v>2771</v>
      </c>
      <c r="I1969" t="s">
        <v>98</v>
      </c>
      <c r="J1969" t="s">
        <v>23</v>
      </c>
      <c r="K1969" t="s">
        <v>4835</v>
      </c>
      <c r="L1969" t="s">
        <v>100</v>
      </c>
      <c r="M1969">
        <v>79424</v>
      </c>
      <c r="N1969" t="s">
        <v>101</v>
      </c>
      <c r="O1969" t="s">
        <v>411</v>
      </c>
      <c r="P1969" t="s">
        <v>42</v>
      </c>
      <c r="Q1969" t="s">
        <v>71</v>
      </c>
      <c r="R1969" t="s">
        <v>412</v>
      </c>
      <c r="S1969">
        <v>11.364000000000001</v>
      </c>
    </row>
    <row r="1970" spans="1:19" x14ac:dyDescent="0.35">
      <c r="A1970">
        <v>2006</v>
      </c>
      <c r="B1970" t="s">
        <v>4836</v>
      </c>
      <c r="C1970" s="1">
        <v>42369</v>
      </c>
      <c r="D1970" s="1">
        <v>42373</v>
      </c>
      <c r="E1970" s="1" t="str">
        <f t="shared" si="30"/>
        <v>FAST</v>
      </c>
      <c r="F1970" t="s">
        <v>46</v>
      </c>
      <c r="G1970" t="s">
        <v>2778</v>
      </c>
      <c r="H1970" t="s">
        <v>2779</v>
      </c>
      <c r="I1970" t="s">
        <v>37</v>
      </c>
      <c r="J1970" t="s">
        <v>23</v>
      </c>
      <c r="K1970" t="s">
        <v>372</v>
      </c>
      <c r="L1970" t="s">
        <v>584</v>
      </c>
      <c r="M1970">
        <v>65203</v>
      </c>
      <c r="N1970" t="s">
        <v>101</v>
      </c>
      <c r="O1970" t="s">
        <v>2921</v>
      </c>
      <c r="P1970" t="s">
        <v>42</v>
      </c>
      <c r="Q1970" t="s">
        <v>64</v>
      </c>
      <c r="R1970" t="s">
        <v>2922</v>
      </c>
      <c r="S1970">
        <v>29.68</v>
      </c>
    </row>
    <row r="1971" spans="1:19" x14ac:dyDescent="0.35">
      <c r="A1971">
        <v>2007</v>
      </c>
      <c r="B1971" t="s">
        <v>4836</v>
      </c>
      <c r="C1971" s="1">
        <v>42369</v>
      </c>
      <c r="D1971" s="1">
        <v>42373</v>
      </c>
      <c r="E1971" s="1" t="str">
        <f t="shared" si="30"/>
        <v>FAST</v>
      </c>
      <c r="F1971" t="s">
        <v>46</v>
      </c>
      <c r="G1971" t="s">
        <v>2778</v>
      </c>
      <c r="H1971" t="s">
        <v>2779</v>
      </c>
      <c r="I1971" t="s">
        <v>37</v>
      </c>
      <c r="J1971" t="s">
        <v>23</v>
      </c>
      <c r="K1971" t="s">
        <v>372</v>
      </c>
      <c r="L1971" t="s">
        <v>584</v>
      </c>
      <c r="M1971">
        <v>65203</v>
      </c>
      <c r="N1971" t="s">
        <v>101</v>
      </c>
      <c r="O1971" t="s">
        <v>955</v>
      </c>
      <c r="P1971" t="s">
        <v>67</v>
      </c>
      <c r="Q1971" t="s">
        <v>157</v>
      </c>
      <c r="R1971" t="s">
        <v>956</v>
      </c>
      <c r="S1971">
        <v>47.53</v>
      </c>
    </row>
    <row r="1972" spans="1:19" x14ac:dyDescent="0.35">
      <c r="A1972">
        <v>2008</v>
      </c>
      <c r="B1972" t="s">
        <v>4837</v>
      </c>
      <c r="C1972" s="1">
        <v>43315</v>
      </c>
      <c r="D1972" s="1">
        <v>43316</v>
      </c>
      <c r="E1972" s="1" t="str">
        <f t="shared" si="30"/>
        <v>MODERATE</v>
      </c>
      <c r="F1972" t="s">
        <v>184</v>
      </c>
      <c r="G1972" t="s">
        <v>4107</v>
      </c>
      <c r="H1972" t="s">
        <v>4108</v>
      </c>
      <c r="I1972" t="s">
        <v>22</v>
      </c>
      <c r="J1972" t="s">
        <v>23</v>
      </c>
      <c r="K1972" t="s">
        <v>297</v>
      </c>
      <c r="L1972" t="s">
        <v>205</v>
      </c>
      <c r="M1972">
        <v>60623</v>
      </c>
      <c r="N1972" t="s">
        <v>101</v>
      </c>
      <c r="O1972" t="s">
        <v>4838</v>
      </c>
      <c r="P1972" t="s">
        <v>28</v>
      </c>
      <c r="Q1972" t="s">
        <v>29</v>
      </c>
      <c r="R1972" t="s">
        <v>4839</v>
      </c>
      <c r="S1972">
        <v>183.37200000000001</v>
      </c>
    </row>
    <row r="1973" spans="1:19" x14ac:dyDescent="0.35">
      <c r="A1973">
        <v>2009</v>
      </c>
      <c r="B1973" t="s">
        <v>4840</v>
      </c>
      <c r="C1973" s="1">
        <v>42323</v>
      </c>
      <c r="D1973" s="1">
        <v>42329</v>
      </c>
      <c r="E1973" s="1" t="str">
        <f t="shared" si="30"/>
        <v>FAST</v>
      </c>
      <c r="F1973" t="s">
        <v>46</v>
      </c>
      <c r="G1973" t="s">
        <v>3658</v>
      </c>
      <c r="H1973" t="s">
        <v>3659</v>
      </c>
      <c r="I1973" t="s">
        <v>22</v>
      </c>
      <c r="J1973" t="s">
        <v>23</v>
      </c>
      <c r="K1973" t="s">
        <v>4841</v>
      </c>
      <c r="L1973" t="s">
        <v>329</v>
      </c>
      <c r="M1973">
        <v>37604</v>
      </c>
      <c r="N1973" t="s">
        <v>26</v>
      </c>
      <c r="O1973" t="s">
        <v>4084</v>
      </c>
      <c r="P1973" t="s">
        <v>42</v>
      </c>
      <c r="Q1973" t="s">
        <v>64</v>
      </c>
      <c r="R1973" t="s">
        <v>4085</v>
      </c>
      <c r="S1973">
        <v>4.2240000000000002</v>
      </c>
    </row>
    <row r="1974" spans="1:19" x14ac:dyDescent="0.35">
      <c r="A1974">
        <v>2011</v>
      </c>
      <c r="B1974" t="s">
        <v>4840</v>
      </c>
      <c r="C1974" s="1">
        <v>42323</v>
      </c>
      <c r="D1974" s="1">
        <v>42329</v>
      </c>
      <c r="E1974" s="1" t="str">
        <f t="shared" si="30"/>
        <v>FAST</v>
      </c>
      <c r="F1974" t="s">
        <v>46</v>
      </c>
      <c r="G1974" t="s">
        <v>3658</v>
      </c>
      <c r="H1974" t="s">
        <v>3659</v>
      </c>
      <c r="I1974" t="s">
        <v>22</v>
      </c>
      <c r="J1974" t="s">
        <v>23</v>
      </c>
      <c r="K1974" t="s">
        <v>4841</v>
      </c>
      <c r="L1974" t="s">
        <v>329</v>
      </c>
      <c r="M1974">
        <v>37604</v>
      </c>
      <c r="N1974" t="s">
        <v>26</v>
      </c>
      <c r="O1974" t="s">
        <v>2175</v>
      </c>
      <c r="P1974" t="s">
        <v>42</v>
      </c>
      <c r="Q1974" t="s">
        <v>86</v>
      </c>
      <c r="R1974" t="s">
        <v>2176</v>
      </c>
      <c r="S1974">
        <v>24.896000000000001</v>
      </c>
    </row>
    <row r="1975" spans="1:19" x14ac:dyDescent="0.35">
      <c r="A1975">
        <v>2012</v>
      </c>
      <c r="B1975" t="s">
        <v>4842</v>
      </c>
      <c r="C1975" s="1">
        <v>42715</v>
      </c>
      <c r="D1975" s="1">
        <v>42715</v>
      </c>
      <c r="E1975" s="1" t="str">
        <f t="shared" si="30"/>
        <v>MODERATE</v>
      </c>
      <c r="F1975" t="s">
        <v>1276</v>
      </c>
      <c r="G1975" t="s">
        <v>4843</v>
      </c>
      <c r="H1975" t="s">
        <v>4844</v>
      </c>
      <c r="I1975" t="s">
        <v>22</v>
      </c>
      <c r="J1975" t="s">
        <v>23</v>
      </c>
      <c r="K1975" t="s">
        <v>180</v>
      </c>
      <c r="L1975" t="s">
        <v>100</v>
      </c>
      <c r="M1975">
        <v>77041</v>
      </c>
      <c r="N1975" t="s">
        <v>101</v>
      </c>
      <c r="O1975" t="s">
        <v>2272</v>
      </c>
      <c r="P1975" t="s">
        <v>67</v>
      </c>
      <c r="Q1975" t="s">
        <v>157</v>
      </c>
      <c r="R1975" t="s">
        <v>2273</v>
      </c>
      <c r="S1975">
        <v>159.98400000000001</v>
      </c>
    </row>
    <row r="1976" spans="1:19" x14ac:dyDescent="0.35">
      <c r="A1976">
        <v>2013</v>
      </c>
      <c r="B1976" t="s">
        <v>4842</v>
      </c>
      <c r="C1976" s="1">
        <v>42715</v>
      </c>
      <c r="D1976" s="1">
        <v>42715</v>
      </c>
      <c r="E1976" s="1" t="str">
        <f t="shared" si="30"/>
        <v>MODERATE</v>
      </c>
      <c r="F1976" t="s">
        <v>1276</v>
      </c>
      <c r="G1976" t="s">
        <v>4843</v>
      </c>
      <c r="H1976" t="s">
        <v>4844</v>
      </c>
      <c r="I1976" t="s">
        <v>22</v>
      </c>
      <c r="J1976" t="s">
        <v>23</v>
      </c>
      <c r="K1976" t="s">
        <v>180</v>
      </c>
      <c r="L1976" t="s">
        <v>100</v>
      </c>
      <c r="M1976">
        <v>77041</v>
      </c>
      <c r="N1976" t="s">
        <v>101</v>
      </c>
      <c r="O1976" t="s">
        <v>4845</v>
      </c>
      <c r="P1976" t="s">
        <v>42</v>
      </c>
      <c r="Q1976" t="s">
        <v>55</v>
      </c>
      <c r="R1976" t="s">
        <v>4846</v>
      </c>
      <c r="S1976">
        <v>46.344000000000001</v>
      </c>
    </row>
    <row r="1977" spans="1:19" x14ac:dyDescent="0.35">
      <c r="A1977">
        <v>2014</v>
      </c>
      <c r="B1977" t="s">
        <v>4847</v>
      </c>
      <c r="C1977" s="1">
        <v>42996</v>
      </c>
      <c r="D1977" s="1">
        <v>43001</v>
      </c>
      <c r="E1977" s="1" t="str">
        <f t="shared" si="30"/>
        <v>FAST</v>
      </c>
      <c r="F1977" t="s">
        <v>46</v>
      </c>
      <c r="G1977" t="s">
        <v>4848</v>
      </c>
      <c r="H1977" t="s">
        <v>4849</v>
      </c>
      <c r="I1977" t="s">
        <v>22</v>
      </c>
      <c r="J1977" t="s">
        <v>23</v>
      </c>
      <c r="K1977" t="s">
        <v>1544</v>
      </c>
      <c r="L1977" t="s">
        <v>350</v>
      </c>
      <c r="M1977">
        <v>36830</v>
      </c>
      <c r="N1977" t="s">
        <v>26</v>
      </c>
      <c r="O1977" t="s">
        <v>4478</v>
      </c>
      <c r="P1977" t="s">
        <v>28</v>
      </c>
      <c r="Q1977" t="s">
        <v>32</v>
      </c>
      <c r="R1977" t="s">
        <v>4479</v>
      </c>
      <c r="S1977">
        <v>350.98</v>
      </c>
    </row>
    <row r="1978" spans="1:19" x14ac:dyDescent="0.35">
      <c r="A1978">
        <v>2015</v>
      </c>
      <c r="B1978" t="s">
        <v>4847</v>
      </c>
      <c r="C1978" s="1">
        <v>42996</v>
      </c>
      <c r="D1978" s="1">
        <v>43001</v>
      </c>
      <c r="E1978" s="1" t="str">
        <f t="shared" si="30"/>
        <v>FAST</v>
      </c>
      <c r="F1978" t="s">
        <v>46</v>
      </c>
      <c r="G1978" t="s">
        <v>4848</v>
      </c>
      <c r="H1978" t="s">
        <v>4849</v>
      </c>
      <c r="I1978" t="s">
        <v>22</v>
      </c>
      <c r="J1978" t="s">
        <v>23</v>
      </c>
      <c r="K1978" t="s">
        <v>1544</v>
      </c>
      <c r="L1978" t="s">
        <v>350</v>
      </c>
      <c r="M1978">
        <v>36830</v>
      </c>
      <c r="N1978" t="s">
        <v>26</v>
      </c>
      <c r="O1978" t="s">
        <v>4850</v>
      </c>
      <c r="P1978" t="s">
        <v>42</v>
      </c>
      <c r="Q1978" t="s">
        <v>86</v>
      </c>
      <c r="R1978" t="s">
        <v>4851</v>
      </c>
      <c r="S1978">
        <v>13.08</v>
      </c>
    </row>
    <row r="1979" spans="1:19" x14ac:dyDescent="0.35">
      <c r="A1979">
        <v>2016</v>
      </c>
      <c r="B1979" t="s">
        <v>4847</v>
      </c>
      <c r="C1979" s="1">
        <v>42996</v>
      </c>
      <c r="D1979" s="1">
        <v>43001</v>
      </c>
      <c r="E1979" s="1" t="str">
        <f t="shared" si="30"/>
        <v>FAST</v>
      </c>
      <c r="F1979" t="s">
        <v>46</v>
      </c>
      <c r="G1979" t="s">
        <v>4848</v>
      </c>
      <c r="H1979" t="s">
        <v>4849</v>
      </c>
      <c r="I1979" t="s">
        <v>22</v>
      </c>
      <c r="J1979" t="s">
        <v>23</v>
      </c>
      <c r="K1979" t="s">
        <v>1544</v>
      </c>
      <c r="L1979" t="s">
        <v>350</v>
      </c>
      <c r="M1979">
        <v>36830</v>
      </c>
      <c r="N1979" t="s">
        <v>26</v>
      </c>
      <c r="O1979" t="s">
        <v>3477</v>
      </c>
      <c r="P1979" t="s">
        <v>42</v>
      </c>
      <c r="Q1979" t="s">
        <v>55</v>
      </c>
      <c r="R1979" t="s">
        <v>3478</v>
      </c>
      <c r="S1979">
        <v>900.08</v>
      </c>
    </row>
    <row r="1980" spans="1:19" x14ac:dyDescent="0.35">
      <c r="A1980">
        <v>2017</v>
      </c>
      <c r="B1980" t="s">
        <v>4852</v>
      </c>
      <c r="C1980" s="1">
        <v>42448</v>
      </c>
      <c r="D1980" s="1">
        <v>42452</v>
      </c>
      <c r="E1980" s="1" t="str">
        <f t="shared" si="30"/>
        <v>FAST</v>
      </c>
      <c r="F1980" t="s">
        <v>46</v>
      </c>
      <c r="G1980" t="s">
        <v>2620</v>
      </c>
      <c r="H1980" t="s">
        <v>2621</v>
      </c>
      <c r="I1980" t="s">
        <v>22</v>
      </c>
      <c r="J1980" t="s">
        <v>23</v>
      </c>
      <c r="K1980" t="s">
        <v>4853</v>
      </c>
      <c r="L1980" t="s">
        <v>39</v>
      </c>
      <c r="M1980">
        <v>92404</v>
      </c>
      <c r="N1980" t="s">
        <v>40</v>
      </c>
      <c r="O1980" t="s">
        <v>4119</v>
      </c>
      <c r="P1980" t="s">
        <v>42</v>
      </c>
      <c r="Q1980" t="s">
        <v>71</v>
      </c>
      <c r="R1980" t="s">
        <v>4120</v>
      </c>
      <c r="S1980">
        <v>17.568000000000001</v>
      </c>
    </row>
    <row r="1981" spans="1:19" x14ac:dyDescent="0.35">
      <c r="A1981">
        <v>2018</v>
      </c>
      <c r="B1981" t="s">
        <v>4852</v>
      </c>
      <c r="C1981" s="1">
        <v>42448</v>
      </c>
      <c r="D1981" s="1">
        <v>42452</v>
      </c>
      <c r="E1981" s="1" t="str">
        <f t="shared" si="30"/>
        <v>FAST</v>
      </c>
      <c r="F1981" t="s">
        <v>46</v>
      </c>
      <c r="G1981" t="s">
        <v>2620</v>
      </c>
      <c r="H1981" t="s">
        <v>2621</v>
      </c>
      <c r="I1981" t="s">
        <v>22</v>
      </c>
      <c r="J1981" t="s">
        <v>23</v>
      </c>
      <c r="K1981" t="s">
        <v>4853</v>
      </c>
      <c r="L1981" t="s">
        <v>39</v>
      </c>
      <c r="M1981">
        <v>92404</v>
      </c>
      <c r="N1981" t="s">
        <v>40</v>
      </c>
      <c r="O1981" t="s">
        <v>41</v>
      </c>
      <c r="P1981" t="s">
        <v>42</v>
      </c>
      <c r="Q1981" t="s">
        <v>43</v>
      </c>
      <c r="R1981" t="s">
        <v>44</v>
      </c>
      <c r="S1981">
        <v>14.62</v>
      </c>
    </row>
    <row r="1982" spans="1:19" x14ac:dyDescent="0.35">
      <c r="A1982">
        <v>2019</v>
      </c>
      <c r="B1982" t="s">
        <v>4852</v>
      </c>
      <c r="C1982" s="1">
        <v>42448</v>
      </c>
      <c r="D1982" s="1">
        <v>42452</v>
      </c>
      <c r="E1982" s="1" t="str">
        <f t="shared" si="30"/>
        <v>FAST</v>
      </c>
      <c r="F1982" t="s">
        <v>46</v>
      </c>
      <c r="G1982" t="s">
        <v>2620</v>
      </c>
      <c r="H1982" t="s">
        <v>2621</v>
      </c>
      <c r="I1982" t="s">
        <v>22</v>
      </c>
      <c r="J1982" t="s">
        <v>23</v>
      </c>
      <c r="K1982" t="s">
        <v>4853</v>
      </c>
      <c r="L1982" t="s">
        <v>39</v>
      </c>
      <c r="M1982">
        <v>92404</v>
      </c>
      <c r="N1982" t="s">
        <v>40</v>
      </c>
      <c r="O1982" t="s">
        <v>4178</v>
      </c>
      <c r="P1982" t="s">
        <v>42</v>
      </c>
      <c r="Q1982" t="s">
        <v>566</v>
      </c>
      <c r="R1982" t="s">
        <v>4179</v>
      </c>
      <c r="S1982">
        <v>33.36</v>
      </c>
    </row>
    <row r="1983" spans="1:19" x14ac:dyDescent="0.35">
      <c r="A1983">
        <v>2020</v>
      </c>
      <c r="B1983" t="s">
        <v>4852</v>
      </c>
      <c r="C1983" s="1">
        <v>42448</v>
      </c>
      <c r="D1983" s="1">
        <v>42452</v>
      </c>
      <c r="E1983" s="1" t="str">
        <f t="shared" si="30"/>
        <v>FAST</v>
      </c>
      <c r="F1983" t="s">
        <v>46</v>
      </c>
      <c r="G1983" t="s">
        <v>2620</v>
      </c>
      <c r="H1983" t="s">
        <v>2621</v>
      </c>
      <c r="I1983" t="s">
        <v>22</v>
      </c>
      <c r="J1983" t="s">
        <v>23</v>
      </c>
      <c r="K1983" t="s">
        <v>4853</v>
      </c>
      <c r="L1983" t="s">
        <v>39</v>
      </c>
      <c r="M1983">
        <v>92404</v>
      </c>
      <c r="N1983" t="s">
        <v>40</v>
      </c>
      <c r="O1983" t="s">
        <v>783</v>
      </c>
      <c r="P1983" t="s">
        <v>42</v>
      </c>
      <c r="Q1983" t="s">
        <v>86</v>
      </c>
      <c r="R1983" t="s">
        <v>784</v>
      </c>
      <c r="S1983">
        <v>40.14</v>
      </c>
    </row>
    <row r="1984" spans="1:19" x14ac:dyDescent="0.35">
      <c r="A1984">
        <v>2021</v>
      </c>
      <c r="B1984" t="s">
        <v>4854</v>
      </c>
      <c r="C1984" s="1">
        <v>42997</v>
      </c>
      <c r="D1984" s="1">
        <v>42999</v>
      </c>
      <c r="E1984" s="1" t="str">
        <f t="shared" si="30"/>
        <v>MODERATE</v>
      </c>
      <c r="F1984" t="s">
        <v>184</v>
      </c>
      <c r="G1984" t="s">
        <v>4855</v>
      </c>
      <c r="H1984" t="s">
        <v>4856</v>
      </c>
      <c r="I1984" t="s">
        <v>98</v>
      </c>
      <c r="J1984" t="s">
        <v>23</v>
      </c>
      <c r="K1984" t="s">
        <v>3544</v>
      </c>
      <c r="L1984" t="s">
        <v>1384</v>
      </c>
      <c r="M1984">
        <v>2908</v>
      </c>
      <c r="N1984" t="s">
        <v>144</v>
      </c>
      <c r="O1984" t="s">
        <v>1991</v>
      </c>
      <c r="P1984" t="s">
        <v>42</v>
      </c>
      <c r="Q1984" t="s">
        <v>55</v>
      </c>
      <c r="R1984" t="s">
        <v>1992</v>
      </c>
      <c r="S1984">
        <v>1606.23</v>
      </c>
    </row>
    <row r="1985" spans="1:19" x14ac:dyDescent="0.35">
      <c r="A1985">
        <v>2022</v>
      </c>
      <c r="B1985" t="s">
        <v>4854</v>
      </c>
      <c r="C1985" s="1">
        <v>42997</v>
      </c>
      <c r="D1985" s="1">
        <v>42999</v>
      </c>
      <c r="E1985" s="1" t="str">
        <f t="shared" si="30"/>
        <v>MODERATE</v>
      </c>
      <c r="F1985" t="s">
        <v>184</v>
      </c>
      <c r="G1985" t="s">
        <v>4855</v>
      </c>
      <c r="H1985" t="s">
        <v>4856</v>
      </c>
      <c r="I1985" t="s">
        <v>98</v>
      </c>
      <c r="J1985" t="s">
        <v>23</v>
      </c>
      <c r="K1985" t="s">
        <v>3544</v>
      </c>
      <c r="L1985" t="s">
        <v>1384</v>
      </c>
      <c r="M1985">
        <v>2908</v>
      </c>
      <c r="N1985" t="s">
        <v>144</v>
      </c>
      <c r="O1985" t="s">
        <v>547</v>
      </c>
      <c r="P1985" t="s">
        <v>42</v>
      </c>
      <c r="Q1985" t="s">
        <v>86</v>
      </c>
      <c r="R1985" t="s">
        <v>2166</v>
      </c>
      <c r="S1985">
        <v>17.04</v>
      </c>
    </row>
    <row r="1986" spans="1:19" x14ac:dyDescent="0.35">
      <c r="A1986">
        <v>2023</v>
      </c>
      <c r="B1986" t="s">
        <v>4854</v>
      </c>
      <c r="C1986" s="1">
        <v>42997</v>
      </c>
      <c r="D1986" s="1">
        <v>42999</v>
      </c>
      <c r="E1986" s="1" t="str">
        <f t="shared" si="30"/>
        <v>MODERATE</v>
      </c>
      <c r="F1986" t="s">
        <v>184</v>
      </c>
      <c r="G1986" t="s">
        <v>4855</v>
      </c>
      <c r="H1986" t="s">
        <v>4856</v>
      </c>
      <c r="I1986" t="s">
        <v>98</v>
      </c>
      <c r="J1986" t="s">
        <v>23</v>
      </c>
      <c r="K1986" t="s">
        <v>3544</v>
      </c>
      <c r="L1986" t="s">
        <v>1384</v>
      </c>
      <c r="M1986">
        <v>2908</v>
      </c>
      <c r="N1986" t="s">
        <v>144</v>
      </c>
      <c r="O1986" t="s">
        <v>2820</v>
      </c>
      <c r="P1986" t="s">
        <v>42</v>
      </c>
      <c r="Q1986" t="s">
        <v>71</v>
      </c>
      <c r="R1986" t="s">
        <v>2821</v>
      </c>
      <c r="S1986">
        <v>49.53</v>
      </c>
    </row>
    <row r="1987" spans="1:19" x14ac:dyDescent="0.35">
      <c r="A1987">
        <v>2024</v>
      </c>
      <c r="B1987" t="s">
        <v>4854</v>
      </c>
      <c r="C1987" s="1">
        <v>42997</v>
      </c>
      <c r="D1987" s="1">
        <v>42999</v>
      </c>
      <c r="E1987" s="1" t="str">
        <f t="shared" ref="E1987:E2050" si="31">IF(F1987="STANDARD CLASS","FAST",IF(F1987="SECOND CLASS","SLOW","MODERATE"))</f>
        <v>MODERATE</v>
      </c>
      <c r="F1987" t="s">
        <v>184</v>
      </c>
      <c r="G1987" t="s">
        <v>4855</v>
      </c>
      <c r="H1987" t="s">
        <v>4856</v>
      </c>
      <c r="I1987" t="s">
        <v>98</v>
      </c>
      <c r="J1987" t="s">
        <v>23</v>
      </c>
      <c r="K1987" t="s">
        <v>3544</v>
      </c>
      <c r="L1987" t="s">
        <v>1384</v>
      </c>
      <c r="M1987">
        <v>2908</v>
      </c>
      <c r="N1987" t="s">
        <v>144</v>
      </c>
      <c r="O1987" t="s">
        <v>2448</v>
      </c>
      <c r="P1987" t="s">
        <v>28</v>
      </c>
      <c r="Q1987" t="s">
        <v>32</v>
      </c>
      <c r="R1987" t="s">
        <v>2449</v>
      </c>
      <c r="S1987">
        <v>872.32</v>
      </c>
    </row>
    <row r="1988" spans="1:19" x14ac:dyDescent="0.35">
      <c r="A1988">
        <v>2025</v>
      </c>
      <c r="B1988" t="s">
        <v>4857</v>
      </c>
      <c r="C1988" s="1">
        <v>43332</v>
      </c>
      <c r="D1988" s="1">
        <v>43334</v>
      </c>
      <c r="E1988" s="1" t="str">
        <f t="shared" si="31"/>
        <v>SLOW</v>
      </c>
      <c r="F1988" t="s">
        <v>19</v>
      </c>
      <c r="G1988" t="s">
        <v>3542</v>
      </c>
      <c r="H1988" t="s">
        <v>3543</v>
      </c>
      <c r="I1988" t="s">
        <v>22</v>
      </c>
      <c r="J1988" t="s">
        <v>23</v>
      </c>
      <c r="K1988" t="s">
        <v>3455</v>
      </c>
      <c r="L1988" t="s">
        <v>39</v>
      </c>
      <c r="M1988">
        <v>93727</v>
      </c>
      <c r="N1988" t="s">
        <v>40</v>
      </c>
      <c r="O1988" t="s">
        <v>3800</v>
      </c>
      <c r="P1988" t="s">
        <v>42</v>
      </c>
      <c r="Q1988" t="s">
        <v>71</v>
      </c>
      <c r="R1988" t="s">
        <v>3801</v>
      </c>
      <c r="S1988">
        <v>239.12</v>
      </c>
    </row>
    <row r="1989" spans="1:19" x14ac:dyDescent="0.35">
      <c r="A1989">
        <v>2026</v>
      </c>
      <c r="B1989" t="s">
        <v>4858</v>
      </c>
      <c r="C1989" s="1">
        <v>42442</v>
      </c>
      <c r="D1989" s="1">
        <v>42444</v>
      </c>
      <c r="E1989" s="1" t="str">
        <f t="shared" si="31"/>
        <v>MODERATE</v>
      </c>
      <c r="F1989" t="s">
        <v>184</v>
      </c>
      <c r="G1989" t="s">
        <v>4227</v>
      </c>
      <c r="H1989" t="s">
        <v>4228</v>
      </c>
      <c r="I1989" t="s">
        <v>22</v>
      </c>
      <c r="J1989" t="s">
        <v>23</v>
      </c>
      <c r="K1989" t="s">
        <v>91</v>
      </c>
      <c r="L1989" t="s">
        <v>92</v>
      </c>
      <c r="M1989">
        <v>98103</v>
      </c>
      <c r="N1989" t="s">
        <v>40</v>
      </c>
      <c r="O1989" t="s">
        <v>2434</v>
      </c>
      <c r="P1989" t="s">
        <v>28</v>
      </c>
      <c r="Q1989" t="s">
        <v>29</v>
      </c>
      <c r="R1989" t="s">
        <v>2435</v>
      </c>
      <c r="S1989">
        <v>141.96</v>
      </c>
    </row>
    <row r="1990" spans="1:19" x14ac:dyDescent="0.35">
      <c r="A1990">
        <v>2027</v>
      </c>
      <c r="B1990" t="s">
        <v>4859</v>
      </c>
      <c r="C1990" s="1">
        <v>42986</v>
      </c>
      <c r="D1990" s="1">
        <v>42988</v>
      </c>
      <c r="E1990" s="1" t="str">
        <f t="shared" si="31"/>
        <v>SLOW</v>
      </c>
      <c r="F1990" t="s">
        <v>19</v>
      </c>
      <c r="G1990" t="s">
        <v>772</v>
      </c>
      <c r="H1990" t="s">
        <v>773</v>
      </c>
      <c r="I1990" t="s">
        <v>98</v>
      </c>
      <c r="J1990" t="s">
        <v>23</v>
      </c>
      <c r="K1990" t="s">
        <v>2442</v>
      </c>
      <c r="L1990" t="s">
        <v>39</v>
      </c>
      <c r="M1990">
        <v>93534</v>
      </c>
      <c r="N1990" t="s">
        <v>40</v>
      </c>
      <c r="O1990" t="s">
        <v>1329</v>
      </c>
      <c r="P1990" t="s">
        <v>42</v>
      </c>
      <c r="Q1990" t="s">
        <v>71</v>
      </c>
      <c r="R1990" t="s">
        <v>1330</v>
      </c>
      <c r="S1990">
        <v>33.024000000000001</v>
      </c>
    </row>
    <row r="1991" spans="1:19" x14ac:dyDescent="0.35">
      <c r="A1991">
        <v>2028</v>
      </c>
      <c r="B1991" t="s">
        <v>4859</v>
      </c>
      <c r="C1991" s="1">
        <v>42986</v>
      </c>
      <c r="D1991" s="1">
        <v>42988</v>
      </c>
      <c r="E1991" s="1" t="str">
        <f t="shared" si="31"/>
        <v>SLOW</v>
      </c>
      <c r="F1991" t="s">
        <v>19</v>
      </c>
      <c r="G1991" t="s">
        <v>772</v>
      </c>
      <c r="H1991" t="s">
        <v>773</v>
      </c>
      <c r="I1991" t="s">
        <v>98</v>
      </c>
      <c r="J1991" t="s">
        <v>23</v>
      </c>
      <c r="K1991" t="s">
        <v>2442</v>
      </c>
      <c r="L1991" t="s">
        <v>39</v>
      </c>
      <c r="M1991">
        <v>93534</v>
      </c>
      <c r="N1991" t="s">
        <v>40</v>
      </c>
      <c r="O1991" t="s">
        <v>2080</v>
      </c>
      <c r="P1991" t="s">
        <v>42</v>
      </c>
      <c r="Q1991" t="s">
        <v>71</v>
      </c>
      <c r="R1991" t="s">
        <v>2081</v>
      </c>
      <c r="S1991">
        <v>67.135999999999996</v>
      </c>
    </row>
    <row r="1992" spans="1:19" x14ac:dyDescent="0.35">
      <c r="A1992">
        <v>2029</v>
      </c>
      <c r="B1992" t="s">
        <v>4860</v>
      </c>
      <c r="C1992" s="1">
        <v>42700</v>
      </c>
      <c r="D1992" s="1">
        <v>42704</v>
      </c>
      <c r="E1992" s="1" t="str">
        <f t="shared" si="31"/>
        <v>FAST</v>
      </c>
      <c r="F1992" t="s">
        <v>46</v>
      </c>
      <c r="G1992" t="s">
        <v>2657</v>
      </c>
      <c r="H1992" t="s">
        <v>2658</v>
      </c>
      <c r="I1992" t="s">
        <v>37</v>
      </c>
      <c r="J1992" t="s">
        <v>23</v>
      </c>
      <c r="K1992" t="s">
        <v>4861</v>
      </c>
      <c r="L1992" t="s">
        <v>1233</v>
      </c>
      <c r="M1992">
        <v>1453</v>
      </c>
      <c r="N1992" t="s">
        <v>144</v>
      </c>
      <c r="O1992" t="s">
        <v>781</v>
      </c>
      <c r="P1992" t="s">
        <v>42</v>
      </c>
      <c r="Q1992" t="s">
        <v>71</v>
      </c>
      <c r="R1992" t="s">
        <v>782</v>
      </c>
      <c r="S1992">
        <v>14.73</v>
      </c>
    </row>
    <row r="1993" spans="1:19" x14ac:dyDescent="0.35">
      <c r="A1993">
        <v>2030</v>
      </c>
      <c r="B1993" t="s">
        <v>4860</v>
      </c>
      <c r="C1993" s="1">
        <v>42700</v>
      </c>
      <c r="D1993" s="1">
        <v>42704</v>
      </c>
      <c r="E1993" s="1" t="str">
        <f t="shared" si="31"/>
        <v>FAST</v>
      </c>
      <c r="F1993" t="s">
        <v>46</v>
      </c>
      <c r="G1993" t="s">
        <v>2657</v>
      </c>
      <c r="H1993" t="s">
        <v>2658</v>
      </c>
      <c r="I1993" t="s">
        <v>37</v>
      </c>
      <c r="J1993" t="s">
        <v>23</v>
      </c>
      <c r="K1993" t="s">
        <v>4861</v>
      </c>
      <c r="L1993" t="s">
        <v>1233</v>
      </c>
      <c r="M1993">
        <v>1453</v>
      </c>
      <c r="N1993" t="s">
        <v>144</v>
      </c>
      <c r="O1993" t="s">
        <v>4862</v>
      </c>
      <c r="P1993" t="s">
        <v>42</v>
      </c>
      <c r="Q1993" t="s">
        <v>55</v>
      </c>
      <c r="R1993" t="s">
        <v>4863</v>
      </c>
      <c r="S1993">
        <v>104.9</v>
      </c>
    </row>
    <row r="1994" spans="1:19" x14ac:dyDescent="0.35">
      <c r="A1994">
        <v>2031</v>
      </c>
      <c r="B1994" t="s">
        <v>4860</v>
      </c>
      <c r="C1994" s="1">
        <v>42700</v>
      </c>
      <c r="D1994" s="1">
        <v>42704</v>
      </c>
      <c r="E1994" s="1" t="str">
        <f t="shared" si="31"/>
        <v>FAST</v>
      </c>
      <c r="F1994" t="s">
        <v>46</v>
      </c>
      <c r="G1994" t="s">
        <v>2657</v>
      </c>
      <c r="H1994" t="s">
        <v>2658</v>
      </c>
      <c r="I1994" t="s">
        <v>37</v>
      </c>
      <c r="J1994" t="s">
        <v>23</v>
      </c>
      <c r="K1994" t="s">
        <v>4861</v>
      </c>
      <c r="L1994" t="s">
        <v>1233</v>
      </c>
      <c r="M1994">
        <v>1453</v>
      </c>
      <c r="N1994" t="s">
        <v>144</v>
      </c>
      <c r="O1994" t="s">
        <v>3045</v>
      </c>
      <c r="P1994" t="s">
        <v>42</v>
      </c>
      <c r="Q1994" t="s">
        <v>71</v>
      </c>
      <c r="R1994" t="s">
        <v>3046</v>
      </c>
      <c r="S1994">
        <v>61.04</v>
      </c>
    </row>
    <row r="1995" spans="1:19" x14ac:dyDescent="0.35">
      <c r="A1995">
        <v>2032</v>
      </c>
      <c r="B1995" t="s">
        <v>4860</v>
      </c>
      <c r="C1995" s="1">
        <v>42700</v>
      </c>
      <c r="D1995" s="1">
        <v>42704</v>
      </c>
      <c r="E1995" s="1" t="str">
        <f t="shared" si="31"/>
        <v>FAST</v>
      </c>
      <c r="F1995" t="s">
        <v>46</v>
      </c>
      <c r="G1995" t="s">
        <v>2657</v>
      </c>
      <c r="H1995" t="s">
        <v>2658</v>
      </c>
      <c r="I1995" t="s">
        <v>37</v>
      </c>
      <c r="J1995" t="s">
        <v>23</v>
      </c>
      <c r="K1995" t="s">
        <v>4861</v>
      </c>
      <c r="L1995" t="s">
        <v>1233</v>
      </c>
      <c r="M1995">
        <v>1453</v>
      </c>
      <c r="N1995" t="s">
        <v>144</v>
      </c>
      <c r="O1995" t="s">
        <v>4030</v>
      </c>
      <c r="P1995" t="s">
        <v>42</v>
      </c>
      <c r="Q1995" t="s">
        <v>86</v>
      </c>
      <c r="R1995" t="s">
        <v>4031</v>
      </c>
      <c r="S1995">
        <v>10.95</v>
      </c>
    </row>
    <row r="1996" spans="1:19" x14ac:dyDescent="0.35">
      <c r="A1996">
        <v>2033</v>
      </c>
      <c r="B1996" t="s">
        <v>4864</v>
      </c>
      <c r="C1996" s="1">
        <v>43078</v>
      </c>
      <c r="D1996" s="1">
        <v>43082</v>
      </c>
      <c r="E1996" s="1" t="str">
        <f t="shared" si="31"/>
        <v>FAST</v>
      </c>
      <c r="F1996" t="s">
        <v>46</v>
      </c>
      <c r="G1996" t="s">
        <v>2733</v>
      </c>
      <c r="H1996" t="s">
        <v>2734</v>
      </c>
      <c r="I1996" t="s">
        <v>37</v>
      </c>
      <c r="J1996" t="s">
        <v>23</v>
      </c>
      <c r="K1996" t="s">
        <v>99</v>
      </c>
      <c r="L1996" t="s">
        <v>100</v>
      </c>
      <c r="M1996">
        <v>76106</v>
      </c>
      <c r="N1996" t="s">
        <v>101</v>
      </c>
      <c r="O1996" t="s">
        <v>2735</v>
      </c>
      <c r="P1996" t="s">
        <v>42</v>
      </c>
      <c r="Q1996" t="s">
        <v>86</v>
      </c>
      <c r="R1996" t="s">
        <v>2736</v>
      </c>
      <c r="S1996">
        <v>9.3919999999999995</v>
      </c>
    </row>
    <row r="1997" spans="1:19" x14ac:dyDescent="0.35">
      <c r="A1997">
        <v>2034</v>
      </c>
      <c r="B1997" t="s">
        <v>4864</v>
      </c>
      <c r="C1997" s="1">
        <v>43078</v>
      </c>
      <c r="D1997" s="1">
        <v>43082</v>
      </c>
      <c r="E1997" s="1" t="str">
        <f t="shared" si="31"/>
        <v>FAST</v>
      </c>
      <c r="F1997" t="s">
        <v>46</v>
      </c>
      <c r="G1997" t="s">
        <v>2733</v>
      </c>
      <c r="H1997" t="s">
        <v>2734</v>
      </c>
      <c r="I1997" t="s">
        <v>37</v>
      </c>
      <c r="J1997" t="s">
        <v>23</v>
      </c>
      <c r="K1997" t="s">
        <v>99</v>
      </c>
      <c r="L1997" t="s">
        <v>100</v>
      </c>
      <c r="M1997">
        <v>76106</v>
      </c>
      <c r="N1997" t="s">
        <v>101</v>
      </c>
      <c r="O1997" t="s">
        <v>4480</v>
      </c>
      <c r="P1997" t="s">
        <v>42</v>
      </c>
      <c r="Q1997" t="s">
        <v>64</v>
      </c>
      <c r="R1997" t="s">
        <v>4481</v>
      </c>
      <c r="S1997">
        <v>9.3279999999999994</v>
      </c>
    </row>
    <row r="1998" spans="1:19" x14ac:dyDescent="0.35">
      <c r="A1998">
        <v>2035</v>
      </c>
      <c r="B1998" t="s">
        <v>4865</v>
      </c>
      <c r="C1998" s="1">
        <v>43368</v>
      </c>
      <c r="D1998" s="1">
        <v>43372</v>
      </c>
      <c r="E1998" s="1" t="str">
        <f t="shared" si="31"/>
        <v>FAST</v>
      </c>
      <c r="F1998" t="s">
        <v>46</v>
      </c>
      <c r="G1998" t="s">
        <v>4866</v>
      </c>
      <c r="H1998" t="s">
        <v>4867</v>
      </c>
      <c r="I1998" t="s">
        <v>22</v>
      </c>
      <c r="J1998" t="s">
        <v>23</v>
      </c>
      <c r="K1998" t="s">
        <v>379</v>
      </c>
      <c r="L1998" t="s">
        <v>223</v>
      </c>
      <c r="M1998">
        <v>55901</v>
      </c>
      <c r="N1998" t="s">
        <v>101</v>
      </c>
      <c r="O1998" t="s">
        <v>3330</v>
      </c>
      <c r="P1998" t="s">
        <v>42</v>
      </c>
      <c r="Q1998" t="s">
        <v>71</v>
      </c>
      <c r="R1998" t="s">
        <v>3331</v>
      </c>
      <c r="S1998">
        <v>8.26</v>
      </c>
    </row>
    <row r="1999" spans="1:19" x14ac:dyDescent="0.35">
      <c r="A1999">
        <v>2036</v>
      </c>
      <c r="B1999" t="s">
        <v>4865</v>
      </c>
      <c r="C1999" s="1">
        <v>43368</v>
      </c>
      <c r="D1999" s="1">
        <v>43372</v>
      </c>
      <c r="E1999" s="1" t="str">
        <f t="shared" si="31"/>
        <v>FAST</v>
      </c>
      <c r="F1999" t="s">
        <v>46</v>
      </c>
      <c r="G1999" t="s">
        <v>4866</v>
      </c>
      <c r="H1999" t="s">
        <v>4867</v>
      </c>
      <c r="I1999" t="s">
        <v>22</v>
      </c>
      <c r="J1999" t="s">
        <v>23</v>
      </c>
      <c r="K1999" t="s">
        <v>379</v>
      </c>
      <c r="L1999" t="s">
        <v>223</v>
      </c>
      <c r="M1999">
        <v>55901</v>
      </c>
      <c r="N1999" t="s">
        <v>101</v>
      </c>
      <c r="O1999" t="s">
        <v>255</v>
      </c>
      <c r="P1999" t="s">
        <v>28</v>
      </c>
      <c r="Q1999" t="s">
        <v>32</v>
      </c>
      <c r="R1999" t="s">
        <v>256</v>
      </c>
      <c r="S1999">
        <v>269.97000000000003</v>
      </c>
    </row>
    <row r="2000" spans="1:19" x14ac:dyDescent="0.35">
      <c r="A2000">
        <v>2037</v>
      </c>
      <c r="B2000" t="s">
        <v>4868</v>
      </c>
      <c r="C2000" s="1">
        <v>42392</v>
      </c>
      <c r="D2000" s="1">
        <v>42396</v>
      </c>
      <c r="E2000" s="1" t="str">
        <f t="shared" si="31"/>
        <v>FAST</v>
      </c>
      <c r="F2000" t="s">
        <v>46</v>
      </c>
      <c r="G2000" t="s">
        <v>1659</v>
      </c>
      <c r="H2000" t="s">
        <v>1660</v>
      </c>
      <c r="I2000" t="s">
        <v>98</v>
      </c>
      <c r="J2000" t="s">
        <v>23</v>
      </c>
      <c r="K2000" t="s">
        <v>4869</v>
      </c>
      <c r="L2000" t="s">
        <v>1742</v>
      </c>
      <c r="M2000">
        <v>59715</v>
      </c>
      <c r="N2000" t="s">
        <v>40</v>
      </c>
      <c r="O2000" t="s">
        <v>1422</v>
      </c>
      <c r="P2000" t="s">
        <v>42</v>
      </c>
      <c r="Q2000" t="s">
        <v>86</v>
      </c>
      <c r="R2000" t="s">
        <v>1423</v>
      </c>
      <c r="S2000">
        <v>29.04</v>
      </c>
    </row>
    <row r="2001" spans="1:19" x14ac:dyDescent="0.35">
      <c r="A2001">
        <v>2038</v>
      </c>
      <c r="B2001" t="s">
        <v>4868</v>
      </c>
      <c r="C2001" s="1">
        <v>42392</v>
      </c>
      <c r="D2001" s="1">
        <v>42396</v>
      </c>
      <c r="E2001" s="1" t="str">
        <f t="shared" si="31"/>
        <v>FAST</v>
      </c>
      <c r="F2001" t="s">
        <v>46</v>
      </c>
      <c r="G2001" t="s">
        <v>1659</v>
      </c>
      <c r="H2001" t="s">
        <v>1660</v>
      </c>
      <c r="I2001" t="s">
        <v>98</v>
      </c>
      <c r="J2001" t="s">
        <v>23</v>
      </c>
      <c r="K2001" t="s">
        <v>4869</v>
      </c>
      <c r="L2001" t="s">
        <v>1742</v>
      </c>
      <c r="M2001">
        <v>59715</v>
      </c>
      <c r="N2001" t="s">
        <v>40</v>
      </c>
      <c r="O2001" t="s">
        <v>4360</v>
      </c>
      <c r="P2001" t="s">
        <v>42</v>
      </c>
      <c r="Q2001" t="s">
        <v>43</v>
      </c>
      <c r="R2001" t="s">
        <v>4361</v>
      </c>
      <c r="S2001">
        <v>14.62</v>
      </c>
    </row>
    <row r="2002" spans="1:19" x14ac:dyDescent="0.35">
      <c r="A2002">
        <v>2039</v>
      </c>
      <c r="B2002" t="s">
        <v>4870</v>
      </c>
      <c r="C2002" s="1">
        <v>42539</v>
      </c>
      <c r="D2002" s="1">
        <v>42544</v>
      </c>
      <c r="E2002" s="1" t="str">
        <f t="shared" si="31"/>
        <v>FAST</v>
      </c>
      <c r="F2002" t="s">
        <v>46</v>
      </c>
      <c r="G2002" t="s">
        <v>3126</v>
      </c>
      <c r="H2002" t="s">
        <v>3127</v>
      </c>
      <c r="I2002" t="s">
        <v>98</v>
      </c>
      <c r="J2002" t="s">
        <v>23</v>
      </c>
      <c r="K2002" t="s">
        <v>1370</v>
      </c>
      <c r="L2002" t="s">
        <v>304</v>
      </c>
      <c r="M2002">
        <v>85345</v>
      </c>
      <c r="N2002" t="s">
        <v>40</v>
      </c>
      <c r="O2002" t="s">
        <v>4871</v>
      </c>
      <c r="P2002" t="s">
        <v>42</v>
      </c>
      <c r="Q2002" t="s">
        <v>86</v>
      </c>
      <c r="R2002" t="s">
        <v>4872</v>
      </c>
      <c r="S2002">
        <v>11.952</v>
      </c>
    </row>
    <row r="2003" spans="1:19" x14ac:dyDescent="0.35">
      <c r="A2003">
        <v>2040</v>
      </c>
      <c r="B2003" t="s">
        <v>4870</v>
      </c>
      <c r="C2003" s="1">
        <v>42539</v>
      </c>
      <c r="D2003" s="1">
        <v>42544</v>
      </c>
      <c r="E2003" s="1" t="str">
        <f t="shared" si="31"/>
        <v>FAST</v>
      </c>
      <c r="F2003" t="s">
        <v>46</v>
      </c>
      <c r="G2003" t="s">
        <v>3126</v>
      </c>
      <c r="H2003" t="s">
        <v>3127</v>
      </c>
      <c r="I2003" t="s">
        <v>98</v>
      </c>
      <c r="J2003" t="s">
        <v>23</v>
      </c>
      <c r="K2003" t="s">
        <v>1370</v>
      </c>
      <c r="L2003" t="s">
        <v>304</v>
      </c>
      <c r="M2003">
        <v>85345</v>
      </c>
      <c r="N2003" t="s">
        <v>40</v>
      </c>
      <c r="O2003" t="s">
        <v>3360</v>
      </c>
      <c r="P2003" t="s">
        <v>42</v>
      </c>
      <c r="Q2003" t="s">
        <v>71</v>
      </c>
      <c r="R2003" t="s">
        <v>3361</v>
      </c>
      <c r="S2003">
        <v>4.5359999999999996</v>
      </c>
    </row>
    <row r="2004" spans="1:19" x14ac:dyDescent="0.35">
      <c r="A2004">
        <v>2041</v>
      </c>
      <c r="B2004" t="s">
        <v>4870</v>
      </c>
      <c r="C2004" s="1">
        <v>42539</v>
      </c>
      <c r="D2004" s="1">
        <v>42544</v>
      </c>
      <c r="E2004" s="1" t="str">
        <f t="shared" si="31"/>
        <v>FAST</v>
      </c>
      <c r="F2004" t="s">
        <v>46</v>
      </c>
      <c r="G2004" t="s">
        <v>3126</v>
      </c>
      <c r="H2004" t="s">
        <v>3127</v>
      </c>
      <c r="I2004" t="s">
        <v>98</v>
      </c>
      <c r="J2004" t="s">
        <v>23</v>
      </c>
      <c r="K2004" t="s">
        <v>1370</v>
      </c>
      <c r="L2004" t="s">
        <v>304</v>
      </c>
      <c r="M2004">
        <v>85345</v>
      </c>
      <c r="N2004" t="s">
        <v>40</v>
      </c>
      <c r="O2004" t="s">
        <v>3045</v>
      </c>
      <c r="P2004" t="s">
        <v>42</v>
      </c>
      <c r="Q2004" t="s">
        <v>71</v>
      </c>
      <c r="R2004" t="s">
        <v>3046</v>
      </c>
      <c r="S2004">
        <v>9.1560000000000006</v>
      </c>
    </row>
    <row r="2005" spans="1:19" x14ac:dyDescent="0.35">
      <c r="A2005">
        <v>2042</v>
      </c>
      <c r="B2005" t="s">
        <v>4870</v>
      </c>
      <c r="C2005" s="1">
        <v>42539</v>
      </c>
      <c r="D2005" s="1">
        <v>42544</v>
      </c>
      <c r="E2005" s="1" t="str">
        <f t="shared" si="31"/>
        <v>FAST</v>
      </c>
      <c r="F2005" t="s">
        <v>46</v>
      </c>
      <c r="G2005" t="s">
        <v>3126</v>
      </c>
      <c r="H2005" t="s">
        <v>3127</v>
      </c>
      <c r="I2005" t="s">
        <v>98</v>
      </c>
      <c r="J2005" t="s">
        <v>23</v>
      </c>
      <c r="K2005" t="s">
        <v>1370</v>
      </c>
      <c r="L2005" t="s">
        <v>304</v>
      </c>
      <c r="M2005">
        <v>85345</v>
      </c>
      <c r="N2005" t="s">
        <v>40</v>
      </c>
      <c r="O2005" t="s">
        <v>4587</v>
      </c>
      <c r="P2005" t="s">
        <v>28</v>
      </c>
      <c r="Q2005" t="s">
        <v>61</v>
      </c>
      <c r="R2005" t="s">
        <v>4588</v>
      </c>
      <c r="S2005">
        <v>75.36</v>
      </c>
    </row>
    <row r="2006" spans="1:19" x14ac:dyDescent="0.35">
      <c r="A2006">
        <v>2043</v>
      </c>
      <c r="B2006" t="s">
        <v>4873</v>
      </c>
      <c r="C2006" s="1">
        <v>42645</v>
      </c>
      <c r="D2006" s="1">
        <v>42651</v>
      </c>
      <c r="E2006" s="1" t="str">
        <f t="shared" si="31"/>
        <v>FAST</v>
      </c>
      <c r="F2006" t="s">
        <v>46</v>
      </c>
      <c r="G2006" t="s">
        <v>1556</v>
      </c>
      <c r="H2006" t="s">
        <v>1557</v>
      </c>
      <c r="I2006" t="s">
        <v>37</v>
      </c>
      <c r="J2006" t="s">
        <v>23</v>
      </c>
      <c r="K2006" t="s">
        <v>935</v>
      </c>
      <c r="L2006" t="s">
        <v>39</v>
      </c>
      <c r="M2006">
        <v>92105</v>
      </c>
      <c r="N2006" t="s">
        <v>40</v>
      </c>
      <c r="O2006" t="s">
        <v>4874</v>
      </c>
      <c r="P2006" t="s">
        <v>42</v>
      </c>
      <c r="Q2006" t="s">
        <v>71</v>
      </c>
      <c r="R2006" t="s">
        <v>4875</v>
      </c>
      <c r="S2006">
        <v>57.503999999999998</v>
      </c>
    </row>
    <row r="2007" spans="1:19" x14ac:dyDescent="0.35">
      <c r="A2007">
        <v>2044</v>
      </c>
      <c r="B2007" t="s">
        <v>4876</v>
      </c>
      <c r="C2007" s="1">
        <v>43422</v>
      </c>
      <c r="D2007" s="1">
        <v>43427</v>
      </c>
      <c r="E2007" s="1" t="str">
        <f t="shared" si="31"/>
        <v>FAST</v>
      </c>
      <c r="F2007" t="s">
        <v>46</v>
      </c>
      <c r="G2007" t="s">
        <v>3970</v>
      </c>
      <c r="H2007" t="s">
        <v>3971</v>
      </c>
      <c r="I2007" t="s">
        <v>37</v>
      </c>
      <c r="J2007" t="s">
        <v>23</v>
      </c>
      <c r="K2007" t="s">
        <v>1107</v>
      </c>
      <c r="L2007" t="s">
        <v>485</v>
      </c>
      <c r="M2007">
        <v>44107</v>
      </c>
      <c r="N2007" t="s">
        <v>144</v>
      </c>
      <c r="O2007" t="s">
        <v>3551</v>
      </c>
      <c r="P2007" t="s">
        <v>42</v>
      </c>
      <c r="Q2007" t="s">
        <v>64</v>
      </c>
      <c r="R2007" t="s">
        <v>3552</v>
      </c>
      <c r="S2007">
        <v>38.863999999999997</v>
      </c>
    </row>
    <row r="2008" spans="1:19" x14ac:dyDescent="0.35">
      <c r="A2008">
        <v>2045</v>
      </c>
      <c r="B2008" t="s">
        <v>4877</v>
      </c>
      <c r="C2008" s="1">
        <v>42233</v>
      </c>
      <c r="D2008" s="1">
        <v>42239</v>
      </c>
      <c r="E2008" s="1" t="str">
        <f t="shared" si="31"/>
        <v>FAST</v>
      </c>
      <c r="F2008" t="s">
        <v>46</v>
      </c>
      <c r="G2008" t="s">
        <v>131</v>
      </c>
      <c r="H2008" t="s">
        <v>132</v>
      </c>
      <c r="I2008" t="s">
        <v>37</v>
      </c>
      <c r="J2008" t="s">
        <v>23</v>
      </c>
      <c r="K2008" t="s">
        <v>180</v>
      </c>
      <c r="L2008" t="s">
        <v>100</v>
      </c>
      <c r="M2008">
        <v>77095</v>
      </c>
      <c r="N2008" t="s">
        <v>101</v>
      </c>
      <c r="O2008" t="s">
        <v>3835</v>
      </c>
      <c r="P2008" t="s">
        <v>42</v>
      </c>
      <c r="Q2008" t="s">
        <v>86</v>
      </c>
      <c r="R2008" t="s">
        <v>3836</v>
      </c>
      <c r="S2008">
        <v>15.552</v>
      </c>
    </row>
    <row r="2009" spans="1:19" x14ac:dyDescent="0.35">
      <c r="A2009">
        <v>2046</v>
      </c>
      <c r="B2009" t="s">
        <v>4878</v>
      </c>
      <c r="C2009" s="1">
        <v>42933</v>
      </c>
      <c r="D2009" s="1">
        <v>42937</v>
      </c>
      <c r="E2009" s="1" t="str">
        <f t="shared" si="31"/>
        <v>FAST</v>
      </c>
      <c r="F2009" t="s">
        <v>46</v>
      </c>
      <c r="G2009" t="s">
        <v>4879</v>
      </c>
      <c r="H2009" t="s">
        <v>4880</v>
      </c>
      <c r="I2009" t="s">
        <v>37</v>
      </c>
      <c r="J2009" t="s">
        <v>23</v>
      </c>
      <c r="K2009" t="s">
        <v>4881</v>
      </c>
      <c r="L2009" t="s">
        <v>775</v>
      </c>
      <c r="M2009">
        <v>8861</v>
      </c>
      <c r="N2009" t="s">
        <v>144</v>
      </c>
      <c r="O2009" t="s">
        <v>2791</v>
      </c>
      <c r="P2009" t="s">
        <v>42</v>
      </c>
      <c r="Q2009" t="s">
        <v>74</v>
      </c>
      <c r="R2009" t="s">
        <v>2792</v>
      </c>
      <c r="S2009">
        <v>162.63999999999999</v>
      </c>
    </row>
    <row r="2010" spans="1:19" x14ac:dyDescent="0.35">
      <c r="A2010">
        <v>2047</v>
      </c>
      <c r="B2010" t="s">
        <v>4878</v>
      </c>
      <c r="C2010" s="1">
        <v>42933</v>
      </c>
      <c r="D2010" s="1">
        <v>42937</v>
      </c>
      <c r="E2010" s="1" t="str">
        <f t="shared" si="31"/>
        <v>FAST</v>
      </c>
      <c r="F2010" t="s">
        <v>46</v>
      </c>
      <c r="G2010" t="s">
        <v>4879</v>
      </c>
      <c r="H2010" t="s">
        <v>4880</v>
      </c>
      <c r="I2010" t="s">
        <v>37</v>
      </c>
      <c r="J2010" t="s">
        <v>23</v>
      </c>
      <c r="K2010" t="s">
        <v>4881</v>
      </c>
      <c r="L2010" t="s">
        <v>775</v>
      </c>
      <c r="M2010">
        <v>8861</v>
      </c>
      <c r="N2010" t="s">
        <v>144</v>
      </c>
      <c r="O2010" t="s">
        <v>1034</v>
      </c>
      <c r="P2010" t="s">
        <v>67</v>
      </c>
      <c r="Q2010" t="s">
        <v>68</v>
      </c>
      <c r="R2010" t="s">
        <v>1035</v>
      </c>
      <c r="S2010">
        <v>597</v>
      </c>
    </row>
    <row r="2011" spans="1:19" x14ac:dyDescent="0.35">
      <c r="A2011">
        <v>2048</v>
      </c>
      <c r="B2011" t="s">
        <v>4878</v>
      </c>
      <c r="C2011" s="1">
        <v>42933</v>
      </c>
      <c r="D2011" s="1">
        <v>42937</v>
      </c>
      <c r="E2011" s="1" t="str">
        <f t="shared" si="31"/>
        <v>FAST</v>
      </c>
      <c r="F2011" t="s">
        <v>46</v>
      </c>
      <c r="G2011" t="s">
        <v>4879</v>
      </c>
      <c r="H2011" t="s">
        <v>4880</v>
      </c>
      <c r="I2011" t="s">
        <v>37</v>
      </c>
      <c r="J2011" t="s">
        <v>23</v>
      </c>
      <c r="K2011" t="s">
        <v>4881</v>
      </c>
      <c r="L2011" t="s">
        <v>775</v>
      </c>
      <c r="M2011">
        <v>8861</v>
      </c>
      <c r="N2011" t="s">
        <v>144</v>
      </c>
      <c r="O2011" t="s">
        <v>1604</v>
      </c>
      <c r="P2011" t="s">
        <v>42</v>
      </c>
      <c r="Q2011" t="s">
        <v>86</v>
      </c>
      <c r="R2011" t="s">
        <v>1605</v>
      </c>
      <c r="S2011">
        <v>55.48</v>
      </c>
    </row>
    <row r="2012" spans="1:19" x14ac:dyDescent="0.35">
      <c r="A2012">
        <v>2049</v>
      </c>
      <c r="B2012" t="s">
        <v>4882</v>
      </c>
      <c r="C2012" s="1">
        <v>42562</v>
      </c>
      <c r="D2012" s="1">
        <v>42564</v>
      </c>
      <c r="E2012" s="1" t="str">
        <f t="shared" si="31"/>
        <v>MODERATE</v>
      </c>
      <c r="F2012" t="s">
        <v>184</v>
      </c>
      <c r="G2012" t="s">
        <v>2015</v>
      </c>
      <c r="H2012" t="s">
        <v>2016</v>
      </c>
      <c r="I2012" t="s">
        <v>22</v>
      </c>
      <c r="J2012" t="s">
        <v>23</v>
      </c>
      <c r="K2012" t="s">
        <v>142</v>
      </c>
      <c r="L2012" t="s">
        <v>143</v>
      </c>
      <c r="M2012">
        <v>19134</v>
      </c>
      <c r="N2012" t="s">
        <v>144</v>
      </c>
      <c r="O2012" t="s">
        <v>166</v>
      </c>
      <c r="P2012" t="s">
        <v>28</v>
      </c>
      <c r="Q2012" t="s">
        <v>61</v>
      </c>
      <c r="R2012" t="s">
        <v>167</v>
      </c>
      <c r="S2012">
        <v>289.8</v>
      </c>
    </row>
    <row r="2013" spans="1:19" x14ac:dyDescent="0.35">
      <c r="A2013">
        <v>2050</v>
      </c>
      <c r="B2013" t="s">
        <v>4882</v>
      </c>
      <c r="C2013" s="1">
        <v>42562</v>
      </c>
      <c r="D2013" s="1">
        <v>42564</v>
      </c>
      <c r="E2013" s="1" t="str">
        <f t="shared" si="31"/>
        <v>MODERATE</v>
      </c>
      <c r="F2013" t="s">
        <v>184</v>
      </c>
      <c r="G2013" t="s">
        <v>2015</v>
      </c>
      <c r="H2013" t="s">
        <v>2016</v>
      </c>
      <c r="I2013" t="s">
        <v>22</v>
      </c>
      <c r="J2013" t="s">
        <v>23</v>
      </c>
      <c r="K2013" t="s">
        <v>142</v>
      </c>
      <c r="L2013" t="s">
        <v>143</v>
      </c>
      <c r="M2013">
        <v>19134</v>
      </c>
      <c r="N2013" t="s">
        <v>144</v>
      </c>
      <c r="O2013" t="s">
        <v>2933</v>
      </c>
      <c r="P2013" t="s">
        <v>42</v>
      </c>
      <c r="Q2013" t="s">
        <v>71</v>
      </c>
      <c r="R2013" t="s">
        <v>2934</v>
      </c>
      <c r="S2013">
        <v>2.5019999999999998</v>
      </c>
    </row>
    <row r="2014" spans="1:19" x14ac:dyDescent="0.35">
      <c r="A2014">
        <v>2052</v>
      </c>
      <c r="B2014" t="s">
        <v>4882</v>
      </c>
      <c r="C2014" s="1">
        <v>42562</v>
      </c>
      <c r="D2014" s="1">
        <v>42564</v>
      </c>
      <c r="E2014" s="1" t="str">
        <f t="shared" si="31"/>
        <v>MODERATE</v>
      </c>
      <c r="F2014" t="s">
        <v>184</v>
      </c>
      <c r="G2014" t="s">
        <v>2015</v>
      </c>
      <c r="H2014" t="s">
        <v>2016</v>
      </c>
      <c r="I2014" t="s">
        <v>22</v>
      </c>
      <c r="J2014" t="s">
        <v>23</v>
      </c>
      <c r="K2014" t="s">
        <v>142</v>
      </c>
      <c r="L2014" t="s">
        <v>143</v>
      </c>
      <c r="M2014">
        <v>19134</v>
      </c>
      <c r="N2014" t="s">
        <v>144</v>
      </c>
      <c r="O2014" t="s">
        <v>4883</v>
      </c>
      <c r="P2014" t="s">
        <v>28</v>
      </c>
      <c r="Q2014" t="s">
        <v>32</v>
      </c>
      <c r="R2014" t="s">
        <v>4884</v>
      </c>
      <c r="S2014">
        <v>341.488</v>
      </c>
    </row>
    <row r="2015" spans="1:19" x14ac:dyDescent="0.35">
      <c r="A2015">
        <v>2053</v>
      </c>
      <c r="B2015" t="s">
        <v>4882</v>
      </c>
      <c r="C2015" s="1">
        <v>42562</v>
      </c>
      <c r="D2015" s="1">
        <v>42564</v>
      </c>
      <c r="E2015" s="1" t="str">
        <f t="shared" si="31"/>
        <v>MODERATE</v>
      </c>
      <c r="F2015" t="s">
        <v>184</v>
      </c>
      <c r="G2015" t="s">
        <v>2015</v>
      </c>
      <c r="H2015" t="s">
        <v>2016</v>
      </c>
      <c r="I2015" t="s">
        <v>22</v>
      </c>
      <c r="J2015" t="s">
        <v>23</v>
      </c>
      <c r="K2015" t="s">
        <v>142</v>
      </c>
      <c r="L2015" t="s">
        <v>143</v>
      </c>
      <c r="M2015">
        <v>19134</v>
      </c>
      <c r="N2015" t="s">
        <v>144</v>
      </c>
      <c r="O2015" t="s">
        <v>1268</v>
      </c>
      <c r="P2015" t="s">
        <v>42</v>
      </c>
      <c r="Q2015" t="s">
        <v>64</v>
      </c>
      <c r="R2015" t="s">
        <v>1269</v>
      </c>
      <c r="S2015">
        <v>11.12</v>
      </c>
    </row>
    <row r="2016" spans="1:19" x14ac:dyDescent="0.35">
      <c r="A2016">
        <v>2054</v>
      </c>
      <c r="B2016" t="s">
        <v>4882</v>
      </c>
      <c r="C2016" s="1">
        <v>42562</v>
      </c>
      <c r="D2016" s="1">
        <v>42564</v>
      </c>
      <c r="E2016" s="1" t="str">
        <f t="shared" si="31"/>
        <v>MODERATE</v>
      </c>
      <c r="F2016" t="s">
        <v>184</v>
      </c>
      <c r="G2016" t="s">
        <v>2015</v>
      </c>
      <c r="H2016" t="s">
        <v>2016</v>
      </c>
      <c r="I2016" t="s">
        <v>22</v>
      </c>
      <c r="J2016" t="s">
        <v>23</v>
      </c>
      <c r="K2016" t="s">
        <v>142</v>
      </c>
      <c r="L2016" t="s">
        <v>143</v>
      </c>
      <c r="M2016">
        <v>19134</v>
      </c>
      <c r="N2016" t="s">
        <v>144</v>
      </c>
      <c r="O2016" t="s">
        <v>4885</v>
      </c>
      <c r="P2016" t="s">
        <v>28</v>
      </c>
      <c r="Q2016" t="s">
        <v>61</v>
      </c>
      <c r="R2016" t="s">
        <v>4886</v>
      </c>
      <c r="S2016">
        <v>25.344000000000001</v>
      </c>
    </row>
    <row r="2017" spans="1:19" x14ac:dyDescent="0.35">
      <c r="A2017">
        <v>2055</v>
      </c>
      <c r="B2017" t="s">
        <v>4887</v>
      </c>
      <c r="C2017" s="1">
        <v>43070</v>
      </c>
      <c r="D2017" s="1">
        <v>43076</v>
      </c>
      <c r="E2017" s="1" t="str">
        <f t="shared" si="31"/>
        <v>FAST</v>
      </c>
      <c r="F2017" t="s">
        <v>46</v>
      </c>
      <c r="G2017" t="s">
        <v>4160</v>
      </c>
      <c r="H2017" t="s">
        <v>4161</v>
      </c>
      <c r="I2017" t="s">
        <v>22</v>
      </c>
      <c r="J2017" t="s">
        <v>23</v>
      </c>
      <c r="K2017" t="s">
        <v>1448</v>
      </c>
      <c r="L2017" t="s">
        <v>248</v>
      </c>
      <c r="M2017">
        <v>47374</v>
      </c>
      <c r="N2017" t="s">
        <v>101</v>
      </c>
      <c r="O2017" t="s">
        <v>4511</v>
      </c>
      <c r="P2017" t="s">
        <v>28</v>
      </c>
      <c r="Q2017" t="s">
        <v>61</v>
      </c>
      <c r="R2017" t="s">
        <v>4512</v>
      </c>
      <c r="S2017">
        <v>17.309999999999999</v>
      </c>
    </row>
    <row r="2018" spans="1:19" x14ac:dyDescent="0.35">
      <c r="A2018">
        <v>2056</v>
      </c>
      <c r="B2018" t="s">
        <v>4888</v>
      </c>
      <c r="C2018" s="1">
        <v>43456</v>
      </c>
      <c r="D2018" s="1">
        <v>43459</v>
      </c>
      <c r="E2018" s="1" t="str">
        <f t="shared" si="31"/>
        <v>MODERATE</v>
      </c>
      <c r="F2018" t="s">
        <v>184</v>
      </c>
      <c r="G2018" t="s">
        <v>1977</v>
      </c>
      <c r="H2018" t="s">
        <v>1978</v>
      </c>
      <c r="I2018" t="s">
        <v>22</v>
      </c>
      <c r="J2018" t="s">
        <v>23</v>
      </c>
      <c r="K2018" t="s">
        <v>867</v>
      </c>
      <c r="L2018" t="s">
        <v>232</v>
      </c>
      <c r="M2018">
        <v>48227</v>
      </c>
      <c r="N2018" t="s">
        <v>101</v>
      </c>
      <c r="O2018" t="s">
        <v>4889</v>
      </c>
      <c r="P2018" t="s">
        <v>67</v>
      </c>
      <c r="Q2018" t="s">
        <v>157</v>
      </c>
      <c r="R2018" t="s">
        <v>4890</v>
      </c>
      <c r="S2018">
        <v>199.95</v>
      </c>
    </row>
    <row r="2019" spans="1:19" x14ac:dyDescent="0.35">
      <c r="A2019">
        <v>2057</v>
      </c>
      <c r="B2019" t="s">
        <v>4888</v>
      </c>
      <c r="C2019" s="1">
        <v>43456</v>
      </c>
      <c r="D2019" s="1">
        <v>43459</v>
      </c>
      <c r="E2019" s="1" t="str">
        <f t="shared" si="31"/>
        <v>MODERATE</v>
      </c>
      <c r="F2019" t="s">
        <v>184</v>
      </c>
      <c r="G2019" t="s">
        <v>1977</v>
      </c>
      <c r="H2019" t="s">
        <v>1978</v>
      </c>
      <c r="I2019" t="s">
        <v>22</v>
      </c>
      <c r="J2019" t="s">
        <v>23</v>
      </c>
      <c r="K2019" t="s">
        <v>867</v>
      </c>
      <c r="L2019" t="s">
        <v>232</v>
      </c>
      <c r="M2019">
        <v>48227</v>
      </c>
      <c r="N2019" t="s">
        <v>101</v>
      </c>
      <c r="O2019" t="s">
        <v>2427</v>
      </c>
      <c r="P2019" t="s">
        <v>28</v>
      </c>
      <c r="Q2019" t="s">
        <v>32</v>
      </c>
      <c r="R2019" t="s">
        <v>2428</v>
      </c>
      <c r="S2019">
        <v>1586.69</v>
      </c>
    </row>
    <row r="2020" spans="1:19" x14ac:dyDescent="0.35">
      <c r="A2020">
        <v>2058</v>
      </c>
      <c r="B2020" t="s">
        <v>4888</v>
      </c>
      <c r="C2020" s="1">
        <v>43456</v>
      </c>
      <c r="D2020" s="1">
        <v>43459</v>
      </c>
      <c r="E2020" s="1" t="str">
        <f t="shared" si="31"/>
        <v>MODERATE</v>
      </c>
      <c r="F2020" t="s">
        <v>184</v>
      </c>
      <c r="G2020" t="s">
        <v>1977</v>
      </c>
      <c r="H2020" t="s">
        <v>1978</v>
      </c>
      <c r="I2020" t="s">
        <v>22</v>
      </c>
      <c r="J2020" t="s">
        <v>23</v>
      </c>
      <c r="K2020" t="s">
        <v>867</v>
      </c>
      <c r="L2020" t="s">
        <v>232</v>
      </c>
      <c r="M2020">
        <v>48227</v>
      </c>
      <c r="N2020" t="s">
        <v>101</v>
      </c>
      <c r="O2020" t="s">
        <v>465</v>
      </c>
      <c r="P2020" t="s">
        <v>67</v>
      </c>
      <c r="Q2020" t="s">
        <v>157</v>
      </c>
      <c r="R2020" t="s">
        <v>466</v>
      </c>
      <c r="S2020">
        <v>84.99</v>
      </c>
    </row>
    <row r="2021" spans="1:19" x14ac:dyDescent="0.35">
      <c r="A2021">
        <v>2059</v>
      </c>
      <c r="B2021" t="s">
        <v>4888</v>
      </c>
      <c r="C2021" s="1">
        <v>43456</v>
      </c>
      <c r="D2021" s="1">
        <v>43459</v>
      </c>
      <c r="E2021" s="1" t="str">
        <f t="shared" si="31"/>
        <v>MODERATE</v>
      </c>
      <c r="F2021" t="s">
        <v>184</v>
      </c>
      <c r="G2021" t="s">
        <v>1977</v>
      </c>
      <c r="H2021" t="s">
        <v>1978</v>
      </c>
      <c r="I2021" t="s">
        <v>22</v>
      </c>
      <c r="J2021" t="s">
        <v>23</v>
      </c>
      <c r="K2021" t="s">
        <v>867</v>
      </c>
      <c r="L2021" t="s">
        <v>232</v>
      </c>
      <c r="M2021">
        <v>48227</v>
      </c>
      <c r="N2021" t="s">
        <v>101</v>
      </c>
      <c r="O2021" t="s">
        <v>526</v>
      </c>
      <c r="P2021" t="s">
        <v>28</v>
      </c>
      <c r="Q2021" t="s">
        <v>52</v>
      </c>
      <c r="R2021" t="s">
        <v>527</v>
      </c>
      <c r="S2021">
        <v>411.8</v>
      </c>
    </row>
    <row r="2022" spans="1:19" x14ac:dyDescent="0.35">
      <c r="A2022">
        <v>2060</v>
      </c>
      <c r="B2022" t="s">
        <v>4891</v>
      </c>
      <c r="C2022" s="1">
        <v>42308</v>
      </c>
      <c r="D2022" s="1">
        <v>42312</v>
      </c>
      <c r="E2022" s="1" t="str">
        <f t="shared" si="31"/>
        <v>FAST</v>
      </c>
      <c r="F2022" t="s">
        <v>46</v>
      </c>
      <c r="G2022" t="s">
        <v>500</v>
      </c>
      <c r="H2022" t="s">
        <v>501</v>
      </c>
      <c r="I2022" t="s">
        <v>37</v>
      </c>
      <c r="J2022" t="s">
        <v>23</v>
      </c>
      <c r="K2022" t="s">
        <v>38</v>
      </c>
      <c r="L2022" t="s">
        <v>39</v>
      </c>
      <c r="M2022">
        <v>90049</v>
      </c>
      <c r="N2022" t="s">
        <v>40</v>
      </c>
      <c r="O2022" t="s">
        <v>4892</v>
      </c>
      <c r="P2022" t="s">
        <v>42</v>
      </c>
      <c r="Q2022" t="s">
        <v>263</v>
      </c>
      <c r="R2022" t="s">
        <v>550</v>
      </c>
      <c r="S2022">
        <v>11.34</v>
      </c>
    </row>
    <row r="2023" spans="1:19" x14ac:dyDescent="0.35">
      <c r="A2023">
        <v>2061</v>
      </c>
      <c r="B2023" t="s">
        <v>4891</v>
      </c>
      <c r="C2023" s="1">
        <v>42308</v>
      </c>
      <c r="D2023" s="1">
        <v>42312</v>
      </c>
      <c r="E2023" s="1" t="str">
        <f t="shared" si="31"/>
        <v>FAST</v>
      </c>
      <c r="F2023" t="s">
        <v>46</v>
      </c>
      <c r="G2023" t="s">
        <v>500</v>
      </c>
      <c r="H2023" t="s">
        <v>501</v>
      </c>
      <c r="I2023" t="s">
        <v>37</v>
      </c>
      <c r="J2023" t="s">
        <v>23</v>
      </c>
      <c r="K2023" t="s">
        <v>38</v>
      </c>
      <c r="L2023" t="s">
        <v>39</v>
      </c>
      <c r="M2023">
        <v>90049</v>
      </c>
      <c r="N2023" t="s">
        <v>40</v>
      </c>
      <c r="O2023" t="s">
        <v>4893</v>
      </c>
      <c r="P2023" t="s">
        <v>42</v>
      </c>
      <c r="Q2023" t="s">
        <v>55</v>
      </c>
      <c r="R2023" t="s">
        <v>4894</v>
      </c>
      <c r="S2023">
        <v>80.3</v>
      </c>
    </row>
    <row r="2024" spans="1:19" x14ac:dyDescent="0.35">
      <c r="A2024">
        <v>2062</v>
      </c>
      <c r="B2024" t="s">
        <v>4891</v>
      </c>
      <c r="C2024" s="1">
        <v>42308</v>
      </c>
      <c r="D2024" s="1">
        <v>42312</v>
      </c>
      <c r="E2024" s="1" t="str">
        <f t="shared" si="31"/>
        <v>FAST</v>
      </c>
      <c r="F2024" t="s">
        <v>46</v>
      </c>
      <c r="G2024" t="s">
        <v>500</v>
      </c>
      <c r="H2024" t="s">
        <v>501</v>
      </c>
      <c r="I2024" t="s">
        <v>37</v>
      </c>
      <c r="J2024" t="s">
        <v>23</v>
      </c>
      <c r="K2024" t="s">
        <v>38</v>
      </c>
      <c r="L2024" t="s">
        <v>39</v>
      </c>
      <c r="M2024">
        <v>90049</v>
      </c>
      <c r="N2024" t="s">
        <v>40</v>
      </c>
      <c r="O2024" t="s">
        <v>4895</v>
      </c>
      <c r="P2024" t="s">
        <v>42</v>
      </c>
      <c r="Q2024" t="s">
        <v>71</v>
      </c>
      <c r="R2024" t="s">
        <v>4896</v>
      </c>
      <c r="S2024">
        <v>15.968</v>
      </c>
    </row>
    <row r="2025" spans="1:19" x14ac:dyDescent="0.35">
      <c r="A2025">
        <v>2063</v>
      </c>
      <c r="B2025" t="s">
        <v>4891</v>
      </c>
      <c r="C2025" s="1">
        <v>42308</v>
      </c>
      <c r="D2025" s="1">
        <v>42312</v>
      </c>
      <c r="E2025" s="1" t="str">
        <f t="shared" si="31"/>
        <v>FAST</v>
      </c>
      <c r="F2025" t="s">
        <v>46</v>
      </c>
      <c r="G2025" t="s">
        <v>500</v>
      </c>
      <c r="H2025" t="s">
        <v>501</v>
      </c>
      <c r="I2025" t="s">
        <v>37</v>
      </c>
      <c r="J2025" t="s">
        <v>23</v>
      </c>
      <c r="K2025" t="s">
        <v>38</v>
      </c>
      <c r="L2025" t="s">
        <v>39</v>
      </c>
      <c r="M2025">
        <v>90049</v>
      </c>
      <c r="N2025" t="s">
        <v>40</v>
      </c>
      <c r="O2025" t="s">
        <v>4897</v>
      </c>
      <c r="P2025" t="s">
        <v>42</v>
      </c>
      <c r="Q2025" t="s">
        <v>86</v>
      </c>
      <c r="R2025" t="s">
        <v>4898</v>
      </c>
      <c r="S2025">
        <v>64.739999999999995</v>
      </c>
    </row>
    <row r="2026" spans="1:19" x14ac:dyDescent="0.35">
      <c r="A2026">
        <v>2064</v>
      </c>
      <c r="B2026" t="s">
        <v>4891</v>
      </c>
      <c r="C2026" s="1">
        <v>42308</v>
      </c>
      <c r="D2026" s="1">
        <v>42312</v>
      </c>
      <c r="E2026" s="1" t="str">
        <f t="shared" si="31"/>
        <v>FAST</v>
      </c>
      <c r="F2026" t="s">
        <v>46</v>
      </c>
      <c r="G2026" t="s">
        <v>500</v>
      </c>
      <c r="H2026" t="s">
        <v>501</v>
      </c>
      <c r="I2026" t="s">
        <v>37</v>
      </c>
      <c r="J2026" t="s">
        <v>23</v>
      </c>
      <c r="K2026" t="s">
        <v>38</v>
      </c>
      <c r="L2026" t="s">
        <v>39</v>
      </c>
      <c r="M2026">
        <v>90049</v>
      </c>
      <c r="N2026" t="s">
        <v>40</v>
      </c>
      <c r="O2026" t="s">
        <v>4899</v>
      </c>
      <c r="P2026" t="s">
        <v>42</v>
      </c>
      <c r="Q2026" t="s">
        <v>71</v>
      </c>
      <c r="R2026" t="s">
        <v>4900</v>
      </c>
      <c r="S2026">
        <v>19.295999999999999</v>
      </c>
    </row>
    <row r="2027" spans="1:19" x14ac:dyDescent="0.35">
      <c r="A2027">
        <v>2065</v>
      </c>
      <c r="B2027" t="s">
        <v>4891</v>
      </c>
      <c r="C2027" s="1">
        <v>42308</v>
      </c>
      <c r="D2027" s="1">
        <v>42312</v>
      </c>
      <c r="E2027" s="1" t="str">
        <f t="shared" si="31"/>
        <v>FAST</v>
      </c>
      <c r="F2027" t="s">
        <v>46</v>
      </c>
      <c r="G2027" t="s">
        <v>500</v>
      </c>
      <c r="H2027" t="s">
        <v>501</v>
      </c>
      <c r="I2027" t="s">
        <v>37</v>
      </c>
      <c r="J2027" t="s">
        <v>23</v>
      </c>
      <c r="K2027" t="s">
        <v>38</v>
      </c>
      <c r="L2027" t="s">
        <v>39</v>
      </c>
      <c r="M2027">
        <v>90049</v>
      </c>
      <c r="N2027" t="s">
        <v>40</v>
      </c>
      <c r="O2027" t="s">
        <v>2062</v>
      </c>
      <c r="P2027" t="s">
        <v>42</v>
      </c>
      <c r="Q2027" t="s">
        <v>55</v>
      </c>
      <c r="R2027" t="s">
        <v>2063</v>
      </c>
      <c r="S2027">
        <v>405.64</v>
      </c>
    </row>
    <row r="2028" spans="1:19" x14ac:dyDescent="0.35">
      <c r="A2028">
        <v>2066</v>
      </c>
      <c r="B2028" t="s">
        <v>4891</v>
      </c>
      <c r="C2028" s="1">
        <v>42308</v>
      </c>
      <c r="D2028" s="1">
        <v>42312</v>
      </c>
      <c r="E2028" s="1" t="str">
        <f t="shared" si="31"/>
        <v>FAST</v>
      </c>
      <c r="F2028" t="s">
        <v>46</v>
      </c>
      <c r="G2028" t="s">
        <v>500</v>
      </c>
      <c r="H2028" t="s">
        <v>501</v>
      </c>
      <c r="I2028" t="s">
        <v>37</v>
      </c>
      <c r="J2028" t="s">
        <v>23</v>
      </c>
      <c r="K2028" t="s">
        <v>38</v>
      </c>
      <c r="L2028" t="s">
        <v>39</v>
      </c>
      <c r="M2028">
        <v>90049</v>
      </c>
      <c r="N2028" t="s">
        <v>40</v>
      </c>
      <c r="O2028" t="s">
        <v>4883</v>
      </c>
      <c r="P2028" t="s">
        <v>28</v>
      </c>
      <c r="Q2028" t="s">
        <v>32</v>
      </c>
      <c r="R2028" t="s">
        <v>4884</v>
      </c>
      <c r="S2028">
        <v>146.352</v>
      </c>
    </row>
    <row r="2029" spans="1:19" x14ac:dyDescent="0.35">
      <c r="A2029">
        <v>2067</v>
      </c>
      <c r="B2029" t="s">
        <v>4891</v>
      </c>
      <c r="C2029" s="1">
        <v>42308</v>
      </c>
      <c r="D2029" s="1">
        <v>42312</v>
      </c>
      <c r="E2029" s="1" t="str">
        <f t="shared" si="31"/>
        <v>FAST</v>
      </c>
      <c r="F2029" t="s">
        <v>46</v>
      </c>
      <c r="G2029" t="s">
        <v>500</v>
      </c>
      <c r="H2029" t="s">
        <v>501</v>
      </c>
      <c r="I2029" t="s">
        <v>37</v>
      </c>
      <c r="J2029" t="s">
        <v>23</v>
      </c>
      <c r="K2029" t="s">
        <v>38</v>
      </c>
      <c r="L2029" t="s">
        <v>39</v>
      </c>
      <c r="M2029">
        <v>90049</v>
      </c>
      <c r="N2029" t="s">
        <v>40</v>
      </c>
      <c r="O2029" t="s">
        <v>4474</v>
      </c>
      <c r="P2029" t="s">
        <v>67</v>
      </c>
      <c r="Q2029" t="s">
        <v>157</v>
      </c>
      <c r="R2029" t="s">
        <v>4475</v>
      </c>
      <c r="S2029">
        <v>251.91</v>
      </c>
    </row>
    <row r="2030" spans="1:19" x14ac:dyDescent="0.35">
      <c r="A2030">
        <v>2068</v>
      </c>
      <c r="B2030" t="s">
        <v>4891</v>
      </c>
      <c r="C2030" s="1">
        <v>42308</v>
      </c>
      <c r="D2030" s="1">
        <v>42312</v>
      </c>
      <c r="E2030" s="1" t="str">
        <f t="shared" si="31"/>
        <v>FAST</v>
      </c>
      <c r="F2030" t="s">
        <v>46</v>
      </c>
      <c r="G2030" t="s">
        <v>500</v>
      </c>
      <c r="H2030" t="s">
        <v>501</v>
      </c>
      <c r="I2030" t="s">
        <v>37</v>
      </c>
      <c r="J2030" t="s">
        <v>23</v>
      </c>
      <c r="K2030" t="s">
        <v>38</v>
      </c>
      <c r="L2030" t="s">
        <v>39</v>
      </c>
      <c r="M2030">
        <v>90049</v>
      </c>
      <c r="N2030" t="s">
        <v>40</v>
      </c>
      <c r="O2030" t="s">
        <v>4016</v>
      </c>
      <c r="P2030" t="s">
        <v>42</v>
      </c>
      <c r="Q2030" t="s">
        <v>64</v>
      </c>
      <c r="R2030" t="s">
        <v>4017</v>
      </c>
      <c r="S2030">
        <v>12.39</v>
      </c>
    </row>
    <row r="2031" spans="1:19" x14ac:dyDescent="0.35">
      <c r="A2031">
        <v>2069</v>
      </c>
      <c r="B2031" t="s">
        <v>4901</v>
      </c>
      <c r="C2031" s="1">
        <v>42473</v>
      </c>
      <c r="D2031" s="1">
        <v>42479</v>
      </c>
      <c r="E2031" s="1" t="str">
        <f t="shared" si="31"/>
        <v>FAST</v>
      </c>
      <c r="F2031" t="s">
        <v>46</v>
      </c>
      <c r="G2031" t="s">
        <v>1954</v>
      </c>
      <c r="H2031" t="s">
        <v>1955</v>
      </c>
      <c r="I2031" t="s">
        <v>22</v>
      </c>
      <c r="J2031" t="s">
        <v>23</v>
      </c>
      <c r="K2031" t="s">
        <v>4002</v>
      </c>
      <c r="L2031" t="s">
        <v>39</v>
      </c>
      <c r="M2031">
        <v>91767</v>
      </c>
      <c r="N2031" t="s">
        <v>40</v>
      </c>
      <c r="O2031" t="s">
        <v>4902</v>
      </c>
      <c r="P2031" t="s">
        <v>67</v>
      </c>
      <c r="Q2031" t="s">
        <v>157</v>
      </c>
      <c r="R2031" t="s">
        <v>4903</v>
      </c>
      <c r="S2031">
        <v>199.96</v>
      </c>
    </row>
    <row r="2032" spans="1:19" x14ac:dyDescent="0.35">
      <c r="A2032">
        <v>2070</v>
      </c>
      <c r="B2032" t="s">
        <v>4901</v>
      </c>
      <c r="C2032" s="1">
        <v>42473</v>
      </c>
      <c r="D2032" s="1">
        <v>42479</v>
      </c>
      <c r="E2032" s="1" t="str">
        <f t="shared" si="31"/>
        <v>FAST</v>
      </c>
      <c r="F2032" t="s">
        <v>46</v>
      </c>
      <c r="G2032" t="s">
        <v>1954</v>
      </c>
      <c r="H2032" t="s">
        <v>1955</v>
      </c>
      <c r="I2032" t="s">
        <v>22</v>
      </c>
      <c r="J2032" t="s">
        <v>23</v>
      </c>
      <c r="K2032" t="s">
        <v>4002</v>
      </c>
      <c r="L2032" t="s">
        <v>39</v>
      </c>
      <c r="M2032">
        <v>91767</v>
      </c>
      <c r="N2032" t="s">
        <v>40</v>
      </c>
      <c r="O2032" t="s">
        <v>4904</v>
      </c>
      <c r="P2032" t="s">
        <v>28</v>
      </c>
      <c r="Q2032" t="s">
        <v>52</v>
      </c>
      <c r="R2032" t="s">
        <v>4905</v>
      </c>
      <c r="S2032">
        <v>710.83199999999999</v>
      </c>
    </row>
    <row r="2033" spans="1:19" x14ac:dyDescent="0.35">
      <c r="A2033">
        <v>2071</v>
      </c>
      <c r="B2033" t="s">
        <v>4906</v>
      </c>
      <c r="C2033" s="1">
        <v>42937</v>
      </c>
      <c r="D2033" s="1">
        <v>42939</v>
      </c>
      <c r="E2033" s="1" t="str">
        <f t="shared" si="31"/>
        <v>SLOW</v>
      </c>
      <c r="F2033" t="s">
        <v>19</v>
      </c>
      <c r="G2033" t="s">
        <v>4907</v>
      </c>
      <c r="H2033" t="s">
        <v>4908</v>
      </c>
      <c r="I2033" t="s">
        <v>37</v>
      </c>
      <c r="J2033" t="s">
        <v>23</v>
      </c>
      <c r="K2033" t="s">
        <v>142</v>
      </c>
      <c r="L2033" t="s">
        <v>143</v>
      </c>
      <c r="M2033">
        <v>19134</v>
      </c>
      <c r="N2033" t="s">
        <v>144</v>
      </c>
      <c r="O2033" t="s">
        <v>2415</v>
      </c>
      <c r="P2033" t="s">
        <v>42</v>
      </c>
      <c r="Q2033" t="s">
        <v>71</v>
      </c>
      <c r="R2033" t="s">
        <v>2416</v>
      </c>
      <c r="S2033">
        <v>1.9410000000000001</v>
      </c>
    </row>
    <row r="2034" spans="1:19" x14ac:dyDescent="0.35">
      <c r="A2034">
        <v>2072</v>
      </c>
      <c r="B2034" t="s">
        <v>4909</v>
      </c>
      <c r="C2034" s="1">
        <v>43424</v>
      </c>
      <c r="D2034" s="1">
        <v>43429</v>
      </c>
      <c r="E2034" s="1" t="str">
        <f t="shared" si="31"/>
        <v>FAST</v>
      </c>
      <c r="F2034" t="s">
        <v>46</v>
      </c>
      <c r="G2034" t="s">
        <v>4910</v>
      </c>
      <c r="H2034" t="s">
        <v>4911</v>
      </c>
      <c r="I2034" t="s">
        <v>22</v>
      </c>
      <c r="J2034" t="s">
        <v>23</v>
      </c>
      <c r="K2034" t="s">
        <v>4912</v>
      </c>
      <c r="L2034" t="s">
        <v>39</v>
      </c>
      <c r="M2034">
        <v>91761</v>
      </c>
      <c r="N2034" t="s">
        <v>40</v>
      </c>
      <c r="O2034" t="s">
        <v>1429</v>
      </c>
      <c r="P2034" t="s">
        <v>28</v>
      </c>
      <c r="Q2034" t="s">
        <v>32</v>
      </c>
      <c r="R2034" t="s">
        <v>1430</v>
      </c>
      <c r="S2034">
        <v>283.92</v>
      </c>
    </row>
    <row r="2035" spans="1:19" x14ac:dyDescent="0.35">
      <c r="A2035">
        <v>2073</v>
      </c>
      <c r="B2035" t="s">
        <v>4913</v>
      </c>
      <c r="C2035" s="1">
        <v>43065</v>
      </c>
      <c r="D2035" s="1">
        <v>43071</v>
      </c>
      <c r="E2035" s="1" t="str">
        <f t="shared" si="31"/>
        <v>FAST</v>
      </c>
      <c r="F2035" t="s">
        <v>46</v>
      </c>
      <c r="G2035" t="s">
        <v>4914</v>
      </c>
      <c r="H2035" t="s">
        <v>4915</v>
      </c>
      <c r="I2035" t="s">
        <v>37</v>
      </c>
      <c r="J2035" t="s">
        <v>23</v>
      </c>
      <c r="K2035" t="s">
        <v>91</v>
      </c>
      <c r="L2035" t="s">
        <v>92</v>
      </c>
      <c r="M2035">
        <v>98105</v>
      </c>
      <c r="N2035" t="s">
        <v>40</v>
      </c>
      <c r="O2035" t="s">
        <v>4778</v>
      </c>
      <c r="P2035" t="s">
        <v>42</v>
      </c>
      <c r="Q2035" t="s">
        <v>71</v>
      </c>
      <c r="R2035" t="s">
        <v>4779</v>
      </c>
      <c r="S2035">
        <v>7.3120000000000003</v>
      </c>
    </row>
    <row r="2036" spans="1:19" x14ac:dyDescent="0.35">
      <c r="A2036">
        <v>2074</v>
      </c>
      <c r="B2036" t="s">
        <v>4916</v>
      </c>
      <c r="C2036" s="1">
        <v>43411</v>
      </c>
      <c r="D2036" s="1">
        <v>43416</v>
      </c>
      <c r="E2036" s="1" t="str">
        <f t="shared" si="31"/>
        <v>SLOW</v>
      </c>
      <c r="F2036" t="s">
        <v>19</v>
      </c>
      <c r="G2036" t="s">
        <v>4061</v>
      </c>
      <c r="H2036" t="s">
        <v>4062</v>
      </c>
      <c r="I2036" t="s">
        <v>98</v>
      </c>
      <c r="J2036" t="s">
        <v>23</v>
      </c>
      <c r="K2036" t="s">
        <v>979</v>
      </c>
      <c r="L2036" t="s">
        <v>39</v>
      </c>
      <c r="M2036">
        <v>94513</v>
      </c>
      <c r="N2036" t="s">
        <v>40</v>
      </c>
      <c r="O2036" t="s">
        <v>4917</v>
      </c>
      <c r="P2036" t="s">
        <v>67</v>
      </c>
      <c r="Q2036" t="s">
        <v>157</v>
      </c>
      <c r="R2036" t="s">
        <v>4918</v>
      </c>
      <c r="S2036">
        <v>59.97</v>
      </c>
    </row>
    <row r="2037" spans="1:19" x14ac:dyDescent="0.35">
      <c r="A2037">
        <v>2075</v>
      </c>
      <c r="B2037" t="s">
        <v>4916</v>
      </c>
      <c r="C2037" s="1">
        <v>43411</v>
      </c>
      <c r="D2037" s="1">
        <v>43416</v>
      </c>
      <c r="E2037" s="1" t="str">
        <f t="shared" si="31"/>
        <v>SLOW</v>
      </c>
      <c r="F2037" t="s">
        <v>19</v>
      </c>
      <c r="G2037" t="s">
        <v>4061</v>
      </c>
      <c r="H2037" t="s">
        <v>4062</v>
      </c>
      <c r="I2037" t="s">
        <v>98</v>
      </c>
      <c r="J2037" t="s">
        <v>23</v>
      </c>
      <c r="K2037" t="s">
        <v>979</v>
      </c>
      <c r="L2037" t="s">
        <v>39</v>
      </c>
      <c r="M2037">
        <v>94513</v>
      </c>
      <c r="N2037" t="s">
        <v>40</v>
      </c>
      <c r="O2037" t="s">
        <v>4919</v>
      </c>
      <c r="P2037" t="s">
        <v>67</v>
      </c>
      <c r="Q2037" t="s">
        <v>68</v>
      </c>
      <c r="R2037" t="s">
        <v>4920</v>
      </c>
      <c r="S2037">
        <v>761.54399999999998</v>
      </c>
    </row>
    <row r="2038" spans="1:19" x14ac:dyDescent="0.35">
      <c r="A2038">
        <v>2076</v>
      </c>
      <c r="B2038" t="s">
        <v>4921</v>
      </c>
      <c r="C2038" s="1">
        <v>42339</v>
      </c>
      <c r="D2038" s="1">
        <v>42343</v>
      </c>
      <c r="E2038" s="1" t="str">
        <f t="shared" si="31"/>
        <v>FAST</v>
      </c>
      <c r="F2038" t="s">
        <v>46</v>
      </c>
      <c r="G2038" t="s">
        <v>2534</v>
      </c>
      <c r="H2038" t="s">
        <v>2535</v>
      </c>
      <c r="I2038" t="s">
        <v>22</v>
      </c>
      <c r="J2038" t="s">
        <v>23</v>
      </c>
      <c r="K2038" t="s">
        <v>123</v>
      </c>
      <c r="L2038" t="s">
        <v>39</v>
      </c>
      <c r="M2038">
        <v>94122</v>
      </c>
      <c r="N2038" t="s">
        <v>40</v>
      </c>
      <c r="O2038" t="s">
        <v>1088</v>
      </c>
      <c r="P2038" t="s">
        <v>28</v>
      </c>
      <c r="Q2038" t="s">
        <v>61</v>
      </c>
      <c r="R2038" t="s">
        <v>1089</v>
      </c>
      <c r="S2038">
        <v>58.2</v>
      </c>
    </row>
    <row r="2039" spans="1:19" x14ac:dyDescent="0.35">
      <c r="A2039">
        <v>2077</v>
      </c>
      <c r="B2039" t="s">
        <v>4922</v>
      </c>
      <c r="C2039" s="1">
        <v>43355</v>
      </c>
      <c r="D2039" s="1">
        <v>43358</v>
      </c>
      <c r="E2039" s="1" t="str">
        <f t="shared" si="31"/>
        <v>MODERATE</v>
      </c>
      <c r="F2039" t="s">
        <v>184</v>
      </c>
      <c r="G2039" t="s">
        <v>4923</v>
      </c>
      <c r="H2039" t="s">
        <v>4924</v>
      </c>
      <c r="I2039" t="s">
        <v>22</v>
      </c>
      <c r="J2039" t="s">
        <v>23</v>
      </c>
      <c r="K2039" t="s">
        <v>4451</v>
      </c>
      <c r="L2039" t="s">
        <v>2708</v>
      </c>
      <c r="M2039">
        <v>21215</v>
      </c>
      <c r="N2039" t="s">
        <v>144</v>
      </c>
      <c r="O2039" t="s">
        <v>923</v>
      </c>
      <c r="P2039" t="s">
        <v>42</v>
      </c>
      <c r="Q2039" t="s">
        <v>86</v>
      </c>
      <c r="R2039" t="s">
        <v>924</v>
      </c>
      <c r="S2039">
        <v>39.9</v>
      </c>
    </row>
    <row r="2040" spans="1:19" x14ac:dyDescent="0.35">
      <c r="A2040">
        <v>2078</v>
      </c>
      <c r="B2040" t="s">
        <v>4922</v>
      </c>
      <c r="C2040" s="1">
        <v>43355</v>
      </c>
      <c r="D2040" s="1">
        <v>43358</v>
      </c>
      <c r="E2040" s="1" t="str">
        <f t="shared" si="31"/>
        <v>MODERATE</v>
      </c>
      <c r="F2040" t="s">
        <v>184</v>
      </c>
      <c r="G2040" t="s">
        <v>4923</v>
      </c>
      <c r="H2040" t="s">
        <v>4924</v>
      </c>
      <c r="I2040" t="s">
        <v>22</v>
      </c>
      <c r="J2040" t="s">
        <v>23</v>
      </c>
      <c r="K2040" t="s">
        <v>4451</v>
      </c>
      <c r="L2040" t="s">
        <v>2708</v>
      </c>
      <c r="M2040">
        <v>21215</v>
      </c>
      <c r="N2040" t="s">
        <v>144</v>
      </c>
      <c r="O2040" t="s">
        <v>424</v>
      </c>
      <c r="P2040" t="s">
        <v>42</v>
      </c>
      <c r="Q2040" t="s">
        <v>74</v>
      </c>
      <c r="R2040" t="s">
        <v>425</v>
      </c>
      <c r="S2040">
        <v>90.86</v>
      </c>
    </row>
    <row r="2041" spans="1:19" x14ac:dyDescent="0.35">
      <c r="A2041">
        <v>2079</v>
      </c>
      <c r="B2041" t="s">
        <v>4922</v>
      </c>
      <c r="C2041" s="1">
        <v>43355</v>
      </c>
      <c r="D2041" s="1">
        <v>43358</v>
      </c>
      <c r="E2041" s="1" t="str">
        <f t="shared" si="31"/>
        <v>MODERATE</v>
      </c>
      <c r="F2041" t="s">
        <v>184</v>
      </c>
      <c r="G2041" t="s">
        <v>4923</v>
      </c>
      <c r="H2041" t="s">
        <v>4924</v>
      </c>
      <c r="I2041" t="s">
        <v>22</v>
      </c>
      <c r="J2041" t="s">
        <v>23</v>
      </c>
      <c r="K2041" t="s">
        <v>4451</v>
      </c>
      <c r="L2041" t="s">
        <v>2708</v>
      </c>
      <c r="M2041">
        <v>21215</v>
      </c>
      <c r="N2041" t="s">
        <v>144</v>
      </c>
      <c r="O2041" t="s">
        <v>1086</v>
      </c>
      <c r="P2041" t="s">
        <v>42</v>
      </c>
      <c r="Q2041" t="s">
        <v>86</v>
      </c>
      <c r="R2041" t="s">
        <v>1087</v>
      </c>
      <c r="S2041">
        <v>94.85</v>
      </c>
    </row>
    <row r="2042" spans="1:19" x14ac:dyDescent="0.35">
      <c r="A2042">
        <v>2080</v>
      </c>
      <c r="B2042" t="s">
        <v>4925</v>
      </c>
      <c r="C2042" s="1">
        <v>42728</v>
      </c>
      <c r="D2042" s="1">
        <v>42733</v>
      </c>
      <c r="E2042" s="1" t="str">
        <f t="shared" si="31"/>
        <v>FAST</v>
      </c>
      <c r="F2042" t="s">
        <v>46</v>
      </c>
      <c r="G2042" t="s">
        <v>2730</v>
      </c>
      <c r="H2042" t="s">
        <v>2731</v>
      </c>
      <c r="I2042" t="s">
        <v>22</v>
      </c>
      <c r="J2042" t="s">
        <v>23</v>
      </c>
      <c r="K2042" t="s">
        <v>531</v>
      </c>
      <c r="L2042" t="s">
        <v>304</v>
      </c>
      <c r="M2042">
        <v>85023</v>
      </c>
      <c r="N2042" t="s">
        <v>40</v>
      </c>
      <c r="O2042" t="s">
        <v>4926</v>
      </c>
      <c r="P2042" t="s">
        <v>42</v>
      </c>
      <c r="Q2042" t="s">
        <v>86</v>
      </c>
      <c r="R2042" t="s">
        <v>4927</v>
      </c>
      <c r="S2042">
        <v>106.232</v>
      </c>
    </row>
    <row r="2043" spans="1:19" x14ac:dyDescent="0.35">
      <c r="A2043">
        <v>2081</v>
      </c>
      <c r="B2043" t="s">
        <v>4925</v>
      </c>
      <c r="C2043" s="1">
        <v>42728</v>
      </c>
      <c r="D2043" s="1">
        <v>42733</v>
      </c>
      <c r="E2043" s="1" t="str">
        <f t="shared" si="31"/>
        <v>FAST</v>
      </c>
      <c r="F2043" t="s">
        <v>46</v>
      </c>
      <c r="G2043" t="s">
        <v>2730</v>
      </c>
      <c r="H2043" t="s">
        <v>2731</v>
      </c>
      <c r="I2043" t="s">
        <v>22</v>
      </c>
      <c r="J2043" t="s">
        <v>23</v>
      </c>
      <c r="K2043" t="s">
        <v>531</v>
      </c>
      <c r="L2043" t="s">
        <v>304</v>
      </c>
      <c r="M2043">
        <v>85023</v>
      </c>
      <c r="N2043" t="s">
        <v>40</v>
      </c>
      <c r="O2043" t="s">
        <v>2312</v>
      </c>
      <c r="P2043" t="s">
        <v>67</v>
      </c>
      <c r="Q2043" t="s">
        <v>68</v>
      </c>
      <c r="R2043" t="s">
        <v>2313</v>
      </c>
      <c r="S2043">
        <v>111.98399999999999</v>
      </c>
    </row>
    <row r="2044" spans="1:19" x14ac:dyDescent="0.35">
      <c r="A2044">
        <v>2082</v>
      </c>
      <c r="B2044" t="s">
        <v>4925</v>
      </c>
      <c r="C2044" s="1">
        <v>42728</v>
      </c>
      <c r="D2044" s="1">
        <v>42733</v>
      </c>
      <c r="E2044" s="1" t="str">
        <f t="shared" si="31"/>
        <v>FAST</v>
      </c>
      <c r="F2044" t="s">
        <v>46</v>
      </c>
      <c r="G2044" t="s">
        <v>2730</v>
      </c>
      <c r="H2044" t="s">
        <v>2731</v>
      </c>
      <c r="I2044" t="s">
        <v>22</v>
      </c>
      <c r="J2044" t="s">
        <v>23</v>
      </c>
      <c r="K2044" t="s">
        <v>531</v>
      </c>
      <c r="L2044" t="s">
        <v>304</v>
      </c>
      <c r="M2044">
        <v>85023</v>
      </c>
      <c r="N2044" t="s">
        <v>40</v>
      </c>
      <c r="O2044" t="s">
        <v>2959</v>
      </c>
      <c r="P2044" t="s">
        <v>28</v>
      </c>
      <c r="Q2044" t="s">
        <v>61</v>
      </c>
      <c r="R2044" t="s">
        <v>2960</v>
      </c>
      <c r="S2044">
        <v>7.7119999999999997</v>
      </c>
    </row>
    <row r="2045" spans="1:19" x14ac:dyDescent="0.35">
      <c r="A2045">
        <v>2083</v>
      </c>
      <c r="B2045" t="s">
        <v>4928</v>
      </c>
      <c r="C2045" s="1">
        <v>43154</v>
      </c>
      <c r="D2045" s="1">
        <v>43160</v>
      </c>
      <c r="E2045" s="1" t="str">
        <f t="shared" si="31"/>
        <v>FAST</v>
      </c>
      <c r="F2045" t="s">
        <v>46</v>
      </c>
      <c r="G2045" t="s">
        <v>2015</v>
      </c>
      <c r="H2045" t="s">
        <v>2016</v>
      </c>
      <c r="I2045" t="s">
        <v>22</v>
      </c>
      <c r="J2045" t="s">
        <v>23</v>
      </c>
      <c r="K2045" t="s">
        <v>38</v>
      </c>
      <c r="L2045" t="s">
        <v>39</v>
      </c>
      <c r="M2045">
        <v>90008</v>
      </c>
      <c r="N2045" t="s">
        <v>40</v>
      </c>
      <c r="O2045" t="s">
        <v>3504</v>
      </c>
      <c r="P2045" t="s">
        <v>42</v>
      </c>
      <c r="Q2045" t="s">
        <v>86</v>
      </c>
      <c r="R2045" t="s">
        <v>3505</v>
      </c>
      <c r="S2045">
        <v>37.44</v>
      </c>
    </row>
    <row r="2046" spans="1:19" x14ac:dyDescent="0.35">
      <c r="A2046">
        <v>2084</v>
      </c>
      <c r="B2046" t="s">
        <v>4929</v>
      </c>
      <c r="C2046" s="1">
        <v>42331</v>
      </c>
      <c r="D2046" s="1">
        <v>42337</v>
      </c>
      <c r="E2046" s="1" t="str">
        <f t="shared" si="31"/>
        <v>FAST</v>
      </c>
      <c r="F2046" t="s">
        <v>46</v>
      </c>
      <c r="G2046" t="s">
        <v>4402</v>
      </c>
      <c r="H2046" t="s">
        <v>4403</v>
      </c>
      <c r="I2046" t="s">
        <v>98</v>
      </c>
      <c r="J2046" t="s">
        <v>23</v>
      </c>
      <c r="K2046" t="s">
        <v>180</v>
      </c>
      <c r="L2046" t="s">
        <v>100</v>
      </c>
      <c r="M2046">
        <v>77036</v>
      </c>
      <c r="N2046" t="s">
        <v>101</v>
      </c>
      <c r="O2046" t="s">
        <v>1647</v>
      </c>
      <c r="P2046" t="s">
        <v>42</v>
      </c>
      <c r="Q2046" t="s">
        <v>43</v>
      </c>
      <c r="R2046" t="s">
        <v>1648</v>
      </c>
      <c r="S2046">
        <v>23.68</v>
      </c>
    </row>
    <row r="2047" spans="1:19" x14ac:dyDescent="0.35">
      <c r="A2047">
        <v>2085</v>
      </c>
      <c r="B2047" t="s">
        <v>4930</v>
      </c>
      <c r="C2047" s="1">
        <v>42909</v>
      </c>
      <c r="D2047" s="1">
        <v>42914</v>
      </c>
      <c r="E2047" s="1" t="str">
        <f t="shared" si="31"/>
        <v>FAST</v>
      </c>
      <c r="F2047" t="s">
        <v>46</v>
      </c>
      <c r="G2047" t="s">
        <v>89</v>
      </c>
      <c r="H2047" t="s">
        <v>90</v>
      </c>
      <c r="I2047" t="s">
        <v>22</v>
      </c>
      <c r="J2047" t="s">
        <v>23</v>
      </c>
      <c r="K2047" t="s">
        <v>260</v>
      </c>
      <c r="L2047" t="s">
        <v>261</v>
      </c>
      <c r="M2047">
        <v>10009</v>
      </c>
      <c r="N2047" t="s">
        <v>144</v>
      </c>
      <c r="O2047" t="s">
        <v>2233</v>
      </c>
      <c r="P2047" t="s">
        <v>42</v>
      </c>
      <c r="Q2047" t="s">
        <v>43</v>
      </c>
      <c r="R2047" t="s">
        <v>2234</v>
      </c>
      <c r="S2047">
        <v>122.12</v>
      </c>
    </row>
    <row r="2048" spans="1:19" x14ac:dyDescent="0.35">
      <c r="A2048">
        <v>2086</v>
      </c>
      <c r="B2048" t="s">
        <v>4930</v>
      </c>
      <c r="C2048" s="1">
        <v>42909</v>
      </c>
      <c r="D2048" s="1">
        <v>42914</v>
      </c>
      <c r="E2048" s="1" t="str">
        <f t="shared" si="31"/>
        <v>FAST</v>
      </c>
      <c r="F2048" t="s">
        <v>46</v>
      </c>
      <c r="G2048" t="s">
        <v>89</v>
      </c>
      <c r="H2048" t="s">
        <v>90</v>
      </c>
      <c r="I2048" t="s">
        <v>22</v>
      </c>
      <c r="J2048" t="s">
        <v>23</v>
      </c>
      <c r="K2048" t="s">
        <v>260</v>
      </c>
      <c r="L2048" t="s">
        <v>261</v>
      </c>
      <c r="M2048">
        <v>10009</v>
      </c>
      <c r="N2048" t="s">
        <v>144</v>
      </c>
      <c r="O2048" t="s">
        <v>4931</v>
      </c>
      <c r="P2048" t="s">
        <v>42</v>
      </c>
      <c r="Q2048" t="s">
        <v>43</v>
      </c>
      <c r="R2048" t="s">
        <v>4932</v>
      </c>
      <c r="S2048">
        <v>18.45</v>
      </c>
    </row>
    <row r="2049" spans="1:19" x14ac:dyDescent="0.35">
      <c r="A2049">
        <v>2087</v>
      </c>
      <c r="B2049" t="s">
        <v>4930</v>
      </c>
      <c r="C2049" s="1">
        <v>42909</v>
      </c>
      <c r="D2049" s="1">
        <v>42914</v>
      </c>
      <c r="E2049" s="1" t="str">
        <f t="shared" si="31"/>
        <v>FAST</v>
      </c>
      <c r="F2049" t="s">
        <v>46</v>
      </c>
      <c r="G2049" t="s">
        <v>89</v>
      </c>
      <c r="H2049" t="s">
        <v>90</v>
      </c>
      <c r="I2049" t="s">
        <v>22</v>
      </c>
      <c r="J2049" t="s">
        <v>23</v>
      </c>
      <c r="K2049" t="s">
        <v>260</v>
      </c>
      <c r="L2049" t="s">
        <v>261</v>
      </c>
      <c r="M2049">
        <v>10009</v>
      </c>
      <c r="N2049" t="s">
        <v>144</v>
      </c>
      <c r="O2049" t="s">
        <v>1526</v>
      </c>
      <c r="P2049" t="s">
        <v>42</v>
      </c>
      <c r="Q2049" t="s">
        <v>55</v>
      </c>
      <c r="R2049" t="s">
        <v>1527</v>
      </c>
      <c r="S2049">
        <v>324.89999999999998</v>
      </c>
    </row>
    <row r="2050" spans="1:19" x14ac:dyDescent="0.35">
      <c r="A2050">
        <v>2088</v>
      </c>
      <c r="B2050" t="s">
        <v>4930</v>
      </c>
      <c r="C2050" s="1">
        <v>42909</v>
      </c>
      <c r="D2050" s="1">
        <v>42914</v>
      </c>
      <c r="E2050" s="1" t="str">
        <f t="shared" si="31"/>
        <v>FAST</v>
      </c>
      <c r="F2050" t="s">
        <v>46</v>
      </c>
      <c r="G2050" t="s">
        <v>89</v>
      </c>
      <c r="H2050" t="s">
        <v>90</v>
      </c>
      <c r="I2050" t="s">
        <v>22</v>
      </c>
      <c r="J2050" t="s">
        <v>23</v>
      </c>
      <c r="K2050" t="s">
        <v>260</v>
      </c>
      <c r="L2050" t="s">
        <v>261</v>
      </c>
      <c r="M2050">
        <v>10009</v>
      </c>
      <c r="N2050" t="s">
        <v>144</v>
      </c>
      <c r="O2050" t="s">
        <v>4596</v>
      </c>
      <c r="P2050" t="s">
        <v>42</v>
      </c>
      <c r="Q2050" t="s">
        <v>86</v>
      </c>
      <c r="R2050" t="s">
        <v>4597</v>
      </c>
      <c r="S2050">
        <v>146.72999999999999</v>
      </c>
    </row>
    <row r="2051" spans="1:19" x14ac:dyDescent="0.35">
      <c r="A2051">
        <v>2089</v>
      </c>
      <c r="B2051" t="s">
        <v>4930</v>
      </c>
      <c r="C2051" s="1">
        <v>42909</v>
      </c>
      <c r="D2051" s="1">
        <v>42914</v>
      </c>
      <c r="E2051" s="1" t="str">
        <f t="shared" ref="E2051:E2114" si="32">IF(F2051="STANDARD CLASS","FAST",IF(F2051="SECOND CLASS","SLOW","MODERATE"))</f>
        <v>FAST</v>
      </c>
      <c r="F2051" t="s">
        <v>46</v>
      </c>
      <c r="G2051" t="s">
        <v>89</v>
      </c>
      <c r="H2051" t="s">
        <v>90</v>
      </c>
      <c r="I2051" t="s">
        <v>22</v>
      </c>
      <c r="J2051" t="s">
        <v>23</v>
      </c>
      <c r="K2051" t="s">
        <v>260</v>
      </c>
      <c r="L2051" t="s">
        <v>261</v>
      </c>
      <c r="M2051">
        <v>10009</v>
      </c>
      <c r="N2051" t="s">
        <v>144</v>
      </c>
      <c r="O2051" t="s">
        <v>4933</v>
      </c>
      <c r="P2051" t="s">
        <v>42</v>
      </c>
      <c r="Q2051" t="s">
        <v>263</v>
      </c>
      <c r="R2051" t="s">
        <v>4934</v>
      </c>
      <c r="S2051">
        <v>3.96</v>
      </c>
    </row>
    <row r="2052" spans="1:19" x14ac:dyDescent="0.35">
      <c r="A2052">
        <v>2090</v>
      </c>
      <c r="B2052" t="s">
        <v>4935</v>
      </c>
      <c r="C2052" s="1">
        <v>42669</v>
      </c>
      <c r="D2052" s="1">
        <v>42673</v>
      </c>
      <c r="E2052" s="1" t="str">
        <f t="shared" si="32"/>
        <v>FAST</v>
      </c>
      <c r="F2052" t="s">
        <v>46</v>
      </c>
      <c r="G2052" t="s">
        <v>1699</v>
      </c>
      <c r="H2052" t="s">
        <v>1700</v>
      </c>
      <c r="I2052" t="s">
        <v>37</v>
      </c>
      <c r="J2052" t="s">
        <v>23</v>
      </c>
      <c r="K2052" t="s">
        <v>4936</v>
      </c>
      <c r="L2052" t="s">
        <v>39</v>
      </c>
      <c r="M2052">
        <v>91730</v>
      </c>
      <c r="N2052" t="s">
        <v>40</v>
      </c>
      <c r="O2052" t="s">
        <v>4937</v>
      </c>
      <c r="P2052" t="s">
        <v>42</v>
      </c>
      <c r="Q2052" t="s">
        <v>43</v>
      </c>
      <c r="R2052" t="s">
        <v>4938</v>
      </c>
      <c r="S2052">
        <v>5.76</v>
      </c>
    </row>
    <row r="2053" spans="1:19" x14ac:dyDescent="0.35">
      <c r="A2053">
        <v>2091</v>
      </c>
      <c r="B2053" t="s">
        <v>4939</v>
      </c>
      <c r="C2053" s="1">
        <v>43296</v>
      </c>
      <c r="D2053" s="1">
        <v>43300</v>
      </c>
      <c r="E2053" s="1" t="str">
        <f t="shared" si="32"/>
        <v>FAST</v>
      </c>
      <c r="F2053" t="s">
        <v>46</v>
      </c>
      <c r="G2053" t="s">
        <v>4940</v>
      </c>
      <c r="H2053" t="s">
        <v>4941</v>
      </c>
      <c r="I2053" t="s">
        <v>22</v>
      </c>
      <c r="J2053" t="s">
        <v>23</v>
      </c>
      <c r="K2053" t="s">
        <v>508</v>
      </c>
      <c r="L2053" t="s">
        <v>239</v>
      </c>
      <c r="M2053">
        <v>19805</v>
      </c>
      <c r="N2053" t="s">
        <v>144</v>
      </c>
      <c r="O2053" t="s">
        <v>2341</v>
      </c>
      <c r="P2053" t="s">
        <v>42</v>
      </c>
      <c r="Q2053" t="s">
        <v>71</v>
      </c>
      <c r="R2053" t="s">
        <v>2342</v>
      </c>
      <c r="S2053">
        <v>26.55</v>
      </c>
    </row>
    <row r="2054" spans="1:19" x14ac:dyDescent="0.35">
      <c r="A2054">
        <v>2092</v>
      </c>
      <c r="B2054" t="s">
        <v>4939</v>
      </c>
      <c r="C2054" s="1">
        <v>43296</v>
      </c>
      <c r="D2054" s="1">
        <v>43300</v>
      </c>
      <c r="E2054" s="1" t="str">
        <f t="shared" si="32"/>
        <v>FAST</v>
      </c>
      <c r="F2054" t="s">
        <v>46</v>
      </c>
      <c r="G2054" t="s">
        <v>4940</v>
      </c>
      <c r="H2054" t="s">
        <v>4941</v>
      </c>
      <c r="I2054" t="s">
        <v>22</v>
      </c>
      <c r="J2054" t="s">
        <v>23</v>
      </c>
      <c r="K2054" t="s">
        <v>508</v>
      </c>
      <c r="L2054" t="s">
        <v>239</v>
      </c>
      <c r="M2054">
        <v>19805</v>
      </c>
      <c r="N2054" t="s">
        <v>144</v>
      </c>
      <c r="O2054" t="s">
        <v>4414</v>
      </c>
      <c r="P2054" t="s">
        <v>28</v>
      </c>
      <c r="Q2054" t="s">
        <v>52</v>
      </c>
      <c r="R2054" t="s">
        <v>4415</v>
      </c>
      <c r="S2054">
        <v>310.44299999999998</v>
      </c>
    </row>
    <row r="2055" spans="1:19" x14ac:dyDescent="0.35">
      <c r="A2055">
        <v>2093</v>
      </c>
      <c r="B2055" t="s">
        <v>4942</v>
      </c>
      <c r="C2055" s="1">
        <v>42325</v>
      </c>
      <c r="D2055" s="1">
        <v>42329</v>
      </c>
      <c r="E2055" s="1" t="str">
        <f t="shared" si="32"/>
        <v>FAST</v>
      </c>
      <c r="F2055" t="s">
        <v>46</v>
      </c>
      <c r="G2055" t="s">
        <v>751</v>
      </c>
      <c r="H2055" t="s">
        <v>752</v>
      </c>
      <c r="I2055" t="s">
        <v>98</v>
      </c>
      <c r="J2055" t="s">
        <v>23</v>
      </c>
      <c r="K2055" t="s">
        <v>4943</v>
      </c>
      <c r="L2055" t="s">
        <v>223</v>
      </c>
      <c r="M2055">
        <v>56560</v>
      </c>
      <c r="N2055" t="s">
        <v>101</v>
      </c>
      <c r="O2055" t="s">
        <v>3855</v>
      </c>
      <c r="P2055" t="s">
        <v>28</v>
      </c>
      <c r="Q2055" t="s">
        <v>32</v>
      </c>
      <c r="R2055" t="s">
        <v>3856</v>
      </c>
      <c r="S2055">
        <v>479.9</v>
      </c>
    </row>
    <row r="2056" spans="1:19" x14ac:dyDescent="0.35">
      <c r="A2056">
        <v>2094</v>
      </c>
      <c r="B2056" t="s">
        <v>4944</v>
      </c>
      <c r="C2056" s="1">
        <v>42473</v>
      </c>
      <c r="D2056" s="1">
        <v>42475</v>
      </c>
      <c r="E2056" s="1" t="str">
        <f t="shared" si="32"/>
        <v>SLOW</v>
      </c>
      <c r="F2056" t="s">
        <v>19</v>
      </c>
      <c r="G2056" t="s">
        <v>4114</v>
      </c>
      <c r="H2056" t="s">
        <v>4115</v>
      </c>
      <c r="I2056" t="s">
        <v>22</v>
      </c>
      <c r="J2056" t="s">
        <v>23</v>
      </c>
      <c r="K2056" t="s">
        <v>2823</v>
      </c>
      <c r="L2056" t="s">
        <v>656</v>
      </c>
      <c r="M2056">
        <v>87401</v>
      </c>
      <c r="N2056" t="s">
        <v>40</v>
      </c>
      <c r="O2056" t="s">
        <v>1939</v>
      </c>
      <c r="P2056" t="s">
        <v>42</v>
      </c>
      <c r="Q2056" t="s">
        <v>566</v>
      </c>
      <c r="R2056" t="s">
        <v>1940</v>
      </c>
      <c r="S2056">
        <v>12.88</v>
      </c>
    </row>
    <row r="2057" spans="1:19" x14ac:dyDescent="0.35">
      <c r="A2057">
        <v>2095</v>
      </c>
      <c r="B2057" t="s">
        <v>4945</v>
      </c>
      <c r="C2057" s="1">
        <v>42699</v>
      </c>
      <c r="D2057" s="1">
        <v>42703</v>
      </c>
      <c r="E2057" s="1" t="str">
        <f t="shared" si="32"/>
        <v>FAST</v>
      </c>
      <c r="F2057" t="s">
        <v>46</v>
      </c>
      <c r="G2057" t="s">
        <v>140</v>
      </c>
      <c r="H2057" t="s">
        <v>141</v>
      </c>
      <c r="I2057" t="s">
        <v>22</v>
      </c>
      <c r="J2057" t="s">
        <v>23</v>
      </c>
      <c r="K2057" t="s">
        <v>508</v>
      </c>
      <c r="L2057" t="s">
        <v>84</v>
      </c>
      <c r="M2057">
        <v>28403</v>
      </c>
      <c r="N2057" t="s">
        <v>26</v>
      </c>
      <c r="O2057" t="s">
        <v>4946</v>
      </c>
      <c r="P2057" t="s">
        <v>42</v>
      </c>
      <c r="Q2057" t="s">
        <v>64</v>
      </c>
      <c r="R2057" t="s">
        <v>4947</v>
      </c>
      <c r="S2057">
        <v>13.12</v>
      </c>
    </row>
    <row r="2058" spans="1:19" x14ac:dyDescent="0.35">
      <c r="A2058">
        <v>2096</v>
      </c>
      <c r="B2058" t="s">
        <v>4948</v>
      </c>
      <c r="C2058" s="1">
        <v>42870</v>
      </c>
      <c r="D2058" s="1">
        <v>42875</v>
      </c>
      <c r="E2058" s="1" t="str">
        <f t="shared" si="32"/>
        <v>FAST</v>
      </c>
      <c r="F2058" t="s">
        <v>46</v>
      </c>
      <c r="G2058" t="s">
        <v>193</v>
      </c>
      <c r="H2058" t="s">
        <v>194</v>
      </c>
      <c r="I2058" t="s">
        <v>98</v>
      </c>
      <c r="J2058" t="s">
        <v>23</v>
      </c>
      <c r="K2058" t="s">
        <v>322</v>
      </c>
      <c r="L2058" t="s">
        <v>1471</v>
      </c>
      <c r="M2058">
        <v>39212</v>
      </c>
      <c r="N2058" t="s">
        <v>26</v>
      </c>
      <c r="O2058" t="s">
        <v>4949</v>
      </c>
      <c r="P2058" t="s">
        <v>42</v>
      </c>
      <c r="Q2058" t="s">
        <v>71</v>
      </c>
      <c r="R2058" t="s">
        <v>4950</v>
      </c>
      <c r="S2058">
        <v>511.84</v>
      </c>
    </row>
    <row r="2059" spans="1:19" x14ac:dyDescent="0.35">
      <c r="A2059">
        <v>2097</v>
      </c>
      <c r="B2059" t="s">
        <v>4948</v>
      </c>
      <c r="C2059" s="1">
        <v>42870</v>
      </c>
      <c r="D2059" s="1">
        <v>42875</v>
      </c>
      <c r="E2059" s="1" t="str">
        <f t="shared" si="32"/>
        <v>FAST</v>
      </c>
      <c r="F2059" t="s">
        <v>46</v>
      </c>
      <c r="G2059" t="s">
        <v>193</v>
      </c>
      <c r="H2059" t="s">
        <v>194</v>
      </c>
      <c r="I2059" t="s">
        <v>98</v>
      </c>
      <c r="J2059" t="s">
        <v>23</v>
      </c>
      <c r="K2059" t="s">
        <v>322</v>
      </c>
      <c r="L2059" t="s">
        <v>1471</v>
      </c>
      <c r="M2059">
        <v>39212</v>
      </c>
      <c r="N2059" t="s">
        <v>26</v>
      </c>
      <c r="O2059" t="s">
        <v>4951</v>
      </c>
      <c r="P2059" t="s">
        <v>42</v>
      </c>
      <c r="Q2059" t="s">
        <v>64</v>
      </c>
      <c r="R2059" t="s">
        <v>4952</v>
      </c>
      <c r="S2059">
        <v>91.96</v>
      </c>
    </row>
    <row r="2060" spans="1:19" x14ac:dyDescent="0.35">
      <c r="A2060">
        <v>2098</v>
      </c>
      <c r="B2060" t="s">
        <v>4948</v>
      </c>
      <c r="C2060" s="1">
        <v>42870</v>
      </c>
      <c r="D2060" s="1">
        <v>42875</v>
      </c>
      <c r="E2060" s="1" t="str">
        <f t="shared" si="32"/>
        <v>FAST</v>
      </c>
      <c r="F2060" t="s">
        <v>46</v>
      </c>
      <c r="G2060" t="s">
        <v>193</v>
      </c>
      <c r="H2060" t="s">
        <v>194</v>
      </c>
      <c r="I2060" t="s">
        <v>98</v>
      </c>
      <c r="J2060" t="s">
        <v>23</v>
      </c>
      <c r="K2060" t="s">
        <v>322</v>
      </c>
      <c r="L2060" t="s">
        <v>1471</v>
      </c>
      <c r="M2060">
        <v>39212</v>
      </c>
      <c r="N2060" t="s">
        <v>26</v>
      </c>
      <c r="O2060" t="s">
        <v>1719</v>
      </c>
      <c r="P2060" t="s">
        <v>42</v>
      </c>
      <c r="Q2060" t="s">
        <v>64</v>
      </c>
      <c r="R2060" t="s">
        <v>1720</v>
      </c>
      <c r="S2060">
        <v>8.34</v>
      </c>
    </row>
    <row r="2061" spans="1:19" x14ac:dyDescent="0.35">
      <c r="A2061">
        <v>2099</v>
      </c>
      <c r="B2061" t="s">
        <v>4953</v>
      </c>
      <c r="C2061" s="1">
        <v>43350</v>
      </c>
      <c r="D2061" s="1">
        <v>43355</v>
      </c>
      <c r="E2061" s="1" t="str">
        <f t="shared" si="32"/>
        <v>FAST</v>
      </c>
      <c r="F2061" t="s">
        <v>46</v>
      </c>
      <c r="G2061" t="s">
        <v>653</v>
      </c>
      <c r="H2061" t="s">
        <v>654</v>
      </c>
      <c r="I2061" t="s">
        <v>22</v>
      </c>
      <c r="J2061" t="s">
        <v>23</v>
      </c>
      <c r="K2061" t="s">
        <v>409</v>
      </c>
      <c r="L2061" t="s">
        <v>410</v>
      </c>
      <c r="M2061">
        <v>97206</v>
      </c>
      <c r="N2061" t="s">
        <v>40</v>
      </c>
      <c r="O2061" t="s">
        <v>3693</v>
      </c>
      <c r="P2061" t="s">
        <v>42</v>
      </c>
      <c r="Q2061" t="s">
        <v>55</v>
      </c>
      <c r="R2061" t="s">
        <v>3694</v>
      </c>
      <c r="S2061">
        <v>37.68</v>
      </c>
    </row>
    <row r="2062" spans="1:19" x14ac:dyDescent="0.35">
      <c r="A2062">
        <v>2100</v>
      </c>
      <c r="B2062" t="s">
        <v>4953</v>
      </c>
      <c r="C2062" s="1">
        <v>43350</v>
      </c>
      <c r="D2062" s="1">
        <v>43355</v>
      </c>
      <c r="E2062" s="1" t="str">
        <f t="shared" si="32"/>
        <v>FAST</v>
      </c>
      <c r="F2062" t="s">
        <v>46</v>
      </c>
      <c r="G2062" t="s">
        <v>653</v>
      </c>
      <c r="H2062" t="s">
        <v>654</v>
      </c>
      <c r="I2062" t="s">
        <v>22</v>
      </c>
      <c r="J2062" t="s">
        <v>23</v>
      </c>
      <c r="K2062" t="s">
        <v>409</v>
      </c>
      <c r="L2062" t="s">
        <v>410</v>
      </c>
      <c r="M2062">
        <v>97206</v>
      </c>
      <c r="N2062" t="s">
        <v>40</v>
      </c>
      <c r="O2062" t="s">
        <v>4501</v>
      </c>
      <c r="P2062" t="s">
        <v>67</v>
      </c>
      <c r="Q2062" t="s">
        <v>157</v>
      </c>
      <c r="R2062" t="s">
        <v>4502</v>
      </c>
      <c r="S2062">
        <v>279.94400000000002</v>
      </c>
    </row>
    <row r="2063" spans="1:19" x14ac:dyDescent="0.35">
      <c r="A2063">
        <v>2101</v>
      </c>
      <c r="B2063" t="s">
        <v>4954</v>
      </c>
      <c r="C2063" s="1">
        <v>42073</v>
      </c>
      <c r="D2063" s="1">
        <v>42080</v>
      </c>
      <c r="E2063" s="1" t="str">
        <f t="shared" si="32"/>
        <v>FAST</v>
      </c>
      <c r="F2063" t="s">
        <v>46</v>
      </c>
      <c r="G2063" t="s">
        <v>3419</v>
      </c>
      <c r="H2063" t="s">
        <v>3420</v>
      </c>
      <c r="I2063" t="s">
        <v>22</v>
      </c>
      <c r="J2063" t="s">
        <v>23</v>
      </c>
      <c r="K2063" t="s">
        <v>794</v>
      </c>
      <c r="L2063" t="s">
        <v>444</v>
      </c>
      <c r="M2063">
        <v>80219</v>
      </c>
      <c r="N2063" t="s">
        <v>40</v>
      </c>
      <c r="O2063" t="s">
        <v>4955</v>
      </c>
      <c r="P2063" t="s">
        <v>42</v>
      </c>
      <c r="Q2063" t="s">
        <v>55</v>
      </c>
      <c r="R2063" t="s">
        <v>4956</v>
      </c>
      <c r="S2063">
        <v>636.40800000000002</v>
      </c>
    </row>
    <row r="2064" spans="1:19" x14ac:dyDescent="0.35">
      <c r="A2064">
        <v>2102</v>
      </c>
      <c r="B2064" t="s">
        <v>4954</v>
      </c>
      <c r="C2064" s="1">
        <v>42073</v>
      </c>
      <c r="D2064" s="1">
        <v>42080</v>
      </c>
      <c r="E2064" s="1" t="str">
        <f t="shared" si="32"/>
        <v>FAST</v>
      </c>
      <c r="F2064" t="s">
        <v>46</v>
      </c>
      <c r="G2064" t="s">
        <v>3419</v>
      </c>
      <c r="H2064" t="s">
        <v>3420</v>
      </c>
      <c r="I2064" t="s">
        <v>22</v>
      </c>
      <c r="J2064" t="s">
        <v>23</v>
      </c>
      <c r="K2064" t="s">
        <v>794</v>
      </c>
      <c r="L2064" t="s">
        <v>444</v>
      </c>
      <c r="M2064">
        <v>80219</v>
      </c>
      <c r="N2064" t="s">
        <v>40</v>
      </c>
      <c r="O2064" t="s">
        <v>4187</v>
      </c>
      <c r="P2064" t="s">
        <v>42</v>
      </c>
      <c r="Q2064" t="s">
        <v>64</v>
      </c>
      <c r="R2064" t="s">
        <v>4188</v>
      </c>
      <c r="S2064">
        <v>83.168000000000006</v>
      </c>
    </row>
    <row r="2065" spans="1:19" x14ac:dyDescent="0.35">
      <c r="A2065">
        <v>2103</v>
      </c>
      <c r="B2065" t="s">
        <v>4957</v>
      </c>
      <c r="C2065" s="1">
        <v>42203</v>
      </c>
      <c r="D2065" s="1">
        <v>42203</v>
      </c>
      <c r="E2065" s="1" t="str">
        <f t="shared" si="32"/>
        <v>MODERATE</v>
      </c>
      <c r="F2065" t="s">
        <v>1276</v>
      </c>
      <c r="G2065" t="s">
        <v>4958</v>
      </c>
      <c r="H2065" t="s">
        <v>4959</v>
      </c>
      <c r="I2065" t="s">
        <v>98</v>
      </c>
      <c r="J2065" t="s">
        <v>23</v>
      </c>
      <c r="K2065" t="s">
        <v>1297</v>
      </c>
      <c r="L2065" t="s">
        <v>304</v>
      </c>
      <c r="M2065">
        <v>85705</v>
      </c>
      <c r="N2065" t="s">
        <v>40</v>
      </c>
      <c r="O2065" t="s">
        <v>1532</v>
      </c>
      <c r="P2065" t="s">
        <v>28</v>
      </c>
      <c r="Q2065" t="s">
        <v>32</v>
      </c>
      <c r="R2065" t="s">
        <v>1533</v>
      </c>
      <c r="S2065">
        <v>259.13600000000002</v>
      </c>
    </row>
    <row r="2066" spans="1:19" x14ac:dyDescent="0.35">
      <c r="A2066">
        <v>2104</v>
      </c>
      <c r="B2066" t="s">
        <v>4960</v>
      </c>
      <c r="C2066" s="1">
        <v>43183</v>
      </c>
      <c r="D2066" s="1">
        <v>43187</v>
      </c>
      <c r="E2066" s="1" t="str">
        <f t="shared" si="32"/>
        <v>SLOW</v>
      </c>
      <c r="F2066" t="s">
        <v>19</v>
      </c>
      <c r="G2066" t="s">
        <v>2577</v>
      </c>
      <c r="H2066" t="s">
        <v>2578</v>
      </c>
      <c r="I2066" t="s">
        <v>37</v>
      </c>
      <c r="J2066" t="s">
        <v>23</v>
      </c>
      <c r="K2066" t="s">
        <v>260</v>
      </c>
      <c r="L2066" t="s">
        <v>261</v>
      </c>
      <c r="M2066">
        <v>10009</v>
      </c>
      <c r="N2066" t="s">
        <v>144</v>
      </c>
      <c r="O2066" t="s">
        <v>1710</v>
      </c>
      <c r="P2066" t="s">
        <v>42</v>
      </c>
      <c r="Q2066" t="s">
        <v>86</v>
      </c>
      <c r="R2066" t="s">
        <v>4961</v>
      </c>
      <c r="S2066">
        <v>221.92</v>
      </c>
    </row>
    <row r="2067" spans="1:19" x14ac:dyDescent="0.35">
      <c r="A2067">
        <v>2105</v>
      </c>
      <c r="B2067" t="s">
        <v>4960</v>
      </c>
      <c r="C2067" s="1">
        <v>43183</v>
      </c>
      <c r="D2067" s="1">
        <v>43187</v>
      </c>
      <c r="E2067" s="1" t="str">
        <f t="shared" si="32"/>
        <v>SLOW</v>
      </c>
      <c r="F2067" t="s">
        <v>19</v>
      </c>
      <c r="G2067" t="s">
        <v>2577</v>
      </c>
      <c r="H2067" t="s">
        <v>2578</v>
      </c>
      <c r="I2067" t="s">
        <v>37</v>
      </c>
      <c r="J2067" t="s">
        <v>23</v>
      </c>
      <c r="K2067" t="s">
        <v>260</v>
      </c>
      <c r="L2067" t="s">
        <v>261</v>
      </c>
      <c r="M2067">
        <v>10009</v>
      </c>
      <c r="N2067" t="s">
        <v>144</v>
      </c>
      <c r="O2067" t="s">
        <v>831</v>
      </c>
      <c r="P2067" t="s">
        <v>67</v>
      </c>
      <c r="Q2067" t="s">
        <v>157</v>
      </c>
      <c r="R2067" t="s">
        <v>832</v>
      </c>
      <c r="S2067">
        <v>26</v>
      </c>
    </row>
    <row r="2068" spans="1:19" x14ac:dyDescent="0.35">
      <c r="A2068">
        <v>2106</v>
      </c>
      <c r="B2068" t="s">
        <v>4962</v>
      </c>
      <c r="C2068" s="1">
        <v>42277</v>
      </c>
      <c r="D2068" s="1">
        <v>42282</v>
      </c>
      <c r="E2068" s="1" t="str">
        <f t="shared" si="32"/>
        <v>FAST</v>
      </c>
      <c r="F2068" t="s">
        <v>46</v>
      </c>
      <c r="G2068" t="s">
        <v>4963</v>
      </c>
      <c r="H2068" t="s">
        <v>4964</v>
      </c>
      <c r="I2068" t="s">
        <v>22</v>
      </c>
      <c r="J2068" t="s">
        <v>23</v>
      </c>
      <c r="K2068" t="s">
        <v>3430</v>
      </c>
      <c r="L2068" t="s">
        <v>50</v>
      </c>
      <c r="M2068">
        <v>33437</v>
      </c>
      <c r="N2068" t="s">
        <v>26</v>
      </c>
      <c r="O2068" t="s">
        <v>3777</v>
      </c>
      <c r="P2068" t="s">
        <v>42</v>
      </c>
      <c r="Q2068" t="s">
        <v>86</v>
      </c>
      <c r="R2068" t="s">
        <v>3778</v>
      </c>
      <c r="S2068">
        <v>15.552</v>
      </c>
    </row>
    <row r="2069" spans="1:19" x14ac:dyDescent="0.35">
      <c r="A2069">
        <v>2107</v>
      </c>
      <c r="B2069" t="s">
        <v>4965</v>
      </c>
      <c r="C2069" s="1">
        <v>42273</v>
      </c>
      <c r="D2069" s="1">
        <v>42273</v>
      </c>
      <c r="E2069" s="1" t="str">
        <f t="shared" si="32"/>
        <v>MODERATE</v>
      </c>
      <c r="F2069" t="s">
        <v>1276</v>
      </c>
      <c r="G2069" t="s">
        <v>3597</v>
      </c>
      <c r="H2069" t="s">
        <v>3598</v>
      </c>
      <c r="I2069" t="s">
        <v>37</v>
      </c>
      <c r="J2069" t="s">
        <v>23</v>
      </c>
      <c r="K2069" t="s">
        <v>4966</v>
      </c>
      <c r="L2069" t="s">
        <v>100</v>
      </c>
      <c r="M2069">
        <v>75150</v>
      </c>
      <c r="N2069" t="s">
        <v>101</v>
      </c>
      <c r="O2069" t="s">
        <v>959</v>
      </c>
      <c r="P2069" t="s">
        <v>42</v>
      </c>
      <c r="Q2069" t="s">
        <v>71</v>
      </c>
      <c r="R2069" t="s">
        <v>960</v>
      </c>
      <c r="S2069">
        <v>0.876</v>
      </c>
    </row>
    <row r="2070" spans="1:19" x14ac:dyDescent="0.35">
      <c r="A2070">
        <v>2108</v>
      </c>
      <c r="B2070" t="s">
        <v>4967</v>
      </c>
      <c r="C2070" s="1">
        <v>42674</v>
      </c>
      <c r="D2070" s="1">
        <v>42674</v>
      </c>
      <c r="E2070" s="1" t="str">
        <f t="shared" si="32"/>
        <v>MODERATE</v>
      </c>
      <c r="F2070" t="s">
        <v>1276</v>
      </c>
      <c r="G2070" t="s">
        <v>581</v>
      </c>
      <c r="H2070" t="s">
        <v>582</v>
      </c>
      <c r="I2070" t="s">
        <v>22</v>
      </c>
      <c r="J2070" t="s">
        <v>23</v>
      </c>
      <c r="K2070" t="s">
        <v>762</v>
      </c>
      <c r="L2070" t="s">
        <v>39</v>
      </c>
      <c r="M2070">
        <v>92374</v>
      </c>
      <c r="N2070" t="s">
        <v>40</v>
      </c>
      <c r="O2070" t="s">
        <v>1434</v>
      </c>
      <c r="P2070" t="s">
        <v>42</v>
      </c>
      <c r="Q2070" t="s">
        <v>86</v>
      </c>
      <c r="R2070" t="s">
        <v>1435</v>
      </c>
      <c r="S2070">
        <v>19.98</v>
      </c>
    </row>
    <row r="2071" spans="1:19" x14ac:dyDescent="0.35">
      <c r="A2071">
        <v>2109</v>
      </c>
      <c r="B2071" t="s">
        <v>4967</v>
      </c>
      <c r="C2071" s="1">
        <v>42674</v>
      </c>
      <c r="D2071" s="1">
        <v>42674</v>
      </c>
      <c r="E2071" s="1" t="str">
        <f t="shared" si="32"/>
        <v>MODERATE</v>
      </c>
      <c r="F2071" t="s">
        <v>1276</v>
      </c>
      <c r="G2071" t="s">
        <v>581</v>
      </c>
      <c r="H2071" t="s">
        <v>582</v>
      </c>
      <c r="I2071" t="s">
        <v>22</v>
      </c>
      <c r="J2071" t="s">
        <v>23</v>
      </c>
      <c r="K2071" t="s">
        <v>762</v>
      </c>
      <c r="L2071" t="s">
        <v>39</v>
      </c>
      <c r="M2071">
        <v>92374</v>
      </c>
      <c r="N2071" t="s">
        <v>40</v>
      </c>
      <c r="O2071" t="s">
        <v>3444</v>
      </c>
      <c r="P2071" t="s">
        <v>42</v>
      </c>
      <c r="Q2071" t="s">
        <v>71</v>
      </c>
      <c r="R2071" t="s">
        <v>3445</v>
      </c>
      <c r="S2071">
        <v>398.35199999999998</v>
      </c>
    </row>
    <row r="2072" spans="1:19" x14ac:dyDescent="0.35">
      <c r="A2072">
        <v>2110</v>
      </c>
      <c r="B2072" t="s">
        <v>4967</v>
      </c>
      <c r="C2072" s="1">
        <v>42674</v>
      </c>
      <c r="D2072" s="1">
        <v>42674</v>
      </c>
      <c r="E2072" s="1" t="str">
        <f t="shared" si="32"/>
        <v>MODERATE</v>
      </c>
      <c r="F2072" t="s">
        <v>1276</v>
      </c>
      <c r="G2072" t="s">
        <v>581</v>
      </c>
      <c r="H2072" t="s">
        <v>582</v>
      </c>
      <c r="I2072" t="s">
        <v>22</v>
      </c>
      <c r="J2072" t="s">
        <v>23</v>
      </c>
      <c r="K2072" t="s">
        <v>762</v>
      </c>
      <c r="L2072" t="s">
        <v>39</v>
      </c>
      <c r="M2072">
        <v>92374</v>
      </c>
      <c r="N2072" t="s">
        <v>40</v>
      </c>
      <c r="O2072" t="s">
        <v>4968</v>
      </c>
      <c r="P2072" t="s">
        <v>42</v>
      </c>
      <c r="Q2072" t="s">
        <v>64</v>
      </c>
      <c r="R2072" t="s">
        <v>4969</v>
      </c>
      <c r="S2072">
        <v>5.04</v>
      </c>
    </row>
    <row r="2073" spans="1:19" x14ac:dyDescent="0.35">
      <c r="A2073">
        <v>2111</v>
      </c>
      <c r="B2073" t="s">
        <v>4967</v>
      </c>
      <c r="C2073" s="1">
        <v>42674</v>
      </c>
      <c r="D2073" s="1">
        <v>42674</v>
      </c>
      <c r="E2073" s="1" t="str">
        <f t="shared" si="32"/>
        <v>MODERATE</v>
      </c>
      <c r="F2073" t="s">
        <v>1276</v>
      </c>
      <c r="G2073" t="s">
        <v>581</v>
      </c>
      <c r="H2073" t="s">
        <v>582</v>
      </c>
      <c r="I2073" t="s">
        <v>22</v>
      </c>
      <c r="J2073" t="s">
        <v>23</v>
      </c>
      <c r="K2073" t="s">
        <v>762</v>
      </c>
      <c r="L2073" t="s">
        <v>39</v>
      </c>
      <c r="M2073">
        <v>92374</v>
      </c>
      <c r="N2073" t="s">
        <v>40</v>
      </c>
      <c r="O2073" t="s">
        <v>854</v>
      </c>
      <c r="P2073" t="s">
        <v>42</v>
      </c>
      <c r="Q2073" t="s">
        <v>263</v>
      </c>
      <c r="R2073" t="s">
        <v>855</v>
      </c>
      <c r="S2073">
        <v>17.45</v>
      </c>
    </row>
    <row r="2074" spans="1:19" x14ac:dyDescent="0.35">
      <c r="A2074">
        <v>2112</v>
      </c>
      <c r="B2074" t="s">
        <v>4967</v>
      </c>
      <c r="C2074" s="1">
        <v>42674</v>
      </c>
      <c r="D2074" s="1">
        <v>42674</v>
      </c>
      <c r="E2074" s="1" t="str">
        <f t="shared" si="32"/>
        <v>MODERATE</v>
      </c>
      <c r="F2074" t="s">
        <v>1276</v>
      </c>
      <c r="G2074" t="s">
        <v>581</v>
      </c>
      <c r="H2074" t="s">
        <v>582</v>
      </c>
      <c r="I2074" t="s">
        <v>22</v>
      </c>
      <c r="J2074" t="s">
        <v>23</v>
      </c>
      <c r="K2074" t="s">
        <v>762</v>
      </c>
      <c r="L2074" t="s">
        <v>39</v>
      </c>
      <c r="M2074">
        <v>92374</v>
      </c>
      <c r="N2074" t="s">
        <v>40</v>
      </c>
      <c r="O2074" t="s">
        <v>197</v>
      </c>
      <c r="P2074" t="s">
        <v>28</v>
      </c>
      <c r="Q2074" t="s">
        <v>32</v>
      </c>
      <c r="R2074" t="s">
        <v>198</v>
      </c>
      <c r="S2074">
        <v>323.13600000000002</v>
      </c>
    </row>
    <row r="2075" spans="1:19" x14ac:dyDescent="0.35">
      <c r="A2075">
        <v>2113</v>
      </c>
      <c r="B2075" t="s">
        <v>4967</v>
      </c>
      <c r="C2075" s="1">
        <v>42674</v>
      </c>
      <c r="D2075" s="1">
        <v>42674</v>
      </c>
      <c r="E2075" s="1" t="str">
        <f t="shared" si="32"/>
        <v>MODERATE</v>
      </c>
      <c r="F2075" t="s">
        <v>1276</v>
      </c>
      <c r="G2075" t="s">
        <v>581</v>
      </c>
      <c r="H2075" t="s">
        <v>582</v>
      </c>
      <c r="I2075" t="s">
        <v>22</v>
      </c>
      <c r="J2075" t="s">
        <v>23</v>
      </c>
      <c r="K2075" t="s">
        <v>762</v>
      </c>
      <c r="L2075" t="s">
        <v>39</v>
      </c>
      <c r="M2075">
        <v>92374</v>
      </c>
      <c r="N2075" t="s">
        <v>40</v>
      </c>
      <c r="O2075" t="s">
        <v>2153</v>
      </c>
      <c r="P2075" t="s">
        <v>42</v>
      </c>
      <c r="Q2075" t="s">
        <v>566</v>
      </c>
      <c r="R2075" t="s">
        <v>2154</v>
      </c>
      <c r="S2075">
        <v>29.7</v>
      </c>
    </row>
    <row r="2076" spans="1:19" x14ac:dyDescent="0.35">
      <c r="A2076">
        <v>2114</v>
      </c>
      <c r="B2076" t="s">
        <v>4967</v>
      </c>
      <c r="C2076" s="1">
        <v>42674</v>
      </c>
      <c r="D2076" s="1">
        <v>42674</v>
      </c>
      <c r="E2076" s="1" t="str">
        <f t="shared" si="32"/>
        <v>MODERATE</v>
      </c>
      <c r="F2076" t="s">
        <v>1276</v>
      </c>
      <c r="G2076" t="s">
        <v>581</v>
      </c>
      <c r="H2076" t="s">
        <v>582</v>
      </c>
      <c r="I2076" t="s">
        <v>22</v>
      </c>
      <c r="J2076" t="s">
        <v>23</v>
      </c>
      <c r="K2076" t="s">
        <v>762</v>
      </c>
      <c r="L2076" t="s">
        <v>39</v>
      </c>
      <c r="M2076">
        <v>92374</v>
      </c>
      <c r="N2076" t="s">
        <v>40</v>
      </c>
      <c r="O2076" t="s">
        <v>4970</v>
      </c>
      <c r="P2076" t="s">
        <v>67</v>
      </c>
      <c r="Q2076" t="s">
        <v>68</v>
      </c>
      <c r="R2076" t="s">
        <v>4971</v>
      </c>
      <c r="S2076">
        <v>1295.8399999999999</v>
      </c>
    </row>
    <row r="2077" spans="1:19" x14ac:dyDescent="0.35">
      <c r="A2077">
        <v>2115</v>
      </c>
      <c r="B2077" t="s">
        <v>4967</v>
      </c>
      <c r="C2077" s="1">
        <v>42674</v>
      </c>
      <c r="D2077" s="1">
        <v>42674</v>
      </c>
      <c r="E2077" s="1" t="str">
        <f t="shared" si="32"/>
        <v>MODERATE</v>
      </c>
      <c r="F2077" t="s">
        <v>1276</v>
      </c>
      <c r="G2077" t="s">
        <v>581</v>
      </c>
      <c r="H2077" t="s">
        <v>582</v>
      </c>
      <c r="I2077" t="s">
        <v>22</v>
      </c>
      <c r="J2077" t="s">
        <v>23</v>
      </c>
      <c r="K2077" t="s">
        <v>762</v>
      </c>
      <c r="L2077" t="s">
        <v>39</v>
      </c>
      <c r="M2077">
        <v>92374</v>
      </c>
      <c r="N2077" t="s">
        <v>40</v>
      </c>
      <c r="O2077" t="s">
        <v>4972</v>
      </c>
      <c r="P2077" t="s">
        <v>42</v>
      </c>
      <c r="Q2077" t="s">
        <v>55</v>
      </c>
      <c r="R2077" t="s">
        <v>4973</v>
      </c>
      <c r="S2077">
        <v>46.84</v>
      </c>
    </row>
    <row r="2078" spans="1:19" x14ac:dyDescent="0.35">
      <c r="A2078">
        <v>2116</v>
      </c>
      <c r="B2078" t="s">
        <v>4967</v>
      </c>
      <c r="C2078" s="1">
        <v>42674</v>
      </c>
      <c r="D2078" s="1">
        <v>42674</v>
      </c>
      <c r="E2078" s="1" t="str">
        <f t="shared" si="32"/>
        <v>MODERATE</v>
      </c>
      <c r="F2078" t="s">
        <v>1276</v>
      </c>
      <c r="G2078" t="s">
        <v>581</v>
      </c>
      <c r="H2078" t="s">
        <v>582</v>
      </c>
      <c r="I2078" t="s">
        <v>22</v>
      </c>
      <c r="J2078" t="s">
        <v>23</v>
      </c>
      <c r="K2078" t="s">
        <v>762</v>
      </c>
      <c r="L2078" t="s">
        <v>39</v>
      </c>
      <c r="M2078">
        <v>92374</v>
      </c>
      <c r="N2078" t="s">
        <v>40</v>
      </c>
      <c r="O2078" t="s">
        <v>4974</v>
      </c>
      <c r="P2078" t="s">
        <v>28</v>
      </c>
      <c r="Q2078" t="s">
        <v>29</v>
      </c>
      <c r="R2078" t="s">
        <v>4975</v>
      </c>
      <c r="S2078">
        <v>425.83300000000003</v>
      </c>
    </row>
    <row r="2079" spans="1:19" x14ac:dyDescent="0.35">
      <c r="A2079">
        <v>2117</v>
      </c>
      <c r="B2079" t="s">
        <v>4976</v>
      </c>
      <c r="C2079" s="1">
        <v>42655</v>
      </c>
      <c r="D2079" s="1">
        <v>42660</v>
      </c>
      <c r="E2079" s="1" t="str">
        <f t="shared" si="32"/>
        <v>SLOW</v>
      </c>
      <c r="F2079" t="s">
        <v>19</v>
      </c>
      <c r="G2079" t="s">
        <v>2811</v>
      </c>
      <c r="H2079" t="s">
        <v>2812</v>
      </c>
      <c r="I2079" t="s">
        <v>22</v>
      </c>
      <c r="J2079" t="s">
        <v>23</v>
      </c>
      <c r="K2079" t="s">
        <v>379</v>
      </c>
      <c r="L2079" t="s">
        <v>261</v>
      </c>
      <c r="M2079">
        <v>14609</v>
      </c>
      <c r="N2079" t="s">
        <v>144</v>
      </c>
      <c r="O2079" t="s">
        <v>4388</v>
      </c>
      <c r="P2079" t="s">
        <v>28</v>
      </c>
      <c r="Q2079" t="s">
        <v>52</v>
      </c>
      <c r="R2079" t="s">
        <v>4389</v>
      </c>
      <c r="S2079">
        <v>209.67</v>
      </c>
    </row>
    <row r="2080" spans="1:19" x14ac:dyDescent="0.35">
      <c r="A2080">
        <v>2118</v>
      </c>
      <c r="B2080" t="s">
        <v>4977</v>
      </c>
      <c r="C2080" s="1">
        <v>42997</v>
      </c>
      <c r="D2080" s="1">
        <v>43001</v>
      </c>
      <c r="E2080" s="1" t="str">
        <f t="shared" si="32"/>
        <v>FAST</v>
      </c>
      <c r="F2080" t="s">
        <v>46</v>
      </c>
      <c r="G2080" t="s">
        <v>4978</v>
      </c>
      <c r="H2080" t="s">
        <v>4979</v>
      </c>
      <c r="I2080" t="s">
        <v>22</v>
      </c>
      <c r="J2080" t="s">
        <v>23</v>
      </c>
      <c r="K2080" t="s">
        <v>4980</v>
      </c>
      <c r="L2080" t="s">
        <v>39</v>
      </c>
      <c r="M2080">
        <v>95207</v>
      </c>
      <c r="N2080" t="s">
        <v>40</v>
      </c>
      <c r="O2080" t="s">
        <v>1530</v>
      </c>
      <c r="P2080" t="s">
        <v>42</v>
      </c>
      <c r="Q2080" t="s">
        <v>86</v>
      </c>
      <c r="R2080" t="s">
        <v>1531</v>
      </c>
      <c r="S2080">
        <v>159.88</v>
      </c>
    </row>
    <row r="2081" spans="1:19" x14ac:dyDescent="0.35">
      <c r="A2081">
        <v>2119</v>
      </c>
      <c r="B2081" t="s">
        <v>4981</v>
      </c>
      <c r="C2081" s="1">
        <v>43203</v>
      </c>
      <c r="D2081" s="1">
        <v>43205</v>
      </c>
      <c r="E2081" s="1" t="str">
        <f t="shared" si="32"/>
        <v>MODERATE</v>
      </c>
      <c r="F2081" t="s">
        <v>184</v>
      </c>
      <c r="G2081" t="s">
        <v>2778</v>
      </c>
      <c r="H2081" t="s">
        <v>2779</v>
      </c>
      <c r="I2081" t="s">
        <v>37</v>
      </c>
      <c r="J2081" t="s">
        <v>23</v>
      </c>
      <c r="K2081" t="s">
        <v>91</v>
      </c>
      <c r="L2081" t="s">
        <v>92</v>
      </c>
      <c r="M2081">
        <v>98105</v>
      </c>
      <c r="N2081" t="s">
        <v>40</v>
      </c>
      <c r="O2081" t="s">
        <v>900</v>
      </c>
      <c r="P2081" t="s">
        <v>42</v>
      </c>
      <c r="Q2081" t="s">
        <v>86</v>
      </c>
      <c r="R2081" t="s">
        <v>901</v>
      </c>
      <c r="S2081">
        <v>5.28</v>
      </c>
    </row>
    <row r="2082" spans="1:19" x14ac:dyDescent="0.35">
      <c r="A2082">
        <v>2120</v>
      </c>
      <c r="B2082" t="s">
        <v>4981</v>
      </c>
      <c r="C2082" s="1">
        <v>43203</v>
      </c>
      <c r="D2082" s="1">
        <v>43205</v>
      </c>
      <c r="E2082" s="1" t="str">
        <f t="shared" si="32"/>
        <v>MODERATE</v>
      </c>
      <c r="F2082" t="s">
        <v>184</v>
      </c>
      <c r="G2082" t="s">
        <v>2778</v>
      </c>
      <c r="H2082" t="s">
        <v>2779</v>
      </c>
      <c r="I2082" t="s">
        <v>37</v>
      </c>
      <c r="J2082" t="s">
        <v>23</v>
      </c>
      <c r="K2082" t="s">
        <v>91</v>
      </c>
      <c r="L2082" t="s">
        <v>92</v>
      </c>
      <c r="M2082">
        <v>98105</v>
      </c>
      <c r="N2082" t="s">
        <v>40</v>
      </c>
      <c r="O2082" t="s">
        <v>4725</v>
      </c>
      <c r="P2082" t="s">
        <v>42</v>
      </c>
      <c r="Q2082" t="s">
        <v>71</v>
      </c>
      <c r="R2082" t="s">
        <v>4726</v>
      </c>
      <c r="S2082">
        <v>895.92</v>
      </c>
    </row>
    <row r="2083" spans="1:19" x14ac:dyDescent="0.35">
      <c r="A2083">
        <v>2121</v>
      </c>
      <c r="B2083" t="s">
        <v>4982</v>
      </c>
      <c r="C2083" s="1">
        <v>43107</v>
      </c>
      <c r="D2083" s="1">
        <v>43113</v>
      </c>
      <c r="E2083" s="1" t="str">
        <f t="shared" si="32"/>
        <v>FAST</v>
      </c>
      <c r="F2083" t="s">
        <v>46</v>
      </c>
      <c r="G2083" t="s">
        <v>3866</v>
      </c>
      <c r="H2083" t="s">
        <v>3867</v>
      </c>
      <c r="I2083" t="s">
        <v>22</v>
      </c>
      <c r="J2083" t="s">
        <v>23</v>
      </c>
      <c r="K2083" t="s">
        <v>4983</v>
      </c>
      <c r="L2083" t="s">
        <v>50</v>
      </c>
      <c r="M2083">
        <v>32174</v>
      </c>
      <c r="N2083" t="s">
        <v>26</v>
      </c>
      <c r="O2083" t="s">
        <v>2885</v>
      </c>
      <c r="P2083" t="s">
        <v>42</v>
      </c>
      <c r="Q2083" t="s">
        <v>71</v>
      </c>
      <c r="R2083" t="s">
        <v>2886</v>
      </c>
      <c r="S2083">
        <v>2.8079999999999998</v>
      </c>
    </row>
    <row r="2084" spans="1:19" x14ac:dyDescent="0.35">
      <c r="A2084">
        <v>2122</v>
      </c>
      <c r="B2084" t="s">
        <v>4984</v>
      </c>
      <c r="C2084" s="1">
        <v>43413</v>
      </c>
      <c r="D2084" s="1">
        <v>43415</v>
      </c>
      <c r="E2084" s="1" t="str">
        <f t="shared" si="32"/>
        <v>MODERATE</v>
      </c>
      <c r="F2084" t="s">
        <v>184</v>
      </c>
      <c r="G2084" t="s">
        <v>693</v>
      </c>
      <c r="H2084" t="s">
        <v>694</v>
      </c>
      <c r="I2084" t="s">
        <v>37</v>
      </c>
      <c r="J2084" t="s">
        <v>23</v>
      </c>
      <c r="K2084" t="s">
        <v>4985</v>
      </c>
      <c r="L2084" t="s">
        <v>39</v>
      </c>
      <c r="M2084">
        <v>94086</v>
      </c>
      <c r="N2084" t="s">
        <v>40</v>
      </c>
      <c r="O2084" t="s">
        <v>255</v>
      </c>
      <c r="P2084" t="s">
        <v>28</v>
      </c>
      <c r="Q2084" t="s">
        <v>32</v>
      </c>
      <c r="R2084" t="s">
        <v>256</v>
      </c>
      <c r="S2084">
        <v>215.976</v>
      </c>
    </row>
    <row r="2085" spans="1:19" x14ac:dyDescent="0.35">
      <c r="A2085">
        <v>2123</v>
      </c>
      <c r="B2085" t="s">
        <v>4986</v>
      </c>
      <c r="C2085" s="1">
        <v>43365</v>
      </c>
      <c r="D2085" s="1">
        <v>43367</v>
      </c>
      <c r="E2085" s="1" t="str">
        <f t="shared" si="32"/>
        <v>SLOW</v>
      </c>
      <c r="F2085" t="s">
        <v>19</v>
      </c>
      <c r="G2085" t="s">
        <v>3129</v>
      </c>
      <c r="H2085" t="s">
        <v>3130</v>
      </c>
      <c r="I2085" t="s">
        <v>98</v>
      </c>
      <c r="J2085" t="s">
        <v>23</v>
      </c>
      <c r="K2085" t="s">
        <v>3272</v>
      </c>
      <c r="L2085" t="s">
        <v>232</v>
      </c>
      <c r="M2085">
        <v>48911</v>
      </c>
      <c r="N2085" t="s">
        <v>101</v>
      </c>
      <c r="O2085" t="s">
        <v>1427</v>
      </c>
      <c r="P2085" t="s">
        <v>28</v>
      </c>
      <c r="Q2085" t="s">
        <v>29</v>
      </c>
      <c r="R2085" t="s">
        <v>1428</v>
      </c>
      <c r="S2085">
        <v>241.96</v>
      </c>
    </row>
    <row r="2086" spans="1:19" x14ac:dyDescent="0.35">
      <c r="A2086">
        <v>2124</v>
      </c>
      <c r="B2086" t="s">
        <v>4986</v>
      </c>
      <c r="C2086" s="1">
        <v>43365</v>
      </c>
      <c r="D2086" s="1">
        <v>43367</v>
      </c>
      <c r="E2086" s="1" t="str">
        <f t="shared" si="32"/>
        <v>SLOW</v>
      </c>
      <c r="F2086" t="s">
        <v>19</v>
      </c>
      <c r="G2086" t="s">
        <v>3129</v>
      </c>
      <c r="H2086" t="s">
        <v>3130</v>
      </c>
      <c r="I2086" t="s">
        <v>98</v>
      </c>
      <c r="J2086" t="s">
        <v>23</v>
      </c>
      <c r="K2086" t="s">
        <v>3272</v>
      </c>
      <c r="L2086" t="s">
        <v>232</v>
      </c>
      <c r="M2086">
        <v>48911</v>
      </c>
      <c r="N2086" t="s">
        <v>101</v>
      </c>
      <c r="O2086" t="s">
        <v>382</v>
      </c>
      <c r="P2086" t="s">
        <v>42</v>
      </c>
      <c r="Q2086" t="s">
        <v>43</v>
      </c>
      <c r="R2086" t="s">
        <v>383</v>
      </c>
      <c r="S2086">
        <v>27.72</v>
      </c>
    </row>
    <row r="2087" spans="1:19" x14ac:dyDescent="0.35">
      <c r="A2087">
        <v>2125</v>
      </c>
      <c r="B2087" t="s">
        <v>4987</v>
      </c>
      <c r="C2087" s="1">
        <v>43435</v>
      </c>
      <c r="D2087" s="1">
        <v>43439</v>
      </c>
      <c r="E2087" s="1" t="str">
        <f t="shared" si="32"/>
        <v>FAST</v>
      </c>
      <c r="F2087" t="s">
        <v>46</v>
      </c>
      <c r="G2087" t="s">
        <v>3129</v>
      </c>
      <c r="H2087" t="s">
        <v>3130</v>
      </c>
      <c r="I2087" t="s">
        <v>98</v>
      </c>
      <c r="J2087" t="s">
        <v>23</v>
      </c>
      <c r="K2087" t="s">
        <v>142</v>
      </c>
      <c r="L2087" t="s">
        <v>143</v>
      </c>
      <c r="M2087">
        <v>19143</v>
      </c>
      <c r="N2087" t="s">
        <v>144</v>
      </c>
      <c r="O2087" t="s">
        <v>4988</v>
      </c>
      <c r="P2087" t="s">
        <v>42</v>
      </c>
      <c r="Q2087" t="s">
        <v>169</v>
      </c>
      <c r="R2087" t="s">
        <v>4989</v>
      </c>
      <c r="S2087">
        <v>104.68</v>
      </c>
    </row>
    <row r="2088" spans="1:19" x14ac:dyDescent="0.35">
      <c r="A2088">
        <v>2126</v>
      </c>
      <c r="B2088" t="s">
        <v>4987</v>
      </c>
      <c r="C2088" s="1">
        <v>43435</v>
      </c>
      <c r="D2088" s="1">
        <v>43439</v>
      </c>
      <c r="E2088" s="1" t="str">
        <f t="shared" si="32"/>
        <v>FAST</v>
      </c>
      <c r="F2088" t="s">
        <v>46</v>
      </c>
      <c r="G2088" t="s">
        <v>3129</v>
      </c>
      <c r="H2088" t="s">
        <v>3130</v>
      </c>
      <c r="I2088" t="s">
        <v>98</v>
      </c>
      <c r="J2088" t="s">
        <v>23</v>
      </c>
      <c r="K2088" t="s">
        <v>142</v>
      </c>
      <c r="L2088" t="s">
        <v>143</v>
      </c>
      <c r="M2088">
        <v>19143</v>
      </c>
      <c r="N2088" t="s">
        <v>144</v>
      </c>
      <c r="O2088" t="s">
        <v>4990</v>
      </c>
      <c r="P2088" t="s">
        <v>67</v>
      </c>
      <c r="Q2088" t="s">
        <v>68</v>
      </c>
      <c r="R2088" t="s">
        <v>4991</v>
      </c>
      <c r="S2088">
        <v>62.957999999999998</v>
      </c>
    </row>
    <row r="2089" spans="1:19" x14ac:dyDescent="0.35">
      <c r="A2089">
        <v>2127</v>
      </c>
      <c r="B2089" t="s">
        <v>4992</v>
      </c>
      <c r="C2089" s="1">
        <v>42178</v>
      </c>
      <c r="D2089" s="1">
        <v>42183</v>
      </c>
      <c r="E2089" s="1" t="str">
        <f t="shared" si="32"/>
        <v>FAST</v>
      </c>
      <c r="F2089" t="s">
        <v>46</v>
      </c>
      <c r="G2089" t="s">
        <v>4993</v>
      </c>
      <c r="H2089" t="s">
        <v>4994</v>
      </c>
      <c r="I2089" t="s">
        <v>22</v>
      </c>
      <c r="J2089" t="s">
        <v>23</v>
      </c>
      <c r="K2089" t="s">
        <v>142</v>
      </c>
      <c r="L2089" t="s">
        <v>143</v>
      </c>
      <c r="M2089">
        <v>19143</v>
      </c>
      <c r="N2089" t="s">
        <v>144</v>
      </c>
      <c r="O2089" t="s">
        <v>1397</v>
      </c>
      <c r="P2089" t="s">
        <v>67</v>
      </c>
      <c r="Q2089" t="s">
        <v>157</v>
      </c>
      <c r="R2089" t="s">
        <v>1398</v>
      </c>
      <c r="S2089">
        <v>86.376000000000005</v>
      </c>
    </row>
    <row r="2090" spans="1:19" x14ac:dyDescent="0.35">
      <c r="A2090">
        <v>2128</v>
      </c>
      <c r="B2090" t="s">
        <v>4995</v>
      </c>
      <c r="C2090" s="1">
        <v>42647</v>
      </c>
      <c r="D2090" s="1">
        <v>42652</v>
      </c>
      <c r="E2090" s="1" t="str">
        <f t="shared" si="32"/>
        <v>FAST</v>
      </c>
      <c r="F2090" t="s">
        <v>46</v>
      </c>
      <c r="G2090" t="s">
        <v>3754</v>
      </c>
      <c r="H2090" t="s">
        <v>3755</v>
      </c>
      <c r="I2090" t="s">
        <v>98</v>
      </c>
      <c r="J2090" t="s">
        <v>23</v>
      </c>
      <c r="K2090" t="s">
        <v>142</v>
      </c>
      <c r="L2090" t="s">
        <v>143</v>
      </c>
      <c r="M2090">
        <v>19134</v>
      </c>
      <c r="N2090" t="s">
        <v>144</v>
      </c>
      <c r="O2090" t="s">
        <v>4996</v>
      </c>
      <c r="P2090" t="s">
        <v>28</v>
      </c>
      <c r="Q2090" t="s">
        <v>61</v>
      </c>
      <c r="R2090" t="s">
        <v>4997</v>
      </c>
      <c r="S2090">
        <v>64.944000000000003</v>
      </c>
    </row>
    <row r="2091" spans="1:19" x14ac:dyDescent="0.35">
      <c r="A2091">
        <v>2129</v>
      </c>
      <c r="B2091" t="s">
        <v>4995</v>
      </c>
      <c r="C2091" s="1">
        <v>42647</v>
      </c>
      <c r="D2091" s="1">
        <v>42652</v>
      </c>
      <c r="E2091" s="1" t="str">
        <f t="shared" si="32"/>
        <v>FAST</v>
      </c>
      <c r="F2091" t="s">
        <v>46</v>
      </c>
      <c r="G2091" t="s">
        <v>3754</v>
      </c>
      <c r="H2091" t="s">
        <v>3755</v>
      </c>
      <c r="I2091" t="s">
        <v>98</v>
      </c>
      <c r="J2091" t="s">
        <v>23</v>
      </c>
      <c r="K2091" t="s">
        <v>142</v>
      </c>
      <c r="L2091" t="s">
        <v>143</v>
      </c>
      <c r="M2091">
        <v>19134</v>
      </c>
      <c r="N2091" t="s">
        <v>144</v>
      </c>
      <c r="O2091" t="s">
        <v>3911</v>
      </c>
      <c r="P2091" t="s">
        <v>42</v>
      </c>
      <c r="Q2091" t="s">
        <v>86</v>
      </c>
      <c r="R2091" t="s">
        <v>3912</v>
      </c>
      <c r="S2091">
        <v>20.736000000000001</v>
      </c>
    </row>
    <row r="2092" spans="1:19" x14ac:dyDescent="0.35">
      <c r="A2092">
        <v>2130</v>
      </c>
      <c r="B2092" t="s">
        <v>4998</v>
      </c>
      <c r="C2092" s="1">
        <v>42144</v>
      </c>
      <c r="D2092" s="1">
        <v>42146</v>
      </c>
      <c r="E2092" s="1" t="str">
        <f t="shared" si="32"/>
        <v>SLOW</v>
      </c>
      <c r="F2092" t="s">
        <v>19</v>
      </c>
      <c r="G2092" t="s">
        <v>4999</v>
      </c>
      <c r="H2092" t="s">
        <v>5000</v>
      </c>
      <c r="I2092" t="s">
        <v>37</v>
      </c>
      <c r="J2092" t="s">
        <v>23</v>
      </c>
      <c r="K2092" t="s">
        <v>238</v>
      </c>
      <c r="L2092" t="s">
        <v>2667</v>
      </c>
      <c r="M2092">
        <v>3820</v>
      </c>
      <c r="N2092" t="s">
        <v>144</v>
      </c>
      <c r="O2092" t="s">
        <v>5001</v>
      </c>
      <c r="P2092" t="s">
        <v>42</v>
      </c>
      <c r="Q2092" t="s">
        <v>74</v>
      </c>
      <c r="R2092" t="s">
        <v>5002</v>
      </c>
      <c r="S2092">
        <v>33.28</v>
      </c>
    </row>
    <row r="2093" spans="1:19" x14ac:dyDescent="0.35">
      <c r="A2093">
        <v>2131</v>
      </c>
      <c r="B2093" t="s">
        <v>4998</v>
      </c>
      <c r="C2093" s="1">
        <v>42144</v>
      </c>
      <c r="D2093" s="1">
        <v>42146</v>
      </c>
      <c r="E2093" s="1" t="str">
        <f t="shared" si="32"/>
        <v>SLOW</v>
      </c>
      <c r="F2093" t="s">
        <v>19</v>
      </c>
      <c r="G2093" t="s">
        <v>4999</v>
      </c>
      <c r="H2093" t="s">
        <v>5000</v>
      </c>
      <c r="I2093" t="s">
        <v>37</v>
      </c>
      <c r="J2093" t="s">
        <v>23</v>
      </c>
      <c r="K2093" t="s">
        <v>238</v>
      </c>
      <c r="L2093" t="s">
        <v>2667</v>
      </c>
      <c r="M2093">
        <v>3820</v>
      </c>
      <c r="N2093" t="s">
        <v>144</v>
      </c>
      <c r="O2093" t="s">
        <v>5003</v>
      </c>
      <c r="P2093" t="s">
        <v>42</v>
      </c>
      <c r="Q2093" t="s">
        <v>64</v>
      </c>
      <c r="R2093" t="s">
        <v>5004</v>
      </c>
      <c r="S2093">
        <v>38.520000000000003</v>
      </c>
    </row>
    <row r="2094" spans="1:19" x14ac:dyDescent="0.35">
      <c r="A2094">
        <v>2133</v>
      </c>
      <c r="B2094" t="s">
        <v>5005</v>
      </c>
      <c r="C2094" s="1">
        <v>42694</v>
      </c>
      <c r="D2094" s="1">
        <v>42700</v>
      </c>
      <c r="E2094" s="1" t="str">
        <f t="shared" si="32"/>
        <v>FAST</v>
      </c>
      <c r="F2094" t="s">
        <v>46</v>
      </c>
      <c r="G2094" t="s">
        <v>2422</v>
      </c>
      <c r="H2094" t="s">
        <v>2423</v>
      </c>
      <c r="I2094" t="s">
        <v>22</v>
      </c>
      <c r="J2094" t="s">
        <v>23</v>
      </c>
      <c r="K2094" t="s">
        <v>260</v>
      </c>
      <c r="L2094" t="s">
        <v>261</v>
      </c>
      <c r="M2094">
        <v>10011</v>
      </c>
      <c r="N2094" t="s">
        <v>144</v>
      </c>
      <c r="O2094" t="s">
        <v>5006</v>
      </c>
      <c r="P2094" t="s">
        <v>42</v>
      </c>
      <c r="Q2094" t="s">
        <v>86</v>
      </c>
      <c r="R2094" t="s">
        <v>5007</v>
      </c>
      <c r="S2094">
        <v>19.649999999999999</v>
      </c>
    </row>
    <row r="2095" spans="1:19" x14ac:dyDescent="0.35">
      <c r="A2095">
        <v>2134</v>
      </c>
      <c r="B2095" t="s">
        <v>5008</v>
      </c>
      <c r="C2095" s="1">
        <v>42704</v>
      </c>
      <c r="D2095" s="1">
        <v>42708</v>
      </c>
      <c r="E2095" s="1" t="str">
        <f t="shared" si="32"/>
        <v>FAST</v>
      </c>
      <c r="F2095" t="s">
        <v>46</v>
      </c>
      <c r="G2095" t="s">
        <v>5009</v>
      </c>
      <c r="H2095" t="s">
        <v>5010</v>
      </c>
      <c r="I2095" t="s">
        <v>22</v>
      </c>
      <c r="J2095" t="s">
        <v>23</v>
      </c>
      <c r="K2095" t="s">
        <v>142</v>
      </c>
      <c r="L2095" t="s">
        <v>143</v>
      </c>
      <c r="M2095">
        <v>19134</v>
      </c>
      <c r="N2095" t="s">
        <v>144</v>
      </c>
      <c r="O2095" t="s">
        <v>93</v>
      </c>
      <c r="P2095" t="s">
        <v>42</v>
      </c>
      <c r="Q2095" t="s">
        <v>71</v>
      </c>
      <c r="R2095" t="s">
        <v>94</v>
      </c>
      <c r="S2095">
        <v>152.99100000000001</v>
      </c>
    </row>
    <row r="2096" spans="1:19" x14ac:dyDescent="0.35">
      <c r="A2096">
        <v>2135</v>
      </c>
      <c r="B2096" t="s">
        <v>5008</v>
      </c>
      <c r="C2096" s="1">
        <v>42704</v>
      </c>
      <c r="D2096" s="1">
        <v>42708</v>
      </c>
      <c r="E2096" s="1" t="str">
        <f t="shared" si="32"/>
        <v>FAST</v>
      </c>
      <c r="F2096" t="s">
        <v>46</v>
      </c>
      <c r="G2096" t="s">
        <v>5009</v>
      </c>
      <c r="H2096" t="s">
        <v>5010</v>
      </c>
      <c r="I2096" t="s">
        <v>22</v>
      </c>
      <c r="J2096" t="s">
        <v>23</v>
      </c>
      <c r="K2096" t="s">
        <v>142</v>
      </c>
      <c r="L2096" t="s">
        <v>143</v>
      </c>
      <c r="M2096">
        <v>19134</v>
      </c>
      <c r="N2096" t="s">
        <v>144</v>
      </c>
      <c r="O2096" t="s">
        <v>3762</v>
      </c>
      <c r="P2096" t="s">
        <v>42</v>
      </c>
      <c r="Q2096" t="s">
        <v>263</v>
      </c>
      <c r="R2096" t="s">
        <v>3763</v>
      </c>
      <c r="S2096">
        <v>10.584</v>
      </c>
    </row>
    <row r="2097" spans="1:19" x14ac:dyDescent="0.35">
      <c r="A2097">
        <v>2136</v>
      </c>
      <c r="B2097" t="s">
        <v>5008</v>
      </c>
      <c r="C2097" s="1">
        <v>42704</v>
      </c>
      <c r="D2097" s="1">
        <v>42708</v>
      </c>
      <c r="E2097" s="1" t="str">
        <f t="shared" si="32"/>
        <v>FAST</v>
      </c>
      <c r="F2097" t="s">
        <v>46</v>
      </c>
      <c r="G2097" t="s">
        <v>5009</v>
      </c>
      <c r="H2097" t="s">
        <v>5010</v>
      </c>
      <c r="I2097" t="s">
        <v>22</v>
      </c>
      <c r="J2097" t="s">
        <v>23</v>
      </c>
      <c r="K2097" t="s">
        <v>142</v>
      </c>
      <c r="L2097" t="s">
        <v>143</v>
      </c>
      <c r="M2097">
        <v>19134</v>
      </c>
      <c r="N2097" t="s">
        <v>144</v>
      </c>
      <c r="O2097" t="s">
        <v>5011</v>
      </c>
      <c r="P2097" t="s">
        <v>67</v>
      </c>
      <c r="Q2097" t="s">
        <v>68</v>
      </c>
      <c r="R2097" t="s">
        <v>5012</v>
      </c>
      <c r="S2097">
        <v>94.92</v>
      </c>
    </row>
    <row r="2098" spans="1:19" x14ac:dyDescent="0.35">
      <c r="A2098">
        <v>2137</v>
      </c>
      <c r="B2098" t="s">
        <v>5013</v>
      </c>
      <c r="C2098" s="1">
        <v>42735</v>
      </c>
      <c r="D2098" s="1">
        <v>42740</v>
      </c>
      <c r="E2098" s="1" t="str">
        <f t="shared" si="32"/>
        <v>FAST</v>
      </c>
      <c r="F2098" t="s">
        <v>46</v>
      </c>
      <c r="G2098" t="s">
        <v>5014</v>
      </c>
      <c r="H2098" t="s">
        <v>5015</v>
      </c>
      <c r="I2098" t="s">
        <v>22</v>
      </c>
      <c r="J2098" t="s">
        <v>23</v>
      </c>
      <c r="K2098" t="s">
        <v>747</v>
      </c>
      <c r="L2098" t="s">
        <v>100</v>
      </c>
      <c r="M2098">
        <v>75051</v>
      </c>
      <c r="N2098" t="s">
        <v>101</v>
      </c>
      <c r="O2098" t="s">
        <v>5016</v>
      </c>
      <c r="P2098" t="s">
        <v>28</v>
      </c>
      <c r="Q2098" t="s">
        <v>61</v>
      </c>
      <c r="R2098" t="s">
        <v>5017</v>
      </c>
      <c r="S2098">
        <v>14.76</v>
      </c>
    </row>
    <row r="2099" spans="1:19" x14ac:dyDescent="0.35">
      <c r="A2099">
        <v>2138</v>
      </c>
      <c r="B2099" t="s">
        <v>5013</v>
      </c>
      <c r="C2099" s="1">
        <v>42735</v>
      </c>
      <c r="D2099" s="1">
        <v>42740</v>
      </c>
      <c r="E2099" s="1" t="str">
        <f t="shared" si="32"/>
        <v>FAST</v>
      </c>
      <c r="F2099" t="s">
        <v>46</v>
      </c>
      <c r="G2099" t="s">
        <v>5014</v>
      </c>
      <c r="H2099" t="s">
        <v>5015</v>
      </c>
      <c r="I2099" t="s">
        <v>22</v>
      </c>
      <c r="J2099" t="s">
        <v>23</v>
      </c>
      <c r="K2099" t="s">
        <v>747</v>
      </c>
      <c r="L2099" t="s">
        <v>100</v>
      </c>
      <c r="M2099">
        <v>75051</v>
      </c>
      <c r="N2099" t="s">
        <v>101</v>
      </c>
      <c r="O2099" t="s">
        <v>4778</v>
      </c>
      <c r="P2099" t="s">
        <v>42</v>
      </c>
      <c r="Q2099" t="s">
        <v>71</v>
      </c>
      <c r="R2099" t="s">
        <v>4779</v>
      </c>
      <c r="S2099">
        <v>3.6560000000000001</v>
      </c>
    </row>
    <row r="2100" spans="1:19" x14ac:dyDescent="0.35">
      <c r="A2100">
        <v>2139</v>
      </c>
      <c r="B2100" t="s">
        <v>5018</v>
      </c>
      <c r="C2100" s="1">
        <v>43420</v>
      </c>
      <c r="D2100" s="1">
        <v>43420</v>
      </c>
      <c r="E2100" s="1" t="str">
        <f t="shared" si="32"/>
        <v>MODERATE</v>
      </c>
      <c r="F2100" t="s">
        <v>1276</v>
      </c>
      <c r="G2100" t="s">
        <v>4810</v>
      </c>
      <c r="H2100" t="s">
        <v>4811</v>
      </c>
      <c r="I2100" t="s">
        <v>22</v>
      </c>
      <c r="J2100" t="s">
        <v>23</v>
      </c>
      <c r="K2100" t="s">
        <v>260</v>
      </c>
      <c r="L2100" t="s">
        <v>261</v>
      </c>
      <c r="M2100">
        <v>10009</v>
      </c>
      <c r="N2100" t="s">
        <v>144</v>
      </c>
      <c r="O2100" t="s">
        <v>2289</v>
      </c>
      <c r="P2100" t="s">
        <v>42</v>
      </c>
      <c r="Q2100" t="s">
        <v>86</v>
      </c>
      <c r="R2100" t="s">
        <v>2290</v>
      </c>
      <c r="S2100">
        <v>146.82</v>
      </c>
    </row>
    <row r="2101" spans="1:19" x14ac:dyDescent="0.35">
      <c r="A2101">
        <v>2140</v>
      </c>
      <c r="B2101" t="s">
        <v>5019</v>
      </c>
      <c r="C2101" s="1">
        <v>42161</v>
      </c>
      <c r="D2101" s="1">
        <v>42166</v>
      </c>
      <c r="E2101" s="1" t="str">
        <f t="shared" si="32"/>
        <v>FAST</v>
      </c>
      <c r="F2101" t="s">
        <v>46</v>
      </c>
      <c r="G2101" t="s">
        <v>2197</v>
      </c>
      <c r="H2101" t="s">
        <v>2198</v>
      </c>
      <c r="I2101" t="s">
        <v>37</v>
      </c>
      <c r="J2101" t="s">
        <v>23</v>
      </c>
      <c r="K2101" t="s">
        <v>1161</v>
      </c>
      <c r="L2101" t="s">
        <v>261</v>
      </c>
      <c r="M2101">
        <v>11561</v>
      </c>
      <c r="N2101" t="s">
        <v>144</v>
      </c>
      <c r="O2101" t="s">
        <v>1371</v>
      </c>
      <c r="P2101" t="s">
        <v>42</v>
      </c>
      <c r="Q2101" t="s">
        <v>71</v>
      </c>
      <c r="R2101" t="s">
        <v>1372</v>
      </c>
      <c r="S2101">
        <v>149.54400000000001</v>
      </c>
    </row>
    <row r="2102" spans="1:19" x14ac:dyDescent="0.35">
      <c r="A2102">
        <v>2141</v>
      </c>
      <c r="B2102" t="s">
        <v>5019</v>
      </c>
      <c r="C2102" s="1">
        <v>42161</v>
      </c>
      <c r="D2102" s="1">
        <v>42166</v>
      </c>
      <c r="E2102" s="1" t="str">
        <f t="shared" si="32"/>
        <v>FAST</v>
      </c>
      <c r="F2102" t="s">
        <v>46</v>
      </c>
      <c r="G2102" t="s">
        <v>2197</v>
      </c>
      <c r="H2102" t="s">
        <v>2198</v>
      </c>
      <c r="I2102" t="s">
        <v>37</v>
      </c>
      <c r="J2102" t="s">
        <v>23</v>
      </c>
      <c r="K2102" t="s">
        <v>1161</v>
      </c>
      <c r="L2102" t="s">
        <v>261</v>
      </c>
      <c r="M2102">
        <v>11561</v>
      </c>
      <c r="N2102" t="s">
        <v>144</v>
      </c>
      <c r="O2102" t="s">
        <v>5020</v>
      </c>
      <c r="P2102" t="s">
        <v>42</v>
      </c>
      <c r="Q2102" t="s">
        <v>566</v>
      </c>
      <c r="R2102" t="s">
        <v>5021</v>
      </c>
      <c r="S2102">
        <v>17.14</v>
      </c>
    </row>
    <row r="2103" spans="1:19" x14ac:dyDescent="0.35">
      <c r="A2103">
        <v>2142</v>
      </c>
      <c r="B2103" t="s">
        <v>5019</v>
      </c>
      <c r="C2103" s="1">
        <v>42161</v>
      </c>
      <c r="D2103" s="1">
        <v>42166</v>
      </c>
      <c r="E2103" s="1" t="str">
        <f t="shared" si="32"/>
        <v>FAST</v>
      </c>
      <c r="F2103" t="s">
        <v>46</v>
      </c>
      <c r="G2103" t="s">
        <v>2197</v>
      </c>
      <c r="H2103" t="s">
        <v>2198</v>
      </c>
      <c r="I2103" t="s">
        <v>37</v>
      </c>
      <c r="J2103" t="s">
        <v>23</v>
      </c>
      <c r="K2103" t="s">
        <v>1161</v>
      </c>
      <c r="L2103" t="s">
        <v>261</v>
      </c>
      <c r="M2103">
        <v>11561</v>
      </c>
      <c r="N2103" t="s">
        <v>144</v>
      </c>
      <c r="O2103" t="s">
        <v>5022</v>
      </c>
      <c r="P2103" t="s">
        <v>28</v>
      </c>
      <c r="Q2103" t="s">
        <v>52</v>
      </c>
      <c r="R2103" t="s">
        <v>5023</v>
      </c>
      <c r="S2103">
        <v>991.76400000000001</v>
      </c>
    </row>
    <row r="2104" spans="1:19" x14ac:dyDescent="0.35">
      <c r="A2104">
        <v>2143</v>
      </c>
      <c r="B2104" t="s">
        <v>5024</v>
      </c>
      <c r="C2104" s="1">
        <v>42979</v>
      </c>
      <c r="D2104" s="1">
        <v>42983</v>
      </c>
      <c r="E2104" s="1" t="str">
        <f t="shared" si="32"/>
        <v>FAST</v>
      </c>
      <c r="F2104" t="s">
        <v>46</v>
      </c>
      <c r="G2104" t="s">
        <v>1345</v>
      </c>
      <c r="H2104" t="s">
        <v>1346</v>
      </c>
      <c r="I2104" t="s">
        <v>37</v>
      </c>
      <c r="J2104" t="s">
        <v>23</v>
      </c>
      <c r="K2104" t="s">
        <v>142</v>
      </c>
      <c r="L2104" t="s">
        <v>143</v>
      </c>
      <c r="M2104">
        <v>19140</v>
      </c>
      <c r="N2104" t="s">
        <v>144</v>
      </c>
      <c r="O2104" t="s">
        <v>323</v>
      </c>
      <c r="P2104" t="s">
        <v>42</v>
      </c>
      <c r="Q2104" t="s">
        <v>86</v>
      </c>
      <c r="R2104" t="s">
        <v>324</v>
      </c>
      <c r="S2104">
        <v>30.48</v>
      </c>
    </row>
    <row r="2105" spans="1:19" x14ac:dyDescent="0.35">
      <c r="A2105">
        <v>2144</v>
      </c>
      <c r="B2105" t="s">
        <v>5024</v>
      </c>
      <c r="C2105" s="1">
        <v>42979</v>
      </c>
      <c r="D2105" s="1">
        <v>42983</v>
      </c>
      <c r="E2105" s="1" t="str">
        <f t="shared" si="32"/>
        <v>FAST</v>
      </c>
      <c r="F2105" t="s">
        <v>46</v>
      </c>
      <c r="G2105" t="s">
        <v>1345</v>
      </c>
      <c r="H2105" t="s">
        <v>1346</v>
      </c>
      <c r="I2105" t="s">
        <v>37</v>
      </c>
      <c r="J2105" t="s">
        <v>23</v>
      </c>
      <c r="K2105" t="s">
        <v>142</v>
      </c>
      <c r="L2105" t="s">
        <v>143</v>
      </c>
      <c r="M2105">
        <v>19140</v>
      </c>
      <c r="N2105" t="s">
        <v>144</v>
      </c>
      <c r="O2105" t="s">
        <v>545</v>
      </c>
      <c r="P2105" t="s">
        <v>67</v>
      </c>
      <c r="Q2105" t="s">
        <v>68</v>
      </c>
      <c r="R2105" t="s">
        <v>546</v>
      </c>
      <c r="S2105">
        <v>23.988</v>
      </c>
    </row>
    <row r="2106" spans="1:19" x14ac:dyDescent="0.35">
      <c r="A2106">
        <v>2145</v>
      </c>
      <c r="B2106" t="s">
        <v>5024</v>
      </c>
      <c r="C2106" s="1">
        <v>42979</v>
      </c>
      <c r="D2106" s="1">
        <v>42983</v>
      </c>
      <c r="E2106" s="1" t="str">
        <f t="shared" si="32"/>
        <v>FAST</v>
      </c>
      <c r="F2106" t="s">
        <v>46</v>
      </c>
      <c r="G2106" t="s">
        <v>1345</v>
      </c>
      <c r="H2106" t="s">
        <v>1346</v>
      </c>
      <c r="I2106" t="s">
        <v>37</v>
      </c>
      <c r="J2106" t="s">
        <v>23</v>
      </c>
      <c r="K2106" t="s">
        <v>142</v>
      </c>
      <c r="L2106" t="s">
        <v>143</v>
      </c>
      <c r="M2106">
        <v>19140</v>
      </c>
      <c r="N2106" t="s">
        <v>144</v>
      </c>
      <c r="O2106" t="s">
        <v>549</v>
      </c>
      <c r="P2106" t="s">
        <v>42</v>
      </c>
      <c r="Q2106" t="s">
        <v>263</v>
      </c>
      <c r="R2106" t="s">
        <v>550</v>
      </c>
      <c r="S2106">
        <v>16.687999999999999</v>
      </c>
    </row>
    <row r="2107" spans="1:19" x14ac:dyDescent="0.35">
      <c r="A2107">
        <v>2146</v>
      </c>
      <c r="B2107" t="s">
        <v>5025</v>
      </c>
      <c r="C2107" s="1">
        <v>42911</v>
      </c>
      <c r="D2107" s="1">
        <v>42915</v>
      </c>
      <c r="E2107" s="1" t="str">
        <f t="shared" si="32"/>
        <v>FAST</v>
      </c>
      <c r="F2107" t="s">
        <v>46</v>
      </c>
      <c r="G2107" t="s">
        <v>3107</v>
      </c>
      <c r="H2107" t="s">
        <v>3108</v>
      </c>
      <c r="I2107" t="s">
        <v>37</v>
      </c>
      <c r="J2107" t="s">
        <v>23</v>
      </c>
      <c r="K2107" t="s">
        <v>5026</v>
      </c>
      <c r="L2107" t="s">
        <v>143</v>
      </c>
      <c r="M2107">
        <v>17403</v>
      </c>
      <c r="N2107" t="s">
        <v>144</v>
      </c>
      <c r="O2107" t="s">
        <v>930</v>
      </c>
      <c r="P2107" t="s">
        <v>28</v>
      </c>
      <c r="Q2107" t="s">
        <v>32</v>
      </c>
      <c r="R2107" t="s">
        <v>931</v>
      </c>
      <c r="S2107">
        <v>422.05799999999999</v>
      </c>
    </row>
    <row r="2108" spans="1:19" x14ac:dyDescent="0.35">
      <c r="A2108">
        <v>2147</v>
      </c>
      <c r="B2108" t="s">
        <v>5025</v>
      </c>
      <c r="C2108" s="1">
        <v>42911</v>
      </c>
      <c r="D2108" s="1">
        <v>42915</v>
      </c>
      <c r="E2108" s="1" t="str">
        <f t="shared" si="32"/>
        <v>FAST</v>
      </c>
      <c r="F2108" t="s">
        <v>46</v>
      </c>
      <c r="G2108" t="s">
        <v>3107</v>
      </c>
      <c r="H2108" t="s">
        <v>3108</v>
      </c>
      <c r="I2108" t="s">
        <v>37</v>
      </c>
      <c r="J2108" t="s">
        <v>23</v>
      </c>
      <c r="K2108" t="s">
        <v>5026</v>
      </c>
      <c r="L2108" t="s">
        <v>143</v>
      </c>
      <c r="M2108">
        <v>17403</v>
      </c>
      <c r="N2108" t="s">
        <v>144</v>
      </c>
      <c r="O2108" t="s">
        <v>563</v>
      </c>
      <c r="P2108" t="s">
        <v>42</v>
      </c>
      <c r="Q2108" t="s">
        <v>71</v>
      </c>
      <c r="R2108" t="s">
        <v>564</v>
      </c>
      <c r="S2108">
        <v>38.088000000000001</v>
      </c>
    </row>
    <row r="2109" spans="1:19" x14ac:dyDescent="0.35">
      <c r="A2109">
        <v>2148</v>
      </c>
      <c r="B2109" t="s">
        <v>5025</v>
      </c>
      <c r="C2109" s="1">
        <v>42911</v>
      </c>
      <c r="D2109" s="1">
        <v>42915</v>
      </c>
      <c r="E2109" s="1" t="str">
        <f t="shared" si="32"/>
        <v>FAST</v>
      </c>
      <c r="F2109" t="s">
        <v>46</v>
      </c>
      <c r="G2109" t="s">
        <v>3107</v>
      </c>
      <c r="H2109" t="s">
        <v>3108</v>
      </c>
      <c r="I2109" t="s">
        <v>37</v>
      </c>
      <c r="J2109" t="s">
        <v>23</v>
      </c>
      <c r="K2109" t="s">
        <v>5026</v>
      </c>
      <c r="L2109" t="s">
        <v>143</v>
      </c>
      <c r="M2109">
        <v>17403</v>
      </c>
      <c r="N2109" t="s">
        <v>144</v>
      </c>
      <c r="O2109" t="s">
        <v>233</v>
      </c>
      <c r="P2109" t="s">
        <v>42</v>
      </c>
      <c r="Q2109" t="s">
        <v>55</v>
      </c>
      <c r="R2109" t="s">
        <v>234</v>
      </c>
      <c r="S2109">
        <v>254.352</v>
      </c>
    </row>
    <row r="2110" spans="1:19" x14ac:dyDescent="0.35">
      <c r="A2110">
        <v>2149</v>
      </c>
      <c r="B2110" t="s">
        <v>5027</v>
      </c>
      <c r="C2110" s="1">
        <v>42350</v>
      </c>
      <c r="D2110" s="1">
        <v>42355</v>
      </c>
      <c r="E2110" s="1" t="str">
        <f t="shared" si="32"/>
        <v>FAST</v>
      </c>
      <c r="F2110" t="s">
        <v>46</v>
      </c>
      <c r="G2110" t="s">
        <v>5009</v>
      </c>
      <c r="H2110" t="s">
        <v>5010</v>
      </c>
      <c r="I2110" t="s">
        <v>22</v>
      </c>
      <c r="J2110" t="s">
        <v>23</v>
      </c>
      <c r="K2110" t="s">
        <v>83</v>
      </c>
      <c r="L2110" t="s">
        <v>39</v>
      </c>
      <c r="M2110">
        <v>94521</v>
      </c>
      <c r="N2110" t="s">
        <v>40</v>
      </c>
      <c r="O2110" t="s">
        <v>3040</v>
      </c>
      <c r="P2110" t="s">
        <v>28</v>
      </c>
      <c r="Q2110" t="s">
        <v>61</v>
      </c>
      <c r="R2110" t="s">
        <v>3041</v>
      </c>
      <c r="S2110">
        <v>43.31</v>
      </c>
    </row>
    <row r="2111" spans="1:19" x14ac:dyDescent="0.35">
      <c r="A2111">
        <v>2150</v>
      </c>
      <c r="B2111" t="s">
        <v>5028</v>
      </c>
      <c r="C2111" s="1">
        <v>43190</v>
      </c>
      <c r="D2111" s="1">
        <v>43195</v>
      </c>
      <c r="E2111" s="1" t="str">
        <f t="shared" si="32"/>
        <v>FAST</v>
      </c>
      <c r="F2111" t="s">
        <v>46</v>
      </c>
      <c r="G2111" t="s">
        <v>1337</v>
      </c>
      <c r="H2111" t="s">
        <v>1338</v>
      </c>
      <c r="I2111" t="s">
        <v>22</v>
      </c>
      <c r="J2111" t="s">
        <v>23</v>
      </c>
      <c r="K2111" t="s">
        <v>260</v>
      </c>
      <c r="L2111" t="s">
        <v>261</v>
      </c>
      <c r="M2111">
        <v>10035</v>
      </c>
      <c r="N2111" t="s">
        <v>144</v>
      </c>
      <c r="O2111" t="s">
        <v>5029</v>
      </c>
      <c r="P2111" t="s">
        <v>67</v>
      </c>
      <c r="Q2111" t="s">
        <v>68</v>
      </c>
      <c r="R2111" t="s">
        <v>5030</v>
      </c>
      <c r="S2111">
        <v>84.95</v>
      </c>
    </row>
    <row r="2112" spans="1:19" x14ac:dyDescent="0.35">
      <c r="A2112">
        <v>2151</v>
      </c>
      <c r="B2112" t="s">
        <v>5031</v>
      </c>
      <c r="C2112" s="1">
        <v>43423</v>
      </c>
      <c r="D2112" s="1">
        <v>43430</v>
      </c>
      <c r="E2112" s="1" t="str">
        <f t="shared" si="32"/>
        <v>FAST</v>
      </c>
      <c r="F2112" t="s">
        <v>46</v>
      </c>
      <c r="G2112" t="s">
        <v>5032</v>
      </c>
      <c r="H2112" t="s">
        <v>5033</v>
      </c>
      <c r="I2112" t="s">
        <v>22</v>
      </c>
      <c r="J2112" t="s">
        <v>23</v>
      </c>
      <c r="K2112" t="s">
        <v>5034</v>
      </c>
      <c r="L2112" t="s">
        <v>100</v>
      </c>
      <c r="M2112">
        <v>77840</v>
      </c>
      <c r="N2112" t="s">
        <v>101</v>
      </c>
      <c r="O2112" t="s">
        <v>3512</v>
      </c>
      <c r="P2112" t="s">
        <v>28</v>
      </c>
      <c r="Q2112" t="s">
        <v>32</v>
      </c>
      <c r="R2112" t="s">
        <v>3513</v>
      </c>
      <c r="S2112">
        <v>233.05799999999999</v>
      </c>
    </row>
    <row r="2113" spans="1:19" x14ac:dyDescent="0.35">
      <c r="A2113">
        <v>2152</v>
      </c>
      <c r="B2113" t="s">
        <v>5035</v>
      </c>
      <c r="C2113" s="1">
        <v>42332</v>
      </c>
      <c r="D2113" s="1">
        <v>42337</v>
      </c>
      <c r="E2113" s="1" t="str">
        <f t="shared" si="32"/>
        <v>SLOW</v>
      </c>
      <c r="F2113" t="s">
        <v>19</v>
      </c>
      <c r="G2113" t="s">
        <v>5036</v>
      </c>
      <c r="H2113" t="s">
        <v>5037</v>
      </c>
      <c r="I2113" t="s">
        <v>22</v>
      </c>
      <c r="J2113" t="s">
        <v>23</v>
      </c>
      <c r="K2113" t="s">
        <v>5038</v>
      </c>
      <c r="L2113" t="s">
        <v>584</v>
      </c>
      <c r="M2113">
        <v>63116</v>
      </c>
      <c r="N2113" t="s">
        <v>101</v>
      </c>
      <c r="O2113" t="s">
        <v>1562</v>
      </c>
      <c r="P2113" t="s">
        <v>67</v>
      </c>
      <c r="Q2113" t="s">
        <v>157</v>
      </c>
      <c r="R2113" t="s">
        <v>1563</v>
      </c>
      <c r="S2113">
        <v>111.79</v>
      </c>
    </row>
    <row r="2114" spans="1:19" x14ac:dyDescent="0.35">
      <c r="A2114">
        <v>2153</v>
      </c>
      <c r="B2114" t="s">
        <v>5039</v>
      </c>
      <c r="C2114" s="1">
        <v>42696</v>
      </c>
      <c r="D2114" s="1">
        <v>42700</v>
      </c>
      <c r="E2114" s="1" t="str">
        <f t="shared" si="32"/>
        <v>FAST</v>
      </c>
      <c r="F2114" t="s">
        <v>46</v>
      </c>
      <c r="G2114" t="s">
        <v>3992</v>
      </c>
      <c r="H2114" t="s">
        <v>3993</v>
      </c>
      <c r="I2114" t="s">
        <v>22</v>
      </c>
      <c r="J2114" t="s">
        <v>23</v>
      </c>
      <c r="K2114" t="s">
        <v>1307</v>
      </c>
      <c r="L2114" t="s">
        <v>1233</v>
      </c>
      <c r="M2114">
        <v>2169</v>
      </c>
      <c r="N2114" t="s">
        <v>144</v>
      </c>
      <c r="O2114" t="s">
        <v>4021</v>
      </c>
      <c r="P2114" t="s">
        <v>42</v>
      </c>
      <c r="Q2114" t="s">
        <v>86</v>
      </c>
      <c r="R2114" t="s">
        <v>4022</v>
      </c>
      <c r="S2114">
        <v>14.94</v>
      </c>
    </row>
    <row r="2115" spans="1:19" x14ac:dyDescent="0.35">
      <c r="A2115">
        <v>2154</v>
      </c>
      <c r="B2115" t="s">
        <v>5040</v>
      </c>
      <c r="C2115" s="1">
        <v>42930</v>
      </c>
      <c r="D2115" s="1">
        <v>42934</v>
      </c>
      <c r="E2115" s="1" t="str">
        <f t="shared" ref="E2115:E2178" si="33">IF(F2115="STANDARD CLASS","FAST",IF(F2115="SECOND CLASS","SLOW","MODERATE"))</f>
        <v>FAST</v>
      </c>
      <c r="F2115" t="s">
        <v>46</v>
      </c>
      <c r="G2115" t="s">
        <v>946</v>
      </c>
      <c r="H2115" t="s">
        <v>947</v>
      </c>
      <c r="I2115" t="s">
        <v>37</v>
      </c>
      <c r="J2115" t="s">
        <v>23</v>
      </c>
      <c r="K2115" t="s">
        <v>260</v>
      </c>
      <c r="L2115" t="s">
        <v>261</v>
      </c>
      <c r="M2115">
        <v>10009</v>
      </c>
      <c r="N2115" t="s">
        <v>144</v>
      </c>
      <c r="O2115" t="s">
        <v>2341</v>
      </c>
      <c r="P2115" t="s">
        <v>42</v>
      </c>
      <c r="Q2115" t="s">
        <v>71</v>
      </c>
      <c r="R2115" t="s">
        <v>2342</v>
      </c>
      <c r="S2115">
        <v>14.16</v>
      </c>
    </row>
    <row r="2116" spans="1:19" x14ac:dyDescent="0.35">
      <c r="A2116">
        <v>2155</v>
      </c>
      <c r="B2116" t="s">
        <v>5041</v>
      </c>
      <c r="C2116" s="1">
        <v>42855</v>
      </c>
      <c r="D2116" s="1">
        <v>42860</v>
      </c>
      <c r="E2116" s="1" t="str">
        <f t="shared" si="33"/>
        <v>FAST</v>
      </c>
      <c r="F2116" t="s">
        <v>46</v>
      </c>
      <c r="G2116" t="s">
        <v>3405</v>
      </c>
      <c r="H2116" t="s">
        <v>3406</v>
      </c>
      <c r="I2116" t="s">
        <v>98</v>
      </c>
      <c r="J2116" t="s">
        <v>23</v>
      </c>
      <c r="K2116" t="s">
        <v>802</v>
      </c>
      <c r="L2116" t="s">
        <v>100</v>
      </c>
      <c r="M2116">
        <v>75081</v>
      </c>
      <c r="N2116" t="s">
        <v>101</v>
      </c>
      <c r="O2116" t="s">
        <v>4587</v>
      </c>
      <c r="P2116" t="s">
        <v>28</v>
      </c>
      <c r="Q2116" t="s">
        <v>61</v>
      </c>
      <c r="R2116" t="s">
        <v>4588</v>
      </c>
      <c r="S2116">
        <v>22.608000000000001</v>
      </c>
    </row>
    <row r="2117" spans="1:19" x14ac:dyDescent="0.35">
      <c r="A2117">
        <v>2156</v>
      </c>
      <c r="B2117" t="s">
        <v>5042</v>
      </c>
      <c r="C2117" s="1">
        <v>42941</v>
      </c>
      <c r="D2117" s="1">
        <v>42943</v>
      </c>
      <c r="E2117" s="1" t="str">
        <f t="shared" si="33"/>
        <v>SLOW</v>
      </c>
      <c r="F2117" t="s">
        <v>19</v>
      </c>
      <c r="G2117" t="s">
        <v>3703</v>
      </c>
      <c r="H2117" t="s">
        <v>3704</v>
      </c>
      <c r="I2117" t="s">
        <v>22</v>
      </c>
      <c r="J2117" t="s">
        <v>23</v>
      </c>
      <c r="K2117" t="s">
        <v>38</v>
      </c>
      <c r="L2117" t="s">
        <v>39</v>
      </c>
      <c r="M2117">
        <v>90032</v>
      </c>
      <c r="N2117" t="s">
        <v>40</v>
      </c>
      <c r="O2117" t="s">
        <v>1162</v>
      </c>
      <c r="P2117" t="s">
        <v>42</v>
      </c>
      <c r="Q2117" t="s">
        <v>263</v>
      </c>
      <c r="R2117" t="s">
        <v>1163</v>
      </c>
      <c r="S2117">
        <v>21.48</v>
      </c>
    </row>
    <row r="2118" spans="1:19" x14ac:dyDescent="0.35">
      <c r="A2118">
        <v>2157</v>
      </c>
      <c r="B2118" t="s">
        <v>5043</v>
      </c>
      <c r="C2118" s="1">
        <v>42177</v>
      </c>
      <c r="D2118" s="1">
        <v>42179</v>
      </c>
      <c r="E2118" s="1" t="str">
        <f t="shared" si="33"/>
        <v>MODERATE</v>
      </c>
      <c r="F2118" t="s">
        <v>184</v>
      </c>
      <c r="G2118" t="s">
        <v>1942</v>
      </c>
      <c r="H2118" t="s">
        <v>1943</v>
      </c>
      <c r="I2118" t="s">
        <v>22</v>
      </c>
      <c r="J2118" t="s">
        <v>23</v>
      </c>
      <c r="K2118" t="s">
        <v>399</v>
      </c>
      <c r="L2118" t="s">
        <v>223</v>
      </c>
      <c r="M2118">
        <v>55407</v>
      </c>
      <c r="N2118" t="s">
        <v>101</v>
      </c>
      <c r="O2118" t="s">
        <v>2901</v>
      </c>
      <c r="P2118" t="s">
        <v>42</v>
      </c>
      <c r="Q2118" t="s">
        <v>55</v>
      </c>
      <c r="R2118" t="s">
        <v>2902</v>
      </c>
      <c r="S2118">
        <v>501.81</v>
      </c>
    </row>
    <row r="2119" spans="1:19" x14ac:dyDescent="0.35">
      <c r="A2119">
        <v>2158</v>
      </c>
      <c r="B2119" t="s">
        <v>5043</v>
      </c>
      <c r="C2119" s="1">
        <v>42177</v>
      </c>
      <c r="D2119" s="1">
        <v>42179</v>
      </c>
      <c r="E2119" s="1" t="str">
        <f t="shared" si="33"/>
        <v>MODERATE</v>
      </c>
      <c r="F2119" t="s">
        <v>184</v>
      </c>
      <c r="G2119" t="s">
        <v>1942</v>
      </c>
      <c r="H2119" t="s">
        <v>1943</v>
      </c>
      <c r="I2119" t="s">
        <v>22</v>
      </c>
      <c r="J2119" t="s">
        <v>23</v>
      </c>
      <c r="K2119" t="s">
        <v>399</v>
      </c>
      <c r="L2119" t="s">
        <v>223</v>
      </c>
      <c r="M2119">
        <v>55407</v>
      </c>
      <c r="N2119" t="s">
        <v>101</v>
      </c>
      <c r="O2119" t="s">
        <v>1547</v>
      </c>
      <c r="P2119" t="s">
        <v>42</v>
      </c>
      <c r="Q2119" t="s">
        <v>55</v>
      </c>
      <c r="R2119" t="s">
        <v>1548</v>
      </c>
      <c r="S2119">
        <v>161.94</v>
      </c>
    </row>
    <row r="2120" spans="1:19" x14ac:dyDescent="0.35">
      <c r="A2120">
        <v>2159</v>
      </c>
      <c r="B2120" t="s">
        <v>5044</v>
      </c>
      <c r="C2120" s="1">
        <v>43394</v>
      </c>
      <c r="D2120" s="1">
        <v>43399</v>
      </c>
      <c r="E2120" s="1" t="str">
        <f t="shared" si="33"/>
        <v>FAST</v>
      </c>
      <c r="F2120" t="s">
        <v>46</v>
      </c>
      <c r="G2120" t="s">
        <v>626</v>
      </c>
      <c r="H2120" t="s">
        <v>627</v>
      </c>
      <c r="I2120" t="s">
        <v>98</v>
      </c>
      <c r="J2120" t="s">
        <v>23</v>
      </c>
      <c r="K2120" t="s">
        <v>3609</v>
      </c>
      <c r="L2120" t="s">
        <v>50</v>
      </c>
      <c r="M2120">
        <v>32725</v>
      </c>
      <c r="N2120" t="s">
        <v>26</v>
      </c>
      <c r="O2120" t="s">
        <v>5045</v>
      </c>
      <c r="P2120" t="s">
        <v>42</v>
      </c>
      <c r="Q2120" t="s">
        <v>64</v>
      </c>
      <c r="R2120" t="s">
        <v>5046</v>
      </c>
      <c r="S2120">
        <v>17.856000000000002</v>
      </c>
    </row>
    <row r="2121" spans="1:19" x14ac:dyDescent="0.35">
      <c r="A2121">
        <v>2160</v>
      </c>
      <c r="B2121" t="s">
        <v>5047</v>
      </c>
      <c r="C2121" s="1">
        <v>42981</v>
      </c>
      <c r="D2121" s="1">
        <v>42987</v>
      </c>
      <c r="E2121" s="1" t="str">
        <f t="shared" si="33"/>
        <v>FAST</v>
      </c>
      <c r="F2121" t="s">
        <v>46</v>
      </c>
      <c r="G2121" t="s">
        <v>1932</v>
      </c>
      <c r="H2121" t="s">
        <v>1933</v>
      </c>
      <c r="I2121" t="s">
        <v>22</v>
      </c>
      <c r="J2121" t="s">
        <v>23</v>
      </c>
      <c r="K2121" t="s">
        <v>297</v>
      </c>
      <c r="L2121" t="s">
        <v>205</v>
      </c>
      <c r="M2121">
        <v>60610</v>
      </c>
      <c r="N2121" t="s">
        <v>101</v>
      </c>
      <c r="O2121" t="s">
        <v>3488</v>
      </c>
      <c r="P2121" t="s">
        <v>42</v>
      </c>
      <c r="Q2121" t="s">
        <v>71</v>
      </c>
      <c r="R2121" t="s">
        <v>3489</v>
      </c>
      <c r="S2121">
        <v>8.8079999999999998</v>
      </c>
    </row>
    <row r="2122" spans="1:19" x14ac:dyDescent="0.35">
      <c r="A2122">
        <v>2161</v>
      </c>
      <c r="B2122" t="s">
        <v>5048</v>
      </c>
      <c r="C2122" s="1">
        <v>42869</v>
      </c>
      <c r="D2122" s="1">
        <v>42869</v>
      </c>
      <c r="E2122" s="1" t="str">
        <f t="shared" si="33"/>
        <v>MODERATE</v>
      </c>
      <c r="F2122" t="s">
        <v>1276</v>
      </c>
      <c r="G2122" t="s">
        <v>928</v>
      </c>
      <c r="H2122" t="s">
        <v>929</v>
      </c>
      <c r="I2122" t="s">
        <v>22</v>
      </c>
      <c r="J2122" t="s">
        <v>23</v>
      </c>
      <c r="K2122" t="s">
        <v>995</v>
      </c>
      <c r="L2122" t="s">
        <v>485</v>
      </c>
      <c r="M2122">
        <v>45231</v>
      </c>
      <c r="N2122" t="s">
        <v>144</v>
      </c>
      <c r="O2122" t="s">
        <v>4217</v>
      </c>
      <c r="P2122" t="s">
        <v>28</v>
      </c>
      <c r="Q2122" t="s">
        <v>61</v>
      </c>
      <c r="R2122" t="s">
        <v>4218</v>
      </c>
      <c r="S2122">
        <v>79.384</v>
      </c>
    </row>
    <row r="2123" spans="1:19" x14ac:dyDescent="0.35">
      <c r="A2123">
        <v>2162</v>
      </c>
      <c r="B2123" t="s">
        <v>5049</v>
      </c>
      <c r="C2123" s="1">
        <v>42742</v>
      </c>
      <c r="D2123" s="1">
        <v>42747</v>
      </c>
      <c r="E2123" s="1" t="str">
        <f t="shared" si="33"/>
        <v>FAST</v>
      </c>
      <c r="F2123" t="s">
        <v>46</v>
      </c>
      <c r="G2123" t="s">
        <v>918</v>
      </c>
      <c r="H2123" t="s">
        <v>919</v>
      </c>
      <c r="I2123" t="s">
        <v>98</v>
      </c>
      <c r="J2123" t="s">
        <v>23</v>
      </c>
      <c r="K2123" t="s">
        <v>3167</v>
      </c>
      <c r="L2123" t="s">
        <v>39</v>
      </c>
      <c r="M2123">
        <v>94601</v>
      </c>
      <c r="N2123" t="s">
        <v>40</v>
      </c>
      <c r="O2123" t="s">
        <v>5050</v>
      </c>
      <c r="P2123" t="s">
        <v>42</v>
      </c>
      <c r="Q2123" t="s">
        <v>64</v>
      </c>
      <c r="R2123" t="s">
        <v>5051</v>
      </c>
      <c r="S2123">
        <v>34.58</v>
      </c>
    </row>
    <row r="2124" spans="1:19" x14ac:dyDescent="0.35">
      <c r="A2124">
        <v>2163</v>
      </c>
      <c r="B2124" t="s">
        <v>5052</v>
      </c>
      <c r="C2124" s="1">
        <v>43172</v>
      </c>
      <c r="D2124" s="1">
        <v>43178</v>
      </c>
      <c r="E2124" s="1" t="str">
        <f t="shared" si="33"/>
        <v>FAST</v>
      </c>
      <c r="F2124" t="s">
        <v>46</v>
      </c>
      <c r="G2124" t="s">
        <v>5053</v>
      </c>
      <c r="H2124" t="s">
        <v>5054</v>
      </c>
      <c r="I2124" t="s">
        <v>98</v>
      </c>
      <c r="J2124" t="s">
        <v>23</v>
      </c>
      <c r="K2124" t="s">
        <v>5055</v>
      </c>
      <c r="L2124" t="s">
        <v>39</v>
      </c>
      <c r="M2124">
        <v>95336</v>
      </c>
      <c r="N2124" t="s">
        <v>40</v>
      </c>
      <c r="O2124" t="s">
        <v>4254</v>
      </c>
      <c r="P2124" t="s">
        <v>42</v>
      </c>
      <c r="Q2124" t="s">
        <v>86</v>
      </c>
      <c r="R2124" t="s">
        <v>4255</v>
      </c>
      <c r="S2124">
        <v>314.55</v>
      </c>
    </row>
    <row r="2125" spans="1:19" x14ac:dyDescent="0.35">
      <c r="A2125">
        <v>2164</v>
      </c>
      <c r="B2125" t="s">
        <v>5056</v>
      </c>
      <c r="C2125" s="1">
        <v>43021</v>
      </c>
      <c r="D2125" s="1">
        <v>43027</v>
      </c>
      <c r="E2125" s="1" t="str">
        <f t="shared" si="33"/>
        <v>FAST</v>
      </c>
      <c r="F2125" t="s">
        <v>46</v>
      </c>
      <c r="G2125" t="s">
        <v>588</v>
      </c>
      <c r="H2125" t="s">
        <v>589</v>
      </c>
      <c r="I2125" t="s">
        <v>22</v>
      </c>
      <c r="J2125" t="s">
        <v>23</v>
      </c>
      <c r="K2125" t="s">
        <v>1966</v>
      </c>
      <c r="L2125" t="s">
        <v>100</v>
      </c>
      <c r="M2125">
        <v>78041</v>
      </c>
      <c r="N2125" t="s">
        <v>101</v>
      </c>
      <c r="O2125" t="s">
        <v>2536</v>
      </c>
      <c r="P2125" t="s">
        <v>67</v>
      </c>
      <c r="Q2125" t="s">
        <v>157</v>
      </c>
      <c r="R2125" t="s">
        <v>2537</v>
      </c>
      <c r="S2125">
        <v>191.976</v>
      </c>
    </row>
    <row r="2126" spans="1:19" x14ac:dyDescent="0.35">
      <c r="A2126">
        <v>2165</v>
      </c>
      <c r="B2126" t="s">
        <v>5056</v>
      </c>
      <c r="C2126" s="1">
        <v>43021</v>
      </c>
      <c r="D2126" s="1">
        <v>43027</v>
      </c>
      <c r="E2126" s="1" t="str">
        <f t="shared" si="33"/>
        <v>FAST</v>
      </c>
      <c r="F2126" t="s">
        <v>46</v>
      </c>
      <c r="G2126" t="s">
        <v>588</v>
      </c>
      <c r="H2126" t="s">
        <v>589</v>
      </c>
      <c r="I2126" t="s">
        <v>22</v>
      </c>
      <c r="J2126" t="s">
        <v>23</v>
      </c>
      <c r="K2126" t="s">
        <v>1966</v>
      </c>
      <c r="L2126" t="s">
        <v>100</v>
      </c>
      <c r="M2126">
        <v>78041</v>
      </c>
      <c r="N2126" t="s">
        <v>101</v>
      </c>
      <c r="O2126" t="s">
        <v>5057</v>
      </c>
      <c r="P2126" t="s">
        <v>42</v>
      </c>
      <c r="Q2126" t="s">
        <v>86</v>
      </c>
      <c r="R2126" t="s">
        <v>5058</v>
      </c>
      <c r="S2126">
        <v>8.2880000000000003</v>
      </c>
    </row>
    <row r="2127" spans="1:19" x14ac:dyDescent="0.35">
      <c r="A2127">
        <v>2166</v>
      </c>
      <c r="B2127" t="s">
        <v>5056</v>
      </c>
      <c r="C2127" s="1">
        <v>43021</v>
      </c>
      <c r="D2127" s="1">
        <v>43027</v>
      </c>
      <c r="E2127" s="1" t="str">
        <f t="shared" si="33"/>
        <v>FAST</v>
      </c>
      <c r="F2127" t="s">
        <v>46</v>
      </c>
      <c r="G2127" t="s">
        <v>588</v>
      </c>
      <c r="H2127" t="s">
        <v>589</v>
      </c>
      <c r="I2127" t="s">
        <v>22</v>
      </c>
      <c r="J2127" t="s">
        <v>23</v>
      </c>
      <c r="K2127" t="s">
        <v>1966</v>
      </c>
      <c r="L2127" t="s">
        <v>100</v>
      </c>
      <c r="M2127">
        <v>78041</v>
      </c>
      <c r="N2127" t="s">
        <v>101</v>
      </c>
      <c r="O2127" t="s">
        <v>2241</v>
      </c>
      <c r="P2127" t="s">
        <v>28</v>
      </c>
      <c r="Q2127" t="s">
        <v>61</v>
      </c>
      <c r="R2127" t="s">
        <v>2242</v>
      </c>
      <c r="S2127">
        <v>139.91999999999999</v>
      </c>
    </row>
    <row r="2128" spans="1:19" x14ac:dyDescent="0.35">
      <c r="A2128">
        <v>2167</v>
      </c>
      <c r="B2128" t="s">
        <v>5056</v>
      </c>
      <c r="C2128" s="1">
        <v>43021</v>
      </c>
      <c r="D2128" s="1">
        <v>43027</v>
      </c>
      <c r="E2128" s="1" t="str">
        <f t="shared" si="33"/>
        <v>FAST</v>
      </c>
      <c r="F2128" t="s">
        <v>46</v>
      </c>
      <c r="G2128" t="s">
        <v>588</v>
      </c>
      <c r="H2128" t="s">
        <v>589</v>
      </c>
      <c r="I2128" t="s">
        <v>22</v>
      </c>
      <c r="J2128" t="s">
        <v>23</v>
      </c>
      <c r="K2128" t="s">
        <v>1966</v>
      </c>
      <c r="L2128" t="s">
        <v>100</v>
      </c>
      <c r="M2128">
        <v>78041</v>
      </c>
      <c r="N2128" t="s">
        <v>101</v>
      </c>
      <c r="O2128" t="s">
        <v>4628</v>
      </c>
      <c r="P2128" t="s">
        <v>42</v>
      </c>
      <c r="Q2128" t="s">
        <v>64</v>
      </c>
      <c r="R2128" t="s">
        <v>4629</v>
      </c>
      <c r="S2128">
        <v>15.872</v>
      </c>
    </row>
    <row r="2129" spans="1:19" x14ac:dyDescent="0.35">
      <c r="A2129">
        <v>2168</v>
      </c>
      <c r="B2129" t="s">
        <v>5056</v>
      </c>
      <c r="C2129" s="1">
        <v>43021</v>
      </c>
      <c r="D2129" s="1">
        <v>43027</v>
      </c>
      <c r="E2129" s="1" t="str">
        <f t="shared" si="33"/>
        <v>FAST</v>
      </c>
      <c r="F2129" t="s">
        <v>46</v>
      </c>
      <c r="G2129" t="s">
        <v>588</v>
      </c>
      <c r="H2129" t="s">
        <v>589</v>
      </c>
      <c r="I2129" t="s">
        <v>22</v>
      </c>
      <c r="J2129" t="s">
        <v>23</v>
      </c>
      <c r="K2129" t="s">
        <v>1966</v>
      </c>
      <c r="L2129" t="s">
        <v>100</v>
      </c>
      <c r="M2129">
        <v>78041</v>
      </c>
      <c r="N2129" t="s">
        <v>101</v>
      </c>
      <c r="O2129" t="s">
        <v>1206</v>
      </c>
      <c r="P2129" t="s">
        <v>42</v>
      </c>
      <c r="Q2129" t="s">
        <v>71</v>
      </c>
      <c r="R2129" t="s">
        <v>1207</v>
      </c>
      <c r="S2129">
        <v>6.2859999999999996</v>
      </c>
    </row>
    <row r="2130" spans="1:19" x14ac:dyDescent="0.35">
      <c r="A2130">
        <v>2169</v>
      </c>
      <c r="B2130" t="s">
        <v>5059</v>
      </c>
      <c r="C2130" s="1">
        <v>43127</v>
      </c>
      <c r="D2130" s="1">
        <v>43130</v>
      </c>
      <c r="E2130" s="1" t="str">
        <f t="shared" si="33"/>
        <v>SLOW</v>
      </c>
      <c r="F2130" t="s">
        <v>19</v>
      </c>
      <c r="G2130" t="s">
        <v>5060</v>
      </c>
      <c r="H2130" t="s">
        <v>5061</v>
      </c>
      <c r="I2130" t="s">
        <v>22</v>
      </c>
      <c r="J2130" t="s">
        <v>23</v>
      </c>
      <c r="K2130" t="s">
        <v>4216</v>
      </c>
      <c r="L2130" t="s">
        <v>485</v>
      </c>
      <c r="M2130">
        <v>44240</v>
      </c>
      <c r="N2130" t="s">
        <v>144</v>
      </c>
      <c r="O2130" t="s">
        <v>1967</v>
      </c>
      <c r="P2130" t="s">
        <v>42</v>
      </c>
      <c r="Q2130" t="s">
        <v>64</v>
      </c>
      <c r="R2130" t="s">
        <v>1968</v>
      </c>
      <c r="S2130">
        <v>14.016</v>
      </c>
    </row>
    <row r="2131" spans="1:19" x14ac:dyDescent="0.35">
      <c r="A2131">
        <v>2170</v>
      </c>
      <c r="B2131" t="s">
        <v>5059</v>
      </c>
      <c r="C2131" s="1">
        <v>43127</v>
      </c>
      <c r="D2131" s="1">
        <v>43130</v>
      </c>
      <c r="E2131" s="1" t="str">
        <f t="shared" si="33"/>
        <v>SLOW</v>
      </c>
      <c r="F2131" t="s">
        <v>19</v>
      </c>
      <c r="G2131" t="s">
        <v>5060</v>
      </c>
      <c r="H2131" t="s">
        <v>5061</v>
      </c>
      <c r="I2131" t="s">
        <v>22</v>
      </c>
      <c r="J2131" t="s">
        <v>23</v>
      </c>
      <c r="K2131" t="s">
        <v>4216</v>
      </c>
      <c r="L2131" t="s">
        <v>485</v>
      </c>
      <c r="M2131">
        <v>44240</v>
      </c>
      <c r="N2131" t="s">
        <v>144</v>
      </c>
      <c r="O2131" t="s">
        <v>2711</v>
      </c>
      <c r="P2131" t="s">
        <v>67</v>
      </c>
      <c r="Q2131" t="s">
        <v>157</v>
      </c>
      <c r="R2131" t="s">
        <v>2712</v>
      </c>
      <c r="S2131">
        <v>71.975999999999999</v>
      </c>
    </row>
    <row r="2132" spans="1:19" x14ac:dyDescent="0.35">
      <c r="A2132">
        <v>2171</v>
      </c>
      <c r="B2132" t="s">
        <v>5059</v>
      </c>
      <c r="C2132" s="1">
        <v>43127</v>
      </c>
      <c r="D2132" s="1">
        <v>43130</v>
      </c>
      <c r="E2132" s="1" t="str">
        <f t="shared" si="33"/>
        <v>SLOW</v>
      </c>
      <c r="F2132" t="s">
        <v>19</v>
      </c>
      <c r="G2132" t="s">
        <v>5060</v>
      </c>
      <c r="H2132" t="s">
        <v>5061</v>
      </c>
      <c r="I2132" t="s">
        <v>22</v>
      </c>
      <c r="J2132" t="s">
        <v>23</v>
      </c>
      <c r="K2132" t="s">
        <v>4216</v>
      </c>
      <c r="L2132" t="s">
        <v>485</v>
      </c>
      <c r="M2132">
        <v>44240</v>
      </c>
      <c r="N2132" t="s">
        <v>144</v>
      </c>
      <c r="O2132" t="s">
        <v>681</v>
      </c>
      <c r="P2132" t="s">
        <v>67</v>
      </c>
      <c r="Q2132" t="s">
        <v>68</v>
      </c>
      <c r="R2132" t="s">
        <v>682</v>
      </c>
      <c r="S2132">
        <v>107.982</v>
      </c>
    </row>
    <row r="2133" spans="1:19" x14ac:dyDescent="0.35">
      <c r="A2133">
        <v>2172</v>
      </c>
      <c r="B2133" t="s">
        <v>5062</v>
      </c>
      <c r="C2133" s="1">
        <v>43423</v>
      </c>
      <c r="D2133" s="1">
        <v>43429</v>
      </c>
      <c r="E2133" s="1" t="str">
        <f t="shared" si="33"/>
        <v>FAST</v>
      </c>
      <c r="F2133" t="s">
        <v>46</v>
      </c>
      <c r="G2133" t="s">
        <v>202</v>
      </c>
      <c r="H2133" t="s">
        <v>203</v>
      </c>
      <c r="I2133" t="s">
        <v>37</v>
      </c>
      <c r="J2133" t="s">
        <v>23</v>
      </c>
      <c r="K2133" t="s">
        <v>5063</v>
      </c>
      <c r="L2133" t="s">
        <v>100</v>
      </c>
      <c r="M2133">
        <v>76903</v>
      </c>
      <c r="N2133" t="s">
        <v>101</v>
      </c>
      <c r="O2133" t="s">
        <v>2448</v>
      </c>
      <c r="P2133" t="s">
        <v>28</v>
      </c>
      <c r="Q2133" t="s">
        <v>32</v>
      </c>
      <c r="R2133" t="s">
        <v>2449</v>
      </c>
      <c r="S2133">
        <v>305.31200000000001</v>
      </c>
    </row>
    <row r="2134" spans="1:19" x14ac:dyDescent="0.35">
      <c r="A2134">
        <v>2173</v>
      </c>
      <c r="B2134" t="s">
        <v>5064</v>
      </c>
      <c r="C2134" s="1">
        <v>42217</v>
      </c>
      <c r="D2134" s="1">
        <v>42219</v>
      </c>
      <c r="E2134" s="1" t="str">
        <f t="shared" si="33"/>
        <v>MODERATE</v>
      </c>
      <c r="F2134" t="s">
        <v>184</v>
      </c>
      <c r="G2134" t="s">
        <v>5065</v>
      </c>
      <c r="H2134" t="s">
        <v>5066</v>
      </c>
      <c r="I2134" t="s">
        <v>22</v>
      </c>
      <c r="J2134" t="s">
        <v>23</v>
      </c>
      <c r="K2134" t="s">
        <v>123</v>
      </c>
      <c r="L2134" t="s">
        <v>39</v>
      </c>
      <c r="M2134">
        <v>94122</v>
      </c>
      <c r="N2134" t="s">
        <v>40</v>
      </c>
      <c r="O2134" t="s">
        <v>5067</v>
      </c>
      <c r="P2134" t="s">
        <v>42</v>
      </c>
      <c r="Q2134" t="s">
        <v>71</v>
      </c>
      <c r="R2134" t="s">
        <v>5068</v>
      </c>
      <c r="S2134">
        <v>19.751999999999999</v>
      </c>
    </row>
    <row r="2135" spans="1:19" x14ac:dyDescent="0.35">
      <c r="A2135">
        <v>2174</v>
      </c>
      <c r="B2135" t="s">
        <v>5069</v>
      </c>
      <c r="C2135" s="1">
        <v>42946</v>
      </c>
      <c r="D2135" s="1">
        <v>42951</v>
      </c>
      <c r="E2135" s="1" t="str">
        <f t="shared" si="33"/>
        <v>FAST</v>
      </c>
      <c r="F2135" t="s">
        <v>46</v>
      </c>
      <c r="G2135" t="s">
        <v>537</v>
      </c>
      <c r="H2135" t="s">
        <v>538</v>
      </c>
      <c r="I2135" t="s">
        <v>98</v>
      </c>
      <c r="J2135" t="s">
        <v>23</v>
      </c>
      <c r="K2135" t="s">
        <v>180</v>
      </c>
      <c r="L2135" t="s">
        <v>100</v>
      </c>
      <c r="M2135">
        <v>77070</v>
      </c>
      <c r="N2135" t="s">
        <v>101</v>
      </c>
      <c r="O2135" t="s">
        <v>4288</v>
      </c>
      <c r="P2135" t="s">
        <v>42</v>
      </c>
      <c r="Q2135" t="s">
        <v>71</v>
      </c>
      <c r="R2135" t="s">
        <v>4289</v>
      </c>
      <c r="S2135">
        <v>9.2639999999999993</v>
      </c>
    </row>
    <row r="2136" spans="1:19" x14ac:dyDescent="0.35">
      <c r="A2136">
        <v>2175</v>
      </c>
      <c r="B2136" t="s">
        <v>5070</v>
      </c>
      <c r="C2136" s="1">
        <v>42581</v>
      </c>
      <c r="D2136" s="1">
        <v>42585</v>
      </c>
      <c r="E2136" s="1" t="str">
        <f t="shared" si="33"/>
        <v>SLOW</v>
      </c>
      <c r="F2136" t="s">
        <v>19</v>
      </c>
      <c r="G2136" t="s">
        <v>4907</v>
      </c>
      <c r="H2136" t="s">
        <v>4908</v>
      </c>
      <c r="I2136" t="s">
        <v>37</v>
      </c>
      <c r="J2136" t="s">
        <v>23</v>
      </c>
      <c r="K2136" t="s">
        <v>180</v>
      </c>
      <c r="L2136" t="s">
        <v>100</v>
      </c>
      <c r="M2136">
        <v>77041</v>
      </c>
      <c r="N2136" t="s">
        <v>101</v>
      </c>
      <c r="O2136" t="s">
        <v>4845</v>
      </c>
      <c r="P2136" t="s">
        <v>42</v>
      </c>
      <c r="Q2136" t="s">
        <v>55</v>
      </c>
      <c r="R2136" t="s">
        <v>4846</v>
      </c>
      <c r="S2136">
        <v>61.792000000000002</v>
      </c>
    </row>
    <row r="2137" spans="1:19" x14ac:dyDescent="0.35">
      <c r="A2137">
        <v>2176</v>
      </c>
      <c r="B2137" t="s">
        <v>5071</v>
      </c>
      <c r="C2137" s="1">
        <v>43023</v>
      </c>
      <c r="D2137" s="1">
        <v>43029</v>
      </c>
      <c r="E2137" s="1" t="str">
        <f t="shared" si="33"/>
        <v>FAST</v>
      </c>
      <c r="F2137" t="s">
        <v>46</v>
      </c>
      <c r="G2137" t="s">
        <v>5072</v>
      </c>
      <c r="H2137" t="s">
        <v>5073</v>
      </c>
      <c r="I2137" t="s">
        <v>98</v>
      </c>
      <c r="J2137" t="s">
        <v>23</v>
      </c>
      <c r="K2137" t="s">
        <v>5074</v>
      </c>
      <c r="L2137" t="s">
        <v>117</v>
      </c>
      <c r="M2137">
        <v>84106</v>
      </c>
      <c r="N2137" t="s">
        <v>40</v>
      </c>
      <c r="O2137" t="s">
        <v>5075</v>
      </c>
      <c r="P2137" t="s">
        <v>42</v>
      </c>
      <c r="Q2137" t="s">
        <v>86</v>
      </c>
      <c r="R2137" t="s">
        <v>5076</v>
      </c>
      <c r="S2137">
        <v>45.68</v>
      </c>
    </row>
    <row r="2138" spans="1:19" x14ac:dyDescent="0.35">
      <c r="A2138">
        <v>2177</v>
      </c>
      <c r="B2138" t="s">
        <v>5071</v>
      </c>
      <c r="C2138" s="1">
        <v>43023</v>
      </c>
      <c r="D2138" s="1">
        <v>43029</v>
      </c>
      <c r="E2138" s="1" t="str">
        <f t="shared" si="33"/>
        <v>FAST</v>
      </c>
      <c r="F2138" t="s">
        <v>46</v>
      </c>
      <c r="G2138" t="s">
        <v>5072</v>
      </c>
      <c r="H2138" t="s">
        <v>5073</v>
      </c>
      <c r="I2138" t="s">
        <v>98</v>
      </c>
      <c r="J2138" t="s">
        <v>23</v>
      </c>
      <c r="K2138" t="s">
        <v>5074</v>
      </c>
      <c r="L2138" t="s">
        <v>117</v>
      </c>
      <c r="M2138">
        <v>84106</v>
      </c>
      <c r="N2138" t="s">
        <v>40</v>
      </c>
      <c r="O2138" t="s">
        <v>4269</v>
      </c>
      <c r="P2138" t="s">
        <v>42</v>
      </c>
      <c r="Q2138" t="s">
        <v>86</v>
      </c>
      <c r="R2138" t="s">
        <v>4270</v>
      </c>
      <c r="S2138">
        <v>60.12</v>
      </c>
    </row>
    <row r="2139" spans="1:19" x14ac:dyDescent="0.35">
      <c r="A2139">
        <v>2178</v>
      </c>
      <c r="B2139" t="s">
        <v>5071</v>
      </c>
      <c r="C2139" s="1">
        <v>43023</v>
      </c>
      <c r="D2139" s="1">
        <v>43029</v>
      </c>
      <c r="E2139" s="1" t="str">
        <f t="shared" si="33"/>
        <v>FAST</v>
      </c>
      <c r="F2139" t="s">
        <v>46</v>
      </c>
      <c r="G2139" t="s">
        <v>5072</v>
      </c>
      <c r="H2139" t="s">
        <v>5073</v>
      </c>
      <c r="I2139" t="s">
        <v>98</v>
      </c>
      <c r="J2139" t="s">
        <v>23</v>
      </c>
      <c r="K2139" t="s">
        <v>5074</v>
      </c>
      <c r="L2139" t="s">
        <v>117</v>
      </c>
      <c r="M2139">
        <v>84106</v>
      </c>
      <c r="N2139" t="s">
        <v>40</v>
      </c>
      <c r="O2139" t="s">
        <v>4452</v>
      </c>
      <c r="P2139" t="s">
        <v>42</v>
      </c>
      <c r="Q2139" t="s">
        <v>71</v>
      </c>
      <c r="R2139" t="s">
        <v>4453</v>
      </c>
      <c r="S2139">
        <v>41.72</v>
      </c>
    </row>
    <row r="2140" spans="1:19" x14ac:dyDescent="0.35">
      <c r="A2140">
        <v>2179</v>
      </c>
      <c r="B2140" t="s">
        <v>5071</v>
      </c>
      <c r="C2140" s="1">
        <v>43023</v>
      </c>
      <c r="D2140" s="1">
        <v>43029</v>
      </c>
      <c r="E2140" s="1" t="str">
        <f t="shared" si="33"/>
        <v>FAST</v>
      </c>
      <c r="F2140" t="s">
        <v>46</v>
      </c>
      <c r="G2140" t="s">
        <v>5072</v>
      </c>
      <c r="H2140" t="s">
        <v>5073</v>
      </c>
      <c r="I2140" t="s">
        <v>98</v>
      </c>
      <c r="J2140" t="s">
        <v>23</v>
      </c>
      <c r="K2140" t="s">
        <v>5074</v>
      </c>
      <c r="L2140" t="s">
        <v>117</v>
      </c>
      <c r="M2140">
        <v>84106</v>
      </c>
      <c r="N2140" t="s">
        <v>40</v>
      </c>
      <c r="O2140" t="s">
        <v>1617</v>
      </c>
      <c r="P2140" t="s">
        <v>42</v>
      </c>
      <c r="Q2140" t="s">
        <v>86</v>
      </c>
      <c r="R2140" t="s">
        <v>1618</v>
      </c>
      <c r="S2140">
        <v>71.599999999999994</v>
      </c>
    </row>
    <row r="2141" spans="1:19" x14ac:dyDescent="0.35">
      <c r="A2141">
        <v>2180</v>
      </c>
      <c r="B2141" t="s">
        <v>5077</v>
      </c>
      <c r="C2141" s="1">
        <v>42862</v>
      </c>
      <c r="D2141" s="1">
        <v>42866</v>
      </c>
      <c r="E2141" s="1" t="str">
        <f t="shared" si="33"/>
        <v>FAST</v>
      </c>
      <c r="F2141" t="s">
        <v>46</v>
      </c>
      <c r="G2141" t="s">
        <v>1437</v>
      </c>
      <c r="H2141" t="s">
        <v>1438</v>
      </c>
      <c r="I2141" t="s">
        <v>22</v>
      </c>
      <c r="J2141" t="s">
        <v>23</v>
      </c>
      <c r="K2141" t="s">
        <v>260</v>
      </c>
      <c r="L2141" t="s">
        <v>261</v>
      </c>
      <c r="M2141">
        <v>10009</v>
      </c>
      <c r="N2141" t="s">
        <v>144</v>
      </c>
      <c r="O2141" t="s">
        <v>1322</v>
      </c>
      <c r="P2141" t="s">
        <v>42</v>
      </c>
      <c r="Q2141" t="s">
        <v>71</v>
      </c>
      <c r="R2141" t="s">
        <v>1323</v>
      </c>
      <c r="S2141">
        <v>85.231999999999999</v>
      </c>
    </row>
    <row r="2142" spans="1:19" x14ac:dyDescent="0.35">
      <c r="A2142">
        <v>2181</v>
      </c>
      <c r="B2142" t="s">
        <v>5077</v>
      </c>
      <c r="C2142" s="1">
        <v>42862</v>
      </c>
      <c r="D2142" s="1">
        <v>42866</v>
      </c>
      <c r="E2142" s="1" t="str">
        <f t="shared" si="33"/>
        <v>FAST</v>
      </c>
      <c r="F2142" t="s">
        <v>46</v>
      </c>
      <c r="G2142" t="s">
        <v>1437</v>
      </c>
      <c r="H2142" t="s">
        <v>1438</v>
      </c>
      <c r="I2142" t="s">
        <v>22</v>
      </c>
      <c r="J2142" t="s">
        <v>23</v>
      </c>
      <c r="K2142" t="s">
        <v>260</v>
      </c>
      <c r="L2142" t="s">
        <v>261</v>
      </c>
      <c r="M2142">
        <v>10009</v>
      </c>
      <c r="N2142" t="s">
        <v>144</v>
      </c>
      <c r="O2142" t="s">
        <v>1647</v>
      </c>
      <c r="P2142" t="s">
        <v>42</v>
      </c>
      <c r="Q2142" t="s">
        <v>43</v>
      </c>
      <c r="R2142" t="s">
        <v>1648</v>
      </c>
      <c r="S2142">
        <v>44.4</v>
      </c>
    </row>
    <row r="2143" spans="1:19" x14ac:dyDescent="0.35">
      <c r="A2143">
        <v>2182</v>
      </c>
      <c r="B2143" t="s">
        <v>5077</v>
      </c>
      <c r="C2143" s="1">
        <v>42862</v>
      </c>
      <c r="D2143" s="1">
        <v>42866</v>
      </c>
      <c r="E2143" s="1" t="str">
        <f t="shared" si="33"/>
        <v>FAST</v>
      </c>
      <c r="F2143" t="s">
        <v>46</v>
      </c>
      <c r="G2143" t="s">
        <v>1437</v>
      </c>
      <c r="H2143" t="s">
        <v>1438</v>
      </c>
      <c r="I2143" t="s">
        <v>22</v>
      </c>
      <c r="J2143" t="s">
        <v>23</v>
      </c>
      <c r="K2143" t="s">
        <v>260</v>
      </c>
      <c r="L2143" t="s">
        <v>261</v>
      </c>
      <c r="M2143">
        <v>10009</v>
      </c>
      <c r="N2143" t="s">
        <v>144</v>
      </c>
      <c r="O2143" t="s">
        <v>5078</v>
      </c>
      <c r="P2143" t="s">
        <v>28</v>
      </c>
      <c r="Q2143" t="s">
        <v>32</v>
      </c>
      <c r="R2143" t="s">
        <v>5079</v>
      </c>
      <c r="S2143">
        <v>442.76400000000001</v>
      </c>
    </row>
    <row r="2144" spans="1:19" x14ac:dyDescent="0.35">
      <c r="A2144">
        <v>2183</v>
      </c>
      <c r="B2144" t="s">
        <v>5077</v>
      </c>
      <c r="C2144" s="1">
        <v>42862</v>
      </c>
      <c r="D2144" s="1">
        <v>42866</v>
      </c>
      <c r="E2144" s="1" t="str">
        <f t="shared" si="33"/>
        <v>FAST</v>
      </c>
      <c r="F2144" t="s">
        <v>46</v>
      </c>
      <c r="G2144" t="s">
        <v>1437</v>
      </c>
      <c r="H2144" t="s">
        <v>1438</v>
      </c>
      <c r="I2144" t="s">
        <v>22</v>
      </c>
      <c r="J2144" t="s">
        <v>23</v>
      </c>
      <c r="K2144" t="s">
        <v>260</v>
      </c>
      <c r="L2144" t="s">
        <v>261</v>
      </c>
      <c r="M2144">
        <v>10009</v>
      </c>
      <c r="N2144" t="s">
        <v>144</v>
      </c>
      <c r="O2144" t="s">
        <v>4562</v>
      </c>
      <c r="P2144" t="s">
        <v>67</v>
      </c>
      <c r="Q2144" t="s">
        <v>671</v>
      </c>
      <c r="R2144" t="s">
        <v>4563</v>
      </c>
      <c r="S2144">
        <v>3999.95</v>
      </c>
    </row>
    <row r="2145" spans="1:19" x14ac:dyDescent="0.35">
      <c r="A2145">
        <v>2184</v>
      </c>
      <c r="B2145" t="s">
        <v>5077</v>
      </c>
      <c r="C2145" s="1">
        <v>42862</v>
      </c>
      <c r="D2145" s="1">
        <v>42866</v>
      </c>
      <c r="E2145" s="1" t="str">
        <f t="shared" si="33"/>
        <v>FAST</v>
      </c>
      <c r="F2145" t="s">
        <v>46</v>
      </c>
      <c r="G2145" t="s">
        <v>1437</v>
      </c>
      <c r="H2145" t="s">
        <v>1438</v>
      </c>
      <c r="I2145" t="s">
        <v>22</v>
      </c>
      <c r="J2145" t="s">
        <v>23</v>
      </c>
      <c r="K2145" t="s">
        <v>260</v>
      </c>
      <c r="L2145" t="s">
        <v>261</v>
      </c>
      <c r="M2145">
        <v>10009</v>
      </c>
      <c r="N2145" t="s">
        <v>144</v>
      </c>
      <c r="O2145" t="s">
        <v>431</v>
      </c>
      <c r="P2145" t="s">
        <v>67</v>
      </c>
      <c r="Q2145" t="s">
        <v>157</v>
      </c>
      <c r="R2145" t="s">
        <v>432</v>
      </c>
      <c r="S2145">
        <v>199.95</v>
      </c>
    </row>
    <row r="2146" spans="1:19" x14ac:dyDescent="0.35">
      <c r="A2146">
        <v>2185</v>
      </c>
      <c r="B2146" t="s">
        <v>5077</v>
      </c>
      <c r="C2146" s="1">
        <v>42862</v>
      </c>
      <c r="D2146" s="1">
        <v>42866</v>
      </c>
      <c r="E2146" s="1" t="str">
        <f t="shared" si="33"/>
        <v>FAST</v>
      </c>
      <c r="F2146" t="s">
        <v>46</v>
      </c>
      <c r="G2146" t="s">
        <v>1437</v>
      </c>
      <c r="H2146" t="s">
        <v>1438</v>
      </c>
      <c r="I2146" t="s">
        <v>22</v>
      </c>
      <c r="J2146" t="s">
        <v>23</v>
      </c>
      <c r="K2146" t="s">
        <v>260</v>
      </c>
      <c r="L2146" t="s">
        <v>261</v>
      </c>
      <c r="M2146">
        <v>10009</v>
      </c>
      <c r="N2146" t="s">
        <v>144</v>
      </c>
      <c r="O2146" t="s">
        <v>2859</v>
      </c>
      <c r="P2146" t="s">
        <v>28</v>
      </c>
      <c r="Q2146" t="s">
        <v>61</v>
      </c>
      <c r="R2146" t="s">
        <v>910</v>
      </c>
      <c r="S2146">
        <v>63.68</v>
      </c>
    </row>
    <row r="2147" spans="1:19" x14ac:dyDescent="0.35">
      <c r="A2147">
        <v>2186</v>
      </c>
      <c r="B2147" t="s">
        <v>5080</v>
      </c>
      <c r="C2147" s="1">
        <v>43313</v>
      </c>
      <c r="D2147" s="1">
        <v>43316</v>
      </c>
      <c r="E2147" s="1" t="str">
        <f t="shared" si="33"/>
        <v>SLOW</v>
      </c>
      <c r="F2147" t="s">
        <v>19</v>
      </c>
      <c r="G2147" t="s">
        <v>806</v>
      </c>
      <c r="H2147" t="s">
        <v>807</v>
      </c>
      <c r="I2147" t="s">
        <v>37</v>
      </c>
      <c r="J2147" t="s">
        <v>23</v>
      </c>
      <c r="K2147" t="s">
        <v>2612</v>
      </c>
      <c r="L2147" t="s">
        <v>39</v>
      </c>
      <c r="M2147">
        <v>93905</v>
      </c>
      <c r="N2147" t="s">
        <v>40</v>
      </c>
      <c r="O2147" t="s">
        <v>605</v>
      </c>
      <c r="P2147" t="s">
        <v>42</v>
      </c>
      <c r="Q2147" t="s">
        <v>71</v>
      </c>
      <c r="R2147" t="s">
        <v>606</v>
      </c>
      <c r="S2147">
        <v>54.896000000000001</v>
      </c>
    </row>
    <row r="2148" spans="1:19" x14ac:dyDescent="0.35">
      <c r="A2148">
        <v>2187</v>
      </c>
      <c r="B2148" t="s">
        <v>5081</v>
      </c>
      <c r="C2148" s="1">
        <v>42930</v>
      </c>
      <c r="D2148" s="1">
        <v>42930</v>
      </c>
      <c r="E2148" s="1" t="str">
        <f t="shared" si="33"/>
        <v>MODERATE</v>
      </c>
      <c r="F2148" t="s">
        <v>1276</v>
      </c>
      <c r="G2148" t="s">
        <v>5082</v>
      </c>
      <c r="H2148" t="s">
        <v>5083</v>
      </c>
      <c r="I2148" t="s">
        <v>22</v>
      </c>
      <c r="J2148" t="s">
        <v>23</v>
      </c>
      <c r="K2148" t="s">
        <v>1661</v>
      </c>
      <c r="L2148" t="s">
        <v>350</v>
      </c>
      <c r="M2148">
        <v>35810</v>
      </c>
      <c r="N2148" t="s">
        <v>26</v>
      </c>
      <c r="O2148" t="s">
        <v>730</v>
      </c>
      <c r="P2148" t="s">
        <v>67</v>
      </c>
      <c r="Q2148" t="s">
        <v>157</v>
      </c>
      <c r="R2148" t="s">
        <v>731</v>
      </c>
      <c r="S2148">
        <v>29</v>
      </c>
    </row>
    <row r="2149" spans="1:19" x14ac:dyDescent="0.35">
      <c r="A2149">
        <v>2188</v>
      </c>
      <c r="B2149" t="s">
        <v>5084</v>
      </c>
      <c r="C2149" s="1">
        <v>43322</v>
      </c>
      <c r="D2149" s="1">
        <v>43327</v>
      </c>
      <c r="E2149" s="1" t="str">
        <f t="shared" si="33"/>
        <v>FAST</v>
      </c>
      <c r="F2149" t="s">
        <v>46</v>
      </c>
      <c r="G2149" t="s">
        <v>5065</v>
      </c>
      <c r="H2149" t="s">
        <v>5066</v>
      </c>
      <c r="I2149" t="s">
        <v>22</v>
      </c>
      <c r="J2149" t="s">
        <v>23</v>
      </c>
      <c r="K2149" t="s">
        <v>484</v>
      </c>
      <c r="L2149" t="s">
        <v>248</v>
      </c>
      <c r="M2149">
        <v>47201</v>
      </c>
      <c r="N2149" t="s">
        <v>101</v>
      </c>
      <c r="O2149" t="s">
        <v>4092</v>
      </c>
      <c r="P2149" t="s">
        <v>42</v>
      </c>
      <c r="Q2149" t="s">
        <v>169</v>
      </c>
      <c r="R2149" t="s">
        <v>658</v>
      </c>
      <c r="S2149">
        <v>70.08</v>
      </c>
    </row>
    <row r="2150" spans="1:19" x14ac:dyDescent="0.35">
      <c r="A2150">
        <v>2189</v>
      </c>
      <c r="B2150" t="s">
        <v>5084</v>
      </c>
      <c r="C2150" s="1">
        <v>43322</v>
      </c>
      <c r="D2150" s="1">
        <v>43327</v>
      </c>
      <c r="E2150" s="1" t="str">
        <f t="shared" si="33"/>
        <v>FAST</v>
      </c>
      <c r="F2150" t="s">
        <v>46</v>
      </c>
      <c r="G2150" t="s">
        <v>5065</v>
      </c>
      <c r="H2150" t="s">
        <v>5066</v>
      </c>
      <c r="I2150" t="s">
        <v>22</v>
      </c>
      <c r="J2150" t="s">
        <v>23</v>
      </c>
      <c r="K2150" t="s">
        <v>484</v>
      </c>
      <c r="L2150" t="s">
        <v>248</v>
      </c>
      <c r="M2150">
        <v>47201</v>
      </c>
      <c r="N2150" t="s">
        <v>101</v>
      </c>
      <c r="O2150" t="s">
        <v>332</v>
      </c>
      <c r="P2150" t="s">
        <v>28</v>
      </c>
      <c r="Q2150" t="s">
        <v>61</v>
      </c>
      <c r="R2150" t="s">
        <v>333</v>
      </c>
      <c r="S2150">
        <v>121.3</v>
      </c>
    </row>
    <row r="2151" spans="1:19" x14ac:dyDescent="0.35">
      <c r="A2151">
        <v>2190</v>
      </c>
      <c r="B2151" t="s">
        <v>5084</v>
      </c>
      <c r="C2151" s="1">
        <v>43322</v>
      </c>
      <c r="D2151" s="1">
        <v>43327</v>
      </c>
      <c r="E2151" s="1" t="str">
        <f t="shared" si="33"/>
        <v>FAST</v>
      </c>
      <c r="F2151" t="s">
        <v>46</v>
      </c>
      <c r="G2151" t="s">
        <v>5065</v>
      </c>
      <c r="H2151" t="s">
        <v>5066</v>
      </c>
      <c r="I2151" t="s">
        <v>22</v>
      </c>
      <c r="J2151" t="s">
        <v>23</v>
      </c>
      <c r="K2151" t="s">
        <v>484</v>
      </c>
      <c r="L2151" t="s">
        <v>248</v>
      </c>
      <c r="M2151">
        <v>47201</v>
      </c>
      <c r="N2151" t="s">
        <v>101</v>
      </c>
      <c r="O2151" t="s">
        <v>1179</v>
      </c>
      <c r="P2151" t="s">
        <v>67</v>
      </c>
      <c r="Q2151" t="s">
        <v>68</v>
      </c>
      <c r="R2151" t="s">
        <v>1180</v>
      </c>
      <c r="S2151">
        <v>1454.49</v>
      </c>
    </row>
    <row r="2152" spans="1:19" x14ac:dyDescent="0.35">
      <c r="A2152">
        <v>2191</v>
      </c>
      <c r="B2152" t="s">
        <v>5085</v>
      </c>
      <c r="C2152" s="1">
        <v>42911</v>
      </c>
      <c r="D2152" s="1">
        <v>42915</v>
      </c>
      <c r="E2152" s="1" t="str">
        <f t="shared" si="33"/>
        <v>FAST</v>
      </c>
      <c r="F2152" t="s">
        <v>46</v>
      </c>
      <c r="G2152" t="s">
        <v>1989</v>
      </c>
      <c r="H2152" t="s">
        <v>1990</v>
      </c>
      <c r="I2152" t="s">
        <v>22</v>
      </c>
      <c r="J2152" t="s">
        <v>23</v>
      </c>
      <c r="K2152" t="s">
        <v>38</v>
      </c>
      <c r="L2152" t="s">
        <v>39</v>
      </c>
      <c r="M2152">
        <v>90049</v>
      </c>
      <c r="N2152" t="s">
        <v>40</v>
      </c>
      <c r="O2152" t="s">
        <v>5086</v>
      </c>
      <c r="P2152" t="s">
        <v>42</v>
      </c>
      <c r="Q2152" t="s">
        <v>74</v>
      </c>
      <c r="R2152" t="s">
        <v>5087</v>
      </c>
      <c r="S2152">
        <v>60.81</v>
      </c>
    </row>
    <row r="2153" spans="1:19" x14ac:dyDescent="0.35">
      <c r="A2153">
        <v>2192</v>
      </c>
      <c r="B2153" t="s">
        <v>5088</v>
      </c>
      <c r="C2153" s="1">
        <v>43079</v>
      </c>
      <c r="D2153" s="1">
        <v>43086</v>
      </c>
      <c r="E2153" s="1" t="str">
        <f t="shared" si="33"/>
        <v>FAST</v>
      </c>
      <c r="F2153" t="s">
        <v>46</v>
      </c>
      <c r="G2153" t="s">
        <v>2264</v>
      </c>
      <c r="H2153" t="s">
        <v>2265</v>
      </c>
      <c r="I2153" t="s">
        <v>22</v>
      </c>
      <c r="J2153" t="s">
        <v>23</v>
      </c>
      <c r="K2153" t="s">
        <v>91</v>
      </c>
      <c r="L2153" t="s">
        <v>92</v>
      </c>
      <c r="M2153">
        <v>98105</v>
      </c>
      <c r="N2153" t="s">
        <v>40</v>
      </c>
      <c r="O2153" t="s">
        <v>4949</v>
      </c>
      <c r="P2153" t="s">
        <v>42</v>
      </c>
      <c r="Q2153" t="s">
        <v>71</v>
      </c>
      <c r="R2153" t="s">
        <v>4950</v>
      </c>
      <c r="S2153">
        <v>153.55199999999999</v>
      </c>
    </row>
    <row r="2154" spans="1:19" x14ac:dyDescent="0.35">
      <c r="A2154">
        <v>2193</v>
      </c>
      <c r="B2154" t="s">
        <v>5088</v>
      </c>
      <c r="C2154" s="1">
        <v>43079</v>
      </c>
      <c r="D2154" s="1">
        <v>43086</v>
      </c>
      <c r="E2154" s="1" t="str">
        <f t="shared" si="33"/>
        <v>FAST</v>
      </c>
      <c r="F2154" t="s">
        <v>46</v>
      </c>
      <c r="G2154" t="s">
        <v>2264</v>
      </c>
      <c r="H2154" t="s">
        <v>2265</v>
      </c>
      <c r="I2154" t="s">
        <v>22</v>
      </c>
      <c r="J2154" t="s">
        <v>23</v>
      </c>
      <c r="K2154" t="s">
        <v>91</v>
      </c>
      <c r="L2154" t="s">
        <v>92</v>
      </c>
      <c r="M2154">
        <v>98105</v>
      </c>
      <c r="N2154" t="s">
        <v>40</v>
      </c>
      <c r="O2154" t="s">
        <v>4396</v>
      </c>
      <c r="P2154" t="s">
        <v>42</v>
      </c>
      <c r="Q2154" t="s">
        <v>74</v>
      </c>
      <c r="R2154" t="s">
        <v>4397</v>
      </c>
      <c r="S2154">
        <v>65.34</v>
      </c>
    </row>
    <row r="2155" spans="1:19" x14ac:dyDescent="0.35">
      <c r="A2155">
        <v>2194</v>
      </c>
      <c r="B2155" t="s">
        <v>5088</v>
      </c>
      <c r="C2155" s="1">
        <v>43079</v>
      </c>
      <c r="D2155" s="1">
        <v>43086</v>
      </c>
      <c r="E2155" s="1" t="str">
        <f t="shared" si="33"/>
        <v>FAST</v>
      </c>
      <c r="F2155" t="s">
        <v>46</v>
      </c>
      <c r="G2155" t="s">
        <v>2264</v>
      </c>
      <c r="H2155" t="s">
        <v>2265</v>
      </c>
      <c r="I2155" t="s">
        <v>22</v>
      </c>
      <c r="J2155" t="s">
        <v>23</v>
      </c>
      <c r="K2155" t="s">
        <v>91</v>
      </c>
      <c r="L2155" t="s">
        <v>92</v>
      </c>
      <c r="M2155">
        <v>98105</v>
      </c>
      <c r="N2155" t="s">
        <v>40</v>
      </c>
      <c r="O2155" t="s">
        <v>4033</v>
      </c>
      <c r="P2155" t="s">
        <v>42</v>
      </c>
      <c r="Q2155" t="s">
        <v>86</v>
      </c>
      <c r="R2155" t="s">
        <v>4034</v>
      </c>
      <c r="S2155">
        <v>123.92</v>
      </c>
    </row>
    <row r="2156" spans="1:19" x14ac:dyDescent="0.35">
      <c r="A2156">
        <v>2195</v>
      </c>
      <c r="B2156" t="s">
        <v>5088</v>
      </c>
      <c r="C2156" s="1">
        <v>43079</v>
      </c>
      <c r="D2156" s="1">
        <v>43086</v>
      </c>
      <c r="E2156" s="1" t="str">
        <f t="shared" si="33"/>
        <v>FAST</v>
      </c>
      <c r="F2156" t="s">
        <v>46</v>
      </c>
      <c r="G2156" t="s">
        <v>2264</v>
      </c>
      <c r="H2156" t="s">
        <v>2265</v>
      </c>
      <c r="I2156" t="s">
        <v>22</v>
      </c>
      <c r="J2156" t="s">
        <v>23</v>
      </c>
      <c r="K2156" t="s">
        <v>91</v>
      </c>
      <c r="L2156" t="s">
        <v>92</v>
      </c>
      <c r="M2156">
        <v>98105</v>
      </c>
      <c r="N2156" t="s">
        <v>40</v>
      </c>
      <c r="O2156" t="s">
        <v>5089</v>
      </c>
      <c r="P2156" t="s">
        <v>42</v>
      </c>
      <c r="Q2156" t="s">
        <v>74</v>
      </c>
      <c r="R2156" t="s">
        <v>5090</v>
      </c>
      <c r="S2156">
        <v>35.1</v>
      </c>
    </row>
    <row r="2157" spans="1:19" x14ac:dyDescent="0.35">
      <c r="A2157">
        <v>2196</v>
      </c>
      <c r="B2157" t="s">
        <v>5088</v>
      </c>
      <c r="C2157" s="1">
        <v>43079</v>
      </c>
      <c r="D2157" s="1">
        <v>43086</v>
      </c>
      <c r="E2157" s="1" t="str">
        <f t="shared" si="33"/>
        <v>FAST</v>
      </c>
      <c r="F2157" t="s">
        <v>46</v>
      </c>
      <c r="G2157" t="s">
        <v>2264</v>
      </c>
      <c r="H2157" t="s">
        <v>2265</v>
      </c>
      <c r="I2157" t="s">
        <v>22</v>
      </c>
      <c r="J2157" t="s">
        <v>23</v>
      </c>
      <c r="K2157" t="s">
        <v>91</v>
      </c>
      <c r="L2157" t="s">
        <v>92</v>
      </c>
      <c r="M2157">
        <v>98105</v>
      </c>
      <c r="N2157" t="s">
        <v>40</v>
      </c>
      <c r="O2157" t="s">
        <v>4117</v>
      </c>
      <c r="P2157" t="s">
        <v>67</v>
      </c>
      <c r="Q2157" t="s">
        <v>157</v>
      </c>
      <c r="R2157" t="s">
        <v>4118</v>
      </c>
      <c r="S2157">
        <v>44.75</v>
      </c>
    </row>
    <row r="2158" spans="1:19" x14ac:dyDescent="0.35">
      <c r="A2158">
        <v>2197</v>
      </c>
      <c r="B2158" t="s">
        <v>5091</v>
      </c>
      <c r="C2158" s="1">
        <v>43070</v>
      </c>
      <c r="D2158" s="1">
        <v>43075</v>
      </c>
      <c r="E2158" s="1" t="str">
        <f t="shared" si="33"/>
        <v>FAST</v>
      </c>
      <c r="F2158" t="s">
        <v>46</v>
      </c>
      <c r="G2158" t="s">
        <v>3034</v>
      </c>
      <c r="H2158" t="s">
        <v>3035</v>
      </c>
      <c r="I2158" t="s">
        <v>22</v>
      </c>
      <c r="J2158" t="s">
        <v>23</v>
      </c>
      <c r="K2158" t="s">
        <v>5092</v>
      </c>
      <c r="L2158" t="s">
        <v>329</v>
      </c>
      <c r="M2158">
        <v>37918</v>
      </c>
      <c r="N2158" t="s">
        <v>26</v>
      </c>
      <c r="O2158" t="s">
        <v>574</v>
      </c>
      <c r="P2158" t="s">
        <v>42</v>
      </c>
      <c r="Q2158" t="s">
        <v>64</v>
      </c>
      <c r="R2158" t="s">
        <v>575</v>
      </c>
      <c r="S2158">
        <v>4.7039999999999997</v>
      </c>
    </row>
    <row r="2159" spans="1:19" x14ac:dyDescent="0.35">
      <c r="A2159">
        <v>2198</v>
      </c>
      <c r="B2159" t="s">
        <v>5093</v>
      </c>
      <c r="C2159" s="1">
        <v>42336</v>
      </c>
      <c r="D2159" s="1">
        <v>42342</v>
      </c>
      <c r="E2159" s="1" t="str">
        <f t="shared" si="33"/>
        <v>FAST</v>
      </c>
      <c r="F2159" t="s">
        <v>46</v>
      </c>
      <c r="G2159" t="s">
        <v>4923</v>
      </c>
      <c r="H2159" t="s">
        <v>4924</v>
      </c>
      <c r="I2159" t="s">
        <v>22</v>
      </c>
      <c r="J2159" t="s">
        <v>23</v>
      </c>
      <c r="K2159" t="s">
        <v>1797</v>
      </c>
      <c r="L2159" t="s">
        <v>350</v>
      </c>
      <c r="M2159">
        <v>36116</v>
      </c>
      <c r="N2159" t="s">
        <v>26</v>
      </c>
      <c r="O2159" t="s">
        <v>2168</v>
      </c>
      <c r="P2159" t="s">
        <v>42</v>
      </c>
      <c r="Q2159" t="s">
        <v>64</v>
      </c>
      <c r="R2159" t="s">
        <v>2169</v>
      </c>
      <c r="S2159">
        <v>14.67</v>
      </c>
    </row>
    <row r="2160" spans="1:19" x14ac:dyDescent="0.35">
      <c r="A2160">
        <v>2199</v>
      </c>
      <c r="B2160" t="s">
        <v>5094</v>
      </c>
      <c r="C2160" s="1">
        <v>42457</v>
      </c>
      <c r="D2160" s="1">
        <v>42462</v>
      </c>
      <c r="E2160" s="1" t="str">
        <f t="shared" si="33"/>
        <v>FAST</v>
      </c>
      <c r="F2160" t="s">
        <v>46</v>
      </c>
      <c r="G2160" t="s">
        <v>1982</v>
      </c>
      <c r="H2160" t="s">
        <v>1983</v>
      </c>
      <c r="I2160" t="s">
        <v>22</v>
      </c>
      <c r="J2160" t="s">
        <v>23</v>
      </c>
      <c r="K2160" t="s">
        <v>142</v>
      </c>
      <c r="L2160" t="s">
        <v>143</v>
      </c>
      <c r="M2160">
        <v>19120</v>
      </c>
      <c r="N2160" t="s">
        <v>144</v>
      </c>
      <c r="O2160" t="s">
        <v>400</v>
      </c>
      <c r="P2160" t="s">
        <v>42</v>
      </c>
      <c r="Q2160" t="s">
        <v>86</v>
      </c>
      <c r="R2160" t="s">
        <v>401</v>
      </c>
      <c r="S2160">
        <v>15.552</v>
      </c>
    </row>
    <row r="2161" spans="1:19" x14ac:dyDescent="0.35">
      <c r="A2161">
        <v>2200</v>
      </c>
      <c r="B2161" t="s">
        <v>5094</v>
      </c>
      <c r="C2161" s="1">
        <v>42457</v>
      </c>
      <c r="D2161" s="1">
        <v>42462</v>
      </c>
      <c r="E2161" s="1" t="str">
        <f t="shared" si="33"/>
        <v>FAST</v>
      </c>
      <c r="F2161" t="s">
        <v>46</v>
      </c>
      <c r="G2161" t="s">
        <v>1982</v>
      </c>
      <c r="H2161" t="s">
        <v>1983</v>
      </c>
      <c r="I2161" t="s">
        <v>22</v>
      </c>
      <c r="J2161" t="s">
        <v>23</v>
      </c>
      <c r="K2161" t="s">
        <v>142</v>
      </c>
      <c r="L2161" t="s">
        <v>143</v>
      </c>
      <c r="M2161">
        <v>19120</v>
      </c>
      <c r="N2161" t="s">
        <v>144</v>
      </c>
      <c r="O2161" t="s">
        <v>4850</v>
      </c>
      <c r="P2161" t="s">
        <v>42</v>
      </c>
      <c r="Q2161" t="s">
        <v>86</v>
      </c>
      <c r="R2161" t="s">
        <v>4851</v>
      </c>
      <c r="S2161">
        <v>5.2320000000000002</v>
      </c>
    </row>
    <row r="2162" spans="1:19" x14ac:dyDescent="0.35">
      <c r="A2162">
        <v>2202</v>
      </c>
      <c r="B2162" t="s">
        <v>5095</v>
      </c>
      <c r="C2162" s="1">
        <v>42156</v>
      </c>
      <c r="D2162" s="1">
        <v>42161</v>
      </c>
      <c r="E2162" s="1" t="str">
        <f t="shared" si="33"/>
        <v>FAST</v>
      </c>
      <c r="F2162" t="s">
        <v>46</v>
      </c>
      <c r="G2162" t="s">
        <v>2446</v>
      </c>
      <c r="H2162" t="s">
        <v>2447</v>
      </c>
      <c r="I2162" t="s">
        <v>22</v>
      </c>
      <c r="J2162" t="s">
        <v>23</v>
      </c>
      <c r="K2162" t="s">
        <v>5096</v>
      </c>
      <c r="L2162" t="s">
        <v>1687</v>
      </c>
      <c r="M2162">
        <v>72209</v>
      </c>
      <c r="N2162" t="s">
        <v>26</v>
      </c>
      <c r="O2162" t="s">
        <v>848</v>
      </c>
      <c r="P2162" t="s">
        <v>67</v>
      </c>
      <c r="Q2162" t="s">
        <v>68</v>
      </c>
      <c r="R2162" t="s">
        <v>849</v>
      </c>
      <c r="S2162">
        <v>881.93</v>
      </c>
    </row>
    <row r="2163" spans="1:19" x14ac:dyDescent="0.35">
      <c r="A2163">
        <v>2203</v>
      </c>
      <c r="B2163" t="s">
        <v>5097</v>
      </c>
      <c r="C2163" s="1">
        <v>42619</v>
      </c>
      <c r="D2163" s="1">
        <v>42625</v>
      </c>
      <c r="E2163" s="1" t="str">
        <f t="shared" si="33"/>
        <v>FAST</v>
      </c>
      <c r="F2163" t="s">
        <v>46</v>
      </c>
      <c r="G2163" t="s">
        <v>3803</v>
      </c>
      <c r="H2163" t="s">
        <v>3804</v>
      </c>
      <c r="I2163" t="s">
        <v>98</v>
      </c>
      <c r="J2163" t="s">
        <v>23</v>
      </c>
      <c r="K2163" t="s">
        <v>91</v>
      </c>
      <c r="L2163" t="s">
        <v>92</v>
      </c>
      <c r="M2163">
        <v>98103</v>
      </c>
      <c r="N2163" t="s">
        <v>40</v>
      </c>
      <c r="O2163" t="s">
        <v>1241</v>
      </c>
      <c r="P2163" t="s">
        <v>42</v>
      </c>
      <c r="Q2163" t="s">
        <v>71</v>
      </c>
      <c r="R2163" t="s">
        <v>1242</v>
      </c>
      <c r="S2163">
        <v>6.0960000000000001</v>
      </c>
    </row>
    <row r="2164" spans="1:19" x14ac:dyDescent="0.35">
      <c r="A2164">
        <v>2204</v>
      </c>
      <c r="B2164" t="s">
        <v>5097</v>
      </c>
      <c r="C2164" s="1">
        <v>42619</v>
      </c>
      <c r="D2164" s="1">
        <v>42625</v>
      </c>
      <c r="E2164" s="1" t="str">
        <f t="shared" si="33"/>
        <v>FAST</v>
      </c>
      <c r="F2164" t="s">
        <v>46</v>
      </c>
      <c r="G2164" t="s">
        <v>3803</v>
      </c>
      <c r="H2164" t="s">
        <v>3804</v>
      </c>
      <c r="I2164" t="s">
        <v>98</v>
      </c>
      <c r="J2164" t="s">
        <v>23</v>
      </c>
      <c r="K2164" t="s">
        <v>91</v>
      </c>
      <c r="L2164" t="s">
        <v>92</v>
      </c>
      <c r="M2164">
        <v>98103</v>
      </c>
      <c r="N2164" t="s">
        <v>40</v>
      </c>
      <c r="O2164" t="s">
        <v>5098</v>
      </c>
      <c r="P2164" t="s">
        <v>28</v>
      </c>
      <c r="Q2164" t="s">
        <v>61</v>
      </c>
      <c r="R2164" t="s">
        <v>5099</v>
      </c>
      <c r="S2164">
        <v>191.82</v>
      </c>
    </row>
    <row r="2165" spans="1:19" x14ac:dyDescent="0.35">
      <c r="A2165">
        <v>2205</v>
      </c>
      <c r="B2165" t="s">
        <v>5100</v>
      </c>
      <c r="C2165" s="1">
        <v>42550</v>
      </c>
      <c r="D2165" s="1">
        <v>42556</v>
      </c>
      <c r="E2165" s="1" t="str">
        <f t="shared" si="33"/>
        <v>FAST</v>
      </c>
      <c r="F2165" t="s">
        <v>46</v>
      </c>
      <c r="G2165" t="s">
        <v>506</v>
      </c>
      <c r="H2165" t="s">
        <v>507</v>
      </c>
      <c r="I2165" t="s">
        <v>22</v>
      </c>
      <c r="J2165" t="s">
        <v>23</v>
      </c>
      <c r="K2165" t="s">
        <v>2442</v>
      </c>
      <c r="L2165" t="s">
        <v>143</v>
      </c>
      <c r="M2165">
        <v>17602</v>
      </c>
      <c r="N2165" t="s">
        <v>144</v>
      </c>
      <c r="O2165" t="s">
        <v>3892</v>
      </c>
      <c r="P2165" t="s">
        <v>28</v>
      </c>
      <c r="Q2165" t="s">
        <v>61</v>
      </c>
      <c r="R2165" t="s">
        <v>5101</v>
      </c>
      <c r="S2165">
        <v>20.103999999999999</v>
      </c>
    </row>
    <row r="2166" spans="1:19" x14ac:dyDescent="0.35">
      <c r="A2166">
        <v>2206</v>
      </c>
      <c r="B2166" t="s">
        <v>5102</v>
      </c>
      <c r="C2166" s="1">
        <v>42988</v>
      </c>
      <c r="D2166" s="1">
        <v>42990</v>
      </c>
      <c r="E2166" s="1" t="str">
        <f t="shared" si="33"/>
        <v>SLOW</v>
      </c>
      <c r="F2166" t="s">
        <v>19</v>
      </c>
      <c r="G2166" t="s">
        <v>2816</v>
      </c>
      <c r="H2166" t="s">
        <v>2817</v>
      </c>
      <c r="I2166" t="s">
        <v>98</v>
      </c>
      <c r="J2166" t="s">
        <v>23</v>
      </c>
      <c r="K2166" t="s">
        <v>502</v>
      </c>
      <c r="L2166" t="s">
        <v>329</v>
      </c>
      <c r="M2166">
        <v>37620</v>
      </c>
      <c r="N2166" t="s">
        <v>26</v>
      </c>
      <c r="O2166" t="s">
        <v>5103</v>
      </c>
      <c r="P2166" t="s">
        <v>42</v>
      </c>
      <c r="Q2166" t="s">
        <v>64</v>
      </c>
      <c r="R2166" t="s">
        <v>5104</v>
      </c>
      <c r="S2166">
        <v>67.56</v>
      </c>
    </row>
    <row r="2167" spans="1:19" x14ac:dyDescent="0.35">
      <c r="A2167">
        <v>2207</v>
      </c>
      <c r="B2167" t="s">
        <v>5105</v>
      </c>
      <c r="C2167" s="1">
        <v>42199</v>
      </c>
      <c r="D2167" s="1">
        <v>42205</v>
      </c>
      <c r="E2167" s="1" t="str">
        <f t="shared" si="33"/>
        <v>FAST</v>
      </c>
      <c r="F2167" t="s">
        <v>46</v>
      </c>
      <c r="G2167" t="s">
        <v>5106</v>
      </c>
      <c r="H2167" t="s">
        <v>5107</v>
      </c>
      <c r="I2167" t="s">
        <v>98</v>
      </c>
      <c r="J2167" t="s">
        <v>23</v>
      </c>
      <c r="K2167" t="s">
        <v>443</v>
      </c>
      <c r="L2167" t="s">
        <v>205</v>
      </c>
      <c r="M2167">
        <v>60505</v>
      </c>
      <c r="N2167" t="s">
        <v>101</v>
      </c>
      <c r="O2167" t="s">
        <v>1576</v>
      </c>
      <c r="P2167" t="s">
        <v>42</v>
      </c>
      <c r="Q2167" t="s">
        <v>71</v>
      </c>
      <c r="R2167" t="s">
        <v>1577</v>
      </c>
      <c r="S2167">
        <v>29.931999999999999</v>
      </c>
    </row>
    <row r="2168" spans="1:19" x14ac:dyDescent="0.35">
      <c r="A2168">
        <v>2208</v>
      </c>
      <c r="B2168" t="s">
        <v>5105</v>
      </c>
      <c r="C2168" s="1">
        <v>42199</v>
      </c>
      <c r="D2168" s="1">
        <v>42205</v>
      </c>
      <c r="E2168" s="1" t="str">
        <f t="shared" si="33"/>
        <v>FAST</v>
      </c>
      <c r="F2168" t="s">
        <v>46</v>
      </c>
      <c r="G2168" t="s">
        <v>5106</v>
      </c>
      <c r="H2168" t="s">
        <v>5107</v>
      </c>
      <c r="I2168" t="s">
        <v>98</v>
      </c>
      <c r="J2168" t="s">
        <v>23</v>
      </c>
      <c r="K2168" t="s">
        <v>443</v>
      </c>
      <c r="L2168" t="s">
        <v>205</v>
      </c>
      <c r="M2168">
        <v>60505</v>
      </c>
      <c r="N2168" t="s">
        <v>101</v>
      </c>
      <c r="O2168" t="s">
        <v>755</v>
      </c>
      <c r="P2168" t="s">
        <v>67</v>
      </c>
      <c r="Q2168" t="s">
        <v>68</v>
      </c>
      <c r="R2168" t="s">
        <v>756</v>
      </c>
      <c r="S2168">
        <v>38.271999999999998</v>
      </c>
    </row>
    <row r="2169" spans="1:19" x14ac:dyDescent="0.35">
      <c r="A2169">
        <v>2209</v>
      </c>
      <c r="B2169" t="s">
        <v>5108</v>
      </c>
      <c r="C2169" s="1">
        <v>42604</v>
      </c>
      <c r="D2169" s="1">
        <v>42608</v>
      </c>
      <c r="E2169" s="1" t="str">
        <f t="shared" si="33"/>
        <v>FAST</v>
      </c>
      <c r="F2169" t="s">
        <v>46</v>
      </c>
      <c r="G2169" t="s">
        <v>407</v>
      </c>
      <c r="H2169" t="s">
        <v>408</v>
      </c>
      <c r="I2169" t="s">
        <v>98</v>
      </c>
      <c r="J2169" t="s">
        <v>23</v>
      </c>
      <c r="K2169" t="s">
        <v>260</v>
      </c>
      <c r="L2169" t="s">
        <v>261</v>
      </c>
      <c r="M2169">
        <v>10009</v>
      </c>
      <c r="N2169" t="s">
        <v>144</v>
      </c>
      <c r="O2169" t="s">
        <v>459</v>
      </c>
      <c r="P2169" t="s">
        <v>42</v>
      </c>
      <c r="Q2169" t="s">
        <v>64</v>
      </c>
      <c r="R2169" t="s">
        <v>460</v>
      </c>
      <c r="S2169">
        <v>16.52</v>
      </c>
    </row>
    <row r="2170" spans="1:19" x14ac:dyDescent="0.35">
      <c r="A2170">
        <v>2210</v>
      </c>
      <c r="B2170" t="s">
        <v>5109</v>
      </c>
      <c r="C2170" s="1">
        <v>42322</v>
      </c>
      <c r="D2170" s="1">
        <v>42324</v>
      </c>
      <c r="E2170" s="1" t="str">
        <f t="shared" si="33"/>
        <v>SLOW</v>
      </c>
      <c r="F2170" t="s">
        <v>19</v>
      </c>
      <c r="G2170" t="s">
        <v>5110</v>
      </c>
      <c r="H2170" t="s">
        <v>5111</v>
      </c>
      <c r="I2170" t="s">
        <v>22</v>
      </c>
      <c r="J2170" t="s">
        <v>23</v>
      </c>
      <c r="K2170" t="s">
        <v>735</v>
      </c>
      <c r="L2170" t="s">
        <v>736</v>
      </c>
      <c r="M2170">
        <v>6824</v>
      </c>
      <c r="N2170" t="s">
        <v>144</v>
      </c>
      <c r="O2170" t="s">
        <v>5112</v>
      </c>
      <c r="P2170" t="s">
        <v>67</v>
      </c>
      <c r="Q2170" t="s">
        <v>68</v>
      </c>
      <c r="R2170" t="s">
        <v>5113</v>
      </c>
      <c r="S2170">
        <v>832.93</v>
      </c>
    </row>
    <row r="2171" spans="1:19" x14ac:dyDescent="0.35">
      <c r="A2171">
        <v>2211</v>
      </c>
      <c r="B2171" t="s">
        <v>5109</v>
      </c>
      <c r="C2171" s="1">
        <v>42322</v>
      </c>
      <c r="D2171" s="1">
        <v>42324</v>
      </c>
      <c r="E2171" s="1" t="str">
        <f t="shared" si="33"/>
        <v>SLOW</v>
      </c>
      <c r="F2171" t="s">
        <v>19</v>
      </c>
      <c r="G2171" t="s">
        <v>5110</v>
      </c>
      <c r="H2171" t="s">
        <v>5111</v>
      </c>
      <c r="I2171" t="s">
        <v>22</v>
      </c>
      <c r="J2171" t="s">
        <v>23</v>
      </c>
      <c r="K2171" t="s">
        <v>735</v>
      </c>
      <c r="L2171" t="s">
        <v>736</v>
      </c>
      <c r="M2171">
        <v>6824</v>
      </c>
      <c r="N2171" t="s">
        <v>144</v>
      </c>
      <c r="O2171" t="s">
        <v>959</v>
      </c>
      <c r="P2171" t="s">
        <v>42</v>
      </c>
      <c r="Q2171" t="s">
        <v>71</v>
      </c>
      <c r="R2171" t="s">
        <v>960</v>
      </c>
      <c r="S2171">
        <v>43.8</v>
      </c>
    </row>
    <row r="2172" spans="1:19" x14ac:dyDescent="0.35">
      <c r="A2172">
        <v>2212</v>
      </c>
      <c r="B2172" t="s">
        <v>5114</v>
      </c>
      <c r="C2172" s="1">
        <v>43066</v>
      </c>
      <c r="D2172" s="1">
        <v>43069</v>
      </c>
      <c r="E2172" s="1" t="str">
        <f t="shared" si="33"/>
        <v>MODERATE</v>
      </c>
      <c r="F2172" t="s">
        <v>184</v>
      </c>
      <c r="G2172" t="s">
        <v>1256</v>
      </c>
      <c r="H2172" t="s">
        <v>1257</v>
      </c>
      <c r="I2172" t="s">
        <v>37</v>
      </c>
      <c r="J2172" t="s">
        <v>23</v>
      </c>
      <c r="K2172" t="s">
        <v>5115</v>
      </c>
      <c r="L2172" t="s">
        <v>232</v>
      </c>
      <c r="M2172">
        <v>48146</v>
      </c>
      <c r="N2172" t="s">
        <v>101</v>
      </c>
      <c r="O2172" t="s">
        <v>5116</v>
      </c>
      <c r="P2172" t="s">
        <v>42</v>
      </c>
      <c r="Q2172" t="s">
        <v>74</v>
      </c>
      <c r="R2172" t="s">
        <v>5117</v>
      </c>
      <c r="S2172">
        <v>167.292</v>
      </c>
    </row>
    <row r="2173" spans="1:19" x14ac:dyDescent="0.35">
      <c r="A2173">
        <v>2213</v>
      </c>
      <c r="B2173" t="s">
        <v>5118</v>
      </c>
      <c r="C2173" s="1">
        <v>43425</v>
      </c>
      <c r="D2173" s="1">
        <v>43429</v>
      </c>
      <c r="E2173" s="1" t="str">
        <f t="shared" si="33"/>
        <v>FAST</v>
      </c>
      <c r="F2173" t="s">
        <v>46</v>
      </c>
      <c r="G2173" t="s">
        <v>2865</v>
      </c>
      <c r="H2173" t="s">
        <v>2866</v>
      </c>
      <c r="I2173" t="s">
        <v>22</v>
      </c>
      <c r="J2173" t="s">
        <v>23</v>
      </c>
      <c r="K2173" t="s">
        <v>260</v>
      </c>
      <c r="L2173" t="s">
        <v>261</v>
      </c>
      <c r="M2173">
        <v>10035</v>
      </c>
      <c r="N2173" t="s">
        <v>144</v>
      </c>
      <c r="O2173" t="s">
        <v>3474</v>
      </c>
      <c r="P2173" t="s">
        <v>28</v>
      </c>
      <c r="Q2173" t="s">
        <v>61</v>
      </c>
      <c r="R2173" t="s">
        <v>3475</v>
      </c>
      <c r="S2173">
        <v>27.42</v>
      </c>
    </row>
    <row r="2174" spans="1:19" x14ac:dyDescent="0.35">
      <c r="A2174">
        <v>2214</v>
      </c>
      <c r="B2174" t="s">
        <v>5119</v>
      </c>
      <c r="C2174" s="1">
        <v>43374</v>
      </c>
      <c r="D2174" s="1">
        <v>43375</v>
      </c>
      <c r="E2174" s="1" t="str">
        <f t="shared" si="33"/>
        <v>MODERATE</v>
      </c>
      <c r="F2174" t="s">
        <v>184</v>
      </c>
      <c r="G2174" t="s">
        <v>4291</v>
      </c>
      <c r="H2174" t="s">
        <v>4292</v>
      </c>
      <c r="I2174" t="s">
        <v>22</v>
      </c>
      <c r="J2174" t="s">
        <v>23</v>
      </c>
      <c r="K2174" t="s">
        <v>618</v>
      </c>
      <c r="L2174" t="s">
        <v>39</v>
      </c>
      <c r="M2174">
        <v>95123</v>
      </c>
      <c r="N2174" t="s">
        <v>40</v>
      </c>
      <c r="O2174" t="s">
        <v>2908</v>
      </c>
      <c r="P2174" t="s">
        <v>42</v>
      </c>
      <c r="Q2174" t="s">
        <v>71</v>
      </c>
      <c r="R2174" t="s">
        <v>2909</v>
      </c>
      <c r="S2174">
        <v>1.44</v>
      </c>
    </row>
    <row r="2175" spans="1:19" x14ac:dyDescent="0.35">
      <c r="A2175">
        <v>2215</v>
      </c>
      <c r="B2175" t="s">
        <v>5119</v>
      </c>
      <c r="C2175" s="1">
        <v>43374</v>
      </c>
      <c r="D2175" s="1">
        <v>43375</v>
      </c>
      <c r="E2175" s="1" t="str">
        <f t="shared" si="33"/>
        <v>MODERATE</v>
      </c>
      <c r="F2175" t="s">
        <v>184</v>
      </c>
      <c r="G2175" t="s">
        <v>4291</v>
      </c>
      <c r="H2175" t="s">
        <v>4292</v>
      </c>
      <c r="I2175" t="s">
        <v>22</v>
      </c>
      <c r="J2175" t="s">
        <v>23</v>
      </c>
      <c r="K2175" t="s">
        <v>618</v>
      </c>
      <c r="L2175" t="s">
        <v>39</v>
      </c>
      <c r="M2175">
        <v>95123</v>
      </c>
      <c r="N2175" t="s">
        <v>40</v>
      </c>
      <c r="O2175" t="s">
        <v>1201</v>
      </c>
      <c r="P2175" t="s">
        <v>42</v>
      </c>
      <c r="Q2175" t="s">
        <v>71</v>
      </c>
      <c r="R2175" t="s">
        <v>1202</v>
      </c>
      <c r="S2175">
        <v>61.776000000000003</v>
      </c>
    </row>
    <row r="2176" spans="1:19" x14ac:dyDescent="0.35">
      <c r="A2176">
        <v>2216</v>
      </c>
      <c r="B2176" t="s">
        <v>5119</v>
      </c>
      <c r="C2176" s="1">
        <v>43374</v>
      </c>
      <c r="D2176" s="1">
        <v>43375</v>
      </c>
      <c r="E2176" s="1" t="str">
        <f t="shared" si="33"/>
        <v>MODERATE</v>
      </c>
      <c r="F2176" t="s">
        <v>184</v>
      </c>
      <c r="G2176" t="s">
        <v>4291</v>
      </c>
      <c r="H2176" t="s">
        <v>4292</v>
      </c>
      <c r="I2176" t="s">
        <v>22</v>
      </c>
      <c r="J2176" t="s">
        <v>23</v>
      </c>
      <c r="K2176" t="s">
        <v>618</v>
      </c>
      <c r="L2176" t="s">
        <v>39</v>
      </c>
      <c r="M2176">
        <v>95123</v>
      </c>
      <c r="N2176" t="s">
        <v>40</v>
      </c>
      <c r="O2176" t="s">
        <v>2484</v>
      </c>
      <c r="P2176" t="s">
        <v>42</v>
      </c>
      <c r="Q2176" t="s">
        <v>74</v>
      </c>
      <c r="R2176" t="s">
        <v>3302</v>
      </c>
      <c r="S2176">
        <v>241.96</v>
      </c>
    </row>
    <row r="2177" spans="1:19" x14ac:dyDescent="0.35">
      <c r="A2177">
        <v>2217</v>
      </c>
      <c r="B2177" t="s">
        <v>5119</v>
      </c>
      <c r="C2177" s="1">
        <v>43374</v>
      </c>
      <c r="D2177" s="1">
        <v>43375</v>
      </c>
      <c r="E2177" s="1" t="str">
        <f t="shared" si="33"/>
        <v>MODERATE</v>
      </c>
      <c r="F2177" t="s">
        <v>184</v>
      </c>
      <c r="G2177" t="s">
        <v>4291</v>
      </c>
      <c r="H2177" t="s">
        <v>4292</v>
      </c>
      <c r="I2177" t="s">
        <v>22</v>
      </c>
      <c r="J2177" t="s">
        <v>23</v>
      </c>
      <c r="K2177" t="s">
        <v>618</v>
      </c>
      <c r="L2177" t="s">
        <v>39</v>
      </c>
      <c r="M2177">
        <v>95123</v>
      </c>
      <c r="N2177" t="s">
        <v>40</v>
      </c>
      <c r="O2177" t="s">
        <v>5120</v>
      </c>
      <c r="P2177" t="s">
        <v>28</v>
      </c>
      <c r="Q2177" t="s">
        <v>32</v>
      </c>
      <c r="R2177" t="s">
        <v>5121</v>
      </c>
      <c r="S2177">
        <v>108.608</v>
      </c>
    </row>
    <row r="2178" spans="1:19" x14ac:dyDescent="0.35">
      <c r="A2178">
        <v>2218</v>
      </c>
      <c r="B2178" t="s">
        <v>5122</v>
      </c>
      <c r="C2178" s="1">
        <v>42267</v>
      </c>
      <c r="D2178" s="1">
        <v>42272</v>
      </c>
      <c r="E2178" s="1" t="str">
        <f t="shared" si="33"/>
        <v>FAST</v>
      </c>
      <c r="F2178" t="s">
        <v>46</v>
      </c>
      <c r="G2178" t="s">
        <v>5123</v>
      </c>
      <c r="H2178" t="s">
        <v>5124</v>
      </c>
      <c r="I2178" t="s">
        <v>37</v>
      </c>
      <c r="J2178" t="s">
        <v>23</v>
      </c>
      <c r="K2178" t="s">
        <v>1505</v>
      </c>
      <c r="L2178" t="s">
        <v>50</v>
      </c>
      <c r="M2178">
        <v>32216</v>
      </c>
      <c r="N2178" t="s">
        <v>26</v>
      </c>
      <c r="O2178" t="s">
        <v>5125</v>
      </c>
      <c r="P2178" t="s">
        <v>42</v>
      </c>
      <c r="Q2178" t="s">
        <v>64</v>
      </c>
      <c r="R2178" t="s">
        <v>5126</v>
      </c>
      <c r="S2178">
        <v>2.8159999999999998</v>
      </c>
    </row>
    <row r="2179" spans="1:19" x14ac:dyDescent="0.35">
      <c r="A2179">
        <v>2219</v>
      </c>
      <c r="B2179" t="s">
        <v>5127</v>
      </c>
      <c r="C2179" s="1">
        <v>43309</v>
      </c>
      <c r="D2179" s="1">
        <v>43313</v>
      </c>
      <c r="E2179" s="1" t="str">
        <f t="shared" ref="E2179:E2242" si="34">IF(F2179="STANDARD CLASS","FAST",IF(F2179="SECOND CLASS","SLOW","MODERATE"))</f>
        <v>FAST</v>
      </c>
      <c r="F2179" t="s">
        <v>46</v>
      </c>
      <c r="G2179" t="s">
        <v>5128</v>
      </c>
      <c r="H2179" t="s">
        <v>5129</v>
      </c>
      <c r="I2179" t="s">
        <v>37</v>
      </c>
      <c r="J2179" t="s">
        <v>23</v>
      </c>
      <c r="K2179" t="s">
        <v>123</v>
      </c>
      <c r="L2179" t="s">
        <v>39</v>
      </c>
      <c r="M2179">
        <v>94110</v>
      </c>
      <c r="N2179" t="s">
        <v>40</v>
      </c>
      <c r="O2179" t="s">
        <v>2885</v>
      </c>
      <c r="P2179" t="s">
        <v>42</v>
      </c>
      <c r="Q2179" t="s">
        <v>71</v>
      </c>
      <c r="R2179" t="s">
        <v>2886</v>
      </c>
      <c r="S2179">
        <v>9.984</v>
      </c>
    </row>
    <row r="2180" spans="1:19" x14ac:dyDescent="0.35">
      <c r="A2180">
        <v>2220</v>
      </c>
      <c r="B2180" t="s">
        <v>5127</v>
      </c>
      <c r="C2180" s="1">
        <v>43309</v>
      </c>
      <c r="D2180" s="1">
        <v>43313</v>
      </c>
      <c r="E2180" s="1" t="str">
        <f t="shared" si="34"/>
        <v>FAST</v>
      </c>
      <c r="F2180" t="s">
        <v>46</v>
      </c>
      <c r="G2180" t="s">
        <v>5128</v>
      </c>
      <c r="H2180" t="s">
        <v>5129</v>
      </c>
      <c r="I2180" t="s">
        <v>37</v>
      </c>
      <c r="J2180" t="s">
        <v>23</v>
      </c>
      <c r="K2180" t="s">
        <v>123</v>
      </c>
      <c r="L2180" t="s">
        <v>39</v>
      </c>
      <c r="M2180">
        <v>94110</v>
      </c>
      <c r="N2180" t="s">
        <v>40</v>
      </c>
      <c r="O2180" t="s">
        <v>1393</v>
      </c>
      <c r="P2180" t="s">
        <v>42</v>
      </c>
      <c r="Q2180" t="s">
        <v>55</v>
      </c>
      <c r="R2180" t="s">
        <v>1394</v>
      </c>
      <c r="S2180">
        <v>14.98</v>
      </c>
    </row>
    <row r="2181" spans="1:19" x14ac:dyDescent="0.35">
      <c r="A2181">
        <v>2221</v>
      </c>
      <c r="B2181" t="s">
        <v>5127</v>
      </c>
      <c r="C2181" s="1">
        <v>43309</v>
      </c>
      <c r="D2181" s="1">
        <v>43313</v>
      </c>
      <c r="E2181" s="1" t="str">
        <f t="shared" si="34"/>
        <v>FAST</v>
      </c>
      <c r="F2181" t="s">
        <v>46</v>
      </c>
      <c r="G2181" t="s">
        <v>5128</v>
      </c>
      <c r="H2181" t="s">
        <v>5129</v>
      </c>
      <c r="I2181" t="s">
        <v>37</v>
      </c>
      <c r="J2181" t="s">
        <v>23</v>
      </c>
      <c r="K2181" t="s">
        <v>123</v>
      </c>
      <c r="L2181" t="s">
        <v>39</v>
      </c>
      <c r="M2181">
        <v>94110</v>
      </c>
      <c r="N2181" t="s">
        <v>40</v>
      </c>
      <c r="O2181" t="s">
        <v>4423</v>
      </c>
      <c r="P2181" t="s">
        <v>67</v>
      </c>
      <c r="Q2181" t="s">
        <v>68</v>
      </c>
      <c r="R2181" t="s">
        <v>4424</v>
      </c>
      <c r="S2181">
        <v>1145.5999999999999</v>
      </c>
    </row>
    <row r="2182" spans="1:19" x14ac:dyDescent="0.35">
      <c r="A2182">
        <v>2222</v>
      </c>
      <c r="B2182" t="s">
        <v>5130</v>
      </c>
      <c r="C2182" s="1">
        <v>42710</v>
      </c>
      <c r="D2182" s="1">
        <v>42710</v>
      </c>
      <c r="E2182" s="1" t="str">
        <f t="shared" si="34"/>
        <v>MODERATE</v>
      </c>
      <c r="F2182" t="s">
        <v>1276</v>
      </c>
      <c r="G2182" t="s">
        <v>5131</v>
      </c>
      <c r="H2182" t="s">
        <v>5132</v>
      </c>
      <c r="I2182" t="s">
        <v>22</v>
      </c>
      <c r="J2182" t="s">
        <v>23</v>
      </c>
      <c r="K2182" t="s">
        <v>5133</v>
      </c>
      <c r="L2182" t="s">
        <v>485</v>
      </c>
      <c r="M2182">
        <v>43302</v>
      </c>
      <c r="N2182" t="s">
        <v>144</v>
      </c>
      <c r="O2182" t="s">
        <v>4970</v>
      </c>
      <c r="P2182" t="s">
        <v>67</v>
      </c>
      <c r="Q2182" t="s">
        <v>68</v>
      </c>
      <c r="R2182" t="s">
        <v>4971</v>
      </c>
      <c r="S2182">
        <v>485.94</v>
      </c>
    </row>
    <row r="2183" spans="1:19" x14ac:dyDescent="0.35">
      <c r="A2183">
        <v>2223</v>
      </c>
      <c r="B2183" t="s">
        <v>5130</v>
      </c>
      <c r="C2183" s="1">
        <v>42710</v>
      </c>
      <c r="D2183" s="1">
        <v>42710</v>
      </c>
      <c r="E2183" s="1" t="str">
        <f t="shared" si="34"/>
        <v>MODERATE</v>
      </c>
      <c r="F2183" t="s">
        <v>1276</v>
      </c>
      <c r="G2183" t="s">
        <v>5131</v>
      </c>
      <c r="H2183" t="s">
        <v>5132</v>
      </c>
      <c r="I2183" t="s">
        <v>22</v>
      </c>
      <c r="J2183" t="s">
        <v>23</v>
      </c>
      <c r="K2183" t="s">
        <v>5133</v>
      </c>
      <c r="L2183" t="s">
        <v>485</v>
      </c>
      <c r="M2183">
        <v>43302</v>
      </c>
      <c r="N2183" t="s">
        <v>144</v>
      </c>
      <c r="O2183" t="s">
        <v>1967</v>
      </c>
      <c r="P2183" t="s">
        <v>42</v>
      </c>
      <c r="Q2183" t="s">
        <v>64</v>
      </c>
      <c r="R2183" t="s">
        <v>1968</v>
      </c>
      <c r="S2183">
        <v>37.375999999999998</v>
      </c>
    </row>
    <row r="2184" spans="1:19" x14ac:dyDescent="0.35">
      <c r="A2184">
        <v>2224</v>
      </c>
      <c r="B2184" t="s">
        <v>5130</v>
      </c>
      <c r="C2184" s="1">
        <v>42710</v>
      </c>
      <c r="D2184" s="1">
        <v>42710</v>
      </c>
      <c r="E2184" s="1" t="str">
        <f t="shared" si="34"/>
        <v>MODERATE</v>
      </c>
      <c r="F2184" t="s">
        <v>1276</v>
      </c>
      <c r="G2184" t="s">
        <v>5131</v>
      </c>
      <c r="H2184" t="s">
        <v>5132</v>
      </c>
      <c r="I2184" t="s">
        <v>22</v>
      </c>
      <c r="J2184" t="s">
        <v>23</v>
      </c>
      <c r="K2184" t="s">
        <v>5133</v>
      </c>
      <c r="L2184" t="s">
        <v>485</v>
      </c>
      <c r="M2184">
        <v>43302</v>
      </c>
      <c r="N2184" t="s">
        <v>144</v>
      </c>
      <c r="O2184" t="s">
        <v>877</v>
      </c>
      <c r="P2184" t="s">
        <v>28</v>
      </c>
      <c r="Q2184" t="s">
        <v>32</v>
      </c>
      <c r="R2184" t="s">
        <v>878</v>
      </c>
      <c r="S2184">
        <v>70.686000000000007</v>
      </c>
    </row>
    <row r="2185" spans="1:19" x14ac:dyDescent="0.35">
      <c r="A2185">
        <v>2225</v>
      </c>
      <c r="B2185" t="s">
        <v>5134</v>
      </c>
      <c r="C2185" s="1">
        <v>43312</v>
      </c>
      <c r="D2185" s="1">
        <v>43317</v>
      </c>
      <c r="E2185" s="1" t="str">
        <f t="shared" si="34"/>
        <v>FAST</v>
      </c>
      <c r="F2185" t="s">
        <v>46</v>
      </c>
      <c r="G2185" t="s">
        <v>882</v>
      </c>
      <c r="H2185" t="s">
        <v>883</v>
      </c>
      <c r="I2185" t="s">
        <v>37</v>
      </c>
      <c r="J2185" t="s">
        <v>23</v>
      </c>
      <c r="K2185" t="s">
        <v>142</v>
      </c>
      <c r="L2185" t="s">
        <v>143</v>
      </c>
      <c r="M2185">
        <v>19134</v>
      </c>
      <c r="N2185" t="s">
        <v>144</v>
      </c>
      <c r="O2185" t="s">
        <v>5135</v>
      </c>
      <c r="P2185" t="s">
        <v>42</v>
      </c>
      <c r="Q2185" t="s">
        <v>86</v>
      </c>
      <c r="R2185" t="s">
        <v>5136</v>
      </c>
      <c r="S2185">
        <v>54.816000000000003</v>
      </c>
    </row>
    <row r="2186" spans="1:19" x14ac:dyDescent="0.35">
      <c r="A2186">
        <v>2226</v>
      </c>
      <c r="B2186" t="s">
        <v>5137</v>
      </c>
      <c r="C2186" s="1">
        <v>42813</v>
      </c>
      <c r="D2186" s="1">
        <v>42815</v>
      </c>
      <c r="E2186" s="1" t="str">
        <f t="shared" si="34"/>
        <v>SLOW</v>
      </c>
      <c r="F2186" t="s">
        <v>19</v>
      </c>
      <c r="G2186" t="s">
        <v>5138</v>
      </c>
      <c r="H2186" t="s">
        <v>5139</v>
      </c>
      <c r="I2186" t="s">
        <v>22</v>
      </c>
      <c r="J2186" t="s">
        <v>23</v>
      </c>
      <c r="K2186" t="s">
        <v>5140</v>
      </c>
      <c r="L2186" t="s">
        <v>444</v>
      </c>
      <c r="M2186">
        <v>80122</v>
      </c>
      <c r="N2186" t="s">
        <v>40</v>
      </c>
      <c r="O2186" t="s">
        <v>5141</v>
      </c>
      <c r="P2186" t="s">
        <v>28</v>
      </c>
      <c r="Q2186" t="s">
        <v>29</v>
      </c>
      <c r="R2186" t="s">
        <v>5142</v>
      </c>
      <c r="S2186">
        <v>72.293999999999997</v>
      </c>
    </row>
    <row r="2187" spans="1:19" x14ac:dyDescent="0.35">
      <c r="A2187">
        <v>2227</v>
      </c>
      <c r="B2187" t="s">
        <v>5143</v>
      </c>
      <c r="C2187" s="1">
        <v>43310</v>
      </c>
      <c r="D2187" s="1">
        <v>43315</v>
      </c>
      <c r="E2187" s="1" t="str">
        <f t="shared" si="34"/>
        <v>FAST</v>
      </c>
      <c r="F2187" t="s">
        <v>46</v>
      </c>
      <c r="G2187" t="s">
        <v>1332</v>
      </c>
      <c r="H2187" t="s">
        <v>1333</v>
      </c>
      <c r="I2187" t="s">
        <v>37</v>
      </c>
      <c r="J2187" t="s">
        <v>23</v>
      </c>
      <c r="K2187" t="s">
        <v>1225</v>
      </c>
      <c r="L2187" t="s">
        <v>100</v>
      </c>
      <c r="M2187">
        <v>78745</v>
      </c>
      <c r="N2187" t="s">
        <v>101</v>
      </c>
      <c r="O2187" t="s">
        <v>3113</v>
      </c>
      <c r="P2187" t="s">
        <v>42</v>
      </c>
      <c r="Q2187" t="s">
        <v>263</v>
      </c>
      <c r="R2187" t="s">
        <v>3114</v>
      </c>
      <c r="S2187">
        <v>2.8959999999999999</v>
      </c>
    </row>
    <row r="2188" spans="1:19" x14ac:dyDescent="0.35">
      <c r="A2188">
        <v>2228</v>
      </c>
      <c r="B2188" t="s">
        <v>5143</v>
      </c>
      <c r="C2188" s="1">
        <v>43310</v>
      </c>
      <c r="D2188" s="1">
        <v>43315</v>
      </c>
      <c r="E2188" s="1" t="str">
        <f t="shared" si="34"/>
        <v>FAST</v>
      </c>
      <c r="F2188" t="s">
        <v>46</v>
      </c>
      <c r="G2188" t="s">
        <v>1332</v>
      </c>
      <c r="H2188" t="s">
        <v>1333</v>
      </c>
      <c r="I2188" t="s">
        <v>37</v>
      </c>
      <c r="J2188" t="s">
        <v>23</v>
      </c>
      <c r="K2188" t="s">
        <v>1225</v>
      </c>
      <c r="L2188" t="s">
        <v>100</v>
      </c>
      <c r="M2188">
        <v>78745</v>
      </c>
      <c r="N2188" t="s">
        <v>101</v>
      </c>
      <c r="O2188" t="s">
        <v>1900</v>
      </c>
      <c r="P2188" t="s">
        <v>67</v>
      </c>
      <c r="Q2188" t="s">
        <v>68</v>
      </c>
      <c r="R2188" t="s">
        <v>1901</v>
      </c>
      <c r="S2188">
        <v>124.792</v>
      </c>
    </row>
    <row r="2189" spans="1:19" x14ac:dyDescent="0.35">
      <c r="A2189">
        <v>2229</v>
      </c>
      <c r="B2189" t="s">
        <v>5144</v>
      </c>
      <c r="C2189" s="1">
        <v>43009</v>
      </c>
      <c r="D2189" s="1">
        <v>43013</v>
      </c>
      <c r="E2189" s="1" t="str">
        <f t="shared" si="34"/>
        <v>FAST</v>
      </c>
      <c r="F2189" t="s">
        <v>46</v>
      </c>
      <c r="G2189" t="s">
        <v>3434</v>
      </c>
      <c r="H2189" t="s">
        <v>3435</v>
      </c>
      <c r="I2189" t="s">
        <v>22</v>
      </c>
      <c r="J2189" t="s">
        <v>23</v>
      </c>
      <c r="K2189" t="s">
        <v>260</v>
      </c>
      <c r="L2189" t="s">
        <v>261</v>
      </c>
      <c r="M2189">
        <v>10024</v>
      </c>
      <c r="N2189" t="s">
        <v>144</v>
      </c>
      <c r="O2189" t="s">
        <v>5022</v>
      </c>
      <c r="P2189" t="s">
        <v>28</v>
      </c>
      <c r="Q2189" t="s">
        <v>52</v>
      </c>
      <c r="R2189" t="s">
        <v>5023</v>
      </c>
      <c r="S2189">
        <v>330.58800000000002</v>
      </c>
    </row>
    <row r="2190" spans="1:19" x14ac:dyDescent="0.35">
      <c r="A2190">
        <v>2230</v>
      </c>
      <c r="B2190" t="s">
        <v>5145</v>
      </c>
      <c r="C2190" s="1">
        <v>42094</v>
      </c>
      <c r="D2190" s="1">
        <v>42099</v>
      </c>
      <c r="E2190" s="1" t="str">
        <f t="shared" si="34"/>
        <v>FAST</v>
      </c>
      <c r="F2190" t="s">
        <v>46</v>
      </c>
      <c r="G2190" t="s">
        <v>3300</v>
      </c>
      <c r="H2190" t="s">
        <v>3301</v>
      </c>
      <c r="I2190" t="s">
        <v>22</v>
      </c>
      <c r="J2190" t="s">
        <v>23</v>
      </c>
      <c r="K2190" t="s">
        <v>123</v>
      </c>
      <c r="L2190" t="s">
        <v>39</v>
      </c>
      <c r="M2190">
        <v>94122</v>
      </c>
      <c r="N2190" t="s">
        <v>40</v>
      </c>
      <c r="O2190" t="s">
        <v>4682</v>
      </c>
      <c r="P2190" t="s">
        <v>42</v>
      </c>
      <c r="Q2190" t="s">
        <v>71</v>
      </c>
      <c r="R2190" t="s">
        <v>4683</v>
      </c>
      <c r="S2190">
        <v>673.56799999999998</v>
      </c>
    </row>
    <row r="2191" spans="1:19" x14ac:dyDescent="0.35">
      <c r="A2191">
        <v>2231</v>
      </c>
      <c r="B2191" t="s">
        <v>5145</v>
      </c>
      <c r="C2191" s="1">
        <v>42094</v>
      </c>
      <c r="D2191" s="1">
        <v>42099</v>
      </c>
      <c r="E2191" s="1" t="str">
        <f t="shared" si="34"/>
        <v>FAST</v>
      </c>
      <c r="F2191" t="s">
        <v>46</v>
      </c>
      <c r="G2191" t="s">
        <v>3300</v>
      </c>
      <c r="H2191" t="s">
        <v>3301</v>
      </c>
      <c r="I2191" t="s">
        <v>22</v>
      </c>
      <c r="J2191" t="s">
        <v>23</v>
      </c>
      <c r="K2191" t="s">
        <v>123</v>
      </c>
      <c r="L2191" t="s">
        <v>39</v>
      </c>
      <c r="M2191">
        <v>94122</v>
      </c>
      <c r="N2191" t="s">
        <v>40</v>
      </c>
      <c r="O2191" t="s">
        <v>5146</v>
      </c>
      <c r="P2191" t="s">
        <v>42</v>
      </c>
      <c r="Q2191" t="s">
        <v>74</v>
      </c>
      <c r="R2191" t="s">
        <v>5147</v>
      </c>
      <c r="S2191">
        <v>52.98</v>
      </c>
    </row>
    <row r="2192" spans="1:19" x14ac:dyDescent="0.35">
      <c r="A2192">
        <v>2232</v>
      </c>
      <c r="B2192" t="s">
        <v>5148</v>
      </c>
      <c r="C2192" s="1">
        <v>43277</v>
      </c>
      <c r="D2192" s="1">
        <v>43282</v>
      </c>
      <c r="E2192" s="1" t="str">
        <f t="shared" si="34"/>
        <v>FAST</v>
      </c>
      <c r="F2192" t="s">
        <v>46</v>
      </c>
      <c r="G2192" t="s">
        <v>5149</v>
      </c>
      <c r="H2192" t="s">
        <v>5150</v>
      </c>
      <c r="I2192" t="s">
        <v>22</v>
      </c>
      <c r="J2192" t="s">
        <v>23</v>
      </c>
      <c r="K2192" t="s">
        <v>3257</v>
      </c>
      <c r="L2192" t="s">
        <v>248</v>
      </c>
      <c r="M2192">
        <v>46350</v>
      </c>
      <c r="N2192" t="s">
        <v>101</v>
      </c>
      <c r="O2192" t="s">
        <v>3080</v>
      </c>
      <c r="P2192" t="s">
        <v>28</v>
      </c>
      <c r="Q2192" t="s">
        <v>61</v>
      </c>
      <c r="R2192" t="s">
        <v>3081</v>
      </c>
      <c r="S2192">
        <v>526.45000000000005</v>
      </c>
    </row>
    <row r="2193" spans="1:19" x14ac:dyDescent="0.35">
      <c r="A2193">
        <v>2233</v>
      </c>
      <c r="B2193" t="s">
        <v>5151</v>
      </c>
      <c r="C2193" s="1">
        <v>43290</v>
      </c>
      <c r="D2193" s="1">
        <v>43295</v>
      </c>
      <c r="E2193" s="1" t="str">
        <f t="shared" si="34"/>
        <v>FAST</v>
      </c>
      <c r="F2193" t="s">
        <v>46</v>
      </c>
      <c r="G2193" t="s">
        <v>5060</v>
      </c>
      <c r="H2193" t="s">
        <v>5061</v>
      </c>
      <c r="I2193" t="s">
        <v>22</v>
      </c>
      <c r="J2193" t="s">
        <v>23</v>
      </c>
      <c r="K2193" t="s">
        <v>297</v>
      </c>
      <c r="L2193" t="s">
        <v>205</v>
      </c>
      <c r="M2193">
        <v>60610</v>
      </c>
      <c r="N2193" t="s">
        <v>101</v>
      </c>
      <c r="O2193" t="s">
        <v>5152</v>
      </c>
      <c r="P2193" t="s">
        <v>42</v>
      </c>
      <c r="Q2193" t="s">
        <v>55</v>
      </c>
      <c r="R2193" t="s">
        <v>5153</v>
      </c>
      <c r="S2193">
        <v>228.92</v>
      </c>
    </row>
    <row r="2194" spans="1:19" x14ac:dyDescent="0.35">
      <c r="A2194">
        <v>2234</v>
      </c>
      <c r="B2194" t="s">
        <v>5154</v>
      </c>
      <c r="C2194" s="1">
        <v>42718</v>
      </c>
      <c r="D2194" s="1">
        <v>42720</v>
      </c>
      <c r="E2194" s="1" t="str">
        <f t="shared" si="34"/>
        <v>SLOW</v>
      </c>
      <c r="F2194" t="s">
        <v>19</v>
      </c>
      <c r="G2194" t="s">
        <v>2190</v>
      </c>
      <c r="H2194" t="s">
        <v>2191</v>
      </c>
      <c r="I2194" t="s">
        <v>22</v>
      </c>
      <c r="J2194" t="s">
        <v>23</v>
      </c>
      <c r="K2194" t="s">
        <v>409</v>
      </c>
      <c r="L2194" t="s">
        <v>410</v>
      </c>
      <c r="M2194">
        <v>97206</v>
      </c>
      <c r="N2194" t="s">
        <v>40</v>
      </c>
      <c r="O2194" t="s">
        <v>5155</v>
      </c>
      <c r="P2194" t="s">
        <v>67</v>
      </c>
      <c r="Q2194" t="s">
        <v>68</v>
      </c>
      <c r="R2194" t="s">
        <v>5156</v>
      </c>
      <c r="S2194">
        <v>319.96800000000002</v>
      </c>
    </row>
    <row r="2195" spans="1:19" x14ac:dyDescent="0.35">
      <c r="A2195">
        <v>2235</v>
      </c>
      <c r="B2195" t="s">
        <v>5157</v>
      </c>
      <c r="C2195" s="1">
        <v>43439</v>
      </c>
      <c r="D2195" s="1">
        <v>43444</v>
      </c>
      <c r="E2195" s="1" t="str">
        <f t="shared" si="34"/>
        <v>FAST</v>
      </c>
      <c r="F2195" t="s">
        <v>46</v>
      </c>
      <c r="G2195" t="s">
        <v>3568</v>
      </c>
      <c r="H2195" t="s">
        <v>3569</v>
      </c>
      <c r="I2195" t="s">
        <v>37</v>
      </c>
      <c r="J2195" t="s">
        <v>23</v>
      </c>
      <c r="K2195" t="s">
        <v>2199</v>
      </c>
      <c r="L2195" t="s">
        <v>5158</v>
      </c>
      <c r="N2195" t="s">
        <v>144</v>
      </c>
      <c r="O2195" t="s">
        <v>3199</v>
      </c>
      <c r="P2195" t="s">
        <v>67</v>
      </c>
      <c r="Q2195" t="s">
        <v>157</v>
      </c>
      <c r="R2195" t="s">
        <v>3200</v>
      </c>
      <c r="S2195">
        <v>205.03</v>
      </c>
    </row>
    <row r="2196" spans="1:19" x14ac:dyDescent="0.35">
      <c r="A2196">
        <v>2236</v>
      </c>
      <c r="B2196" t="s">
        <v>5159</v>
      </c>
      <c r="C2196" s="1">
        <v>42628</v>
      </c>
      <c r="D2196" s="1">
        <v>42630</v>
      </c>
      <c r="E2196" s="1" t="str">
        <f t="shared" si="34"/>
        <v>SLOW</v>
      </c>
      <c r="F2196" t="s">
        <v>19</v>
      </c>
      <c r="G2196" t="s">
        <v>4866</v>
      </c>
      <c r="H2196" t="s">
        <v>4867</v>
      </c>
      <c r="I2196" t="s">
        <v>22</v>
      </c>
      <c r="J2196" t="s">
        <v>23</v>
      </c>
      <c r="K2196" t="s">
        <v>4335</v>
      </c>
      <c r="L2196" t="s">
        <v>248</v>
      </c>
      <c r="M2196">
        <v>46203</v>
      </c>
      <c r="N2196" t="s">
        <v>101</v>
      </c>
      <c r="O2196" t="s">
        <v>2400</v>
      </c>
      <c r="P2196" t="s">
        <v>42</v>
      </c>
      <c r="Q2196" t="s">
        <v>55</v>
      </c>
      <c r="R2196" t="s">
        <v>2401</v>
      </c>
      <c r="S2196">
        <v>190.86</v>
      </c>
    </row>
    <row r="2197" spans="1:19" x14ac:dyDescent="0.35">
      <c r="A2197">
        <v>2237</v>
      </c>
      <c r="B2197" t="s">
        <v>5159</v>
      </c>
      <c r="C2197" s="1">
        <v>42628</v>
      </c>
      <c r="D2197" s="1">
        <v>42630</v>
      </c>
      <c r="E2197" s="1" t="str">
        <f t="shared" si="34"/>
        <v>SLOW</v>
      </c>
      <c r="F2197" t="s">
        <v>19</v>
      </c>
      <c r="G2197" t="s">
        <v>4866</v>
      </c>
      <c r="H2197" t="s">
        <v>4867</v>
      </c>
      <c r="I2197" t="s">
        <v>22</v>
      </c>
      <c r="J2197" t="s">
        <v>23</v>
      </c>
      <c r="K2197" t="s">
        <v>4335</v>
      </c>
      <c r="L2197" t="s">
        <v>248</v>
      </c>
      <c r="M2197">
        <v>46203</v>
      </c>
      <c r="N2197" t="s">
        <v>101</v>
      </c>
      <c r="O2197" t="s">
        <v>5160</v>
      </c>
      <c r="P2197" t="s">
        <v>42</v>
      </c>
      <c r="Q2197" t="s">
        <v>64</v>
      </c>
      <c r="R2197" t="s">
        <v>5161</v>
      </c>
      <c r="S2197">
        <v>24.32</v>
      </c>
    </row>
    <row r="2198" spans="1:19" x14ac:dyDescent="0.35">
      <c r="A2198">
        <v>2238</v>
      </c>
      <c r="B2198" t="s">
        <v>5162</v>
      </c>
      <c r="C2198" s="1">
        <v>42931</v>
      </c>
      <c r="D2198" s="1">
        <v>42937</v>
      </c>
      <c r="E2198" s="1" t="str">
        <f t="shared" si="34"/>
        <v>FAST</v>
      </c>
      <c r="F2198" t="s">
        <v>46</v>
      </c>
      <c r="G2198" t="s">
        <v>4855</v>
      </c>
      <c r="H2198" t="s">
        <v>4856</v>
      </c>
      <c r="I2198" t="s">
        <v>98</v>
      </c>
      <c r="J2198" t="s">
        <v>23</v>
      </c>
      <c r="K2198" t="s">
        <v>3738</v>
      </c>
      <c r="L2198" t="s">
        <v>117</v>
      </c>
      <c r="M2198">
        <v>84604</v>
      </c>
      <c r="N2198" t="s">
        <v>40</v>
      </c>
      <c r="O2198" t="s">
        <v>5163</v>
      </c>
      <c r="P2198" t="s">
        <v>42</v>
      </c>
      <c r="Q2198" t="s">
        <v>566</v>
      </c>
      <c r="R2198" t="s">
        <v>5164</v>
      </c>
      <c r="S2198">
        <v>44.4</v>
      </c>
    </row>
    <row r="2199" spans="1:19" x14ac:dyDescent="0.35">
      <c r="A2199">
        <v>2239</v>
      </c>
      <c r="B2199" t="s">
        <v>5165</v>
      </c>
      <c r="C2199" s="1">
        <v>43210</v>
      </c>
      <c r="D2199" s="1">
        <v>43216</v>
      </c>
      <c r="E2199" s="1" t="str">
        <f t="shared" si="34"/>
        <v>FAST</v>
      </c>
      <c r="F2199" t="s">
        <v>46</v>
      </c>
      <c r="G2199" t="s">
        <v>2629</v>
      </c>
      <c r="H2199" t="s">
        <v>2630</v>
      </c>
      <c r="I2199" t="s">
        <v>98</v>
      </c>
      <c r="J2199" t="s">
        <v>23</v>
      </c>
      <c r="K2199" t="s">
        <v>297</v>
      </c>
      <c r="L2199" t="s">
        <v>205</v>
      </c>
      <c r="M2199">
        <v>60610</v>
      </c>
      <c r="N2199" t="s">
        <v>101</v>
      </c>
      <c r="O2199" t="s">
        <v>5166</v>
      </c>
      <c r="P2199" t="s">
        <v>28</v>
      </c>
      <c r="Q2199" t="s">
        <v>61</v>
      </c>
      <c r="R2199" t="s">
        <v>5167</v>
      </c>
      <c r="S2199">
        <v>44.4</v>
      </c>
    </row>
    <row r="2200" spans="1:19" x14ac:dyDescent="0.35">
      <c r="A2200">
        <v>2240</v>
      </c>
      <c r="B2200" t="s">
        <v>5168</v>
      </c>
      <c r="C2200" s="1">
        <v>43054</v>
      </c>
      <c r="D2200" s="1">
        <v>43056</v>
      </c>
      <c r="E2200" s="1" t="str">
        <f t="shared" si="34"/>
        <v>SLOW</v>
      </c>
      <c r="F2200" t="s">
        <v>19</v>
      </c>
      <c r="G2200" t="s">
        <v>5169</v>
      </c>
      <c r="H2200" t="s">
        <v>5170</v>
      </c>
      <c r="I2200" t="s">
        <v>22</v>
      </c>
      <c r="J2200" t="s">
        <v>23</v>
      </c>
      <c r="K2200" t="s">
        <v>38</v>
      </c>
      <c r="L2200" t="s">
        <v>39</v>
      </c>
      <c r="M2200">
        <v>90049</v>
      </c>
      <c r="N2200" t="s">
        <v>40</v>
      </c>
      <c r="O2200" t="s">
        <v>1722</v>
      </c>
      <c r="P2200" t="s">
        <v>42</v>
      </c>
      <c r="Q2200" t="s">
        <v>71</v>
      </c>
      <c r="R2200" t="s">
        <v>1723</v>
      </c>
      <c r="S2200">
        <v>1016.792</v>
      </c>
    </row>
    <row r="2201" spans="1:19" x14ac:dyDescent="0.35">
      <c r="A2201">
        <v>2241</v>
      </c>
      <c r="B2201" t="s">
        <v>5168</v>
      </c>
      <c r="C2201" s="1">
        <v>43054</v>
      </c>
      <c r="D2201" s="1">
        <v>43056</v>
      </c>
      <c r="E2201" s="1" t="str">
        <f t="shared" si="34"/>
        <v>SLOW</v>
      </c>
      <c r="F2201" t="s">
        <v>19</v>
      </c>
      <c r="G2201" t="s">
        <v>5169</v>
      </c>
      <c r="H2201" t="s">
        <v>5170</v>
      </c>
      <c r="I2201" t="s">
        <v>22</v>
      </c>
      <c r="J2201" t="s">
        <v>23</v>
      </c>
      <c r="K2201" t="s">
        <v>38</v>
      </c>
      <c r="L2201" t="s">
        <v>39</v>
      </c>
      <c r="M2201">
        <v>90049</v>
      </c>
      <c r="N2201" t="s">
        <v>40</v>
      </c>
      <c r="O2201" t="s">
        <v>5171</v>
      </c>
      <c r="P2201" t="s">
        <v>42</v>
      </c>
      <c r="Q2201" t="s">
        <v>71</v>
      </c>
      <c r="R2201" t="s">
        <v>5172</v>
      </c>
      <c r="S2201">
        <v>38.136000000000003</v>
      </c>
    </row>
    <row r="2202" spans="1:19" x14ac:dyDescent="0.35">
      <c r="A2202">
        <v>2242</v>
      </c>
      <c r="B2202" t="s">
        <v>5173</v>
      </c>
      <c r="C2202" s="1">
        <v>43065</v>
      </c>
      <c r="D2202" s="1">
        <v>43070</v>
      </c>
      <c r="E2202" s="1" t="str">
        <f t="shared" si="34"/>
        <v>FAST</v>
      </c>
      <c r="F2202" t="s">
        <v>46</v>
      </c>
      <c r="G2202" t="s">
        <v>4866</v>
      </c>
      <c r="H2202" t="s">
        <v>4867</v>
      </c>
      <c r="I2202" t="s">
        <v>22</v>
      </c>
      <c r="J2202" t="s">
        <v>23</v>
      </c>
      <c r="K2202" t="s">
        <v>142</v>
      </c>
      <c r="L2202" t="s">
        <v>143</v>
      </c>
      <c r="M2202">
        <v>19134</v>
      </c>
      <c r="N2202" t="s">
        <v>144</v>
      </c>
      <c r="O2202" t="s">
        <v>3467</v>
      </c>
      <c r="P2202" t="s">
        <v>67</v>
      </c>
      <c r="Q2202" t="s">
        <v>68</v>
      </c>
      <c r="R2202" t="s">
        <v>3468</v>
      </c>
      <c r="S2202">
        <v>494.98200000000003</v>
      </c>
    </row>
    <row r="2203" spans="1:19" x14ac:dyDescent="0.35">
      <c r="A2203">
        <v>2243</v>
      </c>
      <c r="B2203" t="s">
        <v>5174</v>
      </c>
      <c r="C2203" s="1">
        <v>43425</v>
      </c>
      <c r="D2203" s="1">
        <v>43429</v>
      </c>
      <c r="E2203" s="1" t="str">
        <f t="shared" si="34"/>
        <v>FAST</v>
      </c>
      <c r="F2203" t="s">
        <v>46</v>
      </c>
      <c r="G2203" t="s">
        <v>5175</v>
      </c>
      <c r="H2203" t="s">
        <v>5176</v>
      </c>
      <c r="I2203" t="s">
        <v>98</v>
      </c>
      <c r="J2203" t="s">
        <v>23</v>
      </c>
      <c r="K2203" t="s">
        <v>590</v>
      </c>
      <c r="L2203" t="s">
        <v>39</v>
      </c>
      <c r="M2203">
        <v>91104</v>
      </c>
      <c r="N2203" t="s">
        <v>40</v>
      </c>
      <c r="O2203" t="s">
        <v>387</v>
      </c>
      <c r="P2203" t="s">
        <v>42</v>
      </c>
      <c r="Q2203" t="s">
        <v>55</v>
      </c>
      <c r="R2203" t="s">
        <v>388</v>
      </c>
      <c r="S2203">
        <v>56.56</v>
      </c>
    </row>
    <row r="2204" spans="1:19" x14ac:dyDescent="0.35">
      <c r="A2204">
        <v>2244</v>
      </c>
      <c r="B2204" t="s">
        <v>5174</v>
      </c>
      <c r="C2204" s="1">
        <v>43425</v>
      </c>
      <c r="D2204" s="1">
        <v>43429</v>
      </c>
      <c r="E2204" s="1" t="str">
        <f t="shared" si="34"/>
        <v>FAST</v>
      </c>
      <c r="F2204" t="s">
        <v>46</v>
      </c>
      <c r="G2204" t="s">
        <v>5175</v>
      </c>
      <c r="H2204" t="s">
        <v>5176</v>
      </c>
      <c r="I2204" t="s">
        <v>98</v>
      </c>
      <c r="J2204" t="s">
        <v>23</v>
      </c>
      <c r="K2204" t="s">
        <v>590</v>
      </c>
      <c r="L2204" t="s">
        <v>39</v>
      </c>
      <c r="M2204">
        <v>91104</v>
      </c>
      <c r="N2204" t="s">
        <v>40</v>
      </c>
      <c r="O2204" t="s">
        <v>1719</v>
      </c>
      <c r="P2204" t="s">
        <v>42</v>
      </c>
      <c r="Q2204" t="s">
        <v>64</v>
      </c>
      <c r="R2204" t="s">
        <v>1720</v>
      </c>
      <c r="S2204">
        <v>5.56</v>
      </c>
    </row>
    <row r="2205" spans="1:19" x14ac:dyDescent="0.35">
      <c r="A2205">
        <v>2245</v>
      </c>
      <c r="B2205" t="s">
        <v>5174</v>
      </c>
      <c r="C2205" s="1">
        <v>43425</v>
      </c>
      <c r="D2205" s="1">
        <v>43429</v>
      </c>
      <c r="E2205" s="1" t="str">
        <f t="shared" si="34"/>
        <v>FAST</v>
      </c>
      <c r="F2205" t="s">
        <v>46</v>
      </c>
      <c r="G2205" t="s">
        <v>5175</v>
      </c>
      <c r="H2205" t="s">
        <v>5176</v>
      </c>
      <c r="I2205" t="s">
        <v>98</v>
      </c>
      <c r="J2205" t="s">
        <v>23</v>
      </c>
      <c r="K2205" t="s">
        <v>590</v>
      </c>
      <c r="L2205" t="s">
        <v>39</v>
      </c>
      <c r="M2205">
        <v>91104</v>
      </c>
      <c r="N2205" t="s">
        <v>40</v>
      </c>
      <c r="O2205" t="s">
        <v>1860</v>
      </c>
      <c r="P2205" t="s">
        <v>42</v>
      </c>
      <c r="Q2205" t="s">
        <v>263</v>
      </c>
      <c r="R2205" t="s">
        <v>1861</v>
      </c>
      <c r="S2205">
        <v>9.02</v>
      </c>
    </row>
    <row r="2206" spans="1:19" x14ac:dyDescent="0.35">
      <c r="A2206">
        <v>2246</v>
      </c>
      <c r="B2206" t="s">
        <v>5174</v>
      </c>
      <c r="C2206" s="1">
        <v>43425</v>
      </c>
      <c r="D2206" s="1">
        <v>43429</v>
      </c>
      <c r="E2206" s="1" t="str">
        <f t="shared" si="34"/>
        <v>FAST</v>
      </c>
      <c r="F2206" t="s">
        <v>46</v>
      </c>
      <c r="G2206" t="s">
        <v>5175</v>
      </c>
      <c r="H2206" t="s">
        <v>5176</v>
      </c>
      <c r="I2206" t="s">
        <v>98</v>
      </c>
      <c r="J2206" t="s">
        <v>23</v>
      </c>
      <c r="K2206" t="s">
        <v>590</v>
      </c>
      <c r="L2206" t="s">
        <v>39</v>
      </c>
      <c r="M2206">
        <v>91104</v>
      </c>
      <c r="N2206" t="s">
        <v>40</v>
      </c>
      <c r="O2206" t="s">
        <v>137</v>
      </c>
      <c r="P2206" t="s">
        <v>42</v>
      </c>
      <c r="Q2206" t="s">
        <v>74</v>
      </c>
      <c r="R2206" t="s">
        <v>138</v>
      </c>
      <c r="S2206">
        <v>8.6199999999999992</v>
      </c>
    </row>
    <row r="2207" spans="1:19" x14ac:dyDescent="0.35">
      <c r="A2207">
        <v>2247</v>
      </c>
      <c r="B2207" t="s">
        <v>5174</v>
      </c>
      <c r="C2207" s="1">
        <v>43425</v>
      </c>
      <c r="D2207" s="1">
        <v>43429</v>
      </c>
      <c r="E2207" s="1" t="str">
        <f t="shared" si="34"/>
        <v>FAST</v>
      </c>
      <c r="F2207" t="s">
        <v>46</v>
      </c>
      <c r="G2207" t="s">
        <v>5175</v>
      </c>
      <c r="H2207" t="s">
        <v>5176</v>
      </c>
      <c r="I2207" t="s">
        <v>98</v>
      </c>
      <c r="J2207" t="s">
        <v>23</v>
      </c>
      <c r="K2207" t="s">
        <v>590</v>
      </c>
      <c r="L2207" t="s">
        <v>39</v>
      </c>
      <c r="M2207">
        <v>91104</v>
      </c>
      <c r="N2207" t="s">
        <v>40</v>
      </c>
      <c r="O2207" t="s">
        <v>3467</v>
      </c>
      <c r="P2207" t="s">
        <v>67</v>
      </c>
      <c r="Q2207" t="s">
        <v>68</v>
      </c>
      <c r="R2207" t="s">
        <v>3468</v>
      </c>
      <c r="S2207">
        <v>659.976</v>
      </c>
    </row>
    <row r="2208" spans="1:19" x14ac:dyDescent="0.35">
      <c r="A2208">
        <v>2248</v>
      </c>
      <c r="B2208" t="s">
        <v>5177</v>
      </c>
      <c r="C2208" s="1">
        <v>42415</v>
      </c>
      <c r="D2208" s="1">
        <v>42418</v>
      </c>
      <c r="E2208" s="1" t="str">
        <f t="shared" si="34"/>
        <v>SLOW</v>
      </c>
      <c r="F2208" t="s">
        <v>19</v>
      </c>
      <c r="G2208" t="s">
        <v>5178</v>
      </c>
      <c r="H2208" t="s">
        <v>5179</v>
      </c>
      <c r="I2208" t="s">
        <v>22</v>
      </c>
      <c r="J2208" t="s">
        <v>23</v>
      </c>
      <c r="K2208" t="s">
        <v>38</v>
      </c>
      <c r="L2208" t="s">
        <v>39</v>
      </c>
      <c r="M2208">
        <v>90004</v>
      </c>
      <c r="N2208" t="s">
        <v>40</v>
      </c>
      <c r="O2208" t="s">
        <v>5180</v>
      </c>
      <c r="P2208" t="s">
        <v>42</v>
      </c>
      <c r="Q2208" t="s">
        <v>86</v>
      </c>
      <c r="R2208" t="s">
        <v>5181</v>
      </c>
      <c r="S2208">
        <v>13.36</v>
      </c>
    </row>
    <row r="2209" spans="1:19" x14ac:dyDescent="0.35">
      <c r="A2209">
        <v>2249</v>
      </c>
      <c r="B2209" t="s">
        <v>5177</v>
      </c>
      <c r="C2209" s="1">
        <v>42415</v>
      </c>
      <c r="D2209" s="1">
        <v>42418</v>
      </c>
      <c r="E2209" s="1" t="str">
        <f t="shared" si="34"/>
        <v>SLOW</v>
      </c>
      <c r="F2209" t="s">
        <v>19</v>
      </c>
      <c r="G2209" t="s">
        <v>5178</v>
      </c>
      <c r="H2209" t="s">
        <v>5179</v>
      </c>
      <c r="I2209" t="s">
        <v>22</v>
      </c>
      <c r="J2209" t="s">
        <v>23</v>
      </c>
      <c r="K2209" t="s">
        <v>38</v>
      </c>
      <c r="L2209" t="s">
        <v>39</v>
      </c>
      <c r="M2209">
        <v>90004</v>
      </c>
      <c r="N2209" t="s">
        <v>40</v>
      </c>
      <c r="O2209" t="s">
        <v>4452</v>
      </c>
      <c r="P2209" t="s">
        <v>42</v>
      </c>
      <c r="Q2209" t="s">
        <v>71</v>
      </c>
      <c r="R2209" t="s">
        <v>4453</v>
      </c>
      <c r="S2209">
        <v>41.72</v>
      </c>
    </row>
    <row r="2210" spans="1:19" x14ac:dyDescent="0.35">
      <c r="A2210">
        <v>2250</v>
      </c>
      <c r="B2210" t="s">
        <v>5177</v>
      </c>
      <c r="C2210" s="1">
        <v>42415</v>
      </c>
      <c r="D2210" s="1">
        <v>42418</v>
      </c>
      <c r="E2210" s="1" t="str">
        <f t="shared" si="34"/>
        <v>SLOW</v>
      </c>
      <c r="F2210" t="s">
        <v>19</v>
      </c>
      <c r="G2210" t="s">
        <v>5178</v>
      </c>
      <c r="H2210" t="s">
        <v>5179</v>
      </c>
      <c r="I2210" t="s">
        <v>22</v>
      </c>
      <c r="J2210" t="s">
        <v>23</v>
      </c>
      <c r="K2210" t="s">
        <v>38</v>
      </c>
      <c r="L2210" t="s">
        <v>39</v>
      </c>
      <c r="M2210">
        <v>90004</v>
      </c>
      <c r="N2210" t="s">
        <v>40</v>
      </c>
      <c r="O2210" t="s">
        <v>2365</v>
      </c>
      <c r="P2210" t="s">
        <v>42</v>
      </c>
      <c r="Q2210" t="s">
        <v>71</v>
      </c>
      <c r="R2210" t="s">
        <v>2366</v>
      </c>
      <c r="S2210">
        <v>11.52</v>
      </c>
    </row>
    <row r="2211" spans="1:19" x14ac:dyDescent="0.35">
      <c r="A2211">
        <v>2251</v>
      </c>
      <c r="B2211" t="s">
        <v>5177</v>
      </c>
      <c r="C2211" s="1">
        <v>42415</v>
      </c>
      <c r="D2211" s="1">
        <v>42418</v>
      </c>
      <c r="E2211" s="1" t="str">
        <f t="shared" si="34"/>
        <v>SLOW</v>
      </c>
      <c r="F2211" t="s">
        <v>19</v>
      </c>
      <c r="G2211" t="s">
        <v>5178</v>
      </c>
      <c r="H2211" t="s">
        <v>5179</v>
      </c>
      <c r="I2211" t="s">
        <v>22</v>
      </c>
      <c r="J2211" t="s">
        <v>23</v>
      </c>
      <c r="K2211" t="s">
        <v>38</v>
      </c>
      <c r="L2211" t="s">
        <v>39</v>
      </c>
      <c r="M2211">
        <v>90004</v>
      </c>
      <c r="N2211" t="s">
        <v>40</v>
      </c>
      <c r="O2211" t="s">
        <v>5182</v>
      </c>
      <c r="P2211" t="s">
        <v>42</v>
      </c>
      <c r="Q2211" t="s">
        <v>74</v>
      </c>
      <c r="R2211" t="s">
        <v>5183</v>
      </c>
      <c r="S2211">
        <v>541.44000000000005</v>
      </c>
    </row>
    <row r="2212" spans="1:19" x14ac:dyDescent="0.35">
      <c r="A2212">
        <v>2252</v>
      </c>
      <c r="B2212" t="s">
        <v>5177</v>
      </c>
      <c r="C2212" s="1">
        <v>42415</v>
      </c>
      <c r="D2212" s="1">
        <v>42418</v>
      </c>
      <c r="E2212" s="1" t="str">
        <f t="shared" si="34"/>
        <v>SLOW</v>
      </c>
      <c r="F2212" t="s">
        <v>19</v>
      </c>
      <c r="G2212" t="s">
        <v>5178</v>
      </c>
      <c r="H2212" t="s">
        <v>5179</v>
      </c>
      <c r="I2212" t="s">
        <v>22</v>
      </c>
      <c r="J2212" t="s">
        <v>23</v>
      </c>
      <c r="K2212" t="s">
        <v>38</v>
      </c>
      <c r="L2212" t="s">
        <v>39</v>
      </c>
      <c r="M2212">
        <v>90004</v>
      </c>
      <c r="N2212" t="s">
        <v>40</v>
      </c>
      <c r="O2212" t="s">
        <v>4897</v>
      </c>
      <c r="P2212" t="s">
        <v>42</v>
      </c>
      <c r="Q2212" t="s">
        <v>86</v>
      </c>
      <c r="R2212" t="s">
        <v>5184</v>
      </c>
      <c r="S2212">
        <v>19.440000000000001</v>
      </c>
    </row>
    <row r="2213" spans="1:19" x14ac:dyDescent="0.35">
      <c r="A2213">
        <v>2253</v>
      </c>
      <c r="B2213" t="s">
        <v>5185</v>
      </c>
      <c r="C2213" s="1">
        <v>42840</v>
      </c>
      <c r="D2213" s="1">
        <v>42842</v>
      </c>
      <c r="E2213" s="1" t="str">
        <f t="shared" si="34"/>
        <v>SLOW</v>
      </c>
      <c r="F2213" t="s">
        <v>19</v>
      </c>
      <c r="G2213" t="s">
        <v>3754</v>
      </c>
      <c r="H2213" t="s">
        <v>3755</v>
      </c>
      <c r="I2213" t="s">
        <v>98</v>
      </c>
      <c r="J2213" t="s">
        <v>23</v>
      </c>
      <c r="K2213" t="s">
        <v>935</v>
      </c>
      <c r="L2213" t="s">
        <v>39</v>
      </c>
      <c r="M2213">
        <v>92105</v>
      </c>
      <c r="N2213" t="s">
        <v>40</v>
      </c>
      <c r="O2213" t="s">
        <v>578</v>
      </c>
      <c r="P2213" t="s">
        <v>42</v>
      </c>
      <c r="Q2213" t="s">
        <v>86</v>
      </c>
      <c r="R2213" t="s">
        <v>579</v>
      </c>
      <c r="S2213">
        <v>143.69999999999999</v>
      </c>
    </row>
    <row r="2214" spans="1:19" x14ac:dyDescent="0.35">
      <c r="A2214">
        <v>2254</v>
      </c>
      <c r="B2214" t="s">
        <v>5186</v>
      </c>
      <c r="C2214" s="1">
        <v>42641</v>
      </c>
      <c r="D2214" s="1">
        <v>42644</v>
      </c>
      <c r="E2214" s="1" t="str">
        <f t="shared" si="34"/>
        <v>MODERATE</v>
      </c>
      <c r="F2214" t="s">
        <v>184</v>
      </c>
      <c r="G2214" t="s">
        <v>3597</v>
      </c>
      <c r="H2214" t="s">
        <v>3598</v>
      </c>
      <c r="I2214" t="s">
        <v>37</v>
      </c>
      <c r="J2214" t="s">
        <v>23</v>
      </c>
      <c r="K2214" t="s">
        <v>123</v>
      </c>
      <c r="L2214" t="s">
        <v>39</v>
      </c>
      <c r="M2214">
        <v>94110</v>
      </c>
      <c r="N2214" t="s">
        <v>40</v>
      </c>
      <c r="O2214" t="s">
        <v>1318</v>
      </c>
      <c r="P2214" t="s">
        <v>42</v>
      </c>
      <c r="Q2214" t="s">
        <v>74</v>
      </c>
      <c r="R2214" t="s">
        <v>1319</v>
      </c>
      <c r="S2214">
        <v>43.26</v>
      </c>
    </row>
    <row r="2215" spans="1:19" x14ac:dyDescent="0.35">
      <c r="A2215">
        <v>2255</v>
      </c>
      <c r="B2215" t="s">
        <v>5186</v>
      </c>
      <c r="C2215" s="1">
        <v>42641</v>
      </c>
      <c r="D2215" s="1">
        <v>42644</v>
      </c>
      <c r="E2215" s="1" t="str">
        <f t="shared" si="34"/>
        <v>MODERATE</v>
      </c>
      <c r="F2215" t="s">
        <v>184</v>
      </c>
      <c r="G2215" t="s">
        <v>3597</v>
      </c>
      <c r="H2215" t="s">
        <v>3598</v>
      </c>
      <c r="I2215" t="s">
        <v>37</v>
      </c>
      <c r="J2215" t="s">
        <v>23</v>
      </c>
      <c r="K2215" t="s">
        <v>123</v>
      </c>
      <c r="L2215" t="s">
        <v>39</v>
      </c>
      <c r="M2215">
        <v>94110</v>
      </c>
      <c r="N2215" t="s">
        <v>40</v>
      </c>
      <c r="O2215" t="s">
        <v>4396</v>
      </c>
      <c r="P2215" t="s">
        <v>42</v>
      </c>
      <c r="Q2215" t="s">
        <v>74</v>
      </c>
      <c r="R2215" t="s">
        <v>4397</v>
      </c>
      <c r="S2215">
        <v>43.56</v>
      </c>
    </row>
    <row r="2216" spans="1:19" x14ac:dyDescent="0.35">
      <c r="A2216">
        <v>2256</v>
      </c>
      <c r="B2216" t="s">
        <v>5187</v>
      </c>
      <c r="C2216" s="1">
        <v>42995</v>
      </c>
      <c r="D2216" s="1">
        <v>43000</v>
      </c>
      <c r="E2216" s="1" t="str">
        <f t="shared" si="34"/>
        <v>FAST</v>
      </c>
      <c r="F2216" t="s">
        <v>46</v>
      </c>
      <c r="G2216" t="s">
        <v>1332</v>
      </c>
      <c r="H2216" t="s">
        <v>1333</v>
      </c>
      <c r="I2216" t="s">
        <v>37</v>
      </c>
      <c r="J2216" t="s">
        <v>23</v>
      </c>
      <c r="K2216" t="s">
        <v>5188</v>
      </c>
      <c r="L2216" t="s">
        <v>5189</v>
      </c>
      <c r="M2216">
        <v>4401</v>
      </c>
      <c r="N2216" t="s">
        <v>144</v>
      </c>
      <c r="O2216" t="s">
        <v>5190</v>
      </c>
      <c r="P2216" t="s">
        <v>67</v>
      </c>
      <c r="Q2216" t="s">
        <v>68</v>
      </c>
      <c r="R2216" t="s">
        <v>5191</v>
      </c>
      <c r="S2216">
        <v>437.85</v>
      </c>
    </row>
    <row r="2217" spans="1:19" x14ac:dyDescent="0.35">
      <c r="A2217">
        <v>2257</v>
      </c>
      <c r="B2217" t="s">
        <v>5187</v>
      </c>
      <c r="C2217" s="1">
        <v>42995</v>
      </c>
      <c r="D2217" s="1">
        <v>43000</v>
      </c>
      <c r="E2217" s="1" t="str">
        <f t="shared" si="34"/>
        <v>FAST</v>
      </c>
      <c r="F2217" t="s">
        <v>46</v>
      </c>
      <c r="G2217" t="s">
        <v>1332</v>
      </c>
      <c r="H2217" t="s">
        <v>1333</v>
      </c>
      <c r="I2217" t="s">
        <v>37</v>
      </c>
      <c r="J2217" t="s">
        <v>23</v>
      </c>
      <c r="K2217" t="s">
        <v>5188</v>
      </c>
      <c r="L2217" t="s">
        <v>5189</v>
      </c>
      <c r="M2217">
        <v>4401</v>
      </c>
      <c r="N2217" t="s">
        <v>144</v>
      </c>
      <c r="O2217" t="s">
        <v>3319</v>
      </c>
      <c r="P2217" t="s">
        <v>28</v>
      </c>
      <c r="Q2217" t="s">
        <v>61</v>
      </c>
      <c r="R2217" t="s">
        <v>3320</v>
      </c>
      <c r="S2217">
        <v>109.48</v>
      </c>
    </row>
    <row r="2218" spans="1:19" x14ac:dyDescent="0.35">
      <c r="A2218">
        <v>2258</v>
      </c>
      <c r="B2218" t="s">
        <v>5192</v>
      </c>
      <c r="C2218" s="1">
        <v>43267</v>
      </c>
      <c r="D2218" s="1">
        <v>43270</v>
      </c>
      <c r="E2218" s="1" t="str">
        <f t="shared" si="34"/>
        <v>MODERATE</v>
      </c>
      <c r="F2218" t="s">
        <v>184</v>
      </c>
      <c r="G2218" t="s">
        <v>529</v>
      </c>
      <c r="H2218" t="s">
        <v>530</v>
      </c>
      <c r="I2218" t="s">
        <v>22</v>
      </c>
      <c r="J2218" t="s">
        <v>23</v>
      </c>
      <c r="K2218" t="s">
        <v>123</v>
      </c>
      <c r="L2218" t="s">
        <v>39</v>
      </c>
      <c r="M2218">
        <v>94122</v>
      </c>
      <c r="N2218" t="s">
        <v>40</v>
      </c>
      <c r="O2218" t="s">
        <v>1472</v>
      </c>
      <c r="P2218" t="s">
        <v>28</v>
      </c>
      <c r="Q2218" t="s">
        <v>32</v>
      </c>
      <c r="R2218" t="s">
        <v>1473</v>
      </c>
      <c r="S2218">
        <v>1212.96</v>
      </c>
    </row>
    <row r="2219" spans="1:19" x14ac:dyDescent="0.35">
      <c r="A2219">
        <v>2259</v>
      </c>
      <c r="B2219" t="s">
        <v>5192</v>
      </c>
      <c r="C2219" s="1">
        <v>43267</v>
      </c>
      <c r="D2219" s="1">
        <v>43270</v>
      </c>
      <c r="E2219" s="1" t="str">
        <f t="shared" si="34"/>
        <v>MODERATE</v>
      </c>
      <c r="F2219" t="s">
        <v>184</v>
      </c>
      <c r="G2219" t="s">
        <v>529</v>
      </c>
      <c r="H2219" t="s">
        <v>530</v>
      </c>
      <c r="I2219" t="s">
        <v>22</v>
      </c>
      <c r="J2219" t="s">
        <v>23</v>
      </c>
      <c r="K2219" t="s">
        <v>123</v>
      </c>
      <c r="L2219" t="s">
        <v>39</v>
      </c>
      <c r="M2219">
        <v>94122</v>
      </c>
      <c r="N2219" t="s">
        <v>40</v>
      </c>
      <c r="O2219" t="s">
        <v>5193</v>
      </c>
      <c r="P2219" t="s">
        <v>42</v>
      </c>
      <c r="Q2219" t="s">
        <v>86</v>
      </c>
      <c r="R2219" t="s">
        <v>5194</v>
      </c>
      <c r="S2219">
        <v>18.54</v>
      </c>
    </row>
    <row r="2220" spans="1:19" x14ac:dyDescent="0.35">
      <c r="A2220">
        <v>2260</v>
      </c>
      <c r="B2220" t="s">
        <v>5195</v>
      </c>
      <c r="C2220" s="1">
        <v>42682</v>
      </c>
      <c r="D2220" s="1">
        <v>42684</v>
      </c>
      <c r="E2220" s="1" t="str">
        <f t="shared" si="34"/>
        <v>SLOW</v>
      </c>
      <c r="F2220" t="s">
        <v>19</v>
      </c>
      <c r="G2220" t="s">
        <v>5196</v>
      </c>
      <c r="H2220" t="s">
        <v>5197</v>
      </c>
      <c r="I2220" t="s">
        <v>98</v>
      </c>
      <c r="J2220" t="s">
        <v>23</v>
      </c>
      <c r="K2220" t="s">
        <v>935</v>
      </c>
      <c r="L2220" t="s">
        <v>39</v>
      </c>
      <c r="M2220">
        <v>92024</v>
      </c>
      <c r="N2220" t="s">
        <v>40</v>
      </c>
      <c r="O2220" t="s">
        <v>2544</v>
      </c>
      <c r="P2220" t="s">
        <v>42</v>
      </c>
      <c r="Q2220" t="s">
        <v>263</v>
      </c>
      <c r="R2220" t="s">
        <v>2545</v>
      </c>
      <c r="S2220">
        <v>5</v>
      </c>
    </row>
    <row r="2221" spans="1:19" x14ac:dyDescent="0.35">
      <c r="A2221">
        <v>2261</v>
      </c>
      <c r="B2221" t="s">
        <v>5195</v>
      </c>
      <c r="C2221" s="1">
        <v>42682</v>
      </c>
      <c r="D2221" s="1">
        <v>42684</v>
      </c>
      <c r="E2221" s="1" t="str">
        <f t="shared" si="34"/>
        <v>SLOW</v>
      </c>
      <c r="F2221" t="s">
        <v>19</v>
      </c>
      <c r="G2221" t="s">
        <v>5196</v>
      </c>
      <c r="H2221" t="s">
        <v>5197</v>
      </c>
      <c r="I2221" t="s">
        <v>98</v>
      </c>
      <c r="J2221" t="s">
        <v>23</v>
      </c>
      <c r="K2221" t="s">
        <v>935</v>
      </c>
      <c r="L2221" t="s">
        <v>39</v>
      </c>
      <c r="M2221">
        <v>92024</v>
      </c>
      <c r="N2221" t="s">
        <v>40</v>
      </c>
      <c r="O2221" t="s">
        <v>2677</v>
      </c>
      <c r="P2221" t="s">
        <v>67</v>
      </c>
      <c r="Q2221" t="s">
        <v>157</v>
      </c>
      <c r="R2221" t="s">
        <v>2678</v>
      </c>
      <c r="S2221">
        <v>371.97</v>
      </c>
    </row>
    <row r="2222" spans="1:19" x14ac:dyDescent="0.35">
      <c r="A2222">
        <v>2262</v>
      </c>
      <c r="B2222" t="s">
        <v>5198</v>
      </c>
      <c r="C2222" s="1">
        <v>42722</v>
      </c>
      <c r="D2222" s="1">
        <v>42722</v>
      </c>
      <c r="E2222" s="1" t="str">
        <f t="shared" si="34"/>
        <v>MODERATE</v>
      </c>
      <c r="F2222" t="s">
        <v>1276</v>
      </c>
      <c r="G2222" t="s">
        <v>5199</v>
      </c>
      <c r="H2222" t="s">
        <v>5200</v>
      </c>
      <c r="I2222" t="s">
        <v>22</v>
      </c>
      <c r="J2222" t="s">
        <v>23</v>
      </c>
      <c r="K2222" t="s">
        <v>260</v>
      </c>
      <c r="L2222" t="s">
        <v>261</v>
      </c>
      <c r="M2222">
        <v>10035</v>
      </c>
      <c r="N2222" t="s">
        <v>144</v>
      </c>
      <c r="O2222" t="s">
        <v>2223</v>
      </c>
      <c r="P2222" t="s">
        <v>67</v>
      </c>
      <c r="Q2222" t="s">
        <v>157</v>
      </c>
      <c r="R2222" t="s">
        <v>2224</v>
      </c>
      <c r="S2222">
        <v>166.24</v>
      </c>
    </row>
    <row r="2223" spans="1:19" x14ac:dyDescent="0.35">
      <c r="A2223">
        <v>2263</v>
      </c>
      <c r="B2223" t="s">
        <v>5201</v>
      </c>
      <c r="C2223" s="1">
        <v>43137</v>
      </c>
      <c r="D2223" s="1">
        <v>43140</v>
      </c>
      <c r="E2223" s="1" t="str">
        <f t="shared" si="34"/>
        <v>MODERATE</v>
      </c>
      <c r="F2223" t="s">
        <v>184</v>
      </c>
      <c r="G2223" t="s">
        <v>5202</v>
      </c>
      <c r="H2223" t="s">
        <v>5203</v>
      </c>
      <c r="I2223" t="s">
        <v>22</v>
      </c>
      <c r="J2223" t="s">
        <v>23</v>
      </c>
      <c r="K2223" t="s">
        <v>1115</v>
      </c>
      <c r="L2223" t="s">
        <v>313</v>
      </c>
      <c r="M2223">
        <v>22204</v>
      </c>
      <c r="N2223" t="s">
        <v>26</v>
      </c>
      <c r="O2223" t="s">
        <v>2210</v>
      </c>
      <c r="P2223" t="s">
        <v>28</v>
      </c>
      <c r="Q2223" t="s">
        <v>29</v>
      </c>
      <c r="R2223" t="s">
        <v>2211</v>
      </c>
      <c r="S2223">
        <v>359.97</v>
      </c>
    </row>
    <row r="2224" spans="1:19" x14ac:dyDescent="0.35">
      <c r="A2224">
        <v>2264</v>
      </c>
      <c r="B2224" t="s">
        <v>5204</v>
      </c>
      <c r="C2224" s="1">
        <v>43053</v>
      </c>
      <c r="D2224" s="1">
        <v>43055</v>
      </c>
      <c r="E2224" s="1" t="str">
        <f t="shared" si="34"/>
        <v>SLOW</v>
      </c>
      <c r="F2224" t="s">
        <v>19</v>
      </c>
      <c r="G2224" t="s">
        <v>1801</v>
      </c>
      <c r="H2224" t="s">
        <v>1802</v>
      </c>
      <c r="I2224" t="s">
        <v>22</v>
      </c>
      <c r="J2224" t="s">
        <v>23</v>
      </c>
      <c r="K2224" t="s">
        <v>1716</v>
      </c>
      <c r="L2224" t="s">
        <v>1258</v>
      </c>
      <c r="M2224">
        <v>30318</v>
      </c>
      <c r="N2224" t="s">
        <v>26</v>
      </c>
      <c r="O2224" t="s">
        <v>5205</v>
      </c>
      <c r="P2224" t="s">
        <v>67</v>
      </c>
      <c r="Q2224" t="s">
        <v>157</v>
      </c>
      <c r="R2224" t="s">
        <v>5206</v>
      </c>
      <c r="S2224">
        <v>499.98</v>
      </c>
    </row>
    <row r="2225" spans="1:19" x14ac:dyDescent="0.35">
      <c r="A2225">
        <v>2265</v>
      </c>
      <c r="B2225" t="s">
        <v>5204</v>
      </c>
      <c r="C2225" s="1">
        <v>43053</v>
      </c>
      <c r="D2225" s="1">
        <v>43055</v>
      </c>
      <c r="E2225" s="1" t="str">
        <f t="shared" si="34"/>
        <v>SLOW</v>
      </c>
      <c r="F2225" t="s">
        <v>19</v>
      </c>
      <c r="G2225" t="s">
        <v>1801</v>
      </c>
      <c r="H2225" t="s">
        <v>1802</v>
      </c>
      <c r="I2225" t="s">
        <v>22</v>
      </c>
      <c r="J2225" t="s">
        <v>23</v>
      </c>
      <c r="K2225" t="s">
        <v>1716</v>
      </c>
      <c r="L2225" t="s">
        <v>1258</v>
      </c>
      <c r="M2225">
        <v>30318</v>
      </c>
      <c r="N2225" t="s">
        <v>26</v>
      </c>
      <c r="O2225" t="s">
        <v>900</v>
      </c>
      <c r="P2225" t="s">
        <v>42</v>
      </c>
      <c r="Q2225" t="s">
        <v>86</v>
      </c>
      <c r="R2225" t="s">
        <v>901</v>
      </c>
      <c r="S2225">
        <v>5.28</v>
      </c>
    </row>
    <row r="2226" spans="1:19" x14ac:dyDescent="0.35">
      <c r="A2226">
        <v>2266</v>
      </c>
      <c r="B2226" t="s">
        <v>5204</v>
      </c>
      <c r="C2226" s="1">
        <v>43053</v>
      </c>
      <c r="D2226" s="1">
        <v>43055</v>
      </c>
      <c r="E2226" s="1" t="str">
        <f t="shared" si="34"/>
        <v>SLOW</v>
      </c>
      <c r="F2226" t="s">
        <v>19</v>
      </c>
      <c r="G2226" t="s">
        <v>1801</v>
      </c>
      <c r="H2226" t="s">
        <v>1802</v>
      </c>
      <c r="I2226" t="s">
        <v>22</v>
      </c>
      <c r="J2226" t="s">
        <v>23</v>
      </c>
      <c r="K2226" t="s">
        <v>1716</v>
      </c>
      <c r="L2226" t="s">
        <v>1258</v>
      </c>
      <c r="M2226">
        <v>30318</v>
      </c>
      <c r="N2226" t="s">
        <v>26</v>
      </c>
      <c r="O2226" t="s">
        <v>3554</v>
      </c>
      <c r="P2226" t="s">
        <v>42</v>
      </c>
      <c r="Q2226" t="s">
        <v>71</v>
      </c>
      <c r="R2226" t="s">
        <v>3555</v>
      </c>
      <c r="S2226">
        <v>8.26</v>
      </c>
    </row>
    <row r="2227" spans="1:19" x14ac:dyDescent="0.35">
      <c r="A2227">
        <v>2267</v>
      </c>
      <c r="B2227" t="s">
        <v>5207</v>
      </c>
      <c r="C2227" s="1">
        <v>43385</v>
      </c>
      <c r="D2227" s="1">
        <v>43385</v>
      </c>
      <c r="E2227" s="1" t="str">
        <f t="shared" si="34"/>
        <v>MODERATE</v>
      </c>
      <c r="F2227" t="s">
        <v>1276</v>
      </c>
      <c r="G2227" t="s">
        <v>5208</v>
      </c>
      <c r="H2227" t="s">
        <v>5209</v>
      </c>
      <c r="I2227" t="s">
        <v>98</v>
      </c>
      <c r="J2227" t="s">
        <v>23</v>
      </c>
      <c r="K2227" t="s">
        <v>724</v>
      </c>
      <c r="L2227" t="s">
        <v>84</v>
      </c>
      <c r="M2227">
        <v>28110</v>
      </c>
      <c r="N2227" t="s">
        <v>26</v>
      </c>
      <c r="O2227" t="s">
        <v>5210</v>
      </c>
      <c r="P2227" t="s">
        <v>42</v>
      </c>
      <c r="Q2227" t="s">
        <v>86</v>
      </c>
      <c r="R2227" t="s">
        <v>5211</v>
      </c>
      <c r="S2227">
        <v>7.968</v>
      </c>
    </row>
    <row r="2228" spans="1:19" x14ac:dyDescent="0.35">
      <c r="A2228">
        <v>2268</v>
      </c>
      <c r="B2228" t="s">
        <v>5212</v>
      </c>
      <c r="C2228" s="1">
        <v>43360</v>
      </c>
      <c r="D2228" s="1">
        <v>43360</v>
      </c>
      <c r="E2228" s="1" t="str">
        <f t="shared" si="34"/>
        <v>MODERATE</v>
      </c>
      <c r="F2228" t="s">
        <v>1276</v>
      </c>
      <c r="G2228" t="s">
        <v>5213</v>
      </c>
      <c r="H2228" t="s">
        <v>5214</v>
      </c>
      <c r="I2228" t="s">
        <v>22</v>
      </c>
      <c r="J2228" t="s">
        <v>23</v>
      </c>
      <c r="K2228" t="s">
        <v>91</v>
      </c>
      <c r="L2228" t="s">
        <v>92</v>
      </c>
      <c r="M2228">
        <v>98115</v>
      </c>
      <c r="N2228" t="s">
        <v>40</v>
      </c>
      <c r="O2228" t="s">
        <v>5215</v>
      </c>
      <c r="P2228" t="s">
        <v>42</v>
      </c>
      <c r="Q2228" t="s">
        <v>86</v>
      </c>
      <c r="R2228" t="s">
        <v>5216</v>
      </c>
      <c r="S2228">
        <v>12.96</v>
      </c>
    </row>
    <row r="2229" spans="1:19" x14ac:dyDescent="0.35">
      <c r="A2229">
        <v>2269</v>
      </c>
      <c r="B2229" t="s">
        <v>5217</v>
      </c>
      <c r="C2229" s="1">
        <v>43454</v>
      </c>
      <c r="D2229" s="1">
        <v>43460</v>
      </c>
      <c r="E2229" s="1" t="str">
        <f t="shared" si="34"/>
        <v>FAST</v>
      </c>
      <c r="F2229" t="s">
        <v>46</v>
      </c>
      <c r="G2229" t="s">
        <v>1345</v>
      </c>
      <c r="H2229" t="s">
        <v>1346</v>
      </c>
      <c r="I2229" t="s">
        <v>37</v>
      </c>
      <c r="J2229" t="s">
        <v>23</v>
      </c>
      <c r="K2229" t="s">
        <v>379</v>
      </c>
      <c r="L2229" t="s">
        <v>261</v>
      </c>
      <c r="M2229">
        <v>14609</v>
      </c>
      <c r="N2229" t="s">
        <v>144</v>
      </c>
      <c r="O2229" t="s">
        <v>5218</v>
      </c>
      <c r="P2229" t="s">
        <v>42</v>
      </c>
      <c r="Q2229" t="s">
        <v>86</v>
      </c>
      <c r="R2229" t="s">
        <v>5219</v>
      </c>
      <c r="S2229">
        <v>6.48</v>
      </c>
    </row>
    <row r="2230" spans="1:19" x14ac:dyDescent="0.35">
      <c r="A2230">
        <v>2270</v>
      </c>
      <c r="B2230" t="s">
        <v>5217</v>
      </c>
      <c r="C2230" s="1">
        <v>43454</v>
      </c>
      <c r="D2230" s="1">
        <v>43460</v>
      </c>
      <c r="E2230" s="1" t="str">
        <f t="shared" si="34"/>
        <v>FAST</v>
      </c>
      <c r="F2230" t="s">
        <v>46</v>
      </c>
      <c r="G2230" t="s">
        <v>1345</v>
      </c>
      <c r="H2230" t="s">
        <v>1346</v>
      </c>
      <c r="I2230" t="s">
        <v>37</v>
      </c>
      <c r="J2230" t="s">
        <v>23</v>
      </c>
      <c r="K2230" t="s">
        <v>379</v>
      </c>
      <c r="L2230" t="s">
        <v>261</v>
      </c>
      <c r="M2230">
        <v>14609</v>
      </c>
      <c r="N2230" t="s">
        <v>144</v>
      </c>
      <c r="O2230" t="s">
        <v>226</v>
      </c>
      <c r="P2230" t="s">
        <v>42</v>
      </c>
      <c r="Q2230" t="s">
        <v>71</v>
      </c>
      <c r="R2230" t="s">
        <v>227</v>
      </c>
      <c r="S2230">
        <v>6.984</v>
      </c>
    </row>
    <row r="2231" spans="1:19" x14ac:dyDescent="0.35">
      <c r="A2231">
        <v>2271</v>
      </c>
      <c r="B2231" t="s">
        <v>5220</v>
      </c>
      <c r="C2231" s="1">
        <v>43436</v>
      </c>
      <c r="D2231" s="1">
        <v>43441</v>
      </c>
      <c r="E2231" s="1" t="str">
        <f t="shared" si="34"/>
        <v>FAST</v>
      </c>
      <c r="F2231" t="s">
        <v>46</v>
      </c>
      <c r="G2231" t="s">
        <v>1277</v>
      </c>
      <c r="H2231" t="s">
        <v>1278</v>
      </c>
      <c r="I2231" t="s">
        <v>37</v>
      </c>
      <c r="J2231" t="s">
        <v>23</v>
      </c>
      <c r="K2231" t="s">
        <v>1402</v>
      </c>
      <c r="L2231" t="s">
        <v>50</v>
      </c>
      <c r="M2231">
        <v>33180</v>
      </c>
      <c r="N2231" t="s">
        <v>26</v>
      </c>
      <c r="O2231" t="s">
        <v>1440</v>
      </c>
      <c r="P2231" t="s">
        <v>42</v>
      </c>
      <c r="Q2231" t="s">
        <v>64</v>
      </c>
      <c r="R2231" t="s">
        <v>1441</v>
      </c>
      <c r="S2231">
        <v>47.96</v>
      </c>
    </row>
    <row r="2232" spans="1:19" x14ac:dyDescent="0.35">
      <c r="A2232">
        <v>2272</v>
      </c>
      <c r="B2232" t="s">
        <v>5221</v>
      </c>
      <c r="C2232" s="1">
        <v>42634</v>
      </c>
      <c r="D2232" s="1">
        <v>42640</v>
      </c>
      <c r="E2232" s="1" t="str">
        <f t="shared" si="34"/>
        <v>FAST</v>
      </c>
      <c r="F2232" t="s">
        <v>46</v>
      </c>
      <c r="G2232" t="s">
        <v>684</v>
      </c>
      <c r="H2232" t="s">
        <v>685</v>
      </c>
      <c r="I2232" t="s">
        <v>22</v>
      </c>
      <c r="J2232" t="s">
        <v>23</v>
      </c>
      <c r="K2232" t="s">
        <v>91</v>
      </c>
      <c r="L2232" t="s">
        <v>92</v>
      </c>
      <c r="M2232">
        <v>98105</v>
      </c>
      <c r="N2232" t="s">
        <v>40</v>
      </c>
      <c r="O2232" t="s">
        <v>5222</v>
      </c>
      <c r="P2232" t="s">
        <v>42</v>
      </c>
      <c r="Q2232" t="s">
        <v>55</v>
      </c>
      <c r="R2232" t="s">
        <v>5223</v>
      </c>
      <c r="S2232">
        <v>199.74</v>
      </c>
    </row>
    <row r="2233" spans="1:19" x14ac:dyDescent="0.35">
      <c r="A2233">
        <v>2273</v>
      </c>
      <c r="B2233" t="s">
        <v>5224</v>
      </c>
      <c r="C2233" s="1">
        <v>42435</v>
      </c>
      <c r="D2233" s="1">
        <v>42440</v>
      </c>
      <c r="E2233" s="1" t="str">
        <f t="shared" si="34"/>
        <v>FAST</v>
      </c>
      <c r="F2233" t="s">
        <v>46</v>
      </c>
      <c r="G2233" t="s">
        <v>1190</v>
      </c>
      <c r="H2233" t="s">
        <v>1191</v>
      </c>
      <c r="I2233" t="s">
        <v>22</v>
      </c>
      <c r="J2233" t="s">
        <v>23</v>
      </c>
      <c r="K2233" t="s">
        <v>123</v>
      </c>
      <c r="L2233" t="s">
        <v>39</v>
      </c>
      <c r="M2233">
        <v>94122</v>
      </c>
      <c r="N2233" t="s">
        <v>40</v>
      </c>
      <c r="O2233" t="s">
        <v>5225</v>
      </c>
      <c r="P2233" t="s">
        <v>28</v>
      </c>
      <c r="Q2233" t="s">
        <v>61</v>
      </c>
      <c r="R2233" t="s">
        <v>5226</v>
      </c>
      <c r="S2233">
        <v>435.26</v>
      </c>
    </row>
    <row r="2234" spans="1:19" x14ac:dyDescent="0.35">
      <c r="A2234">
        <v>2274</v>
      </c>
      <c r="B2234" t="s">
        <v>5224</v>
      </c>
      <c r="C2234" s="1">
        <v>42435</v>
      </c>
      <c r="D2234" s="1">
        <v>42440</v>
      </c>
      <c r="E2234" s="1" t="str">
        <f t="shared" si="34"/>
        <v>FAST</v>
      </c>
      <c r="F2234" t="s">
        <v>46</v>
      </c>
      <c r="G2234" t="s">
        <v>1190</v>
      </c>
      <c r="H2234" t="s">
        <v>1191</v>
      </c>
      <c r="I2234" t="s">
        <v>22</v>
      </c>
      <c r="J2234" t="s">
        <v>23</v>
      </c>
      <c r="K2234" t="s">
        <v>123</v>
      </c>
      <c r="L2234" t="s">
        <v>39</v>
      </c>
      <c r="M2234">
        <v>94122</v>
      </c>
      <c r="N2234" t="s">
        <v>40</v>
      </c>
      <c r="O2234" t="s">
        <v>5227</v>
      </c>
      <c r="P2234" t="s">
        <v>67</v>
      </c>
      <c r="Q2234" t="s">
        <v>1204</v>
      </c>
      <c r="R2234" t="s">
        <v>5228</v>
      </c>
      <c r="S2234">
        <v>1119.9839999999999</v>
      </c>
    </row>
    <row r="2235" spans="1:19" x14ac:dyDescent="0.35">
      <c r="A2235">
        <v>2275</v>
      </c>
      <c r="B2235" t="s">
        <v>5229</v>
      </c>
      <c r="C2235" s="1">
        <v>42280</v>
      </c>
      <c r="D2235" s="1">
        <v>42285</v>
      </c>
      <c r="E2235" s="1" t="str">
        <f t="shared" si="34"/>
        <v>SLOW</v>
      </c>
      <c r="F2235" t="s">
        <v>19</v>
      </c>
      <c r="G2235" t="s">
        <v>1311</v>
      </c>
      <c r="H2235" t="s">
        <v>1312</v>
      </c>
      <c r="I2235" t="s">
        <v>37</v>
      </c>
      <c r="J2235" t="s">
        <v>23</v>
      </c>
      <c r="K2235" t="s">
        <v>38</v>
      </c>
      <c r="L2235" t="s">
        <v>39</v>
      </c>
      <c r="M2235">
        <v>90036</v>
      </c>
      <c r="N2235" t="s">
        <v>40</v>
      </c>
      <c r="O2235" t="s">
        <v>5230</v>
      </c>
      <c r="P2235" t="s">
        <v>28</v>
      </c>
      <c r="Q2235" t="s">
        <v>52</v>
      </c>
      <c r="R2235" t="s">
        <v>5231</v>
      </c>
      <c r="S2235">
        <v>143.43199999999999</v>
      </c>
    </row>
    <row r="2236" spans="1:19" x14ac:dyDescent="0.35">
      <c r="A2236">
        <v>2276</v>
      </c>
      <c r="B2236" t="s">
        <v>5229</v>
      </c>
      <c r="C2236" s="1">
        <v>42280</v>
      </c>
      <c r="D2236" s="1">
        <v>42285</v>
      </c>
      <c r="E2236" s="1" t="str">
        <f t="shared" si="34"/>
        <v>SLOW</v>
      </c>
      <c r="F2236" t="s">
        <v>19</v>
      </c>
      <c r="G2236" t="s">
        <v>1311</v>
      </c>
      <c r="H2236" t="s">
        <v>1312</v>
      </c>
      <c r="I2236" t="s">
        <v>37</v>
      </c>
      <c r="J2236" t="s">
        <v>23</v>
      </c>
      <c r="K2236" t="s">
        <v>38</v>
      </c>
      <c r="L2236" t="s">
        <v>39</v>
      </c>
      <c r="M2236">
        <v>90036</v>
      </c>
      <c r="N2236" t="s">
        <v>40</v>
      </c>
      <c r="O2236" t="s">
        <v>145</v>
      </c>
      <c r="P2236" t="s">
        <v>28</v>
      </c>
      <c r="Q2236" t="s">
        <v>32</v>
      </c>
      <c r="R2236" t="s">
        <v>146</v>
      </c>
      <c r="S2236">
        <v>122.352</v>
      </c>
    </row>
    <row r="2237" spans="1:19" x14ac:dyDescent="0.35">
      <c r="A2237">
        <v>2277</v>
      </c>
      <c r="B2237" t="s">
        <v>5232</v>
      </c>
      <c r="C2237" s="1">
        <v>42182</v>
      </c>
      <c r="D2237" s="1">
        <v>42186</v>
      </c>
      <c r="E2237" s="1" t="str">
        <f t="shared" si="34"/>
        <v>FAST</v>
      </c>
      <c r="F2237" t="s">
        <v>46</v>
      </c>
      <c r="G2237" t="s">
        <v>1831</v>
      </c>
      <c r="H2237" t="s">
        <v>1832</v>
      </c>
      <c r="I2237" t="s">
        <v>22</v>
      </c>
      <c r="J2237" t="s">
        <v>23</v>
      </c>
      <c r="K2237" t="s">
        <v>5233</v>
      </c>
      <c r="L2237" t="s">
        <v>1471</v>
      </c>
      <c r="M2237">
        <v>38671</v>
      </c>
      <c r="N2237" t="s">
        <v>26</v>
      </c>
      <c r="O2237" t="s">
        <v>3292</v>
      </c>
      <c r="P2237" t="s">
        <v>42</v>
      </c>
      <c r="Q2237" t="s">
        <v>55</v>
      </c>
      <c r="R2237" t="s">
        <v>3293</v>
      </c>
      <c r="S2237">
        <v>306.2</v>
      </c>
    </row>
    <row r="2238" spans="1:19" x14ac:dyDescent="0.35">
      <c r="A2238">
        <v>2278</v>
      </c>
      <c r="B2238" t="s">
        <v>5232</v>
      </c>
      <c r="C2238" s="1">
        <v>42182</v>
      </c>
      <c r="D2238" s="1">
        <v>42186</v>
      </c>
      <c r="E2238" s="1" t="str">
        <f t="shared" si="34"/>
        <v>FAST</v>
      </c>
      <c r="F2238" t="s">
        <v>46</v>
      </c>
      <c r="G2238" t="s">
        <v>1831</v>
      </c>
      <c r="H2238" t="s">
        <v>1832</v>
      </c>
      <c r="I2238" t="s">
        <v>22</v>
      </c>
      <c r="J2238" t="s">
        <v>23</v>
      </c>
      <c r="K2238" t="s">
        <v>5233</v>
      </c>
      <c r="L2238" t="s">
        <v>1471</v>
      </c>
      <c r="M2238">
        <v>38671</v>
      </c>
      <c r="N2238" t="s">
        <v>26</v>
      </c>
      <c r="O2238" t="s">
        <v>3788</v>
      </c>
      <c r="P2238" t="s">
        <v>28</v>
      </c>
      <c r="Q2238" t="s">
        <v>52</v>
      </c>
      <c r="R2238" t="s">
        <v>3242</v>
      </c>
      <c r="S2238">
        <v>85.98</v>
      </c>
    </row>
    <row r="2239" spans="1:19" x14ac:dyDescent="0.35">
      <c r="A2239">
        <v>2279</v>
      </c>
      <c r="B2239" t="s">
        <v>5232</v>
      </c>
      <c r="C2239" s="1">
        <v>42182</v>
      </c>
      <c r="D2239" s="1">
        <v>42186</v>
      </c>
      <c r="E2239" s="1" t="str">
        <f t="shared" si="34"/>
        <v>FAST</v>
      </c>
      <c r="F2239" t="s">
        <v>46</v>
      </c>
      <c r="G2239" t="s">
        <v>1831</v>
      </c>
      <c r="H2239" t="s">
        <v>1832</v>
      </c>
      <c r="I2239" t="s">
        <v>22</v>
      </c>
      <c r="J2239" t="s">
        <v>23</v>
      </c>
      <c r="K2239" t="s">
        <v>5233</v>
      </c>
      <c r="L2239" t="s">
        <v>1471</v>
      </c>
      <c r="M2239">
        <v>38671</v>
      </c>
      <c r="N2239" t="s">
        <v>26</v>
      </c>
      <c r="O2239" t="s">
        <v>843</v>
      </c>
      <c r="P2239" t="s">
        <v>67</v>
      </c>
      <c r="Q2239" t="s">
        <v>157</v>
      </c>
      <c r="R2239" t="s">
        <v>844</v>
      </c>
      <c r="S2239">
        <v>223.96</v>
      </c>
    </row>
    <row r="2240" spans="1:19" x14ac:dyDescent="0.35">
      <c r="A2240">
        <v>2280</v>
      </c>
      <c r="B2240" t="s">
        <v>5234</v>
      </c>
      <c r="C2240" s="1">
        <v>43403</v>
      </c>
      <c r="D2240" s="1">
        <v>43406</v>
      </c>
      <c r="E2240" s="1" t="str">
        <f t="shared" si="34"/>
        <v>MODERATE</v>
      </c>
      <c r="F2240" t="s">
        <v>184</v>
      </c>
      <c r="G2240" t="s">
        <v>5235</v>
      </c>
      <c r="H2240" t="s">
        <v>5236</v>
      </c>
      <c r="I2240" t="s">
        <v>22</v>
      </c>
      <c r="J2240" t="s">
        <v>23</v>
      </c>
      <c r="K2240" t="s">
        <v>91</v>
      </c>
      <c r="L2240" t="s">
        <v>92</v>
      </c>
      <c r="M2240">
        <v>98115</v>
      </c>
      <c r="N2240" t="s">
        <v>40</v>
      </c>
      <c r="O2240" t="s">
        <v>4883</v>
      </c>
      <c r="P2240" t="s">
        <v>28</v>
      </c>
      <c r="Q2240" t="s">
        <v>32</v>
      </c>
      <c r="R2240" t="s">
        <v>4884</v>
      </c>
      <c r="S2240">
        <v>97.567999999999998</v>
      </c>
    </row>
    <row r="2241" spans="1:19" x14ac:dyDescent="0.35">
      <c r="A2241">
        <v>2281</v>
      </c>
      <c r="B2241" t="s">
        <v>5234</v>
      </c>
      <c r="C2241" s="1">
        <v>43403</v>
      </c>
      <c r="D2241" s="1">
        <v>43406</v>
      </c>
      <c r="E2241" s="1" t="str">
        <f t="shared" si="34"/>
        <v>MODERATE</v>
      </c>
      <c r="F2241" t="s">
        <v>184</v>
      </c>
      <c r="G2241" t="s">
        <v>5235</v>
      </c>
      <c r="H2241" t="s">
        <v>5236</v>
      </c>
      <c r="I2241" t="s">
        <v>22</v>
      </c>
      <c r="J2241" t="s">
        <v>23</v>
      </c>
      <c r="K2241" t="s">
        <v>91</v>
      </c>
      <c r="L2241" t="s">
        <v>92</v>
      </c>
      <c r="M2241">
        <v>98115</v>
      </c>
      <c r="N2241" t="s">
        <v>40</v>
      </c>
      <c r="O2241" t="s">
        <v>3855</v>
      </c>
      <c r="P2241" t="s">
        <v>28</v>
      </c>
      <c r="Q2241" t="s">
        <v>32</v>
      </c>
      <c r="R2241" t="s">
        <v>3856</v>
      </c>
      <c r="S2241">
        <v>614.27200000000005</v>
      </c>
    </row>
    <row r="2242" spans="1:19" x14ac:dyDescent="0.35">
      <c r="A2242">
        <v>2282</v>
      </c>
      <c r="B2242" t="s">
        <v>5234</v>
      </c>
      <c r="C2242" s="1">
        <v>43403</v>
      </c>
      <c r="D2242" s="1">
        <v>43406</v>
      </c>
      <c r="E2242" s="1" t="str">
        <f t="shared" si="34"/>
        <v>MODERATE</v>
      </c>
      <c r="F2242" t="s">
        <v>184</v>
      </c>
      <c r="G2242" t="s">
        <v>5235</v>
      </c>
      <c r="H2242" t="s">
        <v>5236</v>
      </c>
      <c r="I2242" t="s">
        <v>22</v>
      </c>
      <c r="J2242" t="s">
        <v>23</v>
      </c>
      <c r="K2242" t="s">
        <v>91</v>
      </c>
      <c r="L2242" t="s">
        <v>92</v>
      </c>
      <c r="M2242">
        <v>98115</v>
      </c>
      <c r="N2242" t="s">
        <v>40</v>
      </c>
      <c r="O2242" t="s">
        <v>3458</v>
      </c>
      <c r="P2242" t="s">
        <v>28</v>
      </c>
      <c r="Q2242" t="s">
        <v>29</v>
      </c>
      <c r="R2242" t="s">
        <v>3459</v>
      </c>
      <c r="S2242">
        <v>199.98</v>
      </c>
    </row>
    <row r="2243" spans="1:19" x14ac:dyDescent="0.35">
      <c r="A2243">
        <v>2283</v>
      </c>
      <c r="B2243" t="s">
        <v>5237</v>
      </c>
      <c r="C2243" s="1">
        <v>42981</v>
      </c>
      <c r="D2243" s="1">
        <v>42983</v>
      </c>
      <c r="E2243" s="1" t="str">
        <f t="shared" ref="E2243:E2306" si="35">IF(F2243="STANDARD CLASS","FAST",IF(F2243="SECOND CLASS","SLOW","MODERATE"))</f>
        <v>MODERATE</v>
      </c>
      <c r="F2243" t="s">
        <v>184</v>
      </c>
      <c r="G2243" t="s">
        <v>4386</v>
      </c>
      <c r="H2243" t="s">
        <v>4387</v>
      </c>
      <c r="I2243" t="s">
        <v>37</v>
      </c>
      <c r="J2243" t="s">
        <v>23</v>
      </c>
      <c r="K2243" t="s">
        <v>3654</v>
      </c>
      <c r="L2243" t="s">
        <v>736</v>
      </c>
      <c r="M2243">
        <v>6457</v>
      </c>
      <c r="N2243" t="s">
        <v>144</v>
      </c>
      <c r="O2243" t="s">
        <v>1252</v>
      </c>
      <c r="P2243" t="s">
        <v>42</v>
      </c>
      <c r="Q2243" t="s">
        <v>86</v>
      </c>
      <c r="R2243" t="s">
        <v>1253</v>
      </c>
      <c r="S2243">
        <v>48.16</v>
      </c>
    </row>
    <row r="2244" spans="1:19" x14ac:dyDescent="0.35">
      <c r="A2244">
        <v>2284</v>
      </c>
      <c r="B2244" t="s">
        <v>5238</v>
      </c>
      <c r="C2244" s="1">
        <v>42434</v>
      </c>
      <c r="D2244" s="1">
        <v>42438</v>
      </c>
      <c r="E2244" s="1" t="str">
        <f t="shared" si="35"/>
        <v>FAST</v>
      </c>
      <c r="F2244" t="s">
        <v>46</v>
      </c>
      <c r="G2244" t="s">
        <v>1919</v>
      </c>
      <c r="H2244" t="s">
        <v>1920</v>
      </c>
      <c r="I2244" t="s">
        <v>22</v>
      </c>
      <c r="J2244" t="s">
        <v>23</v>
      </c>
      <c r="K2244" t="s">
        <v>5239</v>
      </c>
      <c r="L2244" t="s">
        <v>248</v>
      </c>
      <c r="M2244">
        <v>47362</v>
      </c>
      <c r="N2244" t="s">
        <v>101</v>
      </c>
      <c r="O2244" t="s">
        <v>755</v>
      </c>
      <c r="P2244" t="s">
        <v>67</v>
      </c>
      <c r="Q2244" t="s">
        <v>68</v>
      </c>
      <c r="R2244" t="s">
        <v>756</v>
      </c>
      <c r="S2244">
        <v>23.92</v>
      </c>
    </row>
    <row r="2245" spans="1:19" x14ac:dyDescent="0.35">
      <c r="A2245">
        <v>2285</v>
      </c>
      <c r="B2245" t="s">
        <v>5238</v>
      </c>
      <c r="C2245" s="1">
        <v>42434</v>
      </c>
      <c r="D2245" s="1">
        <v>42438</v>
      </c>
      <c r="E2245" s="1" t="str">
        <f t="shared" si="35"/>
        <v>FAST</v>
      </c>
      <c r="F2245" t="s">
        <v>46</v>
      </c>
      <c r="G2245" t="s">
        <v>1919</v>
      </c>
      <c r="H2245" t="s">
        <v>1920</v>
      </c>
      <c r="I2245" t="s">
        <v>22</v>
      </c>
      <c r="J2245" t="s">
        <v>23</v>
      </c>
      <c r="K2245" t="s">
        <v>5239</v>
      </c>
      <c r="L2245" t="s">
        <v>248</v>
      </c>
      <c r="M2245">
        <v>47362</v>
      </c>
      <c r="N2245" t="s">
        <v>101</v>
      </c>
      <c r="O2245" t="s">
        <v>5240</v>
      </c>
      <c r="P2245" t="s">
        <v>42</v>
      </c>
      <c r="Q2245" t="s">
        <v>74</v>
      </c>
      <c r="R2245" t="s">
        <v>1412</v>
      </c>
      <c r="S2245">
        <v>60.69</v>
      </c>
    </row>
    <row r="2246" spans="1:19" x14ac:dyDescent="0.35">
      <c r="A2246">
        <v>2286</v>
      </c>
      <c r="B2246" t="s">
        <v>5241</v>
      </c>
      <c r="C2246" s="1">
        <v>42860</v>
      </c>
      <c r="D2246" s="1">
        <v>42863</v>
      </c>
      <c r="E2246" s="1" t="str">
        <f t="shared" si="35"/>
        <v>MODERATE</v>
      </c>
      <c r="F2246" t="s">
        <v>184</v>
      </c>
      <c r="G2246" t="s">
        <v>5242</v>
      </c>
      <c r="H2246" t="s">
        <v>5243</v>
      </c>
      <c r="I2246" t="s">
        <v>37</v>
      </c>
      <c r="J2246" t="s">
        <v>23</v>
      </c>
      <c r="K2246" t="s">
        <v>1173</v>
      </c>
      <c r="L2246" t="s">
        <v>329</v>
      </c>
      <c r="M2246">
        <v>37130</v>
      </c>
      <c r="N2246" t="s">
        <v>26</v>
      </c>
      <c r="O2246" t="s">
        <v>5244</v>
      </c>
      <c r="P2246" t="s">
        <v>42</v>
      </c>
      <c r="Q2246" t="s">
        <v>86</v>
      </c>
      <c r="R2246" t="s">
        <v>5245</v>
      </c>
      <c r="S2246">
        <v>14.352</v>
      </c>
    </row>
    <row r="2247" spans="1:19" x14ac:dyDescent="0.35">
      <c r="A2247">
        <v>2287</v>
      </c>
      <c r="B2247" t="s">
        <v>5246</v>
      </c>
      <c r="C2247" s="1">
        <v>43421</v>
      </c>
      <c r="D2247" s="1">
        <v>43427</v>
      </c>
      <c r="E2247" s="1" t="str">
        <f t="shared" si="35"/>
        <v>FAST</v>
      </c>
      <c r="F2247" t="s">
        <v>46</v>
      </c>
      <c r="G2247" t="s">
        <v>3227</v>
      </c>
      <c r="H2247" t="s">
        <v>3228</v>
      </c>
      <c r="I2247" t="s">
        <v>22</v>
      </c>
      <c r="J2247" t="s">
        <v>23</v>
      </c>
      <c r="K2247" t="s">
        <v>1956</v>
      </c>
      <c r="L2247" t="s">
        <v>313</v>
      </c>
      <c r="M2247">
        <v>24153</v>
      </c>
      <c r="N2247" t="s">
        <v>26</v>
      </c>
      <c r="O2247" t="s">
        <v>5247</v>
      </c>
      <c r="P2247" t="s">
        <v>42</v>
      </c>
      <c r="Q2247" t="s">
        <v>74</v>
      </c>
      <c r="R2247" t="s">
        <v>5248</v>
      </c>
      <c r="S2247">
        <v>35.04</v>
      </c>
    </row>
    <row r="2248" spans="1:19" x14ac:dyDescent="0.35">
      <c r="A2248">
        <v>2288</v>
      </c>
      <c r="B2248" t="s">
        <v>5249</v>
      </c>
      <c r="C2248" s="1">
        <v>43252</v>
      </c>
      <c r="D2248" s="1">
        <v>43256</v>
      </c>
      <c r="E2248" s="1" t="str">
        <f t="shared" si="35"/>
        <v>SLOW</v>
      </c>
      <c r="F2248" t="s">
        <v>19</v>
      </c>
      <c r="G2248" t="s">
        <v>1013</v>
      </c>
      <c r="H2248" t="s">
        <v>1014</v>
      </c>
      <c r="I2248" t="s">
        <v>37</v>
      </c>
      <c r="J2248" t="s">
        <v>23</v>
      </c>
      <c r="K2248" t="s">
        <v>2807</v>
      </c>
      <c r="L2248" t="s">
        <v>485</v>
      </c>
      <c r="M2248">
        <v>43615</v>
      </c>
      <c r="N2248" t="s">
        <v>144</v>
      </c>
      <c r="O2248" t="s">
        <v>5250</v>
      </c>
      <c r="P2248" t="s">
        <v>42</v>
      </c>
      <c r="Q2248" t="s">
        <v>74</v>
      </c>
      <c r="R2248" t="s">
        <v>5251</v>
      </c>
      <c r="S2248">
        <v>17.48</v>
      </c>
    </row>
    <row r="2249" spans="1:19" x14ac:dyDescent="0.35">
      <c r="A2249">
        <v>2289</v>
      </c>
      <c r="B2249" t="s">
        <v>5252</v>
      </c>
      <c r="C2249" s="1">
        <v>43261</v>
      </c>
      <c r="D2249" s="1">
        <v>43264</v>
      </c>
      <c r="E2249" s="1" t="str">
        <f t="shared" si="35"/>
        <v>MODERATE</v>
      </c>
      <c r="F2249" t="s">
        <v>184</v>
      </c>
      <c r="G2249" t="s">
        <v>4963</v>
      </c>
      <c r="H2249" t="s">
        <v>4964</v>
      </c>
      <c r="I2249" t="s">
        <v>22</v>
      </c>
      <c r="J2249" t="s">
        <v>23</v>
      </c>
      <c r="K2249" t="s">
        <v>38</v>
      </c>
      <c r="L2249" t="s">
        <v>39</v>
      </c>
      <c r="M2249">
        <v>90032</v>
      </c>
      <c r="N2249" t="s">
        <v>40</v>
      </c>
      <c r="O2249" t="s">
        <v>3236</v>
      </c>
      <c r="P2249" t="s">
        <v>42</v>
      </c>
      <c r="Q2249" t="s">
        <v>64</v>
      </c>
      <c r="R2249" t="s">
        <v>3237</v>
      </c>
      <c r="S2249">
        <v>16.399999999999999</v>
      </c>
    </row>
    <row r="2250" spans="1:19" x14ac:dyDescent="0.35">
      <c r="A2250">
        <v>2290</v>
      </c>
      <c r="B2250" t="s">
        <v>5253</v>
      </c>
      <c r="C2250" s="1">
        <v>43108</v>
      </c>
      <c r="D2250" s="1">
        <v>43111</v>
      </c>
      <c r="E2250" s="1" t="str">
        <f t="shared" si="35"/>
        <v>MODERATE</v>
      </c>
      <c r="F2250" t="s">
        <v>184</v>
      </c>
      <c r="G2250" t="s">
        <v>5254</v>
      </c>
      <c r="H2250" t="s">
        <v>5255</v>
      </c>
      <c r="I2250" t="s">
        <v>37</v>
      </c>
      <c r="J2250" t="s">
        <v>23</v>
      </c>
      <c r="K2250" t="s">
        <v>91</v>
      </c>
      <c r="L2250" t="s">
        <v>92</v>
      </c>
      <c r="M2250">
        <v>98115</v>
      </c>
      <c r="N2250" t="s">
        <v>40</v>
      </c>
      <c r="O2250" t="s">
        <v>5256</v>
      </c>
      <c r="P2250" t="s">
        <v>28</v>
      </c>
      <c r="Q2250" t="s">
        <v>52</v>
      </c>
      <c r="R2250" t="s">
        <v>5257</v>
      </c>
      <c r="S2250">
        <v>892.98</v>
      </c>
    </row>
    <row r="2251" spans="1:19" x14ac:dyDescent="0.35">
      <c r="A2251">
        <v>2291</v>
      </c>
      <c r="B2251" t="s">
        <v>5258</v>
      </c>
      <c r="C2251" s="1">
        <v>42480</v>
      </c>
      <c r="D2251" s="1">
        <v>42485</v>
      </c>
      <c r="E2251" s="1" t="str">
        <f t="shared" si="35"/>
        <v>FAST</v>
      </c>
      <c r="F2251" t="s">
        <v>46</v>
      </c>
      <c r="G2251" t="s">
        <v>3107</v>
      </c>
      <c r="H2251" t="s">
        <v>3108</v>
      </c>
      <c r="I2251" t="s">
        <v>37</v>
      </c>
      <c r="J2251" t="s">
        <v>23</v>
      </c>
      <c r="K2251" t="s">
        <v>484</v>
      </c>
      <c r="L2251" t="s">
        <v>1258</v>
      </c>
      <c r="M2251">
        <v>31907</v>
      </c>
      <c r="N2251" t="s">
        <v>26</v>
      </c>
      <c r="O2251" t="s">
        <v>2556</v>
      </c>
      <c r="P2251" t="s">
        <v>67</v>
      </c>
      <c r="Q2251" t="s">
        <v>68</v>
      </c>
      <c r="R2251" t="s">
        <v>2557</v>
      </c>
      <c r="S2251">
        <v>287.97000000000003</v>
      </c>
    </row>
    <row r="2252" spans="1:19" x14ac:dyDescent="0.35">
      <c r="A2252">
        <v>2292</v>
      </c>
      <c r="B2252" t="s">
        <v>5258</v>
      </c>
      <c r="C2252" s="1">
        <v>42480</v>
      </c>
      <c r="D2252" s="1">
        <v>42485</v>
      </c>
      <c r="E2252" s="1" t="str">
        <f t="shared" si="35"/>
        <v>FAST</v>
      </c>
      <c r="F2252" t="s">
        <v>46</v>
      </c>
      <c r="G2252" t="s">
        <v>3107</v>
      </c>
      <c r="H2252" t="s">
        <v>3108</v>
      </c>
      <c r="I2252" t="s">
        <v>37</v>
      </c>
      <c r="J2252" t="s">
        <v>23</v>
      </c>
      <c r="K2252" t="s">
        <v>484</v>
      </c>
      <c r="L2252" t="s">
        <v>1258</v>
      </c>
      <c r="M2252">
        <v>31907</v>
      </c>
      <c r="N2252" t="s">
        <v>26</v>
      </c>
      <c r="O2252" t="s">
        <v>4217</v>
      </c>
      <c r="P2252" t="s">
        <v>28</v>
      </c>
      <c r="Q2252" t="s">
        <v>61</v>
      </c>
      <c r="R2252" t="s">
        <v>4218</v>
      </c>
      <c r="S2252">
        <v>595.38</v>
      </c>
    </row>
    <row r="2253" spans="1:19" x14ac:dyDescent="0.35">
      <c r="A2253">
        <v>2293</v>
      </c>
      <c r="B2253" t="s">
        <v>5258</v>
      </c>
      <c r="C2253" s="1">
        <v>42480</v>
      </c>
      <c r="D2253" s="1">
        <v>42485</v>
      </c>
      <c r="E2253" s="1" t="str">
        <f t="shared" si="35"/>
        <v>FAST</v>
      </c>
      <c r="F2253" t="s">
        <v>46</v>
      </c>
      <c r="G2253" t="s">
        <v>3107</v>
      </c>
      <c r="H2253" t="s">
        <v>3108</v>
      </c>
      <c r="I2253" t="s">
        <v>37</v>
      </c>
      <c r="J2253" t="s">
        <v>23</v>
      </c>
      <c r="K2253" t="s">
        <v>484</v>
      </c>
      <c r="L2253" t="s">
        <v>1258</v>
      </c>
      <c r="M2253">
        <v>31907</v>
      </c>
      <c r="N2253" t="s">
        <v>26</v>
      </c>
      <c r="O2253" t="s">
        <v>3022</v>
      </c>
      <c r="P2253" t="s">
        <v>42</v>
      </c>
      <c r="Q2253" t="s">
        <v>86</v>
      </c>
      <c r="R2253" t="s">
        <v>3023</v>
      </c>
      <c r="S2253">
        <v>12.96</v>
      </c>
    </row>
    <row r="2254" spans="1:19" x14ac:dyDescent="0.35">
      <c r="A2254">
        <v>2294</v>
      </c>
      <c r="B2254" t="s">
        <v>5259</v>
      </c>
      <c r="C2254" s="1">
        <v>42675</v>
      </c>
      <c r="D2254" s="1">
        <v>42680</v>
      </c>
      <c r="E2254" s="1" t="str">
        <f t="shared" si="35"/>
        <v>FAST</v>
      </c>
      <c r="F2254" t="s">
        <v>46</v>
      </c>
      <c r="G2254" t="s">
        <v>3568</v>
      </c>
      <c r="H2254" t="s">
        <v>3569</v>
      </c>
      <c r="I2254" t="s">
        <v>37</v>
      </c>
      <c r="J2254" t="s">
        <v>23</v>
      </c>
      <c r="K2254" t="s">
        <v>260</v>
      </c>
      <c r="L2254" t="s">
        <v>261</v>
      </c>
      <c r="M2254">
        <v>10009</v>
      </c>
      <c r="N2254" t="s">
        <v>144</v>
      </c>
      <c r="O2254" t="s">
        <v>1916</v>
      </c>
      <c r="P2254" t="s">
        <v>67</v>
      </c>
      <c r="Q2254" t="s">
        <v>68</v>
      </c>
      <c r="R2254" t="s">
        <v>1917</v>
      </c>
      <c r="S2254">
        <v>4.95</v>
      </c>
    </row>
    <row r="2255" spans="1:19" x14ac:dyDescent="0.35">
      <c r="A2255">
        <v>2295</v>
      </c>
      <c r="B2255" t="s">
        <v>5260</v>
      </c>
      <c r="C2255" s="1">
        <v>43457</v>
      </c>
      <c r="D2255" s="1">
        <v>43461</v>
      </c>
      <c r="E2255" s="1" t="str">
        <f t="shared" si="35"/>
        <v>FAST</v>
      </c>
      <c r="F2255" t="s">
        <v>46</v>
      </c>
      <c r="G2255" t="s">
        <v>4386</v>
      </c>
      <c r="H2255" t="s">
        <v>4387</v>
      </c>
      <c r="I2255" t="s">
        <v>37</v>
      </c>
      <c r="J2255" t="s">
        <v>23</v>
      </c>
      <c r="K2255" t="s">
        <v>3654</v>
      </c>
      <c r="L2255" t="s">
        <v>736</v>
      </c>
      <c r="M2255">
        <v>6457</v>
      </c>
      <c r="N2255" t="s">
        <v>144</v>
      </c>
      <c r="O2255" t="s">
        <v>332</v>
      </c>
      <c r="P2255" t="s">
        <v>28</v>
      </c>
      <c r="Q2255" t="s">
        <v>61</v>
      </c>
      <c r="R2255" t="s">
        <v>333</v>
      </c>
      <c r="S2255">
        <v>181.95</v>
      </c>
    </row>
    <row r="2256" spans="1:19" x14ac:dyDescent="0.35">
      <c r="A2256">
        <v>2296</v>
      </c>
      <c r="B2256" t="s">
        <v>5261</v>
      </c>
      <c r="C2256" s="1">
        <v>42675</v>
      </c>
      <c r="D2256" s="1">
        <v>42679</v>
      </c>
      <c r="E2256" s="1" t="str">
        <f t="shared" si="35"/>
        <v>FAST</v>
      </c>
      <c r="F2256" t="s">
        <v>46</v>
      </c>
      <c r="G2256" t="s">
        <v>875</v>
      </c>
      <c r="H2256" t="s">
        <v>876</v>
      </c>
      <c r="I2256" t="s">
        <v>22</v>
      </c>
      <c r="J2256" t="s">
        <v>23</v>
      </c>
      <c r="K2256" t="s">
        <v>260</v>
      </c>
      <c r="L2256" t="s">
        <v>261</v>
      </c>
      <c r="M2256">
        <v>10011</v>
      </c>
      <c r="N2256" t="s">
        <v>144</v>
      </c>
      <c r="O2256" t="s">
        <v>3622</v>
      </c>
      <c r="P2256" t="s">
        <v>42</v>
      </c>
      <c r="Q2256" t="s">
        <v>86</v>
      </c>
      <c r="R2256" t="s">
        <v>3623</v>
      </c>
      <c r="S2256">
        <v>13.52</v>
      </c>
    </row>
    <row r="2257" spans="1:19" x14ac:dyDescent="0.35">
      <c r="A2257">
        <v>2297</v>
      </c>
      <c r="B2257" t="s">
        <v>5261</v>
      </c>
      <c r="C2257" s="1">
        <v>42675</v>
      </c>
      <c r="D2257" s="1">
        <v>42679</v>
      </c>
      <c r="E2257" s="1" t="str">
        <f t="shared" si="35"/>
        <v>FAST</v>
      </c>
      <c r="F2257" t="s">
        <v>46</v>
      </c>
      <c r="G2257" t="s">
        <v>875</v>
      </c>
      <c r="H2257" t="s">
        <v>876</v>
      </c>
      <c r="I2257" t="s">
        <v>22</v>
      </c>
      <c r="J2257" t="s">
        <v>23</v>
      </c>
      <c r="K2257" t="s">
        <v>260</v>
      </c>
      <c r="L2257" t="s">
        <v>261</v>
      </c>
      <c r="M2257">
        <v>10011</v>
      </c>
      <c r="N2257" t="s">
        <v>144</v>
      </c>
      <c r="O2257" t="s">
        <v>2649</v>
      </c>
      <c r="P2257" t="s">
        <v>28</v>
      </c>
      <c r="Q2257" t="s">
        <v>61</v>
      </c>
      <c r="R2257" t="s">
        <v>2650</v>
      </c>
      <c r="S2257">
        <v>259.7</v>
      </c>
    </row>
    <row r="2258" spans="1:19" x14ac:dyDescent="0.35">
      <c r="A2258">
        <v>2298</v>
      </c>
      <c r="B2258" t="s">
        <v>5261</v>
      </c>
      <c r="C2258" s="1">
        <v>42675</v>
      </c>
      <c r="D2258" s="1">
        <v>42679</v>
      </c>
      <c r="E2258" s="1" t="str">
        <f t="shared" si="35"/>
        <v>FAST</v>
      </c>
      <c r="F2258" t="s">
        <v>46</v>
      </c>
      <c r="G2258" t="s">
        <v>875</v>
      </c>
      <c r="H2258" t="s">
        <v>876</v>
      </c>
      <c r="I2258" t="s">
        <v>22</v>
      </c>
      <c r="J2258" t="s">
        <v>23</v>
      </c>
      <c r="K2258" t="s">
        <v>260</v>
      </c>
      <c r="L2258" t="s">
        <v>261</v>
      </c>
      <c r="M2258">
        <v>10011</v>
      </c>
      <c r="N2258" t="s">
        <v>144</v>
      </c>
      <c r="O2258" t="s">
        <v>5262</v>
      </c>
      <c r="P2258" t="s">
        <v>67</v>
      </c>
      <c r="Q2258" t="s">
        <v>68</v>
      </c>
      <c r="R2258" t="s">
        <v>5263</v>
      </c>
      <c r="S2258">
        <v>42.95</v>
      </c>
    </row>
    <row r="2259" spans="1:19" x14ac:dyDescent="0.35">
      <c r="A2259">
        <v>2299</v>
      </c>
      <c r="B2259" t="s">
        <v>5261</v>
      </c>
      <c r="C2259" s="1">
        <v>42675</v>
      </c>
      <c r="D2259" s="1">
        <v>42679</v>
      </c>
      <c r="E2259" s="1" t="str">
        <f t="shared" si="35"/>
        <v>FAST</v>
      </c>
      <c r="F2259" t="s">
        <v>46</v>
      </c>
      <c r="G2259" t="s">
        <v>875</v>
      </c>
      <c r="H2259" t="s">
        <v>876</v>
      </c>
      <c r="I2259" t="s">
        <v>22</v>
      </c>
      <c r="J2259" t="s">
        <v>23</v>
      </c>
      <c r="K2259" t="s">
        <v>260</v>
      </c>
      <c r="L2259" t="s">
        <v>261</v>
      </c>
      <c r="M2259">
        <v>10011</v>
      </c>
      <c r="N2259" t="s">
        <v>144</v>
      </c>
      <c r="O2259" t="s">
        <v>2515</v>
      </c>
      <c r="P2259" t="s">
        <v>67</v>
      </c>
      <c r="Q2259" t="s">
        <v>157</v>
      </c>
      <c r="R2259" t="s">
        <v>2516</v>
      </c>
      <c r="S2259">
        <v>1399.93</v>
      </c>
    </row>
    <row r="2260" spans="1:19" x14ac:dyDescent="0.35">
      <c r="A2260">
        <v>2300</v>
      </c>
      <c r="B2260" t="s">
        <v>5261</v>
      </c>
      <c r="C2260" s="1">
        <v>42675</v>
      </c>
      <c r="D2260" s="1">
        <v>42679</v>
      </c>
      <c r="E2260" s="1" t="str">
        <f t="shared" si="35"/>
        <v>FAST</v>
      </c>
      <c r="F2260" t="s">
        <v>46</v>
      </c>
      <c r="G2260" t="s">
        <v>875</v>
      </c>
      <c r="H2260" t="s">
        <v>876</v>
      </c>
      <c r="I2260" t="s">
        <v>22</v>
      </c>
      <c r="J2260" t="s">
        <v>23</v>
      </c>
      <c r="K2260" t="s">
        <v>260</v>
      </c>
      <c r="L2260" t="s">
        <v>261</v>
      </c>
      <c r="M2260">
        <v>10011</v>
      </c>
      <c r="N2260" t="s">
        <v>144</v>
      </c>
      <c r="O2260" t="s">
        <v>1836</v>
      </c>
      <c r="P2260" t="s">
        <v>67</v>
      </c>
      <c r="Q2260" t="s">
        <v>68</v>
      </c>
      <c r="R2260" t="s">
        <v>1837</v>
      </c>
      <c r="S2260">
        <v>503.96</v>
      </c>
    </row>
    <row r="2261" spans="1:19" x14ac:dyDescent="0.35">
      <c r="A2261">
        <v>2301</v>
      </c>
      <c r="B2261" t="s">
        <v>5264</v>
      </c>
      <c r="C2261" s="1">
        <v>42322</v>
      </c>
      <c r="D2261" s="1">
        <v>42326</v>
      </c>
      <c r="E2261" s="1" t="str">
        <f t="shared" si="35"/>
        <v>FAST</v>
      </c>
      <c r="F2261" t="s">
        <v>46</v>
      </c>
      <c r="G2261" t="s">
        <v>1246</v>
      </c>
      <c r="H2261" t="s">
        <v>1247</v>
      </c>
      <c r="I2261" t="s">
        <v>22</v>
      </c>
      <c r="J2261" t="s">
        <v>23</v>
      </c>
      <c r="K2261" t="s">
        <v>5265</v>
      </c>
      <c r="L2261" t="s">
        <v>232</v>
      </c>
      <c r="M2261">
        <v>48640</v>
      </c>
      <c r="N2261" t="s">
        <v>101</v>
      </c>
      <c r="O2261" t="s">
        <v>104</v>
      </c>
      <c r="P2261" t="s">
        <v>42</v>
      </c>
      <c r="Q2261" t="s">
        <v>71</v>
      </c>
      <c r="R2261" t="s">
        <v>105</v>
      </c>
      <c r="S2261">
        <v>12.72</v>
      </c>
    </row>
    <row r="2262" spans="1:19" x14ac:dyDescent="0.35">
      <c r="A2262">
        <v>2302</v>
      </c>
      <c r="B2262" t="s">
        <v>5264</v>
      </c>
      <c r="C2262" s="1">
        <v>42322</v>
      </c>
      <c r="D2262" s="1">
        <v>42326</v>
      </c>
      <c r="E2262" s="1" t="str">
        <f t="shared" si="35"/>
        <v>FAST</v>
      </c>
      <c r="F2262" t="s">
        <v>46</v>
      </c>
      <c r="G2262" t="s">
        <v>1246</v>
      </c>
      <c r="H2262" t="s">
        <v>1247</v>
      </c>
      <c r="I2262" t="s">
        <v>22</v>
      </c>
      <c r="J2262" t="s">
        <v>23</v>
      </c>
      <c r="K2262" t="s">
        <v>5265</v>
      </c>
      <c r="L2262" t="s">
        <v>232</v>
      </c>
      <c r="M2262">
        <v>48640</v>
      </c>
      <c r="N2262" t="s">
        <v>101</v>
      </c>
      <c r="O2262" t="s">
        <v>2365</v>
      </c>
      <c r="P2262" t="s">
        <v>42</v>
      </c>
      <c r="Q2262" t="s">
        <v>71</v>
      </c>
      <c r="R2262" t="s">
        <v>2366</v>
      </c>
      <c r="S2262">
        <v>11.52</v>
      </c>
    </row>
    <row r="2263" spans="1:19" x14ac:dyDescent="0.35">
      <c r="A2263">
        <v>2303</v>
      </c>
      <c r="B2263" t="s">
        <v>5266</v>
      </c>
      <c r="C2263" s="1">
        <v>42752</v>
      </c>
      <c r="D2263" s="1">
        <v>42756</v>
      </c>
      <c r="E2263" s="1" t="str">
        <f t="shared" si="35"/>
        <v>FAST</v>
      </c>
      <c r="F2263" t="s">
        <v>46</v>
      </c>
      <c r="G2263" t="s">
        <v>3224</v>
      </c>
      <c r="H2263" t="s">
        <v>3225</v>
      </c>
      <c r="I2263" t="s">
        <v>37</v>
      </c>
      <c r="J2263" t="s">
        <v>23</v>
      </c>
      <c r="K2263" t="s">
        <v>484</v>
      </c>
      <c r="L2263" t="s">
        <v>1258</v>
      </c>
      <c r="M2263">
        <v>31907</v>
      </c>
      <c r="N2263" t="s">
        <v>26</v>
      </c>
      <c r="O2263" t="s">
        <v>2123</v>
      </c>
      <c r="P2263" t="s">
        <v>67</v>
      </c>
      <c r="Q2263" t="s">
        <v>157</v>
      </c>
      <c r="R2263" t="s">
        <v>2124</v>
      </c>
      <c r="S2263">
        <v>316</v>
      </c>
    </row>
    <row r="2264" spans="1:19" x14ac:dyDescent="0.35">
      <c r="A2264">
        <v>2304</v>
      </c>
      <c r="B2264" t="s">
        <v>5267</v>
      </c>
      <c r="C2264" s="1">
        <v>43360</v>
      </c>
      <c r="D2264" s="1">
        <v>43365</v>
      </c>
      <c r="E2264" s="1" t="str">
        <f t="shared" si="35"/>
        <v>SLOW</v>
      </c>
      <c r="F2264" t="s">
        <v>19</v>
      </c>
      <c r="G2264" t="s">
        <v>2047</v>
      </c>
      <c r="H2264" t="s">
        <v>2048</v>
      </c>
      <c r="I2264" t="s">
        <v>98</v>
      </c>
      <c r="J2264" t="s">
        <v>23</v>
      </c>
      <c r="K2264" t="s">
        <v>3229</v>
      </c>
      <c r="L2264" t="s">
        <v>1258</v>
      </c>
      <c r="M2264">
        <v>30076</v>
      </c>
      <c r="N2264" t="s">
        <v>26</v>
      </c>
      <c r="O2264" t="s">
        <v>1266</v>
      </c>
      <c r="P2264" t="s">
        <v>28</v>
      </c>
      <c r="Q2264" t="s">
        <v>32</v>
      </c>
      <c r="R2264" t="s">
        <v>1267</v>
      </c>
      <c r="S2264">
        <v>723.92</v>
      </c>
    </row>
    <row r="2265" spans="1:19" x14ac:dyDescent="0.35">
      <c r="A2265">
        <v>2305</v>
      </c>
      <c r="B2265" t="s">
        <v>5267</v>
      </c>
      <c r="C2265" s="1">
        <v>43360</v>
      </c>
      <c r="D2265" s="1">
        <v>43365</v>
      </c>
      <c r="E2265" s="1" t="str">
        <f t="shared" si="35"/>
        <v>SLOW</v>
      </c>
      <c r="F2265" t="s">
        <v>19</v>
      </c>
      <c r="G2265" t="s">
        <v>2047</v>
      </c>
      <c r="H2265" t="s">
        <v>2048</v>
      </c>
      <c r="I2265" t="s">
        <v>98</v>
      </c>
      <c r="J2265" t="s">
        <v>23</v>
      </c>
      <c r="K2265" t="s">
        <v>3229</v>
      </c>
      <c r="L2265" t="s">
        <v>1258</v>
      </c>
      <c r="M2265">
        <v>30076</v>
      </c>
      <c r="N2265" t="s">
        <v>26</v>
      </c>
      <c r="O2265" t="s">
        <v>1042</v>
      </c>
      <c r="P2265" t="s">
        <v>42</v>
      </c>
      <c r="Q2265" t="s">
        <v>86</v>
      </c>
      <c r="R2265" t="s">
        <v>182</v>
      </c>
      <c r="S2265">
        <v>106.32</v>
      </c>
    </row>
    <row r="2266" spans="1:19" x14ac:dyDescent="0.35">
      <c r="A2266">
        <v>2306</v>
      </c>
      <c r="B2266" t="s">
        <v>5268</v>
      </c>
      <c r="C2266" s="1">
        <v>43092</v>
      </c>
      <c r="D2266" s="1">
        <v>43093</v>
      </c>
      <c r="E2266" s="1" t="str">
        <f t="shared" si="35"/>
        <v>MODERATE</v>
      </c>
      <c r="F2266" t="s">
        <v>184</v>
      </c>
      <c r="G2266" t="s">
        <v>1119</v>
      </c>
      <c r="H2266" t="s">
        <v>1120</v>
      </c>
      <c r="I2266" t="s">
        <v>37</v>
      </c>
      <c r="J2266" t="s">
        <v>23</v>
      </c>
      <c r="K2266" t="s">
        <v>297</v>
      </c>
      <c r="L2266" t="s">
        <v>205</v>
      </c>
      <c r="M2266">
        <v>60623</v>
      </c>
      <c r="N2266" t="s">
        <v>101</v>
      </c>
      <c r="O2266" t="s">
        <v>2755</v>
      </c>
      <c r="P2266" t="s">
        <v>28</v>
      </c>
      <c r="Q2266" t="s">
        <v>29</v>
      </c>
      <c r="R2266" t="s">
        <v>2756</v>
      </c>
      <c r="S2266">
        <v>141.37200000000001</v>
      </c>
    </row>
    <row r="2267" spans="1:19" x14ac:dyDescent="0.35">
      <c r="A2267">
        <v>2307</v>
      </c>
      <c r="B2267" t="s">
        <v>5269</v>
      </c>
      <c r="C2267" s="1">
        <v>42588</v>
      </c>
      <c r="D2267" s="1">
        <v>42590</v>
      </c>
      <c r="E2267" s="1" t="str">
        <f t="shared" si="35"/>
        <v>MODERATE</v>
      </c>
      <c r="F2267" t="s">
        <v>184</v>
      </c>
      <c r="G2267" t="s">
        <v>829</v>
      </c>
      <c r="H2267" t="s">
        <v>830</v>
      </c>
      <c r="I2267" t="s">
        <v>37</v>
      </c>
      <c r="J2267" t="s">
        <v>23</v>
      </c>
      <c r="K2267" t="s">
        <v>180</v>
      </c>
      <c r="L2267" t="s">
        <v>100</v>
      </c>
      <c r="M2267">
        <v>77041</v>
      </c>
      <c r="N2267" t="s">
        <v>101</v>
      </c>
      <c r="O2267" t="s">
        <v>2915</v>
      </c>
      <c r="P2267" t="s">
        <v>42</v>
      </c>
      <c r="Q2267" t="s">
        <v>86</v>
      </c>
      <c r="R2267" t="s">
        <v>2916</v>
      </c>
      <c r="S2267">
        <v>27.216000000000001</v>
      </c>
    </row>
    <row r="2268" spans="1:19" x14ac:dyDescent="0.35">
      <c r="A2268">
        <v>2308</v>
      </c>
      <c r="B2268" t="s">
        <v>5270</v>
      </c>
      <c r="C2268" s="1">
        <v>43409</v>
      </c>
      <c r="D2268" s="1">
        <v>43413</v>
      </c>
      <c r="E2268" s="1" t="str">
        <f t="shared" si="35"/>
        <v>FAST</v>
      </c>
      <c r="F2268" t="s">
        <v>46</v>
      </c>
      <c r="G2268" t="s">
        <v>5271</v>
      </c>
      <c r="H2268" t="s">
        <v>5272</v>
      </c>
      <c r="I2268" t="s">
        <v>22</v>
      </c>
      <c r="J2268" t="s">
        <v>23</v>
      </c>
      <c r="K2268" t="s">
        <v>260</v>
      </c>
      <c r="L2268" t="s">
        <v>261</v>
      </c>
      <c r="M2268">
        <v>10009</v>
      </c>
      <c r="N2268" t="s">
        <v>144</v>
      </c>
      <c r="O2268" t="s">
        <v>1825</v>
      </c>
      <c r="P2268" t="s">
        <v>67</v>
      </c>
      <c r="Q2268" t="s">
        <v>157</v>
      </c>
      <c r="R2268" t="s">
        <v>1826</v>
      </c>
      <c r="S2268">
        <v>390.75</v>
      </c>
    </row>
    <row r="2269" spans="1:19" x14ac:dyDescent="0.35">
      <c r="A2269">
        <v>2309</v>
      </c>
      <c r="B2269" t="s">
        <v>5273</v>
      </c>
      <c r="C2269" s="1">
        <v>43262</v>
      </c>
      <c r="D2269" s="1">
        <v>43263</v>
      </c>
      <c r="E2269" s="1" t="str">
        <f t="shared" si="35"/>
        <v>MODERATE</v>
      </c>
      <c r="F2269" t="s">
        <v>184</v>
      </c>
      <c r="G2269" t="s">
        <v>5274</v>
      </c>
      <c r="H2269" t="s">
        <v>5275</v>
      </c>
      <c r="I2269" t="s">
        <v>98</v>
      </c>
      <c r="J2269" t="s">
        <v>23</v>
      </c>
      <c r="K2269" t="s">
        <v>1370</v>
      </c>
      <c r="L2269" t="s">
        <v>304</v>
      </c>
      <c r="M2269">
        <v>85345</v>
      </c>
      <c r="N2269" t="s">
        <v>40</v>
      </c>
      <c r="O2269" t="s">
        <v>2527</v>
      </c>
      <c r="P2269" t="s">
        <v>28</v>
      </c>
      <c r="Q2269" t="s">
        <v>32</v>
      </c>
      <c r="R2269" t="s">
        <v>2528</v>
      </c>
      <c r="S2269">
        <v>280.79199999999997</v>
      </c>
    </row>
    <row r="2270" spans="1:19" x14ac:dyDescent="0.35">
      <c r="A2270">
        <v>2310</v>
      </c>
      <c r="B2270" t="s">
        <v>5273</v>
      </c>
      <c r="C2270" s="1">
        <v>43262</v>
      </c>
      <c r="D2270" s="1">
        <v>43263</v>
      </c>
      <c r="E2270" s="1" t="str">
        <f t="shared" si="35"/>
        <v>MODERATE</v>
      </c>
      <c r="F2270" t="s">
        <v>184</v>
      </c>
      <c r="G2270" t="s">
        <v>5274</v>
      </c>
      <c r="H2270" t="s">
        <v>5275</v>
      </c>
      <c r="I2270" t="s">
        <v>98</v>
      </c>
      <c r="J2270" t="s">
        <v>23</v>
      </c>
      <c r="K2270" t="s">
        <v>1370</v>
      </c>
      <c r="L2270" t="s">
        <v>304</v>
      </c>
      <c r="M2270">
        <v>85345</v>
      </c>
      <c r="N2270" t="s">
        <v>40</v>
      </c>
      <c r="O2270" t="s">
        <v>358</v>
      </c>
      <c r="P2270" t="s">
        <v>42</v>
      </c>
      <c r="Q2270" t="s">
        <v>55</v>
      </c>
      <c r="R2270" t="s">
        <v>359</v>
      </c>
      <c r="S2270">
        <v>68.447999999999993</v>
      </c>
    </row>
    <row r="2271" spans="1:19" x14ac:dyDescent="0.35">
      <c r="A2271">
        <v>2311</v>
      </c>
      <c r="B2271" t="s">
        <v>5273</v>
      </c>
      <c r="C2271" s="1">
        <v>43262</v>
      </c>
      <c r="D2271" s="1">
        <v>43263</v>
      </c>
      <c r="E2271" s="1" t="str">
        <f t="shared" si="35"/>
        <v>MODERATE</v>
      </c>
      <c r="F2271" t="s">
        <v>184</v>
      </c>
      <c r="G2271" t="s">
        <v>5274</v>
      </c>
      <c r="H2271" t="s">
        <v>5275</v>
      </c>
      <c r="I2271" t="s">
        <v>98</v>
      </c>
      <c r="J2271" t="s">
        <v>23</v>
      </c>
      <c r="K2271" t="s">
        <v>1370</v>
      </c>
      <c r="L2271" t="s">
        <v>304</v>
      </c>
      <c r="M2271">
        <v>85345</v>
      </c>
      <c r="N2271" t="s">
        <v>40</v>
      </c>
      <c r="O2271" t="s">
        <v>2561</v>
      </c>
      <c r="P2271" t="s">
        <v>42</v>
      </c>
      <c r="Q2271" t="s">
        <v>64</v>
      </c>
      <c r="R2271" t="s">
        <v>2562</v>
      </c>
      <c r="S2271">
        <v>88.04</v>
      </c>
    </row>
    <row r="2272" spans="1:19" x14ac:dyDescent="0.35">
      <c r="A2272">
        <v>2312</v>
      </c>
      <c r="B2272" t="s">
        <v>5273</v>
      </c>
      <c r="C2272" s="1">
        <v>43262</v>
      </c>
      <c r="D2272" s="1">
        <v>43263</v>
      </c>
      <c r="E2272" s="1" t="str">
        <f t="shared" si="35"/>
        <v>MODERATE</v>
      </c>
      <c r="F2272" t="s">
        <v>184</v>
      </c>
      <c r="G2272" t="s">
        <v>5274</v>
      </c>
      <c r="H2272" t="s">
        <v>5275</v>
      </c>
      <c r="I2272" t="s">
        <v>98</v>
      </c>
      <c r="J2272" t="s">
        <v>23</v>
      </c>
      <c r="K2272" t="s">
        <v>1370</v>
      </c>
      <c r="L2272" t="s">
        <v>304</v>
      </c>
      <c r="M2272">
        <v>85345</v>
      </c>
      <c r="N2272" t="s">
        <v>40</v>
      </c>
      <c r="O2272" t="s">
        <v>4093</v>
      </c>
      <c r="P2272" t="s">
        <v>42</v>
      </c>
      <c r="Q2272" t="s">
        <v>64</v>
      </c>
      <c r="R2272" t="s">
        <v>4094</v>
      </c>
      <c r="S2272">
        <v>15.872</v>
      </c>
    </row>
    <row r="2273" spans="1:19" x14ac:dyDescent="0.35">
      <c r="A2273">
        <v>2313</v>
      </c>
      <c r="B2273" t="s">
        <v>5273</v>
      </c>
      <c r="C2273" s="1">
        <v>43262</v>
      </c>
      <c r="D2273" s="1">
        <v>43263</v>
      </c>
      <c r="E2273" s="1" t="str">
        <f t="shared" si="35"/>
        <v>MODERATE</v>
      </c>
      <c r="F2273" t="s">
        <v>184</v>
      </c>
      <c r="G2273" t="s">
        <v>5274</v>
      </c>
      <c r="H2273" t="s">
        <v>5275</v>
      </c>
      <c r="I2273" t="s">
        <v>98</v>
      </c>
      <c r="J2273" t="s">
        <v>23</v>
      </c>
      <c r="K2273" t="s">
        <v>1370</v>
      </c>
      <c r="L2273" t="s">
        <v>304</v>
      </c>
      <c r="M2273">
        <v>85345</v>
      </c>
      <c r="N2273" t="s">
        <v>40</v>
      </c>
      <c r="O2273" t="s">
        <v>1669</v>
      </c>
      <c r="P2273" t="s">
        <v>42</v>
      </c>
      <c r="Q2273" t="s">
        <v>55</v>
      </c>
      <c r="R2273" t="s">
        <v>1670</v>
      </c>
      <c r="S2273">
        <v>215.59200000000001</v>
      </c>
    </row>
    <row r="2274" spans="1:19" x14ac:dyDescent="0.35">
      <c r="A2274">
        <v>2314</v>
      </c>
      <c r="B2274" t="s">
        <v>5276</v>
      </c>
      <c r="C2274" s="1">
        <v>43301</v>
      </c>
      <c r="D2274" s="1">
        <v>43306</v>
      </c>
      <c r="E2274" s="1" t="str">
        <f t="shared" si="35"/>
        <v>FAST</v>
      </c>
      <c r="F2274" t="s">
        <v>46</v>
      </c>
      <c r="G2274" t="s">
        <v>5277</v>
      </c>
      <c r="H2274" t="s">
        <v>5278</v>
      </c>
      <c r="I2274" t="s">
        <v>37</v>
      </c>
      <c r="J2274" t="s">
        <v>23</v>
      </c>
      <c r="K2274" t="s">
        <v>5279</v>
      </c>
      <c r="L2274" t="s">
        <v>5280</v>
      </c>
      <c r="M2274">
        <v>57103</v>
      </c>
      <c r="N2274" t="s">
        <v>101</v>
      </c>
      <c r="O2274" t="s">
        <v>2592</v>
      </c>
      <c r="P2274" t="s">
        <v>42</v>
      </c>
      <c r="Q2274" t="s">
        <v>43</v>
      </c>
      <c r="R2274" t="s">
        <v>2593</v>
      </c>
      <c r="S2274">
        <v>14.62</v>
      </c>
    </row>
    <row r="2275" spans="1:19" x14ac:dyDescent="0.35">
      <c r="A2275">
        <v>2316</v>
      </c>
      <c r="B2275" t="s">
        <v>5276</v>
      </c>
      <c r="C2275" s="1">
        <v>43301</v>
      </c>
      <c r="D2275" s="1">
        <v>43306</v>
      </c>
      <c r="E2275" s="1" t="str">
        <f t="shared" si="35"/>
        <v>FAST</v>
      </c>
      <c r="F2275" t="s">
        <v>46</v>
      </c>
      <c r="G2275" t="s">
        <v>5277</v>
      </c>
      <c r="H2275" t="s">
        <v>5278</v>
      </c>
      <c r="I2275" t="s">
        <v>37</v>
      </c>
      <c r="J2275" t="s">
        <v>23</v>
      </c>
      <c r="K2275" t="s">
        <v>5279</v>
      </c>
      <c r="L2275" t="s">
        <v>5280</v>
      </c>
      <c r="M2275">
        <v>57103</v>
      </c>
      <c r="N2275" t="s">
        <v>101</v>
      </c>
      <c r="O2275" t="s">
        <v>1843</v>
      </c>
      <c r="P2275" t="s">
        <v>42</v>
      </c>
      <c r="Q2275" t="s">
        <v>71</v>
      </c>
      <c r="R2275" t="s">
        <v>1844</v>
      </c>
      <c r="S2275">
        <v>43</v>
      </c>
    </row>
    <row r="2276" spans="1:19" x14ac:dyDescent="0.35">
      <c r="A2276">
        <v>2317</v>
      </c>
      <c r="B2276" t="s">
        <v>5276</v>
      </c>
      <c r="C2276" s="1">
        <v>43301</v>
      </c>
      <c r="D2276" s="1">
        <v>43306</v>
      </c>
      <c r="E2276" s="1" t="str">
        <f t="shared" si="35"/>
        <v>FAST</v>
      </c>
      <c r="F2276" t="s">
        <v>46</v>
      </c>
      <c r="G2276" t="s">
        <v>5277</v>
      </c>
      <c r="H2276" t="s">
        <v>5278</v>
      </c>
      <c r="I2276" t="s">
        <v>37</v>
      </c>
      <c r="J2276" t="s">
        <v>23</v>
      </c>
      <c r="K2276" t="s">
        <v>5279</v>
      </c>
      <c r="L2276" t="s">
        <v>5280</v>
      </c>
      <c r="M2276">
        <v>57103</v>
      </c>
      <c r="N2276" t="s">
        <v>101</v>
      </c>
      <c r="O2276" t="s">
        <v>4883</v>
      </c>
      <c r="P2276" t="s">
        <v>28</v>
      </c>
      <c r="Q2276" t="s">
        <v>32</v>
      </c>
      <c r="R2276" t="s">
        <v>4884</v>
      </c>
      <c r="S2276">
        <v>182.94</v>
      </c>
    </row>
    <row r="2277" spans="1:19" x14ac:dyDescent="0.35">
      <c r="A2277">
        <v>2318</v>
      </c>
      <c r="B2277" t="s">
        <v>5276</v>
      </c>
      <c r="C2277" s="1">
        <v>43301</v>
      </c>
      <c r="D2277" s="1">
        <v>43306</v>
      </c>
      <c r="E2277" s="1" t="str">
        <f t="shared" si="35"/>
        <v>FAST</v>
      </c>
      <c r="F2277" t="s">
        <v>46</v>
      </c>
      <c r="G2277" t="s">
        <v>5277</v>
      </c>
      <c r="H2277" t="s">
        <v>5278</v>
      </c>
      <c r="I2277" t="s">
        <v>37</v>
      </c>
      <c r="J2277" t="s">
        <v>23</v>
      </c>
      <c r="K2277" t="s">
        <v>5279</v>
      </c>
      <c r="L2277" t="s">
        <v>5280</v>
      </c>
      <c r="M2277">
        <v>57103</v>
      </c>
      <c r="N2277" t="s">
        <v>101</v>
      </c>
      <c r="O2277" t="s">
        <v>3262</v>
      </c>
      <c r="P2277" t="s">
        <v>42</v>
      </c>
      <c r="Q2277" t="s">
        <v>71</v>
      </c>
      <c r="R2277" t="s">
        <v>3263</v>
      </c>
      <c r="S2277">
        <v>60.83</v>
      </c>
    </row>
    <row r="2278" spans="1:19" x14ac:dyDescent="0.35">
      <c r="A2278">
        <v>2319</v>
      </c>
      <c r="B2278" t="s">
        <v>5276</v>
      </c>
      <c r="C2278" s="1">
        <v>43301</v>
      </c>
      <c r="D2278" s="1">
        <v>43306</v>
      </c>
      <c r="E2278" s="1" t="str">
        <f t="shared" si="35"/>
        <v>FAST</v>
      </c>
      <c r="F2278" t="s">
        <v>46</v>
      </c>
      <c r="G2278" t="s">
        <v>5277</v>
      </c>
      <c r="H2278" t="s">
        <v>5278</v>
      </c>
      <c r="I2278" t="s">
        <v>37</v>
      </c>
      <c r="J2278" t="s">
        <v>23</v>
      </c>
      <c r="K2278" t="s">
        <v>5279</v>
      </c>
      <c r="L2278" t="s">
        <v>5280</v>
      </c>
      <c r="M2278">
        <v>57103</v>
      </c>
      <c r="N2278" t="s">
        <v>101</v>
      </c>
      <c r="O2278" t="s">
        <v>5281</v>
      </c>
      <c r="P2278" t="s">
        <v>67</v>
      </c>
      <c r="Q2278" t="s">
        <v>157</v>
      </c>
      <c r="R2278" t="s">
        <v>5282</v>
      </c>
      <c r="S2278">
        <v>389.97</v>
      </c>
    </row>
    <row r="2279" spans="1:19" x14ac:dyDescent="0.35">
      <c r="A2279">
        <v>2320</v>
      </c>
      <c r="B2279" t="s">
        <v>5283</v>
      </c>
      <c r="C2279" s="1">
        <v>42727</v>
      </c>
      <c r="D2279" s="1">
        <v>42730</v>
      </c>
      <c r="E2279" s="1" t="str">
        <f t="shared" si="35"/>
        <v>MODERATE</v>
      </c>
      <c r="F2279" t="s">
        <v>184</v>
      </c>
      <c r="G2279" t="s">
        <v>1822</v>
      </c>
      <c r="H2279" t="s">
        <v>1823</v>
      </c>
      <c r="I2279" t="s">
        <v>22</v>
      </c>
      <c r="J2279" t="s">
        <v>23</v>
      </c>
      <c r="K2279" t="s">
        <v>1448</v>
      </c>
      <c r="L2279" t="s">
        <v>313</v>
      </c>
      <c r="M2279">
        <v>23223</v>
      </c>
      <c r="N2279" t="s">
        <v>26</v>
      </c>
      <c r="O2279" t="s">
        <v>2054</v>
      </c>
      <c r="P2279" t="s">
        <v>42</v>
      </c>
      <c r="Q2279" t="s">
        <v>74</v>
      </c>
      <c r="R2279" t="s">
        <v>2055</v>
      </c>
      <c r="S2279">
        <v>194.32</v>
      </c>
    </row>
    <row r="2280" spans="1:19" x14ac:dyDescent="0.35">
      <c r="A2280">
        <v>2321</v>
      </c>
      <c r="B2280" t="s">
        <v>5284</v>
      </c>
      <c r="C2280" s="1">
        <v>43179</v>
      </c>
      <c r="D2280" s="1">
        <v>43183</v>
      </c>
      <c r="E2280" s="1" t="str">
        <f t="shared" si="35"/>
        <v>FAST</v>
      </c>
      <c r="F2280" t="s">
        <v>46</v>
      </c>
      <c r="G2280" t="s">
        <v>2479</v>
      </c>
      <c r="H2280" t="s">
        <v>2480</v>
      </c>
      <c r="I2280" t="s">
        <v>37</v>
      </c>
      <c r="J2280" t="s">
        <v>23</v>
      </c>
      <c r="K2280" t="s">
        <v>91</v>
      </c>
      <c r="L2280" t="s">
        <v>92</v>
      </c>
      <c r="M2280">
        <v>98115</v>
      </c>
      <c r="N2280" t="s">
        <v>40</v>
      </c>
      <c r="O2280" t="s">
        <v>5285</v>
      </c>
      <c r="P2280" t="s">
        <v>67</v>
      </c>
      <c r="Q2280" t="s">
        <v>157</v>
      </c>
      <c r="R2280" t="s">
        <v>5286</v>
      </c>
      <c r="S2280">
        <v>265.93</v>
      </c>
    </row>
    <row r="2281" spans="1:19" x14ac:dyDescent="0.35">
      <c r="A2281">
        <v>2322</v>
      </c>
      <c r="B2281" t="s">
        <v>5287</v>
      </c>
      <c r="C2281" s="1">
        <v>42735</v>
      </c>
      <c r="D2281" s="1">
        <v>42738</v>
      </c>
      <c r="E2281" s="1" t="str">
        <f t="shared" si="35"/>
        <v>SLOW</v>
      </c>
      <c r="F2281" t="s">
        <v>19</v>
      </c>
      <c r="G2281" t="s">
        <v>2833</v>
      </c>
      <c r="H2281" t="s">
        <v>2834</v>
      </c>
      <c r="I2281" t="s">
        <v>37</v>
      </c>
      <c r="J2281" t="s">
        <v>23</v>
      </c>
      <c r="K2281" t="s">
        <v>24</v>
      </c>
      <c r="L2281" t="s">
        <v>25</v>
      </c>
      <c r="M2281">
        <v>42420</v>
      </c>
      <c r="N2281" t="s">
        <v>26</v>
      </c>
      <c r="O2281" t="s">
        <v>1378</v>
      </c>
      <c r="P2281" t="s">
        <v>42</v>
      </c>
      <c r="Q2281" t="s">
        <v>71</v>
      </c>
      <c r="R2281" t="s">
        <v>1379</v>
      </c>
      <c r="S2281">
        <v>94.74</v>
      </c>
    </row>
    <row r="2282" spans="1:19" x14ac:dyDescent="0.35">
      <c r="A2282">
        <v>2323</v>
      </c>
      <c r="B2282" t="s">
        <v>5287</v>
      </c>
      <c r="C2282" s="1">
        <v>42735</v>
      </c>
      <c r="D2282" s="1">
        <v>42738</v>
      </c>
      <c r="E2282" s="1" t="str">
        <f t="shared" si="35"/>
        <v>SLOW</v>
      </c>
      <c r="F2282" t="s">
        <v>19</v>
      </c>
      <c r="G2282" t="s">
        <v>2833</v>
      </c>
      <c r="H2282" t="s">
        <v>2834</v>
      </c>
      <c r="I2282" t="s">
        <v>37</v>
      </c>
      <c r="J2282" t="s">
        <v>23</v>
      </c>
      <c r="K2282" t="s">
        <v>24</v>
      </c>
      <c r="L2282" t="s">
        <v>25</v>
      </c>
      <c r="M2282">
        <v>42420</v>
      </c>
      <c r="N2282" t="s">
        <v>26</v>
      </c>
      <c r="O2282" t="s">
        <v>1108</v>
      </c>
      <c r="P2282" t="s">
        <v>42</v>
      </c>
      <c r="Q2282" t="s">
        <v>71</v>
      </c>
      <c r="R2282" t="s">
        <v>1109</v>
      </c>
      <c r="S2282">
        <v>60.64</v>
      </c>
    </row>
    <row r="2283" spans="1:19" x14ac:dyDescent="0.35">
      <c r="A2283">
        <v>2324</v>
      </c>
      <c r="B2283" t="s">
        <v>5287</v>
      </c>
      <c r="C2283" s="1">
        <v>42735</v>
      </c>
      <c r="D2283" s="1">
        <v>42738</v>
      </c>
      <c r="E2283" s="1" t="str">
        <f t="shared" si="35"/>
        <v>SLOW</v>
      </c>
      <c r="F2283" t="s">
        <v>19</v>
      </c>
      <c r="G2283" t="s">
        <v>2833</v>
      </c>
      <c r="H2283" t="s">
        <v>2834</v>
      </c>
      <c r="I2283" t="s">
        <v>37</v>
      </c>
      <c r="J2283" t="s">
        <v>23</v>
      </c>
      <c r="K2283" t="s">
        <v>24</v>
      </c>
      <c r="L2283" t="s">
        <v>25</v>
      </c>
      <c r="M2283">
        <v>42420</v>
      </c>
      <c r="N2283" t="s">
        <v>26</v>
      </c>
      <c r="O2283" t="s">
        <v>3045</v>
      </c>
      <c r="P2283" t="s">
        <v>42</v>
      </c>
      <c r="Q2283" t="s">
        <v>71</v>
      </c>
      <c r="R2283" t="s">
        <v>3046</v>
      </c>
      <c r="S2283">
        <v>76.3</v>
      </c>
    </row>
    <row r="2284" spans="1:19" x14ac:dyDescent="0.35">
      <c r="A2284">
        <v>2325</v>
      </c>
      <c r="B2284" t="s">
        <v>5287</v>
      </c>
      <c r="C2284" s="1">
        <v>42735</v>
      </c>
      <c r="D2284" s="1">
        <v>42738</v>
      </c>
      <c r="E2284" s="1" t="str">
        <f t="shared" si="35"/>
        <v>SLOW</v>
      </c>
      <c r="F2284" t="s">
        <v>19</v>
      </c>
      <c r="G2284" t="s">
        <v>2833</v>
      </c>
      <c r="H2284" t="s">
        <v>2834</v>
      </c>
      <c r="I2284" t="s">
        <v>37</v>
      </c>
      <c r="J2284" t="s">
        <v>23</v>
      </c>
      <c r="K2284" t="s">
        <v>24</v>
      </c>
      <c r="L2284" t="s">
        <v>25</v>
      </c>
      <c r="M2284">
        <v>42420</v>
      </c>
      <c r="N2284" t="s">
        <v>26</v>
      </c>
      <c r="O2284" t="s">
        <v>3881</v>
      </c>
      <c r="P2284" t="s">
        <v>42</v>
      </c>
      <c r="Q2284" t="s">
        <v>71</v>
      </c>
      <c r="R2284" t="s">
        <v>3882</v>
      </c>
      <c r="S2284">
        <v>364.8</v>
      </c>
    </row>
    <row r="2285" spans="1:19" x14ac:dyDescent="0.35">
      <c r="A2285">
        <v>2326</v>
      </c>
      <c r="B2285" t="s">
        <v>5288</v>
      </c>
      <c r="C2285" s="1">
        <v>42628</v>
      </c>
      <c r="D2285" s="1">
        <v>42632</v>
      </c>
      <c r="E2285" s="1" t="str">
        <f t="shared" si="35"/>
        <v>SLOW</v>
      </c>
      <c r="F2285" t="s">
        <v>19</v>
      </c>
      <c r="G2285" t="s">
        <v>5289</v>
      </c>
      <c r="H2285" t="s">
        <v>5290</v>
      </c>
      <c r="I2285" t="s">
        <v>37</v>
      </c>
      <c r="J2285" t="s">
        <v>23</v>
      </c>
      <c r="K2285" t="s">
        <v>260</v>
      </c>
      <c r="L2285" t="s">
        <v>261</v>
      </c>
      <c r="M2285">
        <v>10035</v>
      </c>
      <c r="N2285" t="s">
        <v>144</v>
      </c>
      <c r="O2285" t="s">
        <v>4760</v>
      </c>
      <c r="P2285" t="s">
        <v>42</v>
      </c>
      <c r="Q2285" t="s">
        <v>71</v>
      </c>
      <c r="R2285" t="s">
        <v>4761</v>
      </c>
      <c r="S2285">
        <v>79.872</v>
      </c>
    </row>
    <row r="2286" spans="1:19" x14ac:dyDescent="0.35">
      <c r="A2286">
        <v>2327</v>
      </c>
      <c r="B2286" t="s">
        <v>5288</v>
      </c>
      <c r="C2286" s="1">
        <v>42628</v>
      </c>
      <c r="D2286" s="1">
        <v>42632</v>
      </c>
      <c r="E2286" s="1" t="str">
        <f t="shared" si="35"/>
        <v>SLOW</v>
      </c>
      <c r="F2286" t="s">
        <v>19</v>
      </c>
      <c r="G2286" t="s">
        <v>5289</v>
      </c>
      <c r="H2286" t="s">
        <v>5290</v>
      </c>
      <c r="I2286" t="s">
        <v>37</v>
      </c>
      <c r="J2286" t="s">
        <v>23</v>
      </c>
      <c r="K2286" t="s">
        <v>260</v>
      </c>
      <c r="L2286" t="s">
        <v>261</v>
      </c>
      <c r="M2286">
        <v>10035</v>
      </c>
      <c r="N2286" t="s">
        <v>144</v>
      </c>
      <c r="O2286" t="s">
        <v>1064</v>
      </c>
      <c r="P2286" t="s">
        <v>28</v>
      </c>
      <c r="Q2286" t="s">
        <v>29</v>
      </c>
      <c r="R2286" t="s">
        <v>1065</v>
      </c>
      <c r="S2286">
        <v>46.384</v>
      </c>
    </row>
    <row r="2287" spans="1:19" x14ac:dyDescent="0.35">
      <c r="A2287">
        <v>2328</v>
      </c>
      <c r="B2287" t="s">
        <v>5288</v>
      </c>
      <c r="C2287" s="1">
        <v>42628</v>
      </c>
      <c r="D2287" s="1">
        <v>42632</v>
      </c>
      <c r="E2287" s="1" t="str">
        <f t="shared" si="35"/>
        <v>SLOW</v>
      </c>
      <c r="F2287" t="s">
        <v>19</v>
      </c>
      <c r="G2287" t="s">
        <v>5289</v>
      </c>
      <c r="H2287" t="s">
        <v>5290</v>
      </c>
      <c r="I2287" t="s">
        <v>37</v>
      </c>
      <c r="J2287" t="s">
        <v>23</v>
      </c>
      <c r="K2287" t="s">
        <v>260</v>
      </c>
      <c r="L2287" t="s">
        <v>261</v>
      </c>
      <c r="M2287">
        <v>10035</v>
      </c>
      <c r="N2287" t="s">
        <v>144</v>
      </c>
      <c r="O2287" t="s">
        <v>85</v>
      </c>
      <c r="P2287" t="s">
        <v>42</v>
      </c>
      <c r="Q2287" t="s">
        <v>86</v>
      </c>
      <c r="R2287" t="s">
        <v>87</v>
      </c>
      <c r="S2287">
        <v>12.96</v>
      </c>
    </row>
    <row r="2288" spans="1:19" x14ac:dyDescent="0.35">
      <c r="A2288">
        <v>2329</v>
      </c>
      <c r="B2288" t="s">
        <v>5291</v>
      </c>
      <c r="C2288" s="1">
        <v>43366</v>
      </c>
      <c r="D2288" s="1">
        <v>43369</v>
      </c>
      <c r="E2288" s="1" t="str">
        <f t="shared" si="35"/>
        <v>MODERATE</v>
      </c>
      <c r="F2288" t="s">
        <v>184</v>
      </c>
      <c r="G2288" t="s">
        <v>5292</v>
      </c>
      <c r="H2288" t="s">
        <v>5293</v>
      </c>
      <c r="I2288" t="s">
        <v>98</v>
      </c>
      <c r="J2288" t="s">
        <v>23</v>
      </c>
      <c r="K2288" t="s">
        <v>5294</v>
      </c>
      <c r="L2288" t="s">
        <v>444</v>
      </c>
      <c r="M2288">
        <v>80525</v>
      </c>
      <c r="N2288" t="s">
        <v>40</v>
      </c>
      <c r="O2288" t="s">
        <v>5295</v>
      </c>
      <c r="P2288" t="s">
        <v>42</v>
      </c>
      <c r="Q2288" t="s">
        <v>169</v>
      </c>
      <c r="R2288" t="s">
        <v>5296</v>
      </c>
      <c r="S2288">
        <v>14.352</v>
      </c>
    </row>
    <row r="2289" spans="1:19" x14ac:dyDescent="0.35">
      <c r="A2289">
        <v>2330</v>
      </c>
      <c r="B2289" t="s">
        <v>5297</v>
      </c>
      <c r="C2289" s="1">
        <v>42729</v>
      </c>
      <c r="D2289" s="1">
        <v>42733</v>
      </c>
      <c r="E2289" s="1" t="str">
        <f t="shared" si="35"/>
        <v>FAST</v>
      </c>
      <c r="F2289" t="s">
        <v>46</v>
      </c>
      <c r="G2289" t="s">
        <v>2089</v>
      </c>
      <c r="H2289" t="s">
        <v>2090</v>
      </c>
      <c r="I2289" t="s">
        <v>37</v>
      </c>
      <c r="J2289" t="s">
        <v>23</v>
      </c>
      <c r="K2289" t="s">
        <v>142</v>
      </c>
      <c r="L2289" t="s">
        <v>143</v>
      </c>
      <c r="M2289">
        <v>19140</v>
      </c>
      <c r="N2289" t="s">
        <v>144</v>
      </c>
      <c r="O2289" t="s">
        <v>5298</v>
      </c>
      <c r="P2289" t="s">
        <v>28</v>
      </c>
      <c r="Q2289" t="s">
        <v>61</v>
      </c>
      <c r="R2289" t="s">
        <v>5299</v>
      </c>
      <c r="S2289">
        <v>547.13599999999997</v>
      </c>
    </row>
    <row r="2290" spans="1:19" x14ac:dyDescent="0.35">
      <c r="A2290">
        <v>2331</v>
      </c>
      <c r="B2290" t="s">
        <v>5300</v>
      </c>
      <c r="C2290" s="1">
        <v>43002</v>
      </c>
      <c r="D2290" s="1">
        <v>43004</v>
      </c>
      <c r="E2290" s="1" t="str">
        <f t="shared" si="35"/>
        <v>SLOW</v>
      </c>
      <c r="F2290" t="s">
        <v>19</v>
      </c>
      <c r="G2290" t="s">
        <v>1332</v>
      </c>
      <c r="H2290" t="s">
        <v>1333</v>
      </c>
      <c r="I2290" t="s">
        <v>37</v>
      </c>
      <c r="J2290" t="s">
        <v>23</v>
      </c>
      <c r="K2290" t="s">
        <v>38</v>
      </c>
      <c r="L2290" t="s">
        <v>39</v>
      </c>
      <c r="M2290">
        <v>90004</v>
      </c>
      <c r="N2290" t="s">
        <v>40</v>
      </c>
      <c r="O2290" t="s">
        <v>820</v>
      </c>
      <c r="P2290" t="s">
        <v>42</v>
      </c>
      <c r="Q2290" t="s">
        <v>55</v>
      </c>
      <c r="R2290" t="s">
        <v>821</v>
      </c>
      <c r="S2290">
        <v>41.96</v>
      </c>
    </row>
    <row r="2291" spans="1:19" x14ac:dyDescent="0.35">
      <c r="A2291">
        <v>2332</v>
      </c>
      <c r="B2291" t="s">
        <v>5300</v>
      </c>
      <c r="C2291" s="1">
        <v>43002</v>
      </c>
      <c r="D2291" s="1">
        <v>43004</v>
      </c>
      <c r="E2291" s="1" t="str">
        <f t="shared" si="35"/>
        <v>SLOW</v>
      </c>
      <c r="F2291" t="s">
        <v>19</v>
      </c>
      <c r="G2291" t="s">
        <v>1332</v>
      </c>
      <c r="H2291" t="s">
        <v>1333</v>
      </c>
      <c r="I2291" t="s">
        <v>37</v>
      </c>
      <c r="J2291" t="s">
        <v>23</v>
      </c>
      <c r="K2291" t="s">
        <v>38</v>
      </c>
      <c r="L2291" t="s">
        <v>39</v>
      </c>
      <c r="M2291">
        <v>90004</v>
      </c>
      <c r="N2291" t="s">
        <v>40</v>
      </c>
      <c r="O2291" t="s">
        <v>5301</v>
      </c>
      <c r="P2291" t="s">
        <v>42</v>
      </c>
      <c r="Q2291" t="s">
        <v>86</v>
      </c>
      <c r="R2291" t="s">
        <v>5302</v>
      </c>
      <c r="S2291">
        <v>41.7</v>
      </c>
    </row>
    <row r="2292" spans="1:19" x14ac:dyDescent="0.35">
      <c r="A2292">
        <v>2333</v>
      </c>
      <c r="B2292" t="s">
        <v>5303</v>
      </c>
      <c r="C2292" s="1">
        <v>43180</v>
      </c>
      <c r="D2292" s="1">
        <v>43184</v>
      </c>
      <c r="E2292" s="1" t="str">
        <f t="shared" si="35"/>
        <v>FAST</v>
      </c>
      <c r="F2292" t="s">
        <v>46</v>
      </c>
      <c r="G2292" t="s">
        <v>2912</v>
      </c>
      <c r="H2292" t="s">
        <v>2913</v>
      </c>
      <c r="I2292" t="s">
        <v>22</v>
      </c>
      <c r="J2292" t="s">
        <v>23</v>
      </c>
      <c r="K2292" t="s">
        <v>4229</v>
      </c>
      <c r="L2292" t="s">
        <v>248</v>
      </c>
      <c r="M2292">
        <v>47905</v>
      </c>
      <c r="N2292" t="s">
        <v>101</v>
      </c>
      <c r="O2292" t="s">
        <v>1604</v>
      </c>
      <c r="P2292" t="s">
        <v>42</v>
      </c>
      <c r="Q2292" t="s">
        <v>86</v>
      </c>
      <c r="R2292" t="s">
        <v>1605</v>
      </c>
      <c r="S2292">
        <v>277.39999999999998</v>
      </c>
    </row>
    <row r="2293" spans="1:19" x14ac:dyDescent="0.35">
      <c r="A2293">
        <v>2334</v>
      </c>
      <c r="B2293" t="s">
        <v>5303</v>
      </c>
      <c r="C2293" s="1">
        <v>43180</v>
      </c>
      <c r="D2293" s="1">
        <v>43184</v>
      </c>
      <c r="E2293" s="1" t="str">
        <f t="shared" si="35"/>
        <v>FAST</v>
      </c>
      <c r="F2293" t="s">
        <v>46</v>
      </c>
      <c r="G2293" t="s">
        <v>2912</v>
      </c>
      <c r="H2293" t="s">
        <v>2913</v>
      </c>
      <c r="I2293" t="s">
        <v>22</v>
      </c>
      <c r="J2293" t="s">
        <v>23</v>
      </c>
      <c r="K2293" t="s">
        <v>4229</v>
      </c>
      <c r="L2293" t="s">
        <v>248</v>
      </c>
      <c r="M2293">
        <v>47905</v>
      </c>
      <c r="N2293" t="s">
        <v>101</v>
      </c>
      <c r="O2293" t="s">
        <v>2346</v>
      </c>
      <c r="P2293" t="s">
        <v>42</v>
      </c>
      <c r="Q2293" t="s">
        <v>86</v>
      </c>
      <c r="R2293" t="s">
        <v>2347</v>
      </c>
      <c r="S2293">
        <v>5.78</v>
      </c>
    </row>
    <row r="2294" spans="1:19" x14ac:dyDescent="0.35">
      <c r="A2294">
        <v>2335</v>
      </c>
      <c r="B2294" t="s">
        <v>5304</v>
      </c>
      <c r="C2294" s="1">
        <v>42277</v>
      </c>
      <c r="D2294" s="1">
        <v>42281</v>
      </c>
      <c r="E2294" s="1" t="str">
        <f t="shared" si="35"/>
        <v>FAST</v>
      </c>
      <c r="F2294" t="s">
        <v>46</v>
      </c>
      <c r="G2294" t="s">
        <v>5305</v>
      </c>
      <c r="H2294" t="s">
        <v>5306</v>
      </c>
      <c r="I2294" t="s">
        <v>22</v>
      </c>
      <c r="J2294" t="s">
        <v>23</v>
      </c>
      <c r="K2294" t="s">
        <v>5307</v>
      </c>
      <c r="L2294" t="s">
        <v>329</v>
      </c>
      <c r="M2294">
        <v>37042</v>
      </c>
      <c r="N2294" t="s">
        <v>26</v>
      </c>
      <c r="O2294" t="s">
        <v>1318</v>
      </c>
      <c r="P2294" t="s">
        <v>42</v>
      </c>
      <c r="Q2294" t="s">
        <v>74</v>
      </c>
      <c r="R2294" t="s">
        <v>1319</v>
      </c>
      <c r="S2294">
        <v>69.215999999999994</v>
      </c>
    </row>
    <row r="2295" spans="1:19" x14ac:dyDescent="0.35">
      <c r="A2295">
        <v>2336</v>
      </c>
      <c r="B2295" t="s">
        <v>5308</v>
      </c>
      <c r="C2295" s="1">
        <v>43444</v>
      </c>
      <c r="D2295" s="1">
        <v>43444</v>
      </c>
      <c r="E2295" s="1" t="str">
        <f t="shared" si="35"/>
        <v>MODERATE</v>
      </c>
      <c r="F2295" t="s">
        <v>1276</v>
      </c>
      <c r="G2295" t="s">
        <v>3492</v>
      </c>
      <c r="H2295" t="s">
        <v>3493</v>
      </c>
      <c r="I2295" t="s">
        <v>22</v>
      </c>
      <c r="J2295" t="s">
        <v>23</v>
      </c>
      <c r="K2295" t="s">
        <v>735</v>
      </c>
      <c r="L2295" t="s">
        <v>736</v>
      </c>
      <c r="M2295">
        <v>6824</v>
      </c>
      <c r="N2295" t="s">
        <v>144</v>
      </c>
      <c r="O2295" t="s">
        <v>576</v>
      </c>
      <c r="P2295" t="s">
        <v>42</v>
      </c>
      <c r="Q2295" t="s">
        <v>169</v>
      </c>
      <c r="R2295" t="s">
        <v>577</v>
      </c>
      <c r="S2295">
        <v>10.86</v>
      </c>
    </row>
    <row r="2296" spans="1:19" x14ac:dyDescent="0.35">
      <c r="A2296">
        <v>2337</v>
      </c>
      <c r="B2296" t="s">
        <v>5308</v>
      </c>
      <c r="C2296" s="1">
        <v>43444</v>
      </c>
      <c r="D2296" s="1">
        <v>43444</v>
      </c>
      <c r="E2296" s="1" t="str">
        <f t="shared" si="35"/>
        <v>MODERATE</v>
      </c>
      <c r="F2296" t="s">
        <v>1276</v>
      </c>
      <c r="G2296" t="s">
        <v>3492</v>
      </c>
      <c r="H2296" t="s">
        <v>3493</v>
      </c>
      <c r="I2296" t="s">
        <v>22</v>
      </c>
      <c r="J2296" t="s">
        <v>23</v>
      </c>
      <c r="K2296" t="s">
        <v>735</v>
      </c>
      <c r="L2296" t="s">
        <v>736</v>
      </c>
      <c r="M2296">
        <v>6824</v>
      </c>
      <c r="N2296" t="s">
        <v>144</v>
      </c>
      <c r="O2296" t="s">
        <v>5309</v>
      </c>
      <c r="P2296" t="s">
        <v>42</v>
      </c>
      <c r="Q2296" t="s">
        <v>74</v>
      </c>
      <c r="R2296" t="s">
        <v>5310</v>
      </c>
      <c r="S2296">
        <v>426.79</v>
      </c>
    </row>
    <row r="2297" spans="1:19" x14ac:dyDescent="0.35">
      <c r="A2297">
        <v>2338</v>
      </c>
      <c r="B2297" t="s">
        <v>5311</v>
      </c>
      <c r="C2297" s="1">
        <v>42239</v>
      </c>
      <c r="D2297" s="1">
        <v>42239</v>
      </c>
      <c r="E2297" s="1" t="str">
        <f t="shared" si="35"/>
        <v>MODERATE</v>
      </c>
      <c r="F2297" t="s">
        <v>1276</v>
      </c>
      <c r="G2297" t="s">
        <v>2467</v>
      </c>
      <c r="H2297" t="s">
        <v>2468</v>
      </c>
      <c r="I2297" t="s">
        <v>22</v>
      </c>
      <c r="J2297" t="s">
        <v>23</v>
      </c>
      <c r="K2297" t="s">
        <v>260</v>
      </c>
      <c r="L2297" t="s">
        <v>261</v>
      </c>
      <c r="M2297">
        <v>10009</v>
      </c>
      <c r="N2297" t="s">
        <v>144</v>
      </c>
      <c r="O2297" t="s">
        <v>5312</v>
      </c>
      <c r="P2297" t="s">
        <v>42</v>
      </c>
      <c r="Q2297" t="s">
        <v>86</v>
      </c>
      <c r="R2297" t="s">
        <v>5313</v>
      </c>
      <c r="S2297">
        <v>25.92</v>
      </c>
    </row>
    <row r="2298" spans="1:19" x14ac:dyDescent="0.35">
      <c r="A2298">
        <v>2339</v>
      </c>
      <c r="B2298" t="s">
        <v>5311</v>
      </c>
      <c r="C2298" s="1">
        <v>42239</v>
      </c>
      <c r="D2298" s="1">
        <v>42239</v>
      </c>
      <c r="E2298" s="1" t="str">
        <f t="shared" si="35"/>
        <v>MODERATE</v>
      </c>
      <c r="F2298" t="s">
        <v>1276</v>
      </c>
      <c r="G2298" t="s">
        <v>2467</v>
      </c>
      <c r="H2298" t="s">
        <v>2468</v>
      </c>
      <c r="I2298" t="s">
        <v>22</v>
      </c>
      <c r="J2298" t="s">
        <v>23</v>
      </c>
      <c r="K2298" t="s">
        <v>260</v>
      </c>
      <c r="L2298" t="s">
        <v>261</v>
      </c>
      <c r="M2298">
        <v>10009</v>
      </c>
      <c r="N2298" t="s">
        <v>144</v>
      </c>
      <c r="O2298" t="s">
        <v>1905</v>
      </c>
      <c r="P2298" t="s">
        <v>42</v>
      </c>
      <c r="Q2298" t="s">
        <v>86</v>
      </c>
      <c r="R2298" t="s">
        <v>1906</v>
      </c>
      <c r="S2298">
        <v>45.92</v>
      </c>
    </row>
    <row r="2299" spans="1:19" x14ac:dyDescent="0.35">
      <c r="A2299">
        <v>2340</v>
      </c>
      <c r="B2299" t="s">
        <v>5314</v>
      </c>
      <c r="C2299" s="1">
        <v>42235</v>
      </c>
      <c r="D2299" s="1">
        <v>42240</v>
      </c>
      <c r="E2299" s="1" t="str">
        <f t="shared" si="35"/>
        <v>FAST</v>
      </c>
      <c r="F2299" t="s">
        <v>46</v>
      </c>
      <c r="G2299" t="s">
        <v>5235</v>
      </c>
      <c r="H2299" t="s">
        <v>5236</v>
      </c>
      <c r="I2299" t="s">
        <v>22</v>
      </c>
      <c r="J2299" t="s">
        <v>23</v>
      </c>
      <c r="K2299" t="s">
        <v>484</v>
      </c>
      <c r="L2299" t="s">
        <v>485</v>
      </c>
      <c r="M2299">
        <v>43229</v>
      </c>
      <c r="N2299" t="s">
        <v>144</v>
      </c>
      <c r="O2299" t="s">
        <v>392</v>
      </c>
      <c r="P2299" t="s">
        <v>42</v>
      </c>
      <c r="Q2299" t="s">
        <v>64</v>
      </c>
      <c r="R2299" t="s">
        <v>393</v>
      </c>
      <c r="S2299">
        <v>10.72</v>
      </c>
    </row>
    <row r="2300" spans="1:19" x14ac:dyDescent="0.35">
      <c r="A2300">
        <v>2341</v>
      </c>
      <c r="B2300" t="s">
        <v>5315</v>
      </c>
      <c r="C2300" s="1">
        <v>43049</v>
      </c>
      <c r="D2300" s="1">
        <v>43054</v>
      </c>
      <c r="E2300" s="1" t="str">
        <f t="shared" si="35"/>
        <v>FAST</v>
      </c>
      <c r="F2300" t="s">
        <v>46</v>
      </c>
      <c r="G2300" t="s">
        <v>2376</v>
      </c>
      <c r="H2300" t="s">
        <v>2377</v>
      </c>
      <c r="I2300" t="s">
        <v>22</v>
      </c>
      <c r="J2300" t="s">
        <v>23</v>
      </c>
      <c r="K2300" t="s">
        <v>2074</v>
      </c>
      <c r="L2300" t="s">
        <v>1258</v>
      </c>
      <c r="M2300">
        <v>31088</v>
      </c>
      <c r="N2300" t="s">
        <v>26</v>
      </c>
      <c r="O2300" t="s">
        <v>3391</v>
      </c>
      <c r="P2300" t="s">
        <v>42</v>
      </c>
      <c r="Q2300" t="s">
        <v>64</v>
      </c>
      <c r="R2300" t="s">
        <v>3392</v>
      </c>
      <c r="S2300">
        <v>41.86</v>
      </c>
    </row>
    <row r="2301" spans="1:19" x14ac:dyDescent="0.35">
      <c r="A2301">
        <v>2342</v>
      </c>
      <c r="B2301" t="s">
        <v>5316</v>
      </c>
      <c r="C2301" s="1">
        <v>42369</v>
      </c>
      <c r="D2301" s="1">
        <v>42372</v>
      </c>
      <c r="E2301" s="1" t="str">
        <f t="shared" si="35"/>
        <v>MODERATE</v>
      </c>
      <c r="F2301" t="s">
        <v>184</v>
      </c>
      <c r="G2301" t="s">
        <v>385</v>
      </c>
      <c r="H2301" t="s">
        <v>386</v>
      </c>
      <c r="I2301" t="s">
        <v>98</v>
      </c>
      <c r="J2301" t="s">
        <v>23</v>
      </c>
      <c r="K2301" t="s">
        <v>600</v>
      </c>
      <c r="L2301" t="s">
        <v>1233</v>
      </c>
      <c r="M2301">
        <v>2038</v>
      </c>
      <c r="N2301" t="s">
        <v>144</v>
      </c>
      <c r="O2301" t="s">
        <v>5317</v>
      </c>
      <c r="P2301" t="s">
        <v>28</v>
      </c>
      <c r="Q2301" t="s">
        <v>61</v>
      </c>
      <c r="R2301" t="s">
        <v>5318</v>
      </c>
      <c r="S2301">
        <v>63.2</v>
      </c>
    </row>
    <row r="2302" spans="1:19" x14ac:dyDescent="0.35">
      <c r="A2302">
        <v>2343</v>
      </c>
      <c r="B2302" t="s">
        <v>5316</v>
      </c>
      <c r="C2302" s="1">
        <v>42369</v>
      </c>
      <c r="D2302" s="1">
        <v>42372</v>
      </c>
      <c r="E2302" s="1" t="str">
        <f t="shared" si="35"/>
        <v>MODERATE</v>
      </c>
      <c r="F2302" t="s">
        <v>184</v>
      </c>
      <c r="G2302" t="s">
        <v>385</v>
      </c>
      <c r="H2302" t="s">
        <v>386</v>
      </c>
      <c r="I2302" t="s">
        <v>98</v>
      </c>
      <c r="J2302" t="s">
        <v>23</v>
      </c>
      <c r="K2302" t="s">
        <v>600</v>
      </c>
      <c r="L2302" t="s">
        <v>1233</v>
      </c>
      <c r="M2302">
        <v>2038</v>
      </c>
      <c r="N2302" t="s">
        <v>144</v>
      </c>
      <c r="O2302" t="s">
        <v>5285</v>
      </c>
      <c r="P2302" t="s">
        <v>67</v>
      </c>
      <c r="Q2302" t="s">
        <v>157</v>
      </c>
      <c r="R2302" t="s">
        <v>5286</v>
      </c>
      <c r="S2302">
        <v>113.97</v>
      </c>
    </row>
    <row r="2303" spans="1:19" x14ac:dyDescent="0.35">
      <c r="A2303">
        <v>2344</v>
      </c>
      <c r="B2303" t="s">
        <v>5319</v>
      </c>
      <c r="C2303" s="1">
        <v>42211</v>
      </c>
      <c r="D2303" s="1">
        <v>42215</v>
      </c>
      <c r="E2303" s="1" t="str">
        <f t="shared" si="35"/>
        <v>SLOW</v>
      </c>
      <c r="F2303" t="s">
        <v>19</v>
      </c>
      <c r="G2303" t="s">
        <v>4055</v>
      </c>
      <c r="H2303" t="s">
        <v>4056</v>
      </c>
      <c r="I2303" t="s">
        <v>22</v>
      </c>
      <c r="J2303" t="s">
        <v>23</v>
      </c>
      <c r="K2303" t="s">
        <v>297</v>
      </c>
      <c r="L2303" t="s">
        <v>205</v>
      </c>
      <c r="M2303">
        <v>60623</v>
      </c>
      <c r="N2303" t="s">
        <v>101</v>
      </c>
      <c r="O2303" t="s">
        <v>948</v>
      </c>
      <c r="P2303" t="s">
        <v>42</v>
      </c>
      <c r="Q2303" t="s">
        <v>55</v>
      </c>
      <c r="R2303" t="s">
        <v>949</v>
      </c>
      <c r="S2303">
        <v>123.55200000000001</v>
      </c>
    </row>
    <row r="2304" spans="1:19" x14ac:dyDescent="0.35">
      <c r="A2304">
        <v>2345</v>
      </c>
      <c r="B2304" t="s">
        <v>5320</v>
      </c>
      <c r="C2304" s="1">
        <v>42788</v>
      </c>
      <c r="D2304" s="1">
        <v>42794</v>
      </c>
      <c r="E2304" s="1" t="str">
        <f t="shared" si="35"/>
        <v>FAST</v>
      </c>
      <c r="F2304" t="s">
        <v>46</v>
      </c>
      <c r="G2304" t="s">
        <v>3195</v>
      </c>
      <c r="H2304" t="s">
        <v>3196</v>
      </c>
      <c r="I2304" t="s">
        <v>98</v>
      </c>
      <c r="J2304" t="s">
        <v>23</v>
      </c>
      <c r="K2304" t="s">
        <v>2520</v>
      </c>
      <c r="L2304" t="s">
        <v>110</v>
      </c>
      <c r="M2304">
        <v>53209</v>
      </c>
      <c r="N2304" t="s">
        <v>101</v>
      </c>
      <c r="O2304" t="s">
        <v>5321</v>
      </c>
      <c r="P2304" t="s">
        <v>42</v>
      </c>
      <c r="Q2304" t="s">
        <v>74</v>
      </c>
      <c r="R2304" t="s">
        <v>5322</v>
      </c>
      <c r="S2304">
        <v>490.32</v>
      </c>
    </row>
    <row r="2305" spans="1:19" x14ac:dyDescent="0.35">
      <c r="A2305">
        <v>2346</v>
      </c>
      <c r="B2305" t="s">
        <v>5323</v>
      </c>
      <c r="C2305" s="1">
        <v>42807</v>
      </c>
      <c r="D2305" s="1">
        <v>42812</v>
      </c>
      <c r="E2305" s="1" t="str">
        <f t="shared" si="35"/>
        <v>FAST</v>
      </c>
      <c r="F2305" t="s">
        <v>46</v>
      </c>
      <c r="G2305" t="s">
        <v>2446</v>
      </c>
      <c r="H2305" t="s">
        <v>2447</v>
      </c>
      <c r="I2305" t="s">
        <v>22</v>
      </c>
      <c r="J2305" t="s">
        <v>23</v>
      </c>
      <c r="K2305" t="s">
        <v>667</v>
      </c>
      <c r="L2305" t="s">
        <v>100</v>
      </c>
      <c r="M2305">
        <v>78207</v>
      </c>
      <c r="N2305" t="s">
        <v>101</v>
      </c>
      <c r="O2305" t="s">
        <v>686</v>
      </c>
      <c r="P2305" t="s">
        <v>42</v>
      </c>
      <c r="Q2305" t="s">
        <v>86</v>
      </c>
      <c r="R2305" t="s">
        <v>5324</v>
      </c>
      <c r="S2305">
        <v>70.08</v>
      </c>
    </row>
    <row r="2306" spans="1:19" x14ac:dyDescent="0.35">
      <c r="A2306">
        <v>2347</v>
      </c>
      <c r="B2306" t="s">
        <v>5323</v>
      </c>
      <c r="C2306" s="1">
        <v>42807</v>
      </c>
      <c r="D2306" s="1">
        <v>42812</v>
      </c>
      <c r="E2306" s="1" t="str">
        <f t="shared" si="35"/>
        <v>FAST</v>
      </c>
      <c r="F2306" t="s">
        <v>46</v>
      </c>
      <c r="G2306" t="s">
        <v>2446</v>
      </c>
      <c r="H2306" t="s">
        <v>2447</v>
      </c>
      <c r="I2306" t="s">
        <v>22</v>
      </c>
      <c r="J2306" t="s">
        <v>23</v>
      </c>
      <c r="K2306" t="s">
        <v>667</v>
      </c>
      <c r="L2306" t="s">
        <v>100</v>
      </c>
      <c r="M2306">
        <v>78207</v>
      </c>
      <c r="N2306" t="s">
        <v>101</v>
      </c>
      <c r="O2306" t="s">
        <v>5325</v>
      </c>
      <c r="P2306" t="s">
        <v>42</v>
      </c>
      <c r="Q2306" t="s">
        <v>71</v>
      </c>
      <c r="R2306" t="s">
        <v>5326</v>
      </c>
      <c r="S2306">
        <v>1.272</v>
      </c>
    </row>
    <row r="2307" spans="1:19" x14ac:dyDescent="0.35">
      <c r="A2307">
        <v>2348</v>
      </c>
      <c r="B2307" t="s">
        <v>5323</v>
      </c>
      <c r="C2307" s="1">
        <v>42807</v>
      </c>
      <c r="D2307" s="1">
        <v>42812</v>
      </c>
      <c r="E2307" s="1" t="str">
        <f t="shared" ref="E2307:E2370" si="36">IF(F2307="STANDARD CLASS","FAST",IF(F2307="SECOND CLASS","SLOW","MODERATE"))</f>
        <v>FAST</v>
      </c>
      <c r="F2307" t="s">
        <v>46</v>
      </c>
      <c r="G2307" t="s">
        <v>2446</v>
      </c>
      <c r="H2307" t="s">
        <v>2447</v>
      </c>
      <c r="I2307" t="s">
        <v>22</v>
      </c>
      <c r="J2307" t="s">
        <v>23</v>
      </c>
      <c r="K2307" t="s">
        <v>667</v>
      </c>
      <c r="L2307" t="s">
        <v>100</v>
      </c>
      <c r="M2307">
        <v>78207</v>
      </c>
      <c r="N2307" t="s">
        <v>101</v>
      </c>
      <c r="O2307" t="s">
        <v>3456</v>
      </c>
      <c r="P2307" t="s">
        <v>28</v>
      </c>
      <c r="Q2307" t="s">
        <v>52</v>
      </c>
      <c r="R2307" t="s">
        <v>3457</v>
      </c>
      <c r="S2307">
        <v>557.58500000000004</v>
      </c>
    </row>
    <row r="2308" spans="1:19" x14ac:dyDescent="0.35">
      <c r="A2308">
        <v>2350</v>
      </c>
      <c r="B2308" t="s">
        <v>5327</v>
      </c>
      <c r="C2308" s="1">
        <v>43436</v>
      </c>
      <c r="D2308" s="1">
        <v>43437</v>
      </c>
      <c r="E2308" s="1" t="str">
        <f t="shared" si="36"/>
        <v>MODERATE</v>
      </c>
      <c r="F2308" t="s">
        <v>1276</v>
      </c>
      <c r="G2308" t="s">
        <v>745</v>
      </c>
      <c r="H2308" t="s">
        <v>746</v>
      </c>
      <c r="I2308" t="s">
        <v>37</v>
      </c>
      <c r="J2308" t="s">
        <v>23</v>
      </c>
      <c r="K2308" t="s">
        <v>38</v>
      </c>
      <c r="L2308" t="s">
        <v>39</v>
      </c>
      <c r="M2308">
        <v>90032</v>
      </c>
      <c r="N2308" t="s">
        <v>40</v>
      </c>
      <c r="O2308" t="s">
        <v>5328</v>
      </c>
      <c r="P2308" t="s">
        <v>42</v>
      </c>
      <c r="Q2308" t="s">
        <v>71</v>
      </c>
      <c r="R2308" t="s">
        <v>5329</v>
      </c>
      <c r="S2308">
        <v>69.456000000000003</v>
      </c>
    </row>
    <row r="2309" spans="1:19" x14ac:dyDescent="0.35">
      <c r="A2309">
        <v>2351</v>
      </c>
      <c r="B2309" t="s">
        <v>5327</v>
      </c>
      <c r="C2309" s="1">
        <v>43436</v>
      </c>
      <c r="D2309" s="1">
        <v>43437</v>
      </c>
      <c r="E2309" s="1" t="str">
        <f t="shared" si="36"/>
        <v>MODERATE</v>
      </c>
      <c r="F2309" t="s">
        <v>1276</v>
      </c>
      <c r="G2309" t="s">
        <v>745</v>
      </c>
      <c r="H2309" t="s">
        <v>746</v>
      </c>
      <c r="I2309" t="s">
        <v>37</v>
      </c>
      <c r="J2309" t="s">
        <v>23</v>
      </c>
      <c r="K2309" t="s">
        <v>38</v>
      </c>
      <c r="L2309" t="s">
        <v>39</v>
      </c>
      <c r="M2309">
        <v>90032</v>
      </c>
      <c r="N2309" t="s">
        <v>40</v>
      </c>
      <c r="O2309" t="s">
        <v>1418</v>
      </c>
      <c r="P2309" t="s">
        <v>42</v>
      </c>
      <c r="Q2309" t="s">
        <v>86</v>
      </c>
      <c r="R2309" t="s">
        <v>1419</v>
      </c>
      <c r="S2309">
        <v>10.86</v>
      </c>
    </row>
    <row r="2310" spans="1:19" x14ac:dyDescent="0.35">
      <c r="A2310">
        <v>2352</v>
      </c>
      <c r="B2310" t="s">
        <v>5327</v>
      </c>
      <c r="C2310" s="1">
        <v>43436</v>
      </c>
      <c r="D2310" s="1">
        <v>43437</v>
      </c>
      <c r="E2310" s="1" t="str">
        <f t="shared" si="36"/>
        <v>MODERATE</v>
      </c>
      <c r="F2310" t="s">
        <v>1276</v>
      </c>
      <c r="G2310" t="s">
        <v>745</v>
      </c>
      <c r="H2310" t="s">
        <v>746</v>
      </c>
      <c r="I2310" t="s">
        <v>37</v>
      </c>
      <c r="J2310" t="s">
        <v>23</v>
      </c>
      <c r="K2310" t="s">
        <v>38</v>
      </c>
      <c r="L2310" t="s">
        <v>39</v>
      </c>
      <c r="M2310">
        <v>90032</v>
      </c>
      <c r="N2310" t="s">
        <v>40</v>
      </c>
      <c r="O2310" t="s">
        <v>5146</v>
      </c>
      <c r="P2310" t="s">
        <v>42</v>
      </c>
      <c r="Q2310" t="s">
        <v>74</v>
      </c>
      <c r="R2310" t="s">
        <v>5147</v>
      </c>
      <c r="S2310">
        <v>79.47</v>
      </c>
    </row>
    <row r="2311" spans="1:19" x14ac:dyDescent="0.35">
      <c r="A2311">
        <v>2353</v>
      </c>
      <c r="B2311" t="s">
        <v>5327</v>
      </c>
      <c r="C2311" s="1">
        <v>43436</v>
      </c>
      <c r="D2311" s="1">
        <v>43437</v>
      </c>
      <c r="E2311" s="1" t="str">
        <f t="shared" si="36"/>
        <v>MODERATE</v>
      </c>
      <c r="F2311" t="s">
        <v>1276</v>
      </c>
      <c r="G2311" t="s">
        <v>745</v>
      </c>
      <c r="H2311" t="s">
        <v>746</v>
      </c>
      <c r="I2311" t="s">
        <v>37</v>
      </c>
      <c r="J2311" t="s">
        <v>23</v>
      </c>
      <c r="K2311" t="s">
        <v>38</v>
      </c>
      <c r="L2311" t="s">
        <v>39</v>
      </c>
      <c r="M2311">
        <v>90032</v>
      </c>
      <c r="N2311" t="s">
        <v>40</v>
      </c>
      <c r="O2311" t="s">
        <v>281</v>
      </c>
      <c r="P2311" t="s">
        <v>42</v>
      </c>
      <c r="Q2311" t="s">
        <v>64</v>
      </c>
      <c r="R2311" t="s">
        <v>282</v>
      </c>
      <c r="S2311">
        <v>10.08</v>
      </c>
    </row>
    <row r="2312" spans="1:19" x14ac:dyDescent="0.35">
      <c r="A2312">
        <v>2354</v>
      </c>
      <c r="B2312" t="s">
        <v>5330</v>
      </c>
      <c r="C2312" s="1">
        <v>42613</v>
      </c>
      <c r="D2312" s="1">
        <v>42615</v>
      </c>
      <c r="E2312" s="1" t="str">
        <f t="shared" si="36"/>
        <v>MODERATE</v>
      </c>
      <c r="F2312" t="s">
        <v>184</v>
      </c>
      <c r="G2312" t="s">
        <v>5331</v>
      </c>
      <c r="H2312" t="s">
        <v>5332</v>
      </c>
      <c r="I2312" t="s">
        <v>37</v>
      </c>
      <c r="J2312" t="s">
        <v>23</v>
      </c>
      <c r="K2312" t="s">
        <v>123</v>
      </c>
      <c r="L2312" t="s">
        <v>39</v>
      </c>
      <c r="M2312">
        <v>94122</v>
      </c>
      <c r="N2312" t="s">
        <v>40</v>
      </c>
      <c r="O2312" t="s">
        <v>195</v>
      </c>
      <c r="P2312" t="s">
        <v>28</v>
      </c>
      <c r="Q2312" t="s">
        <v>29</v>
      </c>
      <c r="R2312" t="s">
        <v>196</v>
      </c>
      <c r="S2312">
        <v>1552.8309999999999</v>
      </c>
    </row>
    <row r="2313" spans="1:19" x14ac:dyDescent="0.35">
      <c r="A2313">
        <v>2355</v>
      </c>
      <c r="B2313" t="s">
        <v>5330</v>
      </c>
      <c r="C2313" s="1">
        <v>42613</v>
      </c>
      <c r="D2313" s="1">
        <v>42615</v>
      </c>
      <c r="E2313" s="1" t="str">
        <f t="shared" si="36"/>
        <v>MODERATE</v>
      </c>
      <c r="F2313" t="s">
        <v>184</v>
      </c>
      <c r="G2313" t="s">
        <v>5331</v>
      </c>
      <c r="H2313" t="s">
        <v>5332</v>
      </c>
      <c r="I2313" t="s">
        <v>37</v>
      </c>
      <c r="J2313" t="s">
        <v>23</v>
      </c>
      <c r="K2313" t="s">
        <v>123</v>
      </c>
      <c r="L2313" t="s">
        <v>39</v>
      </c>
      <c r="M2313">
        <v>94122</v>
      </c>
      <c r="N2313" t="s">
        <v>40</v>
      </c>
      <c r="O2313" t="s">
        <v>605</v>
      </c>
      <c r="P2313" t="s">
        <v>42</v>
      </c>
      <c r="Q2313" t="s">
        <v>71</v>
      </c>
      <c r="R2313" t="s">
        <v>606</v>
      </c>
      <c r="S2313">
        <v>137.24</v>
      </c>
    </row>
    <row r="2314" spans="1:19" x14ac:dyDescent="0.35">
      <c r="A2314">
        <v>2356</v>
      </c>
      <c r="B2314" t="s">
        <v>5330</v>
      </c>
      <c r="C2314" s="1">
        <v>42613</v>
      </c>
      <c r="D2314" s="1">
        <v>42615</v>
      </c>
      <c r="E2314" s="1" t="str">
        <f t="shared" si="36"/>
        <v>MODERATE</v>
      </c>
      <c r="F2314" t="s">
        <v>184</v>
      </c>
      <c r="G2314" t="s">
        <v>5331</v>
      </c>
      <c r="H2314" t="s">
        <v>5332</v>
      </c>
      <c r="I2314" t="s">
        <v>37</v>
      </c>
      <c r="J2314" t="s">
        <v>23</v>
      </c>
      <c r="K2314" t="s">
        <v>123</v>
      </c>
      <c r="L2314" t="s">
        <v>39</v>
      </c>
      <c r="M2314">
        <v>94122</v>
      </c>
      <c r="N2314" t="s">
        <v>40</v>
      </c>
      <c r="O2314" t="s">
        <v>5333</v>
      </c>
      <c r="P2314" t="s">
        <v>67</v>
      </c>
      <c r="Q2314" t="s">
        <v>157</v>
      </c>
      <c r="R2314" t="s">
        <v>5334</v>
      </c>
      <c r="S2314">
        <v>36.51</v>
      </c>
    </row>
    <row r="2315" spans="1:19" x14ac:dyDescent="0.35">
      <c r="A2315">
        <v>2357</v>
      </c>
      <c r="B2315" t="s">
        <v>5330</v>
      </c>
      <c r="C2315" s="1">
        <v>42613</v>
      </c>
      <c r="D2315" s="1">
        <v>42615</v>
      </c>
      <c r="E2315" s="1" t="str">
        <f t="shared" si="36"/>
        <v>MODERATE</v>
      </c>
      <c r="F2315" t="s">
        <v>184</v>
      </c>
      <c r="G2315" t="s">
        <v>5331</v>
      </c>
      <c r="H2315" t="s">
        <v>5332</v>
      </c>
      <c r="I2315" t="s">
        <v>37</v>
      </c>
      <c r="J2315" t="s">
        <v>23</v>
      </c>
      <c r="K2315" t="s">
        <v>123</v>
      </c>
      <c r="L2315" t="s">
        <v>39</v>
      </c>
      <c r="M2315">
        <v>94122</v>
      </c>
      <c r="N2315" t="s">
        <v>40</v>
      </c>
      <c r="O2315" t="s">
        <v>5335</v>
      </c>
      <c r="P2315" t="s">
        <v>67</v>
      </c>
      <c r="Q2315" t="s">
        <v>671</v>
      </c>
      <c r="R2315" t="s">
        <v>5336</v>
      </c>
      <c r="S2315">
        <v>239.976</v>
      </c>
    </row>
    <row r="2316" spans="1:19" x14ac:dyDescent="0.35">
      <c r="A2316">
        <v>2358</v>
      </c>
      <c r="B2316" t="s">
        <v>5337</v>
      </c>
      <c r="C2316" s="1">
        <v>42080</v>
      </c>
      <c r="D2316" s="1">
        <v>42084</v>
      </c>
      <c r="E2316" s="1" t="str">
        <f t="shared" si="36"/>
        <v>FAST</v>
      </c>
      <c r="F2316" t="s">
        <v>46</v>
      </c>
      <c r="G2316" t="s">
        <v>2380</v>
      </c>
      <c r="H2316" t="s">
        <v>2381</v>
      </c>
      <c r="I2316" t="s">
        <v>37</v>
      </c>
      <c r="J2316" t="s">
        <v>23</v>
      </c>
      <c r="K2316" t="s">
        <v>260</v>
      </c>
      <c r="L2316" t="s">
        <v>261</v>
      </c>
      <c r="M2316">
        <v>10024</v>
      </c>
      <c r="N2316" t="s">
        <v>144</v>
      </c>
      <c r="O2316" t="s">
        <v>890</v>
      </c>
      <c r="P2316" t="s">
        <v>28</v>
      </c>
      <c r="Q2316" t="s">
        <v>52</v>
      </c>
      <c r="R2316" t="s">
        <v>891</v>
      </c>
      <c r="S2316">
        <v>1579.7460000000001</v>
      </c>
    </row>
    <row r="2317" spans="1:19" x14ac:dyDescent="0.35">
      <c r="A2317">
        <v>2359</v>
      </c>
      <c r="B2317" t="s">
        <v>5337</v>
      </c>
      <c r="C2317" s="1">
        <v>42080</v>
      </c>
      <c r="D2317" s="1">
        <v>42084</v>
      </c>
      <c r="E2317" s="1" t="str">
        <f t="shared" si="36"/>
        <v>FAST</v>
      </c>
      <c r="F2317" t="s">
        <v>46</v>
      </c>
      <c r="G2317" t="s">
        <v>2380</v>
      </c>
      <c r="H2317" t="s">
        <v>2381</v>
      </c>
      <c r="I2317" t="s">
        <v>37</v>
      </c>
      <c r="J2317" t="s">
        <v>23</v>
      </c>
      <c r="K2317" t="s">
        <v>260</v>
      </c>
      <c r="L2317" t="s">
        <v>261</v>
      </c>
      <c r="M2317">
        <v>10024</v>
      </c>
      <c r="N2317" t="s">
        <v>144</v>
      </c>
      <c r="O2317" t="s">
        <v>5256</v>
      </c>
      <c r="P2317" t="s">
        <v>28</v>
      </c>
      <c r="Q2317" t="s">
        <v>52</v>
      </c>
      <c r="R2317" t="s">
        <v>5257</v>
      </c>
      <c r="S2317">
        <v>1071.576</v>
      </c>
    </row>
    <row r="2318" spans="1:19" x14ac:dyDescent="0.35">
      <c r="A2318">
        <v>2360</v>
      </c>
      <c r="B2318" t="s">
        <v>5337</v>
      </c>
      <c r="C2318" s="1">
        <v>42080</v>
      </c>
      <c r="D2318" s="1">
        <v>42084</v>
      </c>
      <c r="E2318" s="1" t="str">
        <f t="shared" si="36"/>
        <v>FAST</v>
      </c>
      <c r="F2318" t="s">
        <v>46</v>
      </c>
      <c r="G2318" t="s">
        <v>2380</v>
      </c>
      <c r="H2318" t="s">
        <v>2381</v>
      </c>
      <c r="I2318" t="s">
        <v>37</v>
      </c>
      <c r="J2318" t="s">
        <v>23</v>
      </c>
      <c r="K2318" t="s">
        <v>260</v>
      </c>
      <c r="L2318" t="s">
        <v>261</v>
      </c>
      <c r="M2318">
        <v>10024</v>
      </c>
      <c r="N2318" t="s">
        <v>144</v>
      </c>
      <c r="O2318" t="s">
        <v>4630</v>
      </c>
      <c r="P2318" t="s">
        <v>28</v>
      </c>
      <c r="Q2318" t="s">
        <v>52</v>
      </c>
      <c r="R2318" t="s">
        <v>4631</v>
      </c>
      <c r="S2318">
        <v>613.90800000000002</v>
      </c>
    </row>
    <row r="2319" spans="1:19" x14ac:dyDescent="0.35">
      <c r="A2319">
        <v>2361</v>
      </c>
      <c r="B2319" t="s">
        <v>5337</v>
      </c>
      <c r="C2319" s="1">
        <v>42080</v>
      </c>
      <c r="D2319" s="1">
        <v>42084</v>
      </c>
      <c r="E2319" s="1" t="str">
        <f t="shared" si="36"/>
        <v>FAST</v>
      </c>
      <c r="F2319" t="s">
        <v>46</v>
      </c>
      <c r="G2319" t="s">
        <v>2380</v>
      </c>
      <c r="H2319" t="s">
        <v>2381</v>
      </c>
      <c r="I2319" t="s">
        <v>37</v>
      </c>
      <c r="J2319" t="s">
        <v>23</v>
      </c>
      <c r="K2319" t="s">
        <v>260</v>
      </c>
      <c r="L2319" t="s">
        <v>261</v>
      </c>
      <c r="M2319">
        <v>10024</v>
      </c>
      <c r="N2319" t="s">
        <v>144</v>
      </c>
      <c r="O2319" t="s">
        <v>5338</v>
      </c>
      <c r="P2319" t="s">
        <v>42</v>
      </c>
      <c r="Q2319" t="s">
        <v>86</v>
      </c>
      <c r="R2319" t="s">
        <v>5339</v>
      </c>
      <c r="S2319">
        <v>34.86</v>
      </c>
    </row>
    <row r="2320" spans="1:19" x14ac:dyDescent="0.35">
      <c r="A2320">
        <v>2362</v>
      </c>
      <c r="B2320" t="s">
        <v>5337</v>
      </c>
      <c r="C2320" s="1">
        <v>42080</v>
      </c>
      <c r="D2320" s="1">
        <v>42084</v>
      </c>
      <c r="E2320" s="1" t="str">
        <f t="shared" si="36"/>
        <v>FAST</v>
      </c>
      <c r="F2320" t="s">
        <v>46</v>
      </c>
      <c r="G2320" t="s">
        <v>2380</v>
      </c>
      <c r="H2320" t="s">
        <v>2381</v>
      </c>
      <c r="I2320" t="s">
        <v>37</v>
      </c>
      <c r="J2320" t="s">
        <v>23</v>
      </c>
      <c r="K2320" t="s">
        <v>260</v>
      </c>
      <c r="L2320" t="s">
        <v>261</v>
      </c>
      <c r="M2320">
        <v>10024</v>
      </c>
      <c r="N2320" t="s">
        <v>144</v>
      </c>
      <c r="O2320" t="s">
        <v>5340</v>
      </c>
      <c r="P2320" t="s">
        <v>42</v>
      </c>
      <c r="Q2320" t="s">
        <v>86</v>
      </c>
      <c r="R2320" t="s">
        <v>5341</v>
      </c>
      <c r="S2320">
        <v>155.04</v>
      </c>
    </row>
    <row r="2321" spans="1:19" x14ac:dyDescent="0.35">
      <c r="A2321">
        <v>2363</v>
      </c>
      <c r="B2321" t="s">
        <v>5342</v>
      </c>
      <c r="C2321" s="1">
        <v>43206</v>
      </c>
      <c r="D2321" s="1">
        <v>43210</v>
      </c>
      <c r="E2321" s="1" t="str">
        <f t="shared" si="36"/>
        <v>FAST</v>
      </c>
      <c r="F2321" t="s">
        <v>46</v>
      </c>
      <c r="G2321" t="s">
        <v>1409</v>
      </c>
      <c r="H2321" t="s">
        <v>1410</v>
      </c>
      <c r="I2321" t="s">
        <v>22</v>
      </c>
      <c r="J2321" t="s">
        <v>23</v>
      </c>
      <c r="K2321" t="s">
        <v>484</v>
      </c>
      <c r="L2321" t="s">
        <v>485</v>
      </c>
      <c r="M2321">
        <v>43229</v>
      </c>
      <c r="N2321" t="s">
        <v>144</v>
      </c>
      <c r="O2321" t="s">
        <v>5343</v>
      </c>
      <c r="P2321" t="s">
        <v>42</v>
      </c>
      <c r="Q2321" t="s">
        <v>71</v>
      </c>
      <c r="R2321" t="s">
        <v>5344</v>
      </c>
      <c r="S2321">
        <v>13.71</v>
      </c>
    </row>
    <row r="2322" spans="1:19" x14ac:dyDescent="0.35">
      <c r="A2322">
        <v>2364</v>
      </c>
      <c r="B2322" t="s">
        <v>5345</v>
      </c>
      <c r="C2322" s="1">
        <v>42807</v>
      </c>
      <c r="D2322" s="1">
        <v>42812</v>
      </c>
      <c r="E2322" s="1" t="str">
        <f t="shared" si="36"/>
        <v>FAST</v>
      </c>
      <c r="F2322" t="s">
        <v>46</v>
      </c>
      <c r="G2322" t="s">
        <v>1237</v>
      </c>
      <c r="H2322" t="s">
        <v>1238</v>
      </c>
      <c r="I2322" t="s">
        <v>98</v>
      </c>
      <c r="J2322" t="s">
        <v>23</v>
      </c>
      <c r="K2322" t="s">
        <v>2215</v>
      </c>
      <c r="L2322" t="s">
        <v>313</v>
      </c>
      <c r="M2322">
        <v>22980</v>
      </c>
      <c r="N2322" t="s">
        <v>26</v>
      </c>
      <c r="O2322" t="s">
        <v>1694</v>
      </c>
      <c r="P2322" t="s">
        <v>28</v>
      </c>
      <c r="Q2322" t="s">
        <v>61</v>
      </c>
      <c r="R2322" t="s">
        <v>1695</v>
      </c>
      <c r="S2322">
        <v>127.88</v>
      </c>
    </row>
    <row r="2323" spans="1:19" x14ac:dyDescent="0.35">
      <c r="A2323">
        <v>2365</v>
      </c>
      <c r="B2323" t="s">
        <v>5345</v>
      </c>
      <c r="C2323" s="1">
        <v>42807</v>
      </c>
      <c r="D2323" s="1">
        <v>42812</v>
      </c>
      <c r="E2323" s="1" t="str">
        <f t="shared" si="36"/>
        <v>FAST</v>
      </c>
      <c r="F2323" t="s">
        <v>46</v>
      </c>
      <c r="G2323" t="s">
        <v>1237</v>
      </c>
      <c r="H2323" t="s">
        <v>1238</v>
      </c>
      <c r="I2323" t="s">
        <v>98</v>
      </c>
      <c r="J2323" t="s">
        <v>23</v>
      </c>
      <c r="K2323" t="s">
        <v>2215</v>
      </c>
      <c r="L2323" t="s">
        <v>313</v>
      </c>
      <c r="M2323">
        <v>22980</v>
      </c>
      <c r="N2323" t="s">
        <v>26</v>
      </c>
      <c r="O2323" t="s">
        <v>5346</v>
      </c>
      <c r="P2323" t="s">
        <v>42</v>
      </c>
      <c r="Q2323" t="s">
        <v>74</v>
      </c>
      <c r="R2323" t="s">
        <v>5347</v>
      </c>
      <c r="S2323">
        <v>160.32</v>
      </c>
    </row>
    <row r="2324" spans="1:19" x14ac:dyDescent="0.35">
      <c r="A2324">
        <v>2366</v>
      </c>
      <c r="B2324" t="s">
        <v>5345</v>
      </c>
      <c r="C2324" s="1">
        <v>42807</v>
      </c>
      <c r="D2324" s="1">
        <v>42812</v>
      </c>
      <c r="E2324" s="1" t="str">
        <f t="shared" si="36"/>
        <v>FAST</v>
      </c>
      <c r="F2324" t="s">
        <v>46</v>
      </c>
      <c r="G2324" t="s">
        <v>1237</v>
      </c>
      <c r="H2324" t="s">
        <v>1238</v>
      </c>
      <c r="I2324" t="s">
        <v>98</v>
      </c>
      <c r="J2324" t="s">
        <v>23</v>
      </c>
      <c r="K2324" t="s">
        <v>2215</v>
      </c>
      <c r="L2324" t="s">
        <v>313</v>
      </c>
      <c r="M2324">
        <v>22980</v>
      </c>
      <c r="N2324" t="s">
        <v>26</v>
      </c>
      <c r="O2324" t="s">
        <v>3998</v>
      </c>
      <c r="P2324" t="s">
        <v>42</v>
      </c>
      <c r="Q2324" t="s">
        <v>71</v>
      </c>
      <c r="R2324" t="s">
        <v>3999</v>
      </c>
      <c r="S2324">
        <v>46</v>
      </c>
    </row>
    <row r="2325" spans="1:19" x14ac:dyDescent="0.35">
      <c r="A2325">
        <v>2367</v>
      </c>
      <c r="B2325" t="s">
        <v>5348</v>
      </c>
      <c r="C2325" s="1">
        <v>42332</v>
      </c>
      <c r="D2325" s="1">
        <v>42334</v>
      </c>
      <c r="E2325" s="1" t="str">
        <f t="shared" si="36"/>
        <v>SLOW</v>
      </c>
      <c r="F2325" t="s">
        <v>19</v>
      </c>
      <c r="G2325" t="s">
        <v>4713</v>
      </c>
      <c r="H2325" t="s">
        <v>4714</v>
      </c>
      <c r="I2325" t="s">
        <v>22</v>
      </c>
      <c r="J2325" t="s">
        <v>23</v>
      </c>
      <c r="K2325" t="s">
        <v>5349</v>
      </c>
      <c r="L2325" t="s">
        <v>39</v>
      </c>
      <c r="M2325">
        <v>95823</v>
      </c>
      <c r="N2325" t="s">
        <v>40</v>
      </c>
      <c r="O2325" t="s">
        <v>5350</v>
      </c>
      <c r="P2325" t="s">
        <v>28</v>
      </c>
      <c r="Q2325" t="s">
        <v>32</v>
      </c>
      <c r="R2325" t="s">
        <v>5351</v>
      </c>
      <c r="S2325">
        <v>120.712</v>
      </c>
    </row>
    <row r="2326" spans="1:19" x14ac:dyDescent="0.35">
      <c r="A2326">
        <v>2368</v>
      </c>
      <c r="B2326" t="s">
        <v>5352</v>
      </c>
      <c r="C2326" s="1">
        <v>43141</v>
      </c>
      <c r="D2326" s="1">
        <v>43144</v>
      </c>
      <c r="E2326" s="1" t="str">
        <f t="shared" si="36"/>
        <v>MODERATE</v>
      </c>
      <c r="F2326" t="s">
        <v>184</v>
      </c>
      <c r="G2326" t="s">
        <v>3646</v>
      </c>
      <c r="H2326" t="s">
        <v>3647</v>
      </c>
      <c r="I2326" t="s">
        <v>22</v>
      </c>
      <c r="J2326" t="s">
        <v>23</v>
      </c>
      <c r="K2326" t="s">
        <v>3181</v>
      </c>
      <c r="L2326" t="s">
        <v>2708</v>
      </c>
      <c r="M2326">
        <v>20735</v>
      </c>
      <c r="N2326" t="s">
        <v>144</v>
      </c>
      <c r="O2326" t="s">
        <v>3940</v>
      </c>
      <c r="P2326" t="s">
        <v>42</v>
      </c>
      <c r="Q2326" t="s">
        <v>86</v>
      </c>
      <c r="R2326" t="s">
        <v>3941</v>
      </c>
      <c r="S2326">
        <v>23.12</v>
      </c>
    </row>
    <row r="2327" spans="1:19" x14ac:dyDescent="0.35">
      <c r="A2327">
        <v>2369</v>
      </c>
      <c r="B2327" t="s">
        <v>5353</v>
      </c>
      <c r="C2327" s="1">
        <v>43001</v>
      </c>
      <c r="D2327" s="1">
        <v>43005</v>
      </c>
      <c r="E2327" s="1" t="str">
        <f t="shared" si="36"/>
        <v>FAST</v>
      </c>
      <c r="F2327" t="s">
        <v>46</v>
      </c>
      <c r="G2327" t="s">
        <v>1067</v>
      </c>
      <c r="H2327" t="s">
        <v>1068</v>
      </c>
      <c r="I2327" t="s">
        <v>37</v>
      </c>
      <c r="J2327" t="s">
        <v>23</v>
      </c>
      <c r="K2327" t="s">
        <v>735</v>
      </c>
      <c r="L2327" t="s">
        <v>485</v>
      </c>
      <c r="M2327">
        <v>45014</v>
      </c>
      <c r="N2327" t="s">
        <v>144</v>
      </c>
      <c r="O2327" t="s">
        <v>5354</v>
      </c>
      <c r="P2327" t="s">
        <v>28</v>
      </c>
      <c r="Q2327" t="s">
        <v>61</v>
      </c>
      <c r="R2327" t="s">
        <v>5355</v>
      </c>
      <c r="S2327">
        <v>532.70399999999995</v>
      </c>
    </row>
    <row r="2328" spans="1:19" x14ac:dyDescent="0.35">
      <c r="A2328">
        <v>2370</v>
      </c>
      <c r="B2328" t="s">
        <v>5353</v>
      </c>
      <c r="C2328" s="1">
        <v>43001</v>
      </c>
      <c r="D2328" s="1">
        <v>43005</v>
      </c>
      <c r="E2328" s="1" t="str">
        <f t="shared" si="36"/>
        <v>FAST</v>
      </c>
      <c r="F2328" t="s">
        <v>46</v>
      </c>
      <c r="G2328" t="s">
        <v>1067</v>
      </c>
      <c r="H2328" t="s">
        <v>1068</v>
      </c>
      <c r="I2328" t="s">
        <v>37</v>
      </c>
      <c r="J2328" t="s">
        <v>23</v>
      </c>
      <c r="K2328" t="s">
        <v>735</v>
      </c>
      <c r="L2328" t="s">
        <v>485</v>
      </c>
      <c r="M2328">
        <v>45014</v>
      </c>
      <c r="N2328" t="s">
        <v>144</v>
      </c>
      <c r="O2328" t="s">
        <v>5356</v>
      </c>
      <c r="P2328" t="s">
        <v>42</v>
      </c>
      <c r="Q2328" t="s">
        <v>64</v>
      </c>
      <c r="R2328" t="s">
        <v>5357</v>
      </c>
      <c r="S2328">
        <v>4.9119999999999999</v>
      </c>
    </row>
    <row r="2329" spans="1:19" x14ac:dyDescent="0.35">
      <c r="A2329">
        <v>2371</v>
      </c>
      <c r="B2329" t="s">
        <v>5358</v>
      </c>
      <c r="C2329" s="1">
        <v>43288</v>
      </c>
      <c r="D2329" s="1">
        <v>43290</v>
      </c>
      <c r="E2329" s="1" t="str">
        <f t="shared" si="36"/>
        <v>SLOW</v>
      </c>
      <c r="F2329" t="s">
        <v>19</v>
      </c>
      <c r="G2329" t="s">
        <v>1461</v>
      </c>
      <c r="H2329" t="s">
        <v>1462</v>
      </c>
      <c r="I2329" t="s">
        <v>37</v>
      </c>
      <c r="J2329" t="s">
        <v>23</v>
      </c>
      <c r="K2329" t="s">
        <v>1383</v>
      </c>
      <c r="L2329" t="s">
        <v>1384</v>
      </c>
      <c r="M2329">
        <v>2886</v>
      </c>
      <c r="N2329" t="s">
        <v>144</v>
      </c>
      <c r="O2329" t="s">
        <v>2801</v>
      </c>
      <c r="P2329" t="s">
        <v>67</v>
      </c>
      <c r="Q2329" t="s">
        <v>157</v>
      </c>
      <c r="R2329" t="s">
        <v>2802</v>
      </c>
      <c r="S2329">
        <v>252</v>
      </c>
    </row>
    <row r="2330" spans="1:19" x14ac:dyDescent="0.35">
      <c r="A2330">
        <v>2372</v>
      </c>
      <c r="B2330" t="s">
        <v>5359</v>
      </c>
      <c r="C2330" s="1">
        <v>42923</v>
      </c>
      <c r="D2330" s="1">
        <v>42927</v>
      </c>
      <c r="E2330" s="1" t="str">
        <f t="shared" si="36"/>
        <v>SLOW</v>
      </c>
      <c r="F2330" t="s">
        <v>19</v>
      </c>
      <c r="G2330" t="s">
        <v>2383</v>
      </c>
      <c r="H2330" t="s">
        <v>2384</v>
      </c>
      <c r="I2330" t="s">
        <v>37</v>
      </c>
      <c r="J2330" t="s">
        <v>23</v>
      </c>
      <c r="K2330" t="s">
        <v>443</v>
      </c>
      <c r="L2330" t="s">
        <v>205</v>
      </c>
      <c r="M2330">
        <v>60505</v>
      </c>
      <c r="N2330" t="s">
        <v>101</v>
      </c>
      <c r="O2330" t="s">
        <v>4587</v>
      </c>
      <c r="P2330" t="s">
        <v>28</v>
      </c>
      <c r="Q2330" t="s">
        <v>61</v>
      </c>
      <c r="R2330" t="s">
        <v>4588</v>
      </c>
      <c r="S2330">
        <v>60.287999999999997</v>
      </c>
    </row>
    <row r="2331" spans="1:19" x14ac:dyDescent="0.35">
      <c r="A2331">
        <v>2373</v>
      </c>
      <c r="B2331" t="s">
        <v>5359</v>
      </c>
      <c r="C2331" s="1">
        <v>42923</v>
      </c>
      <c r="D2331" s="1">
        <v>42927</v>
      </c>
      <c r="E2331" s="1" t="str">
        <f t="shared" si="36"/>
        <v>SLOW</v>
      </c>
      <c r="F2331" t="s">
        <v>19</v>
      </c>
      <c r="G2331" t="s">
        <v>2383</v>
      </c>
      <c r="H2331" t="s">
        <v>2384</v>
      </c>
      <c r="I2331" t="s">
        <v>37</v>
      </c>
      <c r="J2331" t="s">
        <v>23</v>
      </c>
      <c r="K2331" t="s">
        <v>443</v>
      </c>
      <c r="L2331" t="s">
        <v>205</v>
      </c>
      <c r="M2331">
        <v>60505</v>
      </c>
      <c r="N2331" t="s">
        <v>101</v>
      </c>
      <c r="O2331" t="s">
        <v>5360</v>
      </c>
      <c r="P2331" t="s">
        <v>42</v>
      </c>
      <c r="Q2331" t="s">
        <v>263</v>
      </c>
      <c r="R2331" t="s">
        <v>5361</v>
      </c>
      <c r="S2331">
        <v>2.6320000000000001</v>
      </c>
    </row>
    <row r="2332" spans="1:19" x14ac:dyDescent="0.35">
      <c r="A2332">
        <v>2374</v>
      </c>
      <c r="B2332" t="s">
        <v>5359</v>
      </c>
      <c r="C2332" s="1">
        <v>42923</v>
      </c>
      <c r="D2332" s="1">
        <v>42927</v>
      </c>
      <c r="E2332" s="1" t="str">
        <f t="shared" si="36"/>
        <v>SLOW</v>
      </c>
      <c r="F2332" t="s">
        <v>19</v>
      </c>
      <c r="G2332" t="s">
        <v>2383</v>
      </c>
      <c r="H2332" t="s">
        <v>2384</v>
      </c>
      <c r="I2332" t="s">
        <v>37</v>
      </c>
      <c r="J2332" t="s">
        <v>23</v>
      </c>
      <c r="K2332" t="s">
        <v>443</v>
      </c>
      <c r="L2332" t="s">
        <v>205</v>
      </c>
      <c r="M2332">
        <v>60505</v>
      </c>
      <c r="N2332" t="s">
        <v>101</v>
      </c>
      <c r="O2332" t="s">
        <v>4463</v>
      </c>
      <c r="P2332" t="s">
        <v>42</v>
      </c>
      <c r="Q2332" t="s">
        <v>86</v>
      </c>
      <c r="R2332" t="s">
        <v>4464</v>
      </c>
      <c r="S2332">
        <v>23.687999999999999</v>
      </c>
    </row>
    <row r="2333" spans="1:19" x14ac:dyDescent="0.35">
      <c r="A2333">
        <v>2375</v>
      </c>
      <c r="B2333" t="s">
        <v>5359</v>
      </c>
      <c r="C2333" s="1">
        <v>42923</v>
      </c>
      <c r="D2333" s="1">
        <v>42927</v>
      </c>
      <c r="E2333" s="1" t="str">
        <f t="shared" si="36"/>
        <v>SLOW</v>
      </c>
      <c r="F2333" t="s">
        <v>19</v>
      </c>
      <c r="G2333" t="s">
        <v>2383</v>
      </c>
      <c r="H2333" t="s">
        <v>2384</v>
      </c>
      <c r="I2333" t="s">
        <v>37</v>
      </c>
      <c r="J2333" t="s">
        <v>23</v>
      </c>
      <c r="K2333" t="s">
        <v>443</v>
      </c>
      <c r="L2333" t="s">
        <v>205</v>
      </c>
      <c r="M2333">
        <v>60505</v>
      </c>
      <c r="N2333" t="s">
        <v>101</v>
      </c>
      <c r="O2333" t="s">
        <v>1266</v>
      </c>
      <c r="P2333" t="s">
        <v>28</v>
      </c>
      <c r="Q2333" t="s">
        <v>32</v>
      </c>
      <c r="R2333" t="s">
        <v>1267</v>
      </c>
      <c r="S2333">
        <v>253.37200000000001</v>
      </c>
    </row>
    <row r="2334" spans="1:19" x14ac:dyDescent="0.35">
      <c r="A2334">
        <v>2376</v>
      </c>
      <c r="B2334" t="s">
        <v>5362</v>
      </c>
      <c r="C2334" s="1">
        <v>43124</v>
      </c>
      <c r="D2334" s="1">
        <v>43130</v>
      </c>
      <c r="E2334" s="1" t="str">
        <f t="shared" si="36"/>
        <v>FAST</v>
      </c>
      <c r="F2334" t="s">
        <v>46</v>
      </c>
      <c r="G2334" t="s">
        <v>1977</v>
      </c>
      <c r="H2334" t="s">
        <v>1978</v>
      </c>
      <c r="I2334" t="s">
        <v>22</v>
      </c>
      <c r="J2334" t="s">
        <v>23</v>
      </c>
      <c r="K2334" t="s">
        <v>3759</v>
      </c>
      <c r="L2334" t="s">
        <v>1258</v>
      </c>
      <c r="M2334">
        <v>30080</v>
      </c>
      <c r="N2334" t="s">
        <v>26</v>
      </c>
      <c r="O2334" t="s">
        <v>3762</v>
      </c>
      <c r="P2334" t="s">
        <v>42</v>
      </c>
      <c r="Q2334" t="s">
        <v>263</v>
      </c>
      <c r="R2334" t="s">
        <v>3763</v>
      </c>
      <c r="S2334">
        <v>5.67</v>
      </c>
    </row>
    <row r="2335" spans="1:19" x14ac:dyDescent="0.35">
      <c r="A2335">
        <v>2377</v>
      </c>
      <c r="B2335" t="s">
        <v>5363</v>
      </c>
      <c r="C2335" s="1">
        <v>42235</v>
      </c>
      <c r="D2335" s="1">
        <v>42237</v>
      </c>
      <c r="E2335" s="1" t="str">
        <f t="shared" si="36"/>
        <v>SLOW</v>
      </c>
      <c r="F2335" t="s">
        <v>19</v>
      </c>
      <c r="G2335" t="s">
        <v>3951</v>
      </c>
      <c r="H2335" t="s">
        <v>3952</v>
      </c>
      <c r="I2335" t="s">
        <v>22</v>
      </c>
      <c r="J2335" t="s">
        <v>23</v>
      </c>
      <c r="K2335" t="s">
        <v>484</v>
      </c>
      <c r="L2335" t="s">
        <v>485</v>
      </c>
      <c r="M2335">
        <v>43229</v>
      </c>
      <c r="N2335" t="s">
        <v>144</v>
      </c>
      <c r="O2335" t="s">
        <v>4949</v>
      </c>
      <c r="P2335" t="s">
        <v>42</v>
      </c>
      <c r="Q2335" t="s">
        <v>71</v>
      </c>
      <c r="R2335" t="s">
        <v>4950</v>
      </c>
      <c r="S2335">
        <v>76.775999999999996</v>
      </c>
    </row>
    <row r="2336" spans="1:19" x14ac:dyDescent="0.35">
      <c r="A2336">
        <v>2378</v>
      </c>
      <c r="B2336" t="s">
        <v>5363</v>
      </c>
      <c r="C2336" s="1">
        <v>42235</v>
      </c>
      <c r="D2336" s="1">
        <v>42237</v>
      </c>
      <c r="E2336" s="1" t="str">
        <f t="shared" si="36"/>
        <v>SLOW</v>
      </c>
      <c r="F2336" t="s">
        <v>19</v>
      </c>
      <c r="G2336" t="s">
        <v>3951</v>
      </c>
      <c r="H2336" t="s">
        <v>3952</v>
      </c>
      <c r="I2336" t="s">
        <v>22</v>
      </c>
      <c r="J2336" t="s">
        <v>23</v>
      </c>
      <c r="K2336" t="s">
        <v>484</v>
      </c>
      <c r="L2336" t="s">
        <v>485</v>
      </c>
      <c r="M2336">
        <v>43229</v>
      </c>
      <c r="N2336" t="s">
        <v>144</v>
      </c>
      <c r="O2336" t="s">
        <v>5364</v>
      </c>
      <c r="P2336" t="s">
        <v>42</v>
      </c>
      <c r="Q2336" t="s">
        <v>566</v>
      </c>
      <c r="R2336" t="s">
        <v>5365</v>
      </c>
      <c r="S2336">
        <v>9.1839999999999993</v>
      </c>
    </row>
    <row r="2337" spans="1:19" x14ac:dyDescent="0.35">
      <c r="A2337">
        <v>2379</v>
      </c>
      <c r="B2337" t="s">
        <v>5366</v>
      </c>
      <c r="C2337" s="1">
        <v>42710</v>
      </c>
      <c r="D2337" s="1">
        <v>42715</v>
      </c>
      <c r="E2337" s="1" t="str">
        <f t="shared" si="36"/>
        <v>FAST</v>
      </c>
      <c r="F2337" t="s">
        <v>46</v>
      </c>
      <c r="G2337" t="s">
        <v>3780</v>
      </c>
      <c r="H2337" t="s">
        <v>3781</v>
      </c>
      <c r="I2337" t="s">
        <v>98</v>
      </c>
      <c r="J2337" t="s">
        <v>23</v>
      </c>
      <c r="K2337" t="s">
        <v>5367</v>
      </c>
      <c r="L2337" t="s">
        <v>39</v>
      </c>
      <c r="M2337">
        <v>91360</v>
      </c>
      <c r="N2337" t="s">
        <v>40</v>
      </c>
      <c r="O2337" t="s">
        <v>5006</v>
      </c>
      <c r="P2337" t="s">
        <v>42</v>
      </c>
      <c r="Q2337" t="s">
        <v>86</v>
      </c>
      <c r="R2337" t="s">
        <v>5007</v>
      </c>
      <c r="S2337">
        <v>32.75</v>
      </c>
    </row>
    <row r="2338" spans="1:19" x14ac:dyDescent="0.35">
      <c r="A2338">
        <v>2380</v>
      </c>
      <c r="B2338" t="s">
        <v>5368</v>
      </c>
      <c r="C2338" s="1">
        <v>42861</v>
      </c>
      <c r="D2338" s="1">
        <v>42865</v>
      </c>
      <c r="E2338" s="1" t="str">
        <f t="shared" si="36"/>
        <v>FAST</v>
      </c>
      <c r="F2338" t="s">
        <v>46</v>
      </c>
      <c r="G2338" t="s">
        <v>4486</v>
      </c>
      <c r="H2338" t="s">
        <v>4487</v>
      </c>
      <c r="I2338" t="s">
        <v>98</v>
      </c>
      <c r="J2338" t="s">
        <v>23</v>
      </c>
      <c r="K2338" t="s">
        <v>2600</v>
      </c>
      <c r="L2338" t="s">
        <v>485</v>
      </c>
      <c r="M2338">
        <v>44052</v>
      </c>
      <c r="N2338" t="s">
        <v>144</v>
      </c>
      <c r="O2338" t="s">
        <v>1860</v>
      </c>
      <c r="P2338" t="s">
        <v>42</v>
      </c>
      <c r="Q2338" t="s">
        <v>263</v>
      </c>
      <c r="R2338" t="s">
        <v>1861</v>
      </c>
      <c r="S2338">
        <v>7.2160000000000002</v>
      </c>
    </row>
    <row r="2339" spans="1:19" x14ac:dyDescent="0.35">
      <c r="A2339">
        <v>2381</v>
      </c>
      <c r="B2339" t="s">
        <v>5368</v>
      </c>
      <c r="C2339" s="1">
        <v>42861</v>
      </c>
      <c r="D2339" s="1">
        <v>42865</v>
      </c>
      <c r="E2339" s="1" t="str">
        <f t="shared" si="36"/>
        <v>FAST</v>
      </c>
      <c r="F2339" t="s">
        <v>46</v>
      </c>
      <c r="G2339" t="s">
        <v>4486</v>
      </c>
      <c r="H2339" t="s">
        <v>4487</v>
      </c>
      <c r="I2339" t="s">
        <v>98</v>
      </c>
      <c r="J2339" t="s">
        <v>23</v>
      </c>
      <c r="K2339" t="s">
        <v>2600</v>
      </c>
      <c r="L2339" t="s">
        <v>485</v>
      </c>
      <c r="M2339">
        <v>44052</v>
      </c>
      <c r="N2339" t="s">
        <v>144</v>
      </c>
      <c r="O2339" t="s">
        <v>5369</v>
      </c>
      <c r="P2339" t="s">
        <v>42</v>
      </c>
      <c r="Q2339" t="s">
        <v>86</v>
      </c>
      <c r="R2339" t="s">
        <v>5370</v>
      </c>
      <c r="S2339">
        <v>49.567999999999998</v>
      </c>
    </row>
    <row r="2340" spans="1:19" x14ac:dyDescent="0.35">
      <c r="A2340">
        <v>2382</v>
      </c>
      <c r="B2340" t="s">
        <v>5368</v>
      </c>
      <c r="C2340" s="1">
        <v>42861</v>
      </c>
      <c r="D2340" s="1">
        <v>42865</v>
      </c>
      <c r="E2340" s="1" t="str">
        <f t="shared" si="36"/>
        <v>FAST</v>
      </c>
      <c r="F2340" t="s">
        <v>46</v>
      </c>
      <c r="G2340" t="s">
        <v>4486</v>
      </c>
      <c r="H2340" t="s">
        <v>4487</v>
      </c>
      <c r="I2340" t="s">
        <v>98</v>
      </c>
      <c r="J2340" t="s">
        <v>23</v>
      </c>
      <c r="K2340" t="s">
        <v>2600</v>
      </c>
      <c r="L2340" t="s">
        <v>485</v>
      </c>
      <c r="M2340">
        <v>44052</v>
      </c>
      <c r="N2340" t="s">
        <v>144</v>
      </c>
      <c r="O2340" t="s">
        <v>166</v>
      </c>
      <c r="P2340" t="s">
        <v>28</v>
      </c>
      <c r="Q2340" t="s">
        <v>61</v>
      </c>
      <c r="R2340" t="s">
        <v>5371</v>
      </c>
      <c r="S2340">
        <v>54.712000000000003</v>
      </c>
    </row>
    <row r="2341" spans="1:19" x14ac:dyDescent="0.35">
      <c r="A2341">
        <v>2383</v>
      </c>
      <c r="B2341" t="s">
        <v>5372</v>
      </c>
      <c r="C2341" s="1">
        <v>43184</v>
      </c>
      <c r="D2341" s="1">
        <v>43185</v>
      </c>
      <c r="E2341" s="1" t="str">
        <f t="shared" si="36"/>
        <v>MODERATE</v>
      </c>
      <c r="F2341" t="s">
        <v>184</v>
      </c>
      <c r="G2341" t="s">
        <v>5373</v>
      </c>
      <c r="H2341" t="s">
        <v>5374</v>
      </c>
      <c r="I2341" t="s">
        <v>22</v>
      </c>
      <c r="J2341" t="s">
        <v>23</v>
      </c>
      <c r="K2341" t="s">
        <v>3455</v>
      </c>
      <c r="L2341" t="s">
        <v>39</v>
      </c>
      <c r="M2341">
        <v>93727</v>
      </c>
      <c r="N2341" t="s">
        <v>40</v>
      </c>
      <c r="O2341" t="s">
        <v>5375</v>
      </c>
      <c r="P2341" t="s">
        <v>42</v>
      </c>
      <c r="Q2341" t="s">
        <v>74</v>
      </c>
      <c r="R2341" t="s">
        <v>5376</v>
      </c>
      <c r="S2341">
        <v>176.04</v>
      </c>
    </row>
    <row r="2342" spans="1:19" x14ac:dyDescent="0.35">
      <c r="A2342">
        <v>2384</v>
      </c>
      <c r="B2342" t="s">
        <v>5372</v>
      </c>
      <c r="C2342" s="1">
        <v>43184</v>
      </c>
      <c r="D2342" s="1">
        <v>43185</v>
      </c>
      <c r="E2342" s="1" t="str">
        <f t="shared" si="36"/>
        <v>MODERATE</v>
      </c>
      <c r="F2342" t="s">
        <v>184</v>
      </c>
      <c r="G2342" t="s">
        <v>5373</v>
      </c>
      <c r="H2342" t="s">
        <v>5374</v>
      </c>
      <c r="I2342" t="s">
        <v>22</v>
      </c>
      <c r="J2342" t="s">
        <v>23</v>
      </c>
      <c r="K2342" t="s">
        <v>3455</v>
      </c>
      <c r="L2342" t="s">
        <v>39</v>
      </c>
      <c r="M2342">
        <v>93727</v>
      </c>
      <c r="N2342" t="s">
        <v>40</v>
      </c>
      <c r="O2342" t="s">
        <v>5377</v>
      </c>
      <c r="P2342" t="s">
        <v>42</v>
      </c>
      <c r="Q2342" t="s">
        <v>64</v>
      </c>
      <c r="R2342" t="s">
        <v>3006</v>
      </c>
      <c r="S2342">
        <v>16.02</v>
      </c>
    </row>
    <row r="2343" spans="1:19" x14ac:dyDescent="0.35">
      <c r="A2343">
        <v>2385</v>
      </c>
      <c r="B2343" t="s">
        <v>5372</v>
      </c>
      <c r="C2343" s="1">
        <v>43184</v>
      </c>
      <c r="D2343" s="1">
        <v>43185</v>
      </c>
      <c r="E2343" s="1" t="str">
        <f t="shared" si="36"/>
        <v>MODERATE</v>
      </c>
      <c r="F2343" t="s">
        <v>184</v>
      </c>
      <c r="G2343" t="s">
        <v>5373</v>
      </c>
      <c r="H2343" t="s">
        <v>5374</v>
      </c>
      <c r="I2343" t="s">
        <v>22</v>
      </c>
      <c r="J2343" t="s">
        <v>23</v>
      </c>
      <c r="K2343" t="s">
        <v>3455</v>
      </c>
      <c r="L2343" t="s">
        <v>39</v>
      </c>
      <c r="M2343">
        <v>93727</v>
      </c>
      <c r="N2343" t="s">
        <v>40</v>
      </c>
      <c r="O2343" t="s">
        <v>3534</v>
      </c>
      <c r="P2343" t="s">
        <v>42</v>
      </c>
      <c r="Q2343" t="s">
        <v>71</v>
      </c>
      <c r="R2343" t="s">
        <v>3535</v>
      </c>
      <c r="S2343">
        <v>185.92</v>
      </c>
    </row>
    <row r="2344" spans="1:19" x14ac:dyDescent="0.35">
      <c r="A2344">
        <v>2386</v>
      </c>
      <c r="B2344" t="s">
        <v>5372</v>
      </c>
      <c r="C2344" s="1">
        <v>43184</v>
      </c>
      <c r="D2344" s="1">
        <v>43185</v>
      </c>
      <c r="E2344" s="1" t="str">
        <f t="shared" si="36"/>
        <v>MODERATE</v>
      </c>
      <c r="F2344" t="s">
        <v>184</v>
      </c>
      <c r="G2344" t="s">
        <v>5373</v>
      </c>
      <c r="H2344" t="s">
        <v>5374</v>
      </c>
      <c r="I2344" t="s">
        <v>22</v>
      </c>
      <c r="J2344" t="s">
        <v>23</v>
      </c>
      <c r="K2344" t="s">
        <v>3455</v>
      </c>
      <c r="L2344" t="s">
        <v>39</v>
      </c>
      <c r="M2344">
        <v>93727</v>
      </c>
      <c r="N2344" t="s">
        <v>40</v>
      </c>
      <c r="O2344" t="s">
        <v>5378</v>
      </c>
      <c r="P2344" t="s">
        <v>67</v>
      </c>
      <c r="Q2344" t="s">
        <v>68</v>
      </c>
      <c r="R2344" t="s">
        <v>5379</v>
      </c>
      <c r="S2344">
        <v>211.16800000000001</v>
      </c>
    </row>
    <row r="2345" spans="1:19" x14ac:dyDescent="0.35">
      <c r="A2345">
        <v>2387</v>
      </c>
      <c r="B2345" t="s">
        <v>5372</v>
      </c>
      <c r="C2345" s="1">
        <v>43184</v>
      </c>
      <c r="D2345" s="1">
        <v>43185</v>
      </c>
      <c r="E2345" s="1" t="str">
        <f t="shared" si="36"/>
        <v>MODERATE</v>
      </c>
      <c r="F2345" t="s">
        <v>184</v>
      </c>
      <c r="G2345" t="s">
        <v>5373</v>
      </c>
      <c r="H2345" t="s">
        <v>5374</v>
      </c>
      <c r="I2345" t="s">
        <v>22</v>
      </c>
      <c r="J2345" t="s">
        <v>23</v>
      </c>
      <c r="K2345" t="s">
        <v>3455</v>
      </c>
      <c r="L2345" t="s">
        <v>39</v>
      </c>
      <c r="M2345">
        <v>93727</v>
      </c>
      <c r="N2345" t="s">
        <v>40</v>
      </c>
      <c r="O2345" t="s">
        <v>5380</v>
      </c>
      <c r="P2345" t="s">
        <v>67</v>
      </c>
      <c r="Q2345" t="s">
        <v>1204</v>
      </c>
      <c r="R2345" t="s">
        <v>5381</v>
      </c>
      <c r="S2345">
        <v>479.98399999999998</v>
      </c>
    </row>
    <row r="2346" spans="1:19" x14ac:dyDescent="0.35">
      <c r="A2346">
        <v>2388</v>
      </c>
      <c r="B2346" t="s">
        <v>5382</v>
      </c>
      <c r="C2346" s="1">
        <v>42716</v>
      </c>
      <c r="D2346" s="1">
        <v>42719</v>
      </c>
      <c r="E2346" s="1" t="str">
        <f t="shared" si="36"/>
        <v>MODERATE</v>
      </c>
      <c r="F2346" t="s">
        <v>184</v>
      </c>
      <c r="G2346" t="s">
        <v>5131</v>
      </c>
      <c r="H2346" t="s">
        <v>5132</v>
      </c>
      <c r="I2346" t="s">
        <v>22</v>
      </c>
      <c r="J2346" t="s">
        <v>23</v>
      </c>
      <c r="K2346" t="s">
        <v>935</v>
      </c>
      <c r="L2346" t="s">
        <v>39</v>
      </c>
      <c r="M2346">
        <v>92105</v>
      </c>
      <c r="N2346" t="s">
        <v>40</v>
      </c>
      <c r="O2346" t="s">
        <v>5383</v>
      </c>
      <c r="P2346" t="s">
        <v>42</v>
      </c>
      <c r="Q2346" t="s">
        <v>263</v>
      </c>
      <c r="R2346" t="s">
        <v>550</v>
      </c>
      <c r="S2346">
        <v>7.86</v>
      </c>
    </row>
    <row r="2347" spans="1:19" x14ac:dyDescent="0.35">
      <c r="A2347">
        <v>2389</v>
      </c>
      <c r="B2347" t="s">
        <v>5382</v>
      </c>
      <c r="C2347" s="1">
        <v>42716</v>
      </c>
      <c r="D2347" s="1">
        <v>42719</v>
      </c>
      <c r="E2347" s="1" t="str">
        <f t="shared" si="36"/>
        <v>MODERATE</v>
      </c>
      <c r="F2347" t="s">
        <v>184</v>
      </c>
      <c r="G2347" t="s">
        <v>5131</v>
      </c>
      <c r="H2347" t="s">
        <v>5132</v>
      </c>
      <c r="I2347" t="s">
        <v>22</v>
      </c>
      <c r="J2347" t="s">
        <v>23</v>
      </c>
      <c r="K2347" t="s">
        <v>935</v>
      </c>
      <c r="L2347" t="s">
        <v>39</v>
      </c>
      <c r="M2347">
        <v>92105</v>
      </c>
      <c r="N2347" t="s">
        <v>40</v>
      </c>
      <c r="O2347" t="s">
        <v>5384</v>
      </c>
      <c r="P2347" t="s">
        <v>42</v>
      </c>
      <c r="Q2347" t="s">
        <v>71</v>
      </c>
      <c r="R2347" t="s">
        <v>5385</v>
      </c>
      <c r="S2347">
        <v>24.448</v>
      </c>
    </row>
    <row r="2348" spans="1:19" x14ac:dyDescent="0.35">
      <c r="A2348">
        <v>2390</v>
      </c>
      <c r="B2348" t="s">
        <v>5386</v>
      </c>
      <c r="C2348" s="1">
        <v>42710</v>
      </c>
      <c r="D2348" s="1">
        <v>42714</v>
      </c>
      <c r="E2348" s="1" t="str">
        <f t="shared" si="36"/>
        <v>FAST</v>
      </c>
      <c r="F2348" t="s">
        <v>46</v>
      </c>
      <c r="G2348" t="s">
        <v>5387</v>
      </c>
      <c r="H2348" t="s">
        <v>5388</v>
      </c>
      <c r="I2348" t="s">
        <v>22</v>
      </c>
      <c r="J2348" t="s">
        <v>23</v>
      </c>
      <c r="K2348" t="s">
        <v>260</v>
      </c>
      <c r="L2348" t="s">
        <v>261</v>
      </c>
      <c r="M2348">
        <v>10009</v>
      </c>
      <c r="N2348" t="s">
        <v>144</v>
      </c>
      <c r="O2348" t="s">
        <v>5389</v>
      </c>
      <c r="P2348" t="s">
        <v>42</v>
      </c>
      <c r="Q2348" t="s">
        <v>86</v>
      </c>
      <c r="R2348" t="s">
        <v>5390</v>
      </c>
      <c r="S2348">
        <v>6.48</v>
      </c>
    </row>
    <row r="2349" spans="1:19" x14ac:dyDescent="0.35">
      <c r="A2349">
        <v>2391</v>
      </c>
      <c r="B2349" t="s">
        <v>5386</v>
      </c>
      <c r="C2349" s="1">
        <v>42710</v>
      </c>
      <c r="D2349" s="1">
        <v>42714</v>
      </c>
      <c r="E2349" s="1" t="str">
        <f t="shared" si="36"/>
        <v>FAST</v>
      </c>
      <c r="F2349" t="s">
        <v>46</v>
      </c>
      <c r="G2349" t="s">
        <v>5387</v>
      </c>
      <c r="H2349" t="s">
        <v>5388</v>
      </c>
      <c r="I2349" t="s">
        <v>22</v>
      </c>
      <c r="J2349" t="s">
        <v>23</v>
      </c>
      <c r="K2349" t="s">
        <v>260</v>
      </c>
      <c r="L2349" t="s">
        <v>261</v>
      </c>
      <c r="M2349">
        <v>10009</v>
      </c>
      <c r="N2349" t="s">
        <v>144</v>
      </c>
      <c r="O2349" t="s">
        <v>5391</v>
      </c>
      <c r="P2349" t="s">
        <v>42</v>
      </c>
      <c r="Q2349" t="s">
        <v>86</v>
      </c>
      <c r="R2349" t="s">
        <v>5392</v>
      </c>
      <c r="S2349">
        <v>41.86</v>
      </c>
    </row>
    <row r="2350" spans="1:19" x14ac:dyDescent="0.35">
      <c r="A2350">
        <v>2392</v>
      </c>
      <c r="B2350" t="s">
        <v>5386</v>
      </c>
      <c r="C2350" s="1">
        <v>42710</v>
      </c>
      <c r="D2350" s="1">
        <v>42714</v>
      </c>
      <c r="E2350" s="1" t="str">
        <f t="shared" si="36"/>
        <v>FAST</v>
      </c>
      <c r="F2350" t="s">
        <v>46</v>
      </c>
      <c r="G2350" t="s">
        <v>5387</v>
      </c>
      <c r="H2350" t="s">
        <v>5388</v>
      </c>
      <c r="I2350" t="s">
        <v>22</v>
      </c>
      <c r="J2350" t="s">
        <v>23</v>
      </c>
      <c r="K2350" t="s">
        <v>260</v>
      </c>
      <c r="L2350" t="s">
        <v>261</v>
      </c>
      <c r="M2350">
        <v>10009</v>
      </c>
      <c r="N2350" t="s">
        <v>144</v>
      </c>
      <c r="O2350" t="s">
        <v>5393</v>
      </c>
      <c r="P2350" t="s">
        <v>67</v>
      </c>
      <c r="Q2350" t="s">
        <v>157</v>
      </c>
      <c r="R2350" t="s">
        <v>5394</v>
      </c>
      <c r="S2350">
        <v>1619.91</v>
      </c>
    </row>
    <row r="2351" spans="1:19" x14ac:dyDescent="0.35">
      <c r="A2351">
        <v>2393</v>
      </c>
      <c r="B2351" t="s">
        <v>5386</v>
      </c>
      <c r="C2351" s="1">
        <v>42710</v>
      </c>
      <c r="D2351" s="1">
        <v>42714</v>
      </c>
      <c r="E2351" s="1" t="str">
        <f t="shared" si="36"/>
        <v>FAST</v>
      </c>
      <c r="F2351" t="s">
        <v>46</v>
      </c>
      <c r="G2351" t="s">
        <v>5387</v>
      </c>
      <c r="H2351" t="s">
        <v>5388</v>
      </c>
      <c r="I2351" t="s">
        <v>22</v>
      </c>
      <c r="J2351" t="s">
        <v>23</v>
      </c>
      <c r="K2351" t="s">
        <v>260</v>
      </c>
      <c r="L2351" t="s">
        <v>261</v>
      </c>
      <c r="M2351">
        <v>10009</v>
      </c>
      <c r="N2351" t="s">
        <v>144</v>
      </c>
      <c r="O2351" t="s">
        <v>4542</v>
      </c>
      <c r="P2351" t="s">
        <v>28</v>
      </c>
      <c r="Q2351" t="s">
        <v>61</v>
      </c>
      <c r="R2351" t="s">
        <v>4543</v>
      </c>
      <c r="S2351">
        <v>113.92</v>
      </c>
    </row>
    <row r="2352" spans="1:19" x14ac:dyDescent="0.35">
      <c r="A2352">
        <v>2394</v>
      </c>
      <c r="B2352" t="s">
        <v>5395</v>
      </c>
      <c r="C2352" s="1">
        <v>42811</v>
      </c>
      <c r="D2352" s="1">
        <v>42817</v>
      </c>
      <c r="E2352" s="1" t="str">
        <f t="shared" si="36"/>
        <v>FAST</v>
      </c>
      <c r="F2352" t="s">
        <v>46</v>
      </c>
      <c r="G2352" t="s">
        <v>3227</v>
      </c>
      <c r="H2352" t="s">
        <v>3228</v>
      </c>
      <c r="I2352" t="s">
        <v>22</v>
      </c>
      <c r="J2352" t="s">
        <v>23</v>
      </c>
      <c r="K2352" t="s">
        <v>5396</v>
      </c>
      <c r="L2352" t="s">
        <v>1233</v>
      </c>
      <c r="M2352">
        <v>2148</v>
      </c>
      <c r="N2352" t="s">
        <v>144</v>
      </c>
      <c r="O2352" t="s">
        <v>1545</v>
      </c>
      <c r="P2352" t="s">
        <v>42</v>
      </c>
      <c r="Q2352" t="s">
        <v>64</v>
      </c>
      <c r="R2352" t="s">
        <v>1546</v>
      </c>
      <c r="S2352">
        <v>39.68</v>
      </c>
    </row>
    <row r="2353" spans="1:19" x14ac:dyDescent="0.35">
      <c r="A2353">
        <v>2395</v>
      </c>
      <c r="B2353" t="s">
        <v>5397</v>
      </c>
      <c r="C2353" s="1">
        <v>42688</v>
      </c>
      <c r="D2353" s="1">
        <v>42693</v>
      </c>
      <c r="E2353" s="1" t="str">
        <f t="shared" si="36"/>
        <v>FAST</v>
      </c>
      <c r="F2353" t="s">
        <v>46</v>
      </c>
      <c r="G2353" t="s">
        <v>5242</v>
      </c>
      <c r="H2353" t="s">
        <v>5243</v>
      </c>
      <c r="I2353" t="s">
        <v>37</v>
      </c>
      <c r="J2353" t="s">
        <v>23</v>
      </c>
      <c r="K2353" t="s">
        <v>260</v>
      </c>
      <c r="L2353" t="s">
        <v>261</v>
      </c>
      <c r="M2353">
        <v>10035</v>
      </c>
      <c r="N2353" t="s">
        <v>144</v>
      </c>
      <c r="O2353" t="s">
        <v>4776</v>
      </c>
      <c r="P2353" t="s">
        <v>67</v>
      </c>
      <c r="Q2353" t="s">
        <v>157</v>
      </c>
      <c r="R2353" t="s">
        <v>4777</v>
      </c>
      <c r="S2353">
        <v>37.6</v>
      </c>
    </row>
    <row r="2354" spans="1:19" x14ac:dyDescent="0.35">
      <c r="A2354">
        <v>2396</v>
      </c>
      <c r="B2354" t="s">
        <v>5397</v>
      </c>
      <c r="C2354" s="1">
        <v>42688</v>
      </c>
      <c r="D2354" s="1">
        <v>42693</v>
      </c>
      <c r="E2354" s="1" t="str">
        <f t="shared" si="36"/>
        <v>FAST</v>
      </c>
      <c r="F2354" t="s">
        <v>46</v>
      </c>
      <c r="G2354" t="s">
        <v>5242</v>
      </c>
      <c r="H2354" t="s">
        <v>5243</v>
      </c>
      <c r="I2354" t="s">
        <v>37</v>
      </c>
      <c r="J2354" t="s">
        <v>23</v>
      </c>
      <c r="K2354" t="s">
        <v>260</v>
      </c>
      <c r="L2354" t="s">
        <v>261</v>
      </c>
      <c r="M2354">
        <v>10035</v>
      </c>
      <c r="N2354" t="s">
        <v>144</v>
      </c>
      <c r="O2354" t="s">
        <v>2064</v>
      </c>
      <c r="P2354" t="s">
        <v>67</v>
      </c>
      <c r="Q2354" t="s">
        <v>157</v>
      </c>
      <c r="R2354" t="s">
        <v>2065</v>
      </c>
      <c r="S2354">
        <v>59.9</v>
      </c>
    </row>
    <row r="2355" spans="1:19" x14ac:dyDescent="0.35">
      <c r="A2355">
        <v>2397</v>
      </c>
      <c r="B2355" t="s">
        <v>5397</v>
      </c>
      <c r="C2355" s="1">
        <v>42688</v>
      </c>
      <c r="D2355" s="1">
        <v>42693</v>
      </c>
      <c r="E2355" s="1" t="str">
        <f t="shared" si="36"/>
        <v>FAST</v>
      </c>
      <c r="F2355" t="s">
        <v>46</v>
      </c>
      <c r="G2355" t="s">
        <v>5242</v>
      </c>
      <c r="H2355" t="s">
        <v>5243</v>
      </c>
      <c r="I2355" t="s">
        <v>37</v>
      </c>
      <c r="J2355" t="s">
        <v>23</v>
      </c>
      <c r="K2355" t="s">
        <v>260</v>
      </c>
      <c r="L2355" t="s">
        <v>261</v>
      </c>
      <c r="M2355">
        <v>10035</v>
      </c>
      <c r="N2355" t="s">
        <v>144</v>
      </c>
      <c r="O2355" t="s">
        <v>3713</v>
      </c>
      <c r="P2355" t="s">
        <v>42</v>
      </c>
      <c r="Q2355" t="s">
        <v>86</v>
      </c>
      <c r="R2355" t="s">
        <v>3714</v>
      </c>
      <c r="S2355">
        <v>37</v>
      </c>
    </row>
    <row r="2356" spans="1:19" x14ac:dyDescent="0.35">
      <c r="A2356">
        <v>2398</v>
      </c>
      <c r="B2356" t="s">
        <v>5398</v>
      </c>
      <c r="C2356" s="1">
        <v>43326</v>
      </c>
      <c r="D2356" s="1">
        <v>43328</v>
      </c>
      <c r="E2356" s="1" t="str">
        <f t="shared" si="36"/>
        <v>SLOW</v>
      </c>
      <c r="F2356" t="s">
        <v>19</v>
      </c>
      <c r="G2356" t="s">
        <v>3453</v>
      </c>
      <c r="H2356" t="s">
        <v>3454</v>
      </c>
      <c r="I2356" t="s">
        <v>22</v>
      </c>
      <c r="J2356" t="s">
        <v>23</v>
      </c>
      <c r="K2356" t="s">
        <v>123</v>
      </c>
      <c r="L2356" t="s">
        <v>39</v>
      </c>
      <c r="M2356">
        <v>94109</v>
      </c>
      <c r="N2356" t="s">
        <v>40</v>
      </c>
      <c r="O2356" t="s">
        <v>2890</v>
      </c>
      <c r="P2356" t="s">
        <v>42</v>
      </c>
      <c r="Q2356" t="s">
        <v>43</v>
      </c>
      <c r="R2356" t="s">
        <v>2891</v>
      </c>
      <c r="S2356">
        <v>5.76</v>
      </c>
    </row>
    <row r="2357" spans="1:19" x14ac:dyDescent="0.35">
      <c r="A2357">
        <v>2399</v>
      </c>
      <c r="B2357" t="s">
        <v>5398</v>
      </c>
      <c r="C2357" s="1">
        <v>43326</v>
      </c>
      <c r="D2357" s="1">
        <v>43328</v>
      </c>
      <c r="E2357" s="1" t="str">
        <f t="shared" si="36"/>
        <v>SLOW</v>
      </c>
      <c r="F2357" t="s">
        <v>19</v>
      </c>
      <c r="G2357" t="s">
        <v>3453</v>
      </c>
      <c r="H2357" t="s">
        <v>3454</v>
      </c>
      <c r="I2357" t="s">
        <v>22</v>
      </c>
      <c r="J2357" t="s">
        <v>23</v>
      </c>
      <c r="K2357" t="s">
        <v>123</v>
      </c>
      <c r="L2357" t="s">
        <v>39</v>
      </c>
      <c r="M2357">
        <v>94109</v>
      </c>
      <c r="N2357" t="s">
        <v>40</v>
      </c>
      <c r="O2357" t="s">
        <v>135</v>
      </c>
      <c r="P2357" t="s">
        <v>42</v>
      </c>
      <c r="Q2357" t="s">
        <v>64</v>
      </c>
      <c r="R2357" t="s">
        <v>136</v>
      </c>
      <c r="S2357">
        <v>16.68</v>
      </c>
    </row>
    <row r="2358" spans="1:19" x14ac:dyDescent="0.35">
      <c r="A2358">
        <v>2400</v>
      </c>
      <c r="B2358" t="s">
        <v>5399</v>
      </c>
      <c r="C2358" s="1">
        <v>43352</v>
      </c>
      <c r="D2358" s="1">
        <v>43358</v>
      </c>
      <c r="E2358" s="1" t="str">
        <f t="shared" si="36"/>
        <v>FAST</v>
      </c>
      <c r="F2358" t="s">
        <v>46</v>
      </c>
      <c r="G2358" t="s">
        <v>967</v>
      </c>
      <c r="H2358" t="s">
        <v>968</v>
      </c>
      <c r="I2358" t="s">
        <v>37</v>
      </c>
      <c r="J2358" t="s">
        <v>23</v>
      </c>
      <c r="K2358" t="s">
        <v>2551</v>
      </c>
      <c r="L2358" t="s">
        <v>373</v>
      </c>
      <c r="M2358">
        <v>29501</v>
      </c>
      <c r="N2358" t="s">
        <v>26</v>
      </c>
      <c r="O2358" t="s">
        <v>1669</v>
      </c>
      <c r="P2358" t="s">
        <v>42</v>
      </c>
      <c r="Q2358" t="s">
        <v>55</v>
      </c>
      <c r="R2358" t="s">
        <v>1670</v>
      </c>
      <c r="S2358">
        <v>628.80999999999995</v>
      </c>
    </row>
    <row r="2359" spans="1:19" x14ac:dyDescent="0.35">
      <c r="A2359">
        <v>2401</v>
      </c>
      <c r="B2359" t="s">
        <v>5399</v>
      </c>
      <c r="C2359" s="1">
        <v>43352</v>
      </c>
      <c r="D2359" s="1">
        <v>43358</v>
      </c>
      <c r="E2359" s="1" t="str">
        <f t="shared" si="36"/>
        <v>FAST</v>
      </c>
      <c r="F2359" t="s">
        <v>46</v>
      </c>
      <c r="G2359" t="s">
        <v>967</v>
      </c>
      <c r="H2359" t="s">
        <v>968</v>
      </c>
      <c r="I2359" t="s">
        <v>37</v>
      </c>
      <c r="J2359" t="s">
        <v>23</v>
      </c>
      <c r="K2359" t="s">
        <v>2551</v>
      </c>
      <c r="L2359" t="s">
        <v>373</v>
      </c>
      <c r="M2359">
        <v>29501</v>
      </c>
      <c r="N2359" t="s">
        <v>26</v>
      </c>
      <c r="O2359" t="s">
        <v>3942</v>
      </c>
      <c r="P2359" t="s">
        <v>42</v>
      </c>
      <c r="Q2359" t="s">
        <v>55</v>
      </c>
      <c r="R2359" t="s">
        <v>3943</v>
      </c>
      <c r="S2359">
        <v>56.45</v>
      </c>
    </row>
    <row r="2360" spans="1:19" x14ac:dyDescent="0.35">
      <c r="A2360">
        <v>2402</v>
      </c>
      <c r="B2360" t="s">
        <v>5400</v>
      </c>
      <c r="C2360" s="1">
        <v>43191</v>
      </c>
      <c r="D2360" s="1">
        <v>43194</v>
      </c>
      <c r="E2360" s="1" t="str">
        <f t="shared" si="36"/>
        <v>SLOW</v>
      </c>
      <c r="F2360" t="s">
        <v>19</v>
      </c>
      <c r="G2360" t="s">
        <v>4667</v>
      </c>
      <c r="H2360" t="s">
        <v>4668</v>
      </c>
      <c r="I2360" t="s">
        <v>22</v>
      </c>
      <c r="J2360" t="s">
        <v>23</v>
      </c>
      <c r="K2360" t="s">
        <v>312</v>
      </c>
      <c r="L2360" t="s">
        <v>584</v>
      </c>
      <c r="M2360">
        <v>65807</v>
      </c>
      <c r="N2360" t="s">
        <v>101</v>
      </c>
      <c r="O2360" t="s">
        <v>3693</v>
      </c>
      <c r="P2360" t="s">
        <v>42</v>
      </c>
      <c r="Q2360" t="s">
        <v>55</v>
      </c>
      <c r="R2360" t="s">
        <v>3694</v>
      </c>
      <c r="S2360">
        <v>94.2</v>
      </c>
    </row>
    <row r="2361" spans="1:19" x14ac:dyDescent="0.35">
      <c r="A2361">
        <v>2403</v>
      </c>
      <c r="B2361" t="s">
        <v>5400</v>
      </c>
      <c r="C2361" s="1">
        <v>43191</v>
      </c>
      <c r="D2361" s="1">
        <v>43194</v>
      </c>
      <c r="E2361" s="1" t="str">
        <f t="shared" si="36"/>
        <v>SLOW</v>
      </c>
      <c r="F2361" t="s">
        <v>19</v>
      </c>
      <c r="G2361" t="s">
        <v>4667</v>
      </c>
      <c r="H2361" t="s">
        <v>4668</v>
      </c>
      <c r="I2361" t="s">
        <v>22</v>
      </c>
      <c r="J2361" t="s">
        <v>23</v>
      </c>
      <c r="K2361" t="s">
        <v>312</v>
      </c>
      <c r="L2361" t="s">
        <v>584</v>
      </c>
      <c r="M2361">
        <v>65807</v>
      </c>
      <c r="N2361" t="s">
        <v>101</v>
      </c>
      <c r="O2361" t="s">
        <v>657</v>
      </c>
      <c r="P2361" t="s">
        <v>42</v>
      </c>
      <c r="Q2361" t="s">
        <v>169</v>
      </c>
      <c r="R2361" t="s">
        <v>658</v>
      </c>
      <c r="S2361">
        <v>28.4</v>
      </c>
    </row>
    <row r="2362" spans="1:19" x14ac:dyDescent="0.35">
      <c r="A2362">
        <v>2404</v>
      </c>
      <c r="B2362" t="s">
        <v>5401</v>
      </c>
      <c r="C2362" s="1">
        <v>43005</v>
      </c>
      <c r="D2362" s="1">
        <v>43011</v>
      </c>
      <c r="E2362" s="1" t="str">
        <f t="shared" si="36"/>
        <v>FAST</v>
      </c>
      <c r="F2362" t="s">
        <v>46</v>
      </c>
      <c r="G2362" t="s">
        <v>3711</v>
      </c>
      <c r="H2362" t="s">
        <v>3712</v>
      </c>
      <c r="I2362" t="s">
        <v>37</v>
      </c>
      <c r="J2362" t="s">
        <v>23</v>
      </c>
      <c r="K2362" t="s">
        <v>1661</v>
      </c>
      <c r="L2362" t="s">
        <v>100</v>
      </c>
      <c r="M2362">
        <v>77340</v>
      </c>
      <c r="N2362" t="s">
        <v>101</v>
      </c>
      <c r="O2362" t="s">
        <v>5402</v>
      </c>
      <c r="P2362" t="s">
        <v>28</v>
      </c>
      <c r="Q2362" t="s">
        <v>29</v>
      </c>
      <c r="R2362" t="s">
        <v>5403</v>
      </c>
      <c r="S2362">
        <v>956.66480000000001</v>
      </c>
    </row>
    <row r="2363" spans="1:19" x14ac:dyDescent="0.35">
      <c r="A2363">
        <v>2405</v>
      </c>
      <c r="B2363" t="s">
        <v>5404</v>
      </c>
      <c r="C2363" s="1">
        <v>43380</v>
      </c>
      <c r="D2363" s="1">
        <v>43384</v>
      </c>
      <c r="E2363" s="1" t="str">
        <f t="shared" si="36"/>
        <v>FAST</v>
      </c>
      <c r="F2363" t="s">
        <v>46</v>
      </c>
      <c r="G2363" t="s">
        <v>1776</v>
      </c>
      <c r="H2363" t="s">
        <v>1777</v>
      </c>
      <c r="I2363" t="s">
        <v>22</v>
      </c>
      <c r="J2363" t="s">
        <v>23</v>
      </c>
      <c r="K2363" t="s">
        <v>38</v>
      </c>
      <c r="L2363" t="s">
        <v>39</v>
      </c>
      <c r="M2363">
        <v>90045</v>
      </c>
      <c r="N2363" t="s">
        <v>40</v>
      </c>
      <c r="O2363" t="s">
        <v>2677</v>
      </c>
      <c r="P2363" t="s">
        <v>67</v>
      </c>
      <c r="Q2363" t="s">
        <v>157</v>
      </c>
      <c r="R2363" t="s">
        <v>2678</v>
      </c>
      <c r="S2363">
        <v>1115.9100000000001</v>
      </c>
    </row>
    <row r="2364" spans="1:19" x14ac:dyDescent="0.35">
      <c r="A2364">
        <v>2406</v>
      </c>
      <c r="B2364" t="s">
        <v>5404</v>
      </c>
      <c r="C2364" s="1">
        <v>43380</v>
      </c>
      <c r="D2364" s="1">
        <v>43384</v>
      </c>
      <c r="E2364" s="1" t="str">
        <f t="shared" si="36"/>
        <v>FAST</v>
      </c>
      <c r="F2364" t="s">
        <v>46</v>
      </c>
      <c r="G2364" t="s">
        <v>1776</v>
      </c>
      <c r="H2364" t="s">
        <v>1777</v>
      </c>
      <c r="I2364" t="s">
        <v>22</v>
      </c>
      <c r="J2364" t="s">
        <v>23</v>
      </c>
      <c r="K2364" t="s">
        <v>38</v>
      </c>
      <c r="L2364" t="s">
        <v>39</v>
      </c>
      <c r="M2364">
        <v>90045</v>
      </c>
      <c r="N2364" t="s">
        <v>40</v>
      </c>
      <c r="O2364" t="s">
        <v>1762</v>
      </c>
      <c r="P2364" t="s">
        <v>67</v>
      </c>
      <c r="Q2364" t="s">
        <v>68</v>
      </c>
      <c r="R2364" t="s">
        <v>1763</v>
      </c>
      <c r="S2364">
        <v>128.744</v>
      </c>
    </row>
    <row r="2365" spans="1:19" x14ac:dyDescent="0.35">
      <c r="A2365">
        <v>2407</v>
      </c>
      <c r="B2365" t="s">
        <v>5404</v>
      </c>
      <c r="C2365" s="1">
        <v>43380</v>
      </c>
      <c r="D2365" s="1">
        <v>43384</v>
      </c>
      <c r="E2365" s="1" t="str">
        <f t="shared" si="36"/>
        <v>FAST</v>
      </c>
      <c r="F2365" t="s">
        <v>46</v>
      </c>
      <c r="G2365" t="s">
        <v>1776</v>
      </c>
      <c r="H2365" t="s">
        <v>1777</v>
      </c>
      <c r="I2365" t="s">
        <v>22</v>
      </c>
      <c r="J2365" t="s">
        <v>23</v>
      </c>
      <c r="K2365" t="s">
        <v>38</v>
      </c>
      <c r="L2365" t="s">
        <v>39</v>
      </c>
      <c r="M2365">
        <v>90045</v>
      </c>
      <c r="N2365" t="s">
        <v>40</v>
      </c>
      <c r="O2365" t="s">
        <v>1222</v>
      </c>
      <c r="P2365" t="s">
        <v>67</v>
      </c>
      <c r="Q2365" t="s">
        <v>68</v>
      </c>
      <c r="R2365" t="s">
        <v>1223</v>
      </c>
      <c r="S2365">
        <v>79.92</v>
      </c>
    </row>
    <row r="2366" spans="1:19" x14ac:dyDescent="0.35">
      <c r="A2366">
        <v>2408</v>
      </c>
      <c r="B2366" t="s">
        <v>5405</v>
      </c>
      <c r="C2366" s="1">
        <v>43120</v>
      </c>
      <c r="D2366" s="1">
        <v>43125</v>
      </c>
      <c r="E2366" s="1" t="str">
        <f t="shared" si="36"/>
        <v>FAST</v>
      </c>
      <c r="F2366" t="s">
        <v>46</v>
      </c>
      <c r="G2366" t="s">
        <v>5406</v>
      </c>
      <c r="H2366" t="s">
        <v>5407</v>
      </c>
      <c r="I2366" t="s">
        <v>22</v>
      </c>
      <c r="J2366" t="s">
        <v>23</v>
      </c>
      <c r="K2366" t="s">
        <v>123</v>
      </c>
      <c r="L2366" t="s">
        <v>39</v>
      </c>
      <c r="M2366">
        <v>94122</v>
      </c>
      <c r="N2366" t="s">
        <v>40</v>
      </c>
      <c r="O2366" t="s">
        <v>4599</v>
      </c>
      <c r="P2366" t="s">
        <v>42</v>
      </c>
      <c r="Q2366" t="s">
        <v>64</v>
      </c>
      <c r="R2366" t="s">
        <v>3006</v>
      </c>
      <c r="S2366">
        <v>24.2</v>
      </c>
    </row>
    <row r="2367" spans="1:19" x14ac:dyDescent="0.35">
      <c r="A2367">
        <v>2409</v>
      </c>
      <c r="B2367" t="s">
        <v>5405</v>
      </c>
      <c r="C2367" s="1">
        <v>43120</v>
      </c>
      <c r="D2367" s="1">
        <v>43125</v>
      </c>
      <c r="E2367" s="1" t="str">
        <f t="shared" si="36"/>
        <v>FAST</v>
      </c>
      <c r="F2367" t="s">
        <v>46</v>
      </c>
      <c r="G2367" t="s">
        <v>5406</v>
      </c>
      <c r="H2367" t="s">
        <v>5407</v>
      </c>
      <c r="I2367" t="s">
        <v>22</v>
      </c>
      <c r="J2367" t="s">
        <v>23</v>
      </c>
      <c r="K2367" t="s">
        <v>123</v>
      </c>
      <c r="L2367" t="s">
        <v>39</v>
      </c>
      <c r="M2367">
        <v>94122</v>
      </c>
      <c r="N2367" t="s">
        <v>40</v>
      </c>
      <c r="O2367" t="s">
        <v>5408</v>
      </c>
      <c r="P2367" t="s">
        <v>67</v>
      </c>
      <c r="Q2367" t="s">
        <v>68</v>
      </c>
      <c r="R2367" t="s">
        <v>5409</v>
      </c>
      <c r="S2367">
        <v>359.976</v>
      </c>
    </row>
    <row r="2368" spans="1:19" x14ac:dyDescent="0.35">
      <c r="A2368">
        <v>2410</v>
      </c>
      <c r="B2368" t="s">
        <v>5410</v>
      </c>
      <c r="C2368" s="1">
        <v>43182</v>
      </c>
      <c r="D2368" s="1">
        <v>43184</v>
      </c>
      <c r="E2368" s="1" t="str">
        <f t="shared" si="36"/>
        <v>MODERATE</v>
      </c>
      <c r="F2368" t="s">
        <v>184</v>
      </c>
      <c r="G2368" t="s">
        <v>2762</v>
      </c>
      <c r="H2368" t="s">
        <v>2763</v>
      </c>
      <c r="I2368" t="s">
        <v>98</v>
      </c>
      <c r="J2368" t="s">
        <v>23</v>
      </c>
      <c r="K2368" t="s">
        <v>123</v>
      </c>
      <c r="L2368" t="s">
        <v>39</v>
      </c>
      <c r="M2368">
        <v>94122</v>
      </c>
      <c r="N2368" t="s">
        <v>40</v>
      </c>
      <c r="O2368" t="s">
        <v>4317</v>
      </c>
      <c r="P2368" t="s">
        <v>28</v>
      </c>
      <c r="Q2368" t="s">
        <v>61</v>
      </c>
      <c r="R2368" t="s">
        <v>4318</v>
      </c>
      <c r="S2368">
        <v>211.84</v>
      </c>
    </row>
    <row r="2369" spans="1:19" x14ac:dyDescent="0.35">
      <c r="A2369">
        <v>2411</v>
      </c>
      <c r="B2369" t="s">
        <v>5411</v>
      </c>
      <c r="C2369" s="1">
        <v>42217</v>
      </c>
      <c r="D2369" s="1">
        <v>42222</v>
      </c>
      <c r="E2369" s="1" t="str">
        <f t="shared" si="36"/>
        <v>FAST</v>
      </c>
      <c r="F2369" t="s">
        <v>46</v>
      </c>
      <c r="G2369" t="s">
        <v>2926</v>
      </c>
      <c r="H2369" t="s">
        <v>2927</v>
      </c>
      <c r="I2369" t="s">
        <v>98</v>
      </c>
      <c r="J2369" t="s">
        <v>23</v>
      </c>
      <c r="K2369" t="s">
        <v>142</v>
      </c>
      <c r="L2369" t="s">
        <v>143</v>
      </c>
      <c r="M2369">
        <v>19120</v>
      </c>
      <c r="N2369" t="s">
        <v>144</v>
      </c>
      <c r="O2369" t="s">
        <v>4148</v>
      </c>
      <c r="P2369" t="s">
        <v>42</v>
      </c>
      <c r="Q2369" t="s">
        <v>263</v>
      </c>
      <c r="R2369" t="s">
        <v>4149</v>
      </c>
      <c r="S2369">
        <v>5.68</v>
      </c>
    </row>
    <row r="2370" spans="1:19" x14ac:dyDescent="0.35">
      <c r="A2370">
        <v>2413</v>
      </c>
      <c r="B2370" t="s">
        <v>5414</v>
      </c>
      <c r="C2370" s="1">
        <v>42320</v>
      </c>
      <c r="D2370" s="1">
        <v>42324</v>
      </c>
      <c r="E2370" s="1" t="str">
        <f t="shared" si="36"/>
        <v>FAST</v>
      </c>
      <c r="F2370" t="s">
        <v>46</v>
      </c>
      <c r="G2370" t="s">
        <v>2868</v>
      </c>
      <c r="H2370" t="s">
        <v>2869</v>
      </c>
      <c r="I2370" t="s">
        <v>22</v>
      </c>
      <c r="J2370" t="s">
        <v>23</v>
      </c>
      <c r="K2370" t="s">
        <v>38</v>
      </c>
      <c r="L2370" t="s">
        <v>39</v>
      </c>
      <c r="M2370">
        <v>90045</v>
      </c>
      <c r="N2370" t="s">
        <v>40</v>
      </c>
      <c r="O2370" t="s">
        <v>1403</v>
      </c>
      <c r="P2370" t="s">
        <v>42</v>
      </c>
      <c r="Q2370" t="s">
        <v>86</v>
      </c>
      <c r="R2370" t="s">
        <v>1404</v>
      </c>
      <c r="S2370">
        <v>11.96</v>
      </c>
    </row>
    <row r="2371" spans="1:19" x14ac:dyDescent="0.35">
      <c r="A2371">
        <v>2414</v>
      </c>
      <c r="B2371" t="s">
        <v>5414</v>
      </c>
      <c r="C2371" s="1">
        <v>42320</v>
      </c>
      <c r="D2371" s="1">
        <v>42324</v>
      </c>
      <c r="E2371" s="1" t="str">
        <f t="shared" ref="E2371:E2434" si="37">IF(F2371="STANDARD CLASS","FAST",IF(F2371="SECOND CLASS","SLOW","MODERATE"))</f>
        <v>FAST</v>
      </c>
      <c r="F2371" t="s">
        <v>46</v>
      </c>
      <c r="G2371" t="s">
        <v>2868</v>
      </c>
      <c r="H2371" t="s">
        <v>2869</v>
      </c>
      <c r="I2371" t="s">
        <v>22</v>
      </c>
      <c r="J2371" t="s">
        <v>23</v>
      </c>
      <c r="K2371" t="s">
        <v>38</v>
      </c>
      <c r="L2371" t="s">
        <v>39</v>
      </c>
      <c r="M2371">
        <v>90045</v>
      </c>
      <c r="N2371" t="s">
        <v>40</v>
      </c>
      <c r="O2371" t="s">
        <v>2847</v>
      </c>
      <c r="P2371" t="s">
        <v>28</v>
      </c>
      <c r="Q2371" t="s">
        <v>52</v>
      </c>
      <c r="R2371" t="s">
        <v>2848</v>
      </c>
      <c r="S2371">
        <v>629.06399999999996</v>
      </c>
    </row>
    <row r="2372" spans="1:19" x14ac:dyDescent="0.35">
      <c r="A2372">
        <v>2415</v>
      </c>
      <c r="B2372" t="s">
        <v>5415</v>
      </c>
      <c r="C2372" s="1">
        <v>43098</v>
      </c>
      <c r="D2372" s="1">
        <v>43102</v>
      </c>
      <c r="E2372" s="1" t="str">
        <f t="shared" si="37"/>
        <v>FAST</v>
      </c>
      <c r="F2372" t="s">
        <v>46</v>
      </c>
      <c r="G2372" t="s">
        <v>1537</v>
      </c>
      <c r="H2372" t="s">
        <v>1538</v>
      </c>
      <c r="I2372" t="s">
        <v>22</v>
      </c>
      <c r="J2372" t="s">
        <v>23</v>
      </c>
      <c r="K2372" t="s">
        <v>2520</v>
      </c>
      <c r="L2372" t="s">
        <v>110</v>
      </c>
      <c r="M2372">
        <v>53209</v>
      </c>
      <c r="N2372" t="s">
        <v>101</v>
      </c>
      <c r="O2372" t="s">
        <v>5350</v>
      </c>
      <c r="P2372" t="s">
        <v>28</v>
      </c>
      <c r="Q2372" t="s">
        <v>32</v>
      </c>
      <c r="R2372" t="s">
        <v>5351</v>
      </c>
      <c r="S2372">
        <v>754.45</v>
      </c>
    </row>
    <row r="2373" spans="1:19" x14ac:dyDescent="0.35">
      <c r="A2373">
        <v>2416</v>
      </c>
      <c r="B2373" t="s">
        <v>5416</v>
      </c>
      <c r="C2373" s="1">
        <v>42557</v>
      </c>
      <c r="D2373" s="1">
        <v>42562</v>
      </c>
      <c r="E2373" s="1" t="str">
        <f t="shared" si="37"/>
        <v>FAST</v>
      </c>
      <c r="F2373" t="s">
        <v>46</v>
      </c>
      <c r="G2373" t="s">
        <v>3757</v>
      </c>
      <c r="H2373" t="s">
        <v>3758</v>
      </c>
      <c r="I2373" t="s">
        <v>98</v>
      </c>
      <c r="J2373" t="s">
        <v>23</v>
      </c>
      <c r="K2373" t="s">
        <v>5417</v>
      </c>
      <c r="L2373" t="s">
        <v>1233</v>
      </c>
      <c r="M2373">
        <v>1040</v>
      </c>
      <c r="N2373" t="s">
        <v>144</v>
      </c>
      <c r="O2373" t="s">
        <v>1595</v>
      </c>
      <c r="P2373" t="s">
        <v>28</v>
      </c>
      <c r="Q2373" t="s">
        <v>29</v>
      </c>
      <c r="R2373" t="s">
        <v>1596</v>
      </c>
      <c r="S2373">
        <v>301.95999999999998</v>
      </c>
    </row>
    <row r="2374" spans="1:19" x14ac:dyDescent="0.35">
      <c r="A2374">
        <v>2417</v>
      </c>
      <c r="B2374" t="s">
        <v>5418</v>
      </c>
      <c r="C2374" s="1">
        <v>43385</v>
      </c>
      <c r="D2374" s="1">
        <v>43391</v>
      </c>
      <c r="E2374" s="1" t="str">
        <f t="shared" si="37"/>
        <v>FAST</v>
      </c>
      <c r="F2374" t="s">
        <v>46</v>
      </c>
      <c r="G2374" t="s">
        <v>5419</v>
      </c>
      <c r="H2374" t="s">
        <v>5420</v>
      </c>
      <c r="I2374" t="s">
        <v>37</v>
      </c>
      <c r="J2374" t="s">
        <v>23</v>
      </c>
      <c r="K2374" t="s">
        <v>5421</v>
      </c>
      <c r="L2374" t="s">
        <v>656</v>
      </c>
      <c r="M2374">
        <v>87105</v>
      </c>
      <c r="N2374" t="s">
        <v>40</v>
      </c>
      <c r="O2374" t="s">
        <v>4771</v>
      </c>
      <c r="P2374" t="s">
        <v>67</v>
      </c>
      <c r="Q2374" t="s">
        <v>157</v>
      </c>
      <c r="R2374" t="s">
        <v>4772</v>
      </c>
      <c r="S2374">
        <v>595</v>
      </c>
    </row>
    <row r="2375" spans="1:19" x14ac:dyDescent="0.35">
      <c r="A2375">
        <v>2418</v>
      </c>
      <c r="B2375" t="s">
        <v>5418</v>
      </c>
      <c r="C2375" s="1">
        <v>43385</v>
      </c>
      <c r="D2375" s="1">
        <v>43391</v>
      </c>
      <c r="E2375" s="1" t="str">
        <f t="shared" si="37"/>
        <v>FAST</v>
      </c>
      <c r="F2375" t="s">
        <v>46</v>
      </c>
      <c r="G2375" t="s">
        <v>5419</v>
      </c>
      <c r="H2375" t="s">
        <v>5420</v>
      </c>
      <c r="I2375" t="s">
        <v>37</v>
      </c>
      <c r="J2375" t="s">
        <v>23</v>
      </c>
      <c r="K2375" t="s">
        <v>5421</v>
      </c>
      <c r="L2375" t="s">
        <v>656</v>
      </c>
      <c r="M2375">
        <v>87105</v>
      </c>
      <c r="N2375" t="s">
        <v>40</v>
      </c>
      <c r="O2375" t="s">
        <v>4760</v>
      </c>
      <c r="P2375" t="s">
        <v>42</v>
      </c>
      <c r="Q2375" t="s">
        <v>71</v>
      </c>
      <c r="R2375" t="s">
        <v>4761</v>
      </c>
      <c r="S2375">
        <v>79.872</v>
      </c>
    </row>
    <row r="2376" spans="1:19" x14ac:dyDescent="0.35">
      <c r="A2376">
        <v>2419</v>
      </c>
      <c r="B2376" t="s">
        <v>5422</v>
      </c>
      <c r="C2376" s="1">
        <v>42876</v>
      </c>
      <c r="D2376" s="1">
        <v>42883</v>
      </c>
      <c r="E2376" s="1" t="str">
        <f t="shared" si="37"/>
        <v>FAST</v>
      </c>
      <c r="F2376" t="s">
        <v>46</v>
      </c>
      <c r="G2376" t="s">
        <v>202</v>
      </c>
      <c r="H2376" t="s">
        <v>203</v>
      </c>
      <c r="I2376" t="s">
        <v>37</v>
      </c>
      <c r="J2376" t="s">
        <v>23</v>
      </c>
      <c r="K2376" t="s">
        <v>5423</v>
      </c>
      <c r="L2376" t="s">
        <v>1377</v>
      </c>
      <c r="M2376">
        <v>89431</v>
      </c>
      <c r="N2376" t="s">
        <v>40</v>
      </c>
      <c r="O2376" t="s">
        <v>5424</v>
      </c>
      <c r="P2376" t="s">
        <v>67</v>
      </c>
      <c r="Q2376" t="s">
        <v>671</v>
      </c>
      <c r="R2376" t="s">
        <v>5425</v>
      </c>
      <c r="S2376">
        <v>2396.4</v>
      </c>
    </row>
    <row r="2377" spans="1:19" x14ac:dyDescent="0.35">
      <c r="A2377">
        <v>2420</v>
      </c>
      <c r="B2377" t="s">
        <v>5426</v>
      </c>
      <c r="C2377" s="1">
        <v>43413</v>
      </c>
      <c r="D2377" s="1">
        <v>43418</v>
      </c>
      <c r="E2377" s="1" t="str">
        <f t="shared" si="37"/>
        <v>FAST</v>
      </c>
      <c r="F2377" t="s">
        <v>46</v>
      </c>
      <c r="G2377" t="s">
        <v>4879</v>
      </c>
      <c r="H2377" t="s">
        <v>4880</v>
      </c>
      <c r="I2377" t="s">
        <v>37</v>
      </c>
      <c r="J2377" t="s">
        <v>23</v>
      </c>
      <c r="K2377" t="s">
        <v>5427</v>
      </c>
      <c r="L2377" t="s">
        <v>39</v>
      </c>
      <c r="M2377">
        <v>92236</v>
      </c>
      <c r="N2377" t="s">
        <v>40</v>
      </c>
      <c r="O2377" t="s">
        <v>3751</v>
      </c>
      <c r="P2377" t="s">
        <v>42</v>
      </c>
      <c r="Q2377" t="s">
        <v>55</v>
      </c>
      <c r="R2377" t="s">
        <v>3752</v>
      </c>
      <c r="S2377">
        <v>63.56</v>
      </c>
    </row>
    <row r="2378" spans="1:19" x14ac:dyDescent="0.35">
      <c r="A2378">
        <v>2421</v>
      </c>
      <c r="B2378" t="s">
        <v>5426</v>
      </c>
      <c r="C2378" s="1">
        <v>43413</v>
      </c>
      <c r="D2378" s="1">
        <v>43418</v>
      </c>
      <c r="E2378" s="1" t="str">
        <f t="shared" si="37"/>
        <v>FAST</v>
      </c>
      <c r="F2378" t="s">
        <v>46</v>
      </c>
      <c r="G2378" t="s">
        <v>4879</v>
      </c>
      <c r="H2378" t="s">
        <v>4880</v>
      </c>
      <c r="I2378" t="s">
        <v>37</v>
      </c>
      <c r="J2378" t="s">
        <v>23</v>
      </c>
      <c r="K2378" t="s">
        <v>5427</v>
      </c>
      <c r="L2378" t="s">
        <v>39</v>
      </c>
      <c r="M2378">
        <v>92236</v>
      </c>
      <c r="N2378" t="s">
        <v>40</v>
      </c>
      <c r="O2378" t="s">
        <v>5428</v>
      </c>
      <c r="P2378" t="s">
        <v>67</v>
      </c>
      <c r="Q2378" t="s">
        <v>157</v>
      </c>
      <c r="R2378" t="s">
        <v>5429</v>
      </c>
      <c r="S2378">
        <v>99.99</v>
      </c>
    </row>
    <row r="2379" spans="1:19" x14ac:dyDescent="0.35">
      <c r="A2379">
        <v>2422</v>
      </c>
      <c r="B2379" t="s">
        <v>5430</v>
      </c>
      <c r="C2379" s="1">
        <v>42843</v>
      </c>
      <c r="D2379" s="1">
        <v>42848</v>
      </c>
      <c r="E2379" s="1" t="str">
        <f t="shared" si="37"/>
        <v>FAST</v>
      </c>
      <c r="F2379" t="s">
        <v>46</v>
      </c>
      <c r="G2379" t="s">
        <v>5431</v>
      </c>
      <c r="H2379" t="s">
        <v>5432</v>
      </c>
      <c r="I2379" t="s">
        <v>98</v>
      </c>
      <c r="J2379" t="s">
        <v>23</v>
      </c>
      <c r="K2379" t="s">
        <v>5433</v>
      </c>
      <c r="L2379" t="s">
        <v>205</v>
      </c>
      <c r="M2379">
        <v>60126</v>
      </c>
      <c r="N2379" t="s">
        <v>101</v>
      </c>
      <c r="O2379" t="s">
        <v>369</v>
      </c>
      <c r="P2379" t="s">
        <v>42</v>
      </c>
      <c r="Q2379" t="s">
        <v>55</v>
      </c>
      <c r="R2379" t="s">
        <v>370</v>
      </c>
      <c r="S2379">
        <v>230.376</v>
      </c>
    </row>
    <row r="2380" spans="1:19" x14ac:dyDescent="0.35">
      <c r="A2380">
        <v>2423</v>
      </c>
      <c r="B2380" t="s">
        <v>5430</v>
      </c>
      <c r="C2380" s="1">
        <v>42843</v>
      </c>
      <c r="D2380" s="1">
        <v>42848</v>
      </c>
      <c r="E2380" s="1" t="str">
        <f t="shared" si="37"/>
        <v>FAST</v>
      </c>
      <c r="F2380" t="s">
        <v>46</v>
      </c>
      <c r="G2380" t="s">
        <v>5431</v>
      </c>
      <c r="H2380" t="s">
        <v>5432</v>
      </c>
      <c r="I2380" t="s">
        <v>98</v>
      </c>
      <c r="J2380" t="s">
        <v>23</v>
      </c>
      <c r="K2380" t="s">
        <v>5433</v>
      </c>
      <c r="L2380" t="s">
        <v>205</v>
      </c>
      <c r="M2380">
        <v>60126</v>
      </c>
      <c r="N2380" t="s">
        <v>101</v>
      </c>
      <c r="O2380" t="s">
        <v>2573</v>
      </c>
      <c r="P2380" t="s">
        <v>42</v>
      </c>
      <c r="Q2380" t="s">
        <v>86</v>
      </c>
      <c r="R2380" t="s">
        <v>2574</v>
      </c>
      <c r="S2380">
        <v>9.6639999999999997</v>
      </c>
    </row>
    <row r="2381" spans="1:19" x14ac:dyDescent="0.35">
      <c r="A2381">
        <v>2424</v>
      </c>
      <c r="B2381" t="s">
        <v>5434</v>
      </c>
      <c r="C2381" s="1">
        <v>43459</v>
      </c>
      <c r="D2381" s="1">
        <v>43464</v>
      </c>
      <c r="E2381" s="1" t="str">
        <f t="shared" si="37"/>
        <v>FAST</v>
      </c>
      <c r="F2381" t="s">
        <v>46</v>
      </c>
      <c r="G2381" t="s">
        <v>5271</v>
      </c>
      <c r="H2381" t="s">
        <v>5272</v>
      </c>
      <c r="I2381" t="s">
        <v>22</v>
      </c>
      <c r="J2381" t="s">
        <v>23</v>
      </c>
      <c r="K2381" t="s">
        <v>735</v>
      </c>
      <c r="L2381" t="s">
        <v>485</v>
      </c>
      <c r="M2381">
        <v>45014</v>
      </c>
      <c r="N2381" t="s">
        <v>144</v>
      </c>
      <c r="O2381" t="s">
        <v>2787</v>
      </c>
      <c r="P2381" t="s">
        <v>67</v>
      </c>
      <c r="Q2381" t="s">
        <v>157</v>
      </c>
      <c r="R2381" t="s">
        <v>2788</v>
      </c>
      <c r="S2381">
        <v>158.928</v>
      </c>
    </row>
    <row r="2382" spans="1:19" x14ac:dyDescent="0.35">
      <c r="A2382">
        <v>2425</v>
      </c>
      <c r="B2382" t="s">
        <v>5434</v>
      </c>
      <c r="C2382" s="1">
        <v>43459</v>
      </c>
      <c r="D2382" s="1">
        <v>43464</v>
      </c>
      <c r="E2382" s="1" t="str">
        <f t="shared" si="37"/>
        <v>FAST</v>
      </c>
      <c r="F2382" t="s">
        <v>46</v>
      </c>
      <c r="G2382" t="s">
        <v>5271</v>
      </c>
      <c r="H2382" t="s">
        <v>5272</v>
      </c>
      <c r="I2382" t="s">
        <v>22</v>
      </c>
      <c r="J2382" t="s">
        <v>23</v>
      </c>
      <c r="K2382" t="s">
        <v>735</v>
      </c>
      <c r="L2382" t="s">
        <v>485</v>
      </c>
      <c r="M2382">
        <v>45014</v>
      </c>
      <c r="N2382" t="s">
        <v>144</v>
      </c>
      <c r="O2382" t="s">
        <v>5328</v>
      </c>
      <c r="P2382" t="s">
        <v>42</v>
      </c>
      <c r="Q2382" t="s">
        <v>71</v>
      </c>
      <c r="R2382" t="s">
        <v>5329</v>
      </c>
      <c r="S2382">
        <v>13.023</v>
      </c>
    </row>
    <row r="2383" spans="1:19" x14ac:dyDescent="0.35">
      <c r="A2383">
        <v>2426</v>
      </c>
      <c r="B2383" t="s">
        <v>5434</v>
      </c>
      <c r="C2383" s="1">
        <v>43459</v>
      </c>
      <c r="D2383" s="1">
        <v>43464</v>
      </c>
      <c r="E2383" s="1" t="str">
        <f t="shared" si="37"/>
        <v>FAST</v>
      </c>
      <c r="F2383" t="s">
        <v>46</v>
      </c>
      <c r="G2383" t="s">
        <v>5271</v>
      </c>
      <c r="H2383" t="s">
        <v>5272</v>
      </c>
      <c r="I2383" t="s">
        <v>22</v>
      </c>
      <c r="J2383" t="s">
        <v>23</v>
      </c>
      <c r="K2383" t="s">
        <v>735</v>
      </c>
      <c r="L2383" t="s">
        <v>485</v>
      </c>
      <c r="M2383">
        <v>45014</v>
      </c>
      <c r="N2383" t="s">
        <v>144</v>
      </c>
      <c r="O2383" t="s">
        <v>5435</v>
      </c>
      <c r="P2383" t="s">
        <v>28</v>
      </c>
      <c r="Q2383" t="s">
        <v>52</v>
      </c>
      <c r="R2383" t="s">
        <v>5436</v>
      </c>
      <c r="S2383">
        <v>273.06</v>
      </c>
    </row>
    <row r="2384" spans="1:19" x14ac:dyDescent="0.35">
      <c r="A2384">
        <v>2427</v>
      </c>
      <c r="B2384" t="s">
        <v>5434</v>
      </c>
      <c r="C2384" s="1">
        <v>43459</v>
      </c>
      <c r="D2384" s="1">
        <v>43464</v>
      </c>
      <c r="E2384" s="1" t="str">
        <f t="shared" si="37"/>
        <v>FAST</v>
      </c>
      <c r="F2384" t="s">
        <v>46</v>
      </c>
      <c r="G2384" t="s">
        <v>5271</v>
      </c>
      <c r="H2384" t="s">
        <v>5272</v>
      </c>
      <c r="I2384" t="s">
        <v>22</v>
      </c>
      <c r="J2384" t="s">
        <v>23</v>
      </c>
      <c r="K2384" t="s">
        <v>735</v>
      </c>
      <c r="L2384" t="s">
        <v>485</v>
      </c>
      <c r="M2384">
        <v>45014</v>
      </c>
      <c r="N2384" t="s">
        <v>144</v>
      </c>
      <c r="O2384" t="s">
        <v>4892</v>
      </c>
      <c r="P2384" t="s">
        <v>42</v>
      </c>
      <c r="Q2384" t="s">
        <v>263</v>
      </c>
      <c r="R2384" t="s">
        <v>550</v>
      </c>
      <c r="S2384">
        <v>39.311999999999998</v>
      </c>
    </row>
    <row r="2385" spans="1:19" x14ac:dyDescent="0.35">
      <c r="A2385">
        <v>2428</v>
      </c>
      <c r="B2385" t="s">
        <v>5437</v>
      </c>
      <c r="C2385" s="1">
        <v>42897</v>
      </c>
      <c r="D2385" s="1">
        <v>42903</v>
      </c>
      <c r="E2385" s="1" t="str">
        <f t="shared" si="37"/>
        <v>FAST</v>
      </c>
      <c r="F2385" t="s">
        <v>46</v>
      </c>
      <c r="G2385" t="s">
        <v>760</v>
      </c>
      <c r="H2385" t="s">
        <v>761</v>
      </c>
      <c r="I2385" t="s">
        <v>37</v>
      </c>
      <c r="J2385" t="s">
        <v>23</v>
      </c>
      <c r="K2385" t="s">
        <v>1115</v>
      </c>
      <c r="L2385" t="s">
        <v>100</v>
      </c>
      <c r="M2385">
        <v>76017</v>
      </c>
      <c r="N2385" t="s">
        <v>101</v>
      </c>
      <c r="O2385" t="s">
        <v>5438</v>
      </c>
      <c r="P2385" t="s">
        <v>42</v>
      </c>
      <c r="Q2385" t="s">
        <v>71</v>
      </c>
      <c r="R2385" t="s">
        <v>5439</v>
      </c>
      <c r="S2385">
        <v>1.3440000000000001</v>
      </c>
    </row>
    <row r="2386" spans="1:19" x14ac:dyDescent="0.35">
      <c r="A2386">
        <v>2429</v>
      </c>
      <c r="B2386" t="s">
        <v>5437</v>
      </c>
      <c r="C2386" s="1">
        <v>42897</v>
      </c>
      <c r="D2386" s="1">
        <v>42903</v>
      </c>
      <c r="E2386" s="1" t="str">
        <f t="shared" si="37"/>
        <v>FAST</v>
      </c>
      <c r="F2386" t="s">
        <v>46</v>
      </c>
      <c r="G2386" t="s">
        <v>760</v>
      </c>
      <c r="H2386" t="s">
        <v>761</v>
      </c>
      <c r="I2386" t="s">
        <v>37</v>
      </c>
      <c r="J2386" t="s">
        <v>23</v>
      </c>
      <c r="K2386" t="s">
        <v>1115</v>
      </c>
      <c r="L2386" t="s">
        <v>100</v>
      </c>
      <c r="M2386">
        <v>76017</v>
      </c>
      <c r="N2386" t="s">
        <v>101</v>
      </c>
      <c r="O2386" t="s">
        <v>5440</v>
      </c>
      <c r="P2386" t="s">
        <v>42</v>
      </c>
      <c r="Q2386" t="s">
        <v>71</v>
      </c>
      <c r="R2386" t="s">
        <v>5441</v>
      </c>
      <c r="S2386">
        <v>8.2720000000000002</v>
      </c>
    </row>
    <row r="2387" spans="1:19" x14ac:dyDescent="0.35">
      <c r="A2387">
        <v>2430</v>
      </c>
      <c r="B2387" t="s">
        <v>5437</v>
      </c>
      <c r="C2387" s="1">
        <v>42897</v>
      </c>
      <c r="D2387" s="1">
        <v>42903</v>
      </c>
      <c r="E2387" s="1" t="str">
        <f t="shared" si="37"/>
        <v>FAST</v>
      </c>
      <c r="F2387" t="s">
        <v>46</v>
      </c>
      <c r="G2387" t="s">
        <v>760</v>
      </c>
      <c r="H2387" t="s">
        <v>761</v>
      </c>
      <c r="I2387" t="s">
        <v>37</v>
      </c>
      <c r="J2387" t="s">
        <v>23</v>
      </c>
      <c r="K2387" t="s">
        <v>1115</v>
      </c>
      <c r="L2387" t="s">
        <v>100</v>
      </c>
      <c r="M2387">
        <v>76017</v>
      </c>
      <c r="N2387" t="s">
        <v>101</v>
      </c>
      <c r="O2387" t="s">
        <v>4231</v>
      </c>
      <c r="P2387" t="s">
        <v>28</v>
      </c>
      <c r="Q2387" t="s">
        <v>61</v>
      </c>
      <c r="R2387" t="s">
        <v>4232</v>
      </c>
      <c r="S2387">
        <v>12.544</v>
      </c>
    </row>
    <row r="2388" spans="1:19" x14ac:dyDescent="0.35">
      <c r="A2388">
        <v>2431</v>
      </c>
      <c r="B2388" t="s">
        <v>5442</v>
      </c>
      <c r="C2388" s="1">
        <v>43233</v>
      </c>
      <c r="D2388" s="1">
        <v>43240</v>
      </c>
      <c r="E2388" s="1" t="str">
        <f t="shared" si="37"/>
        <v>FAST</v>
      </c>
      <c r="F2388" t="s">
        <v>46</v>
      </c>
      <c r="G2388" t="s">
        <v>1492</v>
      </c>
      <c r="H2388" t="s">
        <v>1493</v>
      </c>
      <c r="I2388" t="s">
        <v>98</v>
      </c>
      <c r="J2388" t="s">
        <v>23</v>
      </c>
      <c r="K2388" t="s">
        <v>123</v>
      </c>
      <c r="L2388" t="s">
        <v>39</v>
      </c>
      <c r="M2388">
        <v>94110</v>
      </c>
      <c r="N2388" t="s">
        <v>40</v>
      </c>
      <c r="O2388" t="s">
        <v>41</v>
      </c>
      <c r="P2388" t="s">
        <v>42</v>
      </c>
      <c r="Q2388" t="s">
        <v>43</v>
      </c>
      <c r="R2388" t="s">
        <v>44</v>
      </c>
      <c r="S2388">
        <v>58.48</v>
      </c>
    </row>
    <row r="2389" spans="1:19" x14ac:dyDescent="0.35">
      <c r="A2389">
        <v>2433</v>
      </c>
      <c r="B2389" t="s">
        <v>5443</v>
      </c>
      <c r="C2389" s="1">
        <v>42088</v>
      </c>
      <c r="D2389" s="1">
        <v>42095</v>
      </c>
      <c r="E2389" s="1" t="str">
        <f t="shared" si="37"/>
        <v>FAST</v>
      </c>
      <c r="F2389" t="s">
        <v>46</v>
      </c>
      <c r="G2389" t="s">
        <v>5444</v>
      </c>
      <c r="H2389" t="s">
        <v>5445</v>
      </c>
      <c r="I2389" t="s">
        <v>22</v>
      </c>
      <c r="J2389" t="s">
        <v>23</v>
      </c>
      <c r="K2389" t="s">
        <v>260</v>
      </c>
      <c r="L2389" t="s">
        <v>261</v>
      </c>
      <c r="M2389">
        <v>10009</v>
      </c>
      <c r="N2389" t="s">
        <v>144</v>
      </c>
      <c r="O2389" t="s">
        <v>5446</v>
      </c>
      <c r="P2389" t="s">
        <v>28</v>
      </c>
      <c r="Q2389" t="s">
        <v>32</v>
      </c>
      <c r="R2389" t="s">
        <v>5447</v>
      </c>
      <c r="S2389">
        <v>366.786</v>
      </c>
    </row>
    <row r="2390" spans="1:19" x14ac:dyDescent="0.35">
      <c r="A2390">
        <v>2434</v>
      </c>
      <c r="B2390" t="s">
        <v>5448</v>
      </c>
      <c r="C2390" s="1">
        <v>43248</v>
      </c>
      <c r="D2390" s="1">
        <v>43252</v>
      </c>
      <c r="E2390" s="1" t="str">
        <f t="shared" si="37"/>
        <v>FAST</v>
      </c>
      <c r="F2390" t="s">
        <v>46</v>
      </c>
      <c r="G2390" t="s">
        <v>846</v>
      </c>
      <c r="H2390" t="s">
        <v>847</v>
      </c>
      <c r="I2390" t="s">
        <v>22</v>
      </c>
      <c r="J2390" t="s">
        <v>23</v>
      </c>
      <c r="K2390" t="s">
        <v>180</v>
      </c>
      <c r="L2390" t="s">
        <v>100</v>
      </c>
      <c r="M2390">
        <v>77070</v>
      </c>
      <c r="N2390" t="s">
        <v>101</v>
      </c>
      <c r="O2390" t="s">
        <v>5029</v>
      </c>
      <c r="P2390" t="s">
        <v>67</v>
      </c>
      <c r="Q2390" t="s">
        <v>68</v>
      </c>
      <c r="R2390" t="s">
        <v>5030</v>
      </c>
      <c r="S2390">
        <v>54.368000000000002</v>
      </c>
    </row>
    <row r="2391" spans="1:19" x14ac:dyDescent="0.35">
      <c r="A2391">
        <v>2435</v>
      </c>
      <c r="B2391" t="s">
        <v>5449</v>
      </c>
      <c r="C2391" s="1">
        <v>42688</v>
      </c>
      <c r="D2391" s="1">
        <v>42691</v>
      </c>
      <c r="E2391" s="1" t="str">
        <f t="shared" si="37"/>
        <v>MODERATE</v>
      </c>
      <c r="F2391" t="s">
        <v>184</v>
      </c>
      <c r="G2391" t="s">
        <v>5242</v>
      </c>
      <c r="H2391" t="s">
        <v>5243</v>
      </c>
      <c r="I2391" t="s">
        <v>37</v>
      </c>
      <c r="J2391" t="s">
        <v>23</v>
      </c>
      <c r="K2391" t="s">
        <v>312</v>
      </c>
      <c r="L2391" t="s">
        <v>313</v>
      </c>
      <c r="M2391">
        <v>22153</v>
      </c>
      <c r="N2391" t="s">
        <v>26</v>
      </c>
      <c r="O2391" t="s">
        <v>2396</v>
      </c>
      <c r="P2391" t="s">
        <v>42</v>
      </c>
      <c r="Q2391" t="s">
        <v>169</v>
      </c>
      <c r="R2391" t="s">
        <v>2397</v>
      </c>
      <c r="S2391">
        <v>33.96</v>
      </c>
    </row>
    <row r="2392" spans="1:19" x14ac:dyDescent="0.35">
      <c r="A2392">
        <v>2436</v>
      </c>
      <c r="B2392" t="s">
        <v>5449</v>
      </c>
      <c r="C2392" s="1">
        <v>42688</v>
      </c>
      <c r="D2392" s="1">
        <v>42691</v>
      </c>
      <c r="E2392" s="1" t="str">
        <f t="shared" si="37"/>
        <v>MODERATE</v>
      </c>
      <c r="F2392" t="s">
        <v>184</v>
      </c>
      <c r="G2392" t="s">
        <v>5242</v>
      </c>
      <c r="H2392" t="s">
        <v>5243</v>
      </c>
      <c r="I2392" t="s">
        <v>37</v>
      </c>
      <c r="J2392" t="s">
        <v>23</v>
      </c>
      <c r="K2392" t="s">
        <v>312</v>
      </c>
      <c r="L2392" t="s">
        <v>313</v>
      </c>
      <c r="M2392">
        <v>22153</v>
      </c>
      <c r="N2392" t="s">
        <v>26</v>
      </c>
      <c r="O2392" t="s">
        <v>5450</v>
      </c>
      <c r="P2392" t="s">
        <v>42</v>
      </c>
      <c r="Q2392" t="s">
        <v>74</v>
      </c>
      <c r="R2392" t="s">
        <v>5451</v>
      </c>
      <c r="S2392">
        <v>826.11</v>
      </c>
    </row>
    <row r="2393" spans="1:19" x14ac:dyDescent="0.35">
      <c r="A2393">
        <v>2437</v>
      </c>
      <c r="B2393" t="s">
        <v>5452</v>
      </c>
      <c r="C2393" s="1">
        <v>43284</v>
      </c>
      <c r="D2393" s="1">
        <v>43291</v>
      </c>
      <c r="E2393" s="1" t="str">
        <f t="shared" si="37"/>
        <v>FAST</v>
      </c>
      <c r="F2393" t="s">
        <v>46</v>
      </c>
      <c r="G2393" t="s">
        <v>2032</v>
      </c>
      <c r="H2393" t="s">
        <v>2033</v>
      </c>
      <c r="I2393" t="s">
        <v>22</v>
      </c>
      <c r="J2393" t="s">
        <v>23</v>
      </c>
      <c r="K2393" t="s">
        <v>2823</v>
      </c>
      <c r="L2393" t="s">
        <v>656</v>
      </c>
      <c r="M2393">
        <v>87401</v>
      </c>
      <c r="N2393" t="s">
        <v>40</v>
      </c>
      <c r="O2393" t="s">
        <v>332</v>
      </c>
      <c r="P2393" t="s">
        <v>28</v>
      </c>
      <c r="Q2393" t="s">
        <v>61</v>
      </c>
      <c r="R2393" t="s">
        <v>333</v>
      </c>
      <c r="S2393">
        <v>545.85</v>
      </c>
    </row>
    <row r="2394" spans="1:19" x14ac:dyDescent="0.35">
      <c r="A2394">
        <v>2438</v>
      </c>
      <c r="B2394" t="s">
        <v>5453</v>
      </c>
      <c r="C2394" s="1">
        <v>42326</v>
      </c>
      <c r="D2394" s="1">
        <v>42328</v>
      </c>
      <c r="E2394" s="1" t="str">
        <f t="shared" si="37"/>
        <v>SLOW</v>
      </c>
      <c r="F2394" t="s">
        <v>19</v>
      </c>
      <c r="G2394" t="s">
        <v>5454</v>
      </c>
      <c r="H2394" t="s">
        <v>5455</v>
      </c>
      <c r="I2394" t="s">
        <v>22</v>
      </c>
      <c r="J2394" t="s">
        <v>23</v>
      </c>
      <c r="K2394" t="s">
        <v>1457</v>
      </c>
      <c r="L2394" t="s">
        <v>444</v>
      </c>
      <c r="M2394">
        <v>80027</v>
      </c>
      <c r="N2394" t="s">
        <v>40</v>
      </c>
      <c r="O2394" t="s">
        <v>5456</v>
      </c>
      <c r="P2394" t="s">
        <v>28</v>
      </c>
      <c r="Q2394" t="s">
        <v>52</v>
      </c>
      <c r="R2394" t="s">
        <v>5457</v>
      </c>
      <c r="S2394">
        <v>145.97999999999999</v>
      </c>
    </row>
    <row r="2395" spans="1:19" x14ac:dyDescent="0.35">
      <c r="A2395">
        <v>2439</v>
      </c>
      <c r="B2395" t="s">
        <v>5453</v>
      </c>
      <c r="C2395" s="1">
        <v>42326</v>
      </c>
      <c r="D2395" s="1">
        <v>42328</v>
      </c>
      <c r="E2395" s="1" t="str">
        <f t="shared" si="37"/>
        <v>SLOW</v>
      </c>
      <c r="F2395" t="s">
        <v>19</v>
      </c>
      <c r="G2395" t="s">
        <v>5454</v>
      </c>
      <c r="H2395" t="s">
        <v>5455</v>
      </c>
      <c r="I2395" t="s">
        <v>22</v>
      </c>
      <c r="J2395" t="s">
        <v>23</v>
      </c>
      <c r="K2395" t="s">
        <v>1457</v>
      </c>
      <c r="L2395" t="s">
        <v>444</v>
      </c>
      <c r="M2395">
        <v>80027</v>
      </c>
      <c r="N2395" t="s">
        <v>40</v>
      </c>
      <c r="O2395" t="s">
        <v>3327</v>
      </c>
      <c r="P2395" t="s">
        <v>42</v>
      </c>
      <c r="Q2395" t="s">
        <v>86</v>
      </c>
      <c r="R2395" t="s">
        <v>3328</v>
      </c>
      <c r="S2395">
        <v>35.808</v>
      </c>
    </row>
    <row r="2396" spans="1:19" x14ac:dyDescent="0.35">
      <c r="A2396">
        <v>2440</v>
      </c>
      <c r="B2396" t="s">
        <v>5458</v>
      </c>
      <c r="C2396" s="1">
        <v>43298</v>
      </c>
      <c r="D2396" s="1">
        <v>43303</v>
      </c>
      <c r="E2396" s="1" t="str">
        <f t="shared" si="37"/>
        <v>FAST</v>
      </c>
      <c r="F2396" t="s">
        <v>46</v>
      </c>
      <c r="G2396" t="s">
        <v>4309</v>
      </c>
      <c r="H2396" t="s">
        <v>4310</v>
      </c>
      <c r="I2396" t="s">
        <v>22</v>
      </c>
      <c r="J2396" t="s">
        <v>23</v>
      </c>
      <c r="K2396" t="s">
        <v>887</v>
      </c>
      <c r="L2396" t="s">
        <v>50</v>
      </c>
      <c r="M2396">
        <v>33614</v>
      </c>
      <c r="N2396" t="s">
        <v>26</v>
      </c>
      <c r="O2396" t="s">
        <v>2419</v>
      </c>
      <c r="P2396" t="s">
        <v>28</v>
      </c>
      <c r="Q2396" t="s">
        <v>61</v>
      </c>
      <c r="R2396" t="s">
        <v>2420</v>
      </c>
      <c r="S2396">
        <v>7.9039999999999999</v>
      </c>
    </row>
    <row r="2397" spans="1:19" x14ac:dyDescent="0.35">
      <c r="A2397">
        <v>2441</v>
      </c>
      <c r="B2397" t="s">
        <v>5459</v>
      </c>
      <c r="C2397" s="1">
        <v>42877</v>
      </c>
      <c r="D2397" s="1">
        <v>42882</v>
      </c>
      <c r="E2397" s="1" t="str">
        <f t="shared" si="37"/>
        <v>FAST</v>
      </c>
      <c r="F2397" t="s">
        <v>46</v>
      </c>
      <c r="G2397" t="s">
        <v>5032</v>
      </c>
      <c r="H2397" t="s">
        <v>5033</v>
      </c>
      <c r="I2397" t="s">
        <v>22</v>
      </c>
      <c r="J2397" t="s">
        <v>23</v>
      </c>
      <c r="K2397" t="s">
        <v>5460</v>
      </c>
      <c r="L2397" t="s">
        <v>775</v>
      </c>
      <c r="M2397">
        <v>7055</v>
      </c>
      <c r="N2397" t="s">
        <v>144</v>
      </c>
      <c r="O2397" t="s">
        <v>1192</v>
      </c>
      <c r="P2397" t="s">
        <v>67</v>
      </c>
      <c r="Q2397" t="s">
        <v>68</v>
      </c>
      <c r="R2397" t="s">
        <v>1193</v>
      </c>
      <c r="S2397">
        <v>345</v>
      </c>
    </row>
    <row r="2398" spans="1:19" x14ac:dyDescent="0.35">
      <c r="A2398">
        <v>2442</v>
      </c>
      <c r="B2398" t="s">
        <v>5459</v>
      </c>
      <c r="C2398" s="1">
        <v>42877</v>
      </c>
      <c r="D2398" s="1">
        <v>42882</v>
      </c>
      <c r="E2398" s="1" t="str">
        <f t="shared" si="37"/>
        <v>FAST</v>
      </c>
      <c r="F2398" t="s">
        <v>46</v>
      </c>
      <c r="G2398" t="s">
        <v>5032</v>
      </c>
      <c r="H2398" t="s">
        <v>5033</v>
      </c>
      <c r="I2398" t="s">
        <v>22</v>
      </c>
      <c r="J2398" t="s">
        <v>23</v>
      </c>
      <c r="K2398" t="s">
        <v>5460</v>
      </c>
      <c r="L2398" t="s">
        <v>775</v>
      </c>
      <c r="M2398">
        <v>7055</v>
      </c>
      <c r="N2398" t="s">
        <v>144</v>
      </c>
      <c r="O2398" t="s">
        <v>870</v>
      </c>
      <c r="P2398" t="s">
        <v>28</v>
      </c>
      <c r="Q2398" t="s">
        <v>52</v>
      </c>
      <c r="R2398" t="s">
        <v>871</v>
      </c>
      <c r="S2398">
        <v>174.286</v>
      </c>
    </row>
    <row r="2399" spans="1:19" x14ac:dyDescent="0.35">
      <c r="A2399">
        <v>2443</v>
      </c>
      <c r="B2399" t="s">
        <v>5459</v>
      </c>
      <c r="C2399" s="1">
        <v>42877</v>
      </c>
      <c r="D2399" s="1">
        <v>42882</v>
      </c>
      <c r="E2399" s="1" t="str">
        <f t="shared" si="37"/>
        <v>FAST</v>
      </c>
      <c r="F2399" t="s">
        <v>46</v>
      </c>
      <c r="G2399" t="s">
        <v>5032</v>
      </c>
      <c r="H2399" t="s">
        <v>5033</v>
      </c>
      <c r="I2399" t="s">
        <v>22</v>
      </c>
      <c r="J2399" t="s">
        <v>23</v>
      </c>
      <c r="K2399" t="s">
        <v>5460</v>
      </c>
      <c r="L2399" t="s">
        <v>775</v>
      </c>
      <c r="M2399">
        <v>7055</v>
      </c>
      <c r="N2399" t="s">
        <v>144</v>
      </c>
      <c r="O2399" t="s">
        <v>803</v>
      </c>
      <c r="P2399" t="s">
        <v>42</v>
      </c>
      <c r="Q2399" t="s">
        <v>74</v>
      </c>
      <c r="R2399" t="s">
        <v>804</v>
      </c>
      <c r="S2399">
        <v>662.84</v>
      </c>
    </row>
    <row r="2400" spans="1:19" x14ac:dyDescent="0.35">
      <c r="A2400">
        <v>2444</v>
      </c>
      <c r="B2400" t="s">
        <v>5459</v>
      </c>
      <c r="C2400" s="1">
        <v>42877</v>
      </c>
      <c r="D2400" s="1">
        <v>42882</v>
      </c>
      <c r="E2400" s="1" t="str">
        <f t="shared" si="37"/>
        <v>FAST</v>
      </c>
      <c r="F2400" t="s">
        <v>46</v>
      </c>
      <c r="G2400" t="s">
        <v>5032</v>
      </c>
      <c r="H2400" t="s">
        <v>5033</v>
      </c>
      <c r="I2400" t="s">
        <v>22</v>
      </c>
      <c r="J2400" t="s">
        <v>23</v>
      </c>
      <c r="K2400" t="s">
        <v>5460</v>
      </c>
      <c r="L2400" t="s">
        <v>775</v>
      </c>
      <c r="M2400">
        <v>7055</v>
      </c>
      <c r="N2400" t="s">
        <v>144</v>
      </c>
      <c r="O2400" t="s">
        <v>1730</v>
      </c>
      <c r="P2400" t="s">
        <v>67</v>
      </c>
      <c r="Q2400" t="s">
        <v>157</v>
      </c>
      <c r="R2400" t="s">
        <v>1731</v>
      </c>
      <c r="S2400">
        <v>95.1</v>
      </c>
    </row>
    <row r="2401" spans="1:19" x14ac:dyDescent="0.35">
      <c r="A2401">
        <v>2445</v>
      </c>
      <c r="B2401" t="s">
        <v>5459</v>
      </c>
      <c r="C2401" s="1">
        <v>42877</v>
      </c>
      <c r="D2401" s="1">
        <v>42882</v>
      </c>
      <c r="E2401" s="1" t="str">
        <f t="shared" si="37"/>
        <v>FAST</v>
      </c>
      <c r="F2401" t="s">
        <v>46</v>
      </c>
      <c r="G2401" t="s">
        <v>5032</v>
      </c>
      <c r="H2401" t="s">
        <v>5033</v>
      </c>
      <c r="I2401" t="s">
        <v>22</v>
      </c>
      <c r="J2401" t="s">
        <v>23</v>
      </c>
      <c r="K2401" t="s">
        <v>5460</v>
      </c>
      <c r="L2401" t="s">
        <v>775</v>
      </c>
      <c r="M2401">
        <v>7055</v>
      </c>
      <c r="N2401" t="s">
        <v>144</v>
      </c>
      <c r="O2401" t="s">
        <v>5461</v>
      </c>
      <c r="P2401" t="s">
        <v>42</v>
      </c>
      <c r="Q2401" t="s">
        <v>169</v>
      </c>
      <c r="R2401" t="s">
        <v>5462</v>
      </c>
      <c r="S2401">
        <v>26.88</v>
      </c>
    </row>
    <row r="2402" spans="1:19" x14ac:dyDescent="0.35">
      <c r="A2402">
        <v>2446</v>
      </c>
      <c r="B2402" t="s">
        <v>5459</v>
      </c>
      <c r="C2402" s="1">
        <v>42877</v>
      </c>
      <c r="D2402" s="1">
        <v>42882</v>
      </c>
      <c r="E2402" s="1" t="str">
        <f t="shared" si="37"/>
        <v>FAST</v>
      </c>
      <c r="F2402" t="s">
        <v>46</v>
      </c>
      <c r="G2402" t="s">
        <v>5032</v>
      </c>
      <c r="H2402" t="s">
        <v>5033</v>
      </c>
      <c r="I2402" t="s">
        <v>22</v>
      </c>
      <c r="J2402" t="s">
        <v>23</v>
      </c>
      <c r="K2402" t="s">
        <v>5460</v>
      </c>
      <c r="L2402" t="s">
        <v>775</v>
      </c>
      <c r="M2402">
        <v>7055</v>
      </c>
      <c r="N2402" t="s">
        <v>144</v>
      </c>
      <c r="O2402" t="s">
        <v>3715</v>
      </c>
      <c r="P2402" t="s">
        <v>67</v>
      </c>
      <c r="Q2402" t="s">
        <v>68</v>
      </c>
      <c r="R2402" t="s">
        <v>3716</v>
      </c>
      <c r="S2402">
        <v>257.98</v>
      </c>
    </row>
    <row r="2403" spans="1:19" x14ac:dyDescent="0.35">
      <c r="A2403">
        <v>2448</v>
      </c>
      <c r="B2403" t="s">
        <v>5463</v>
      </c>
      <c r="C2403" s="1">
        <v>43039</v>
      </c>
      <c r="D2403" s="1">
        <v>43045</v>
      </c>
      <c r="E2403" s="1" t="str">
        <f t="shared" si="37"/>
        <v>FAST</v>
      </c>
      <c r="F2403" t="s">
        <v>46</v>
      </c>
      <c r="G2403" t="s">
        <v>1850</v>
      </c>
      <c r="H2403" t="s">
        <v>1851</v>
      </c>
      <c r="I2403" t="s">
        <v>22</v>
      </c>
      <c r="J2403" t="s">
        <v>23</v>
      </c>
      <c r="K2403" t="s">
        <v>142</v>
      </c>
      <c r="L2403" t="s">
        <v>143</v>
      </c>
      <c r="M2403">
        <v>19143</v>
      </c>
      <c r="N2403" t="s">
        <v>144</v>
      </c>
      <c r="O2403" t="s">
        <v>4578</v>
      </c>
      <c r="P2403" t="s">
        <v>28</v>
      </c>
      <c r="Q2403" t="s">
        <v>32</v>
      </c>
      <c r="R2403" t="s">
        <v>4579</v>
      </c>
      <c r="S2403">
        <v>492.83499999999998</v>
      </c>
    </row>
    <row r="2404" spans="1:19" x14ac:dyDescent="0.35">
      <c r="A2404">
        <v>2449</v>
      </c>
      <c r="B2404" t="s">
        <v>5464</v>
      </c>
      <c r="C2404" s="1">
        <v>42627</v>
      </c>
      <c r="D2404" s="1">
        <v>42630</v>
      </c>
      <c r="E2404" s="1" t="str">
        <f t="shared" si="37"/>
        <v>SLOW</v>
      </c>
      <c r="F2404" t="s">
        <v>19</v>
      </c>
      <c r="G2404" t="s">
        <v>1714</v>
      </c>
      <c r="H2404" t="s">
        <v>1715</v>
      </c>
      <c r="I2404" t="s">
        <v>22</v>
      </c>
      <c r="J2404" t="s">
        <v>23</v>
      </c>
      <c r="K2404" t="s">
        <v>5465</v>
      </c>
      <c r="L2404" t="s">
        <v>373</v>
      </c>
      <c r="M2404">
        <v>29406</v>
      </c>
      <c r="N2404" t="s">
        <v>26</v>
      </c>
      <c r="O2404" t="s">
        <v>1669</v>
      </c>
      <c r="P2404" t="s">
        <v>42</v>
      </c>
      <c r="Q2404" t="s">
        <v>55</v>
      </c>
      <c r="R2404" t="s">
        <v>1670</v>
      </c>
      <c r="S2404">
        <v>269.49</v>
      </c>
    </row>
    <row r="2405" spans="1:19" x14ac:dyDescent="0.35">
      <c r="A2405">
        <v>2450</v>
      </c>
      <c r="B2405" t="s">
        <v>5466</v>
      </c>
      <c r="C2405" s="1">
        <v>43044</v>
      </c>
      <c r="D2405" s="1">
        <v>43049</v>
      </c>
      <c r="E2405" s="1" t="str">
        <f t="shared" si="37"/>
        <v>FAST</v>
      </c>
      <c r="F2405" t="s">
        <v>46</v>
      </c>
      <c r="G2405" t="s">
        <v>367</v>
      </c>
      <c r="H2405" t="s">
        <v>368</v>
      </c>
      <c r="I2405" t="s">
        <v>98</v>
      </c>
      <c r="J2405" t="s">
        <v>23</v>
      </c>
      <c r="K2405" t="s">
        <v>618</v>
      </c>
      <c r="L2405" t="s">
        <v>39</v>
      </c>
      <c r="M2405">
        <v>95123</v>
      </c>
      <c r="N2405" t="s">
        <v>40</v>
      </c>
      <c r="O2405" t="s">
        <v>5467</v>
      </c>
      <c r="P2405" t="s">
        <v>42</v>
      </c>
      <c r="Q2405" t="s">
        <v>71</v>
      </c>
      <c r="R2405" t="s">
        <v>5468</v>
      </c>
      <c r="S2405">
        <v>29.12</v>
      </c>
    </row>
    <row r="2406" spans="1:19" x14ac:dyDescent="0.35">
      <c r="A2406">
        <v>2451</v>
      </c>
      <c r="B2406" t="s">
        <v>5469</v>
      </c>
      <c r="C2406" s="1">
        <v>43176</v>
      </c>
      <c r="D2406" s="1">
        <v>43181</v>
      </c>
      <c r="E2406" s="1" t="str">
        <f t="shared" si="37"/>
        <v>SLOW</v>
      </c>
      <c r="F2406" t="s">
        <v>19</v>
      </c>
      <c r="G2406" t="s">
        <v>5149</v>
      </c>
      <c r="H2406" t="s">
        <v>5150</v>
      </c>
      <c r="I2406" t="s">
        <v>22</v>
      </c>
      <c r="J2406" t="s">
        <v>23</v>
      </c>
      <c r="K2406" t="s">
        <v>260</v>
      </c>
      <c r="L2406" t="s">
        <v>261</v>
      </c>
      <c r="M2406">
        <v>10011</v>
      </c>
      <c r="N2406" t="s">
        <v>144</v>
      </c>
      <c r="O2406" t="s">
        <v>5470</v>
      </c>
      <c r="P2406" t="s">
        <v>42</v>
      </c>
      <c r="Q2406" t="s">
        <v>43</v>
      </c>
      <c r="R2406" t="s">
        <v>5471</v>
      </c>
      <c r="S2406">
        <v>18.75</v>
      </c>
    </row>
    <row r="2407" spans="1:19" x14ac:dyDescent="0.35">
      <c r="A2407">
        <v>2452</v>
      </c>
      <c r="B2407" t="s">
        <v>5469</v>
      </c>
      <c r="C2407" s="1">
        <v>43176</v>
      </c>
      <c r="D2407" s="1">
        <v>43181</v>
      </c>
      <c r="E2407" s="1" t="str">
        <f t="shared" si="37"/>
        <v>SLOW</v>
      </c>
      <c r="F2407" t="s">
        <v>19</v>
      </c>
      <c r="G2407" t="s">
        <v>5149</v>
      </c>
      <c r="H2407" t="s">
        <v>5150</v>
      </c>
      <c r="I2407" t="s">
        <v>22</v>
      </c>
      <c r="J2407" t="s">
        <v>23</v>
      </c>
      <c r="K2407" t="s">
        <v>260</v>
      </c>
      <c r="L2407" t="s">
        <v>261</v>
      </c>
      <c r="M2407">
        <v>10011</v>
      </c>
      <c r="N2407" t="s">
        <v>144</v>
      </c>
      <c r="O2407" t="s">
        <v>1622</v>
      </c>
      <c r="P2407" t="s">
        <v>67</v>
      </c>
      <c r="Q2407" t="s">
        <v>68</v>
      </c>
      <c r="R2407" t="s">
        <v>1623</v>
      </c>
      <c r="S2407">
        <v>119.7</v>
      </c>
    </row>
    <row r="2408" spans="1:19" x14ac:dyDescent="0.35">
      <c r="A2408">
        <v>2453</v>
      </c>
      <c r="B2408" t="s">
        <v>5469</v>
      </c>
      <c r="C2408" s="1">
        <v>43176</v>
      </c>
      <c r="D2408" s="1">
        <v>43181</v>
      </c>
      <c r="E2408" s="1" t="str">
        <f t="shared" si="37"/>
        <v>SLOW</v>
      </c>
      <c r="F2408" t="s">
        <v>19</v>
      </c>
      <c r="G2408" t="s">
        <v>5149</v>
      </c>
      <c r="H2408" t="s">
        <v>5150</v>
      </c>
      <c r="I2408" t="s">
        <v>22</v>
      </c>
      <c r="J2408" t="s">
        <v>23</v>
      </c>
      <c r="K2408" t="s">
        <v>260</v>
      </c>
      <c r="L2408" t="s">
        <v>261</v>
      </c>
      <c r="M2408">
        <v>10011</v>
      </c>
      <c r="N2408" t="s">
        <v>144</v>
      </c>
      <c r="O2408" t="s">
        <v>2057</v>
      </c>
      <c r="P2408" t="s">
        <v>42</v>
      </c>
      <c r="Q2408" t="s">
        <v>71</v>
      </c>
      <c r="R2408" t="s">
        <v>2058</v>
      </c>
      <c r="S2408">
        <v>9.1440000000000001</v>
      </c>
    </row>
    <row r="2409" spans="1:19" x14ac:dyDescent="0.35">
      <c r="A2409">
        <v>2454</v>
      </c>
      <c r="B2409" t="s">
        <v>5469</v>
      </c>
      <c r="C2409" s="1">
        <v>43176</v>
      </c>
      <c r="D2409" s="1">
        <v>43181</v>
      </c>
      <c r="E2409" s="1" t="str">
        <f t="shared" si="37"/>
        <v>SLOW</v>
      </c>
      <c r="F2409" t="s">
        <v>19</v>
      </c>
      <c r="G2409" t="s">
        <v>5149</v>
      </c>
      <c r="H2409" t="s">
        <v>5150</v>
      </c>
      <c r="I2409" t="s">
        <v>22</v>
      </c>
      <c r="J2409" t="s">
        <v>23</v>
      </c>
      <c r="K2409" t="s">
        <v>260</v>
      </c>
      <c r="L2409" t="s">
        <v>261</v>
      </c>
      <c r="M2409">
        <v>10011</v>
      </c>
      <c r="N2409" t="s">
        <v>144</v>
      </c>
      <c r="O2409" t="s">
        <v>1730</v>
      </c>
      <c r="P2409" t="s">
        <v>67</v>
      </c>
      <c r="Q2409" t="s">
        <v>157</v>
      </c>
      <c r="R2409" t="s">
        <v>1731</v>
      </c>
      <c r="S2409">
        <v>57.06</v>
      </c>
    </row>
    <row r="2410" spans="1:19" x14ac:dyDescent="0.35">
      <c r="A2410">
        <v>2455</v>
      </c>
      <c r="B2410" t="s">
        <v>5469</v>
      </c>
      <c r="C2410" s="1">
        <v>43176</v>
      </c>
      <c r="D2410" s="1">
        <v>43181</v>
      </c>
      <c r="E2410" s="1" t="str">
        <f t="shared" si="37"/>
        <v>SLOW</v>
      </c>
      <c r="F2410" t="s">
        <v>19</v>
      </c>
      <c r="G2410" t="s">
        <v>5149</v>
      </c>
      <c r="H2410" t="s">
        <v>5150</v>
      </c>
      <c r="I2410" t="s">
        <v>22</v>
      </c>
      <c r="J2410" t="s">
        <v>23</v>
      </c>
      <c r="K2410" t="s">
        <v>260</v>
      </c>
      <c r="L2410" t="s">
        <v>261</v>
      </c>
      <c r="M2410">
        <v>10011</v>
      </c>
      <c r="N2410" t="s">
        <v>144</v>
      </c>
      <c r="O2410" t="s">
        <v>4117</v>
      </c>
      <c r="P2410" t="s">
        <v>67</v>
      </c>
      <c r="Q2410" t="s">
        <v>157</v>
      </c>
      <c r="R2410" t="s">
        <v>4118</v>
      </c>
      <c r="S2410">
        <v>71.599999999999994</v>
      </c>
    </row>
    <row r="2411" spans="1:19" x14ac:dyDescent="0.35">
      <c r="A2411">
        <v>2456</v>
      </c>
      <c r="B2411" t="s">
        <v>5469</v>
      </c>
      <c r="C2411" s="1">
        <v>43176</v>
      </c>
      <c r="D2411" s="1">
        <v>43181</v>
      </c>
      <c r="E2411" s="1" t="str">
        <f t="shared" si="37"/>
        <v>SLOW</v>
      </c>
      <c r="F2411" t="s">
        <v>19</v>
      </c>
      <c r="G2411" t="s">
        <v>5149</v>
      </c>
      <c r="H2411" t="s">
        <v>5150</v>
      </c>
      <c r="I2411" t="s">
        <v>22</v>
      </c>
      <c r="J2411" t="s">
        <v>23</v>
      </c>
      <c r="K2411" t="s">
        <v>260</v>
      </c>
      <c r="L2411" t="s">
        <v>261</v>
      </c>
      <c r="M2411">
        <v>10011</v>
      </c>
      <c r="N2411" t="s">
        <v>144</v>
      </c>
      <c r="O2411" t="s">
        <v>4037</v>
      </c>
      <c r="P2411" t="s">
        <v>42</v>
      </c>
      <c r="Q2411" t="s">
        <v>55</v>
      </c>
      <c r="R2411" t="s">
        <v>4038</v>
      </c>
      <c r="S2411">
        <v>107.44</v>
      </c>
    </row>
    <row r="2412" spans="1:19" x14ac:dyDescent="0.35">
      <c r="A2412">
        <v>2457</v>
      </c>
      <c r="B2412" t="s">
        <v>5469</v>
      </c>
      <c r="C2412" s="1">
        <v>43176</v>
      </c>
      <c r="D2412" s="1">
        <v>43181</v>
      </c>
      <c r="E2412" s="1" t="str">
        <f t="shared" si="37"/>
        <v>SLOW</v>
      </c>
      <c r="F2412" t="s">
        <v>19</v>
      </c>
      <c r="G2412" t="s">
        <v>5149</v>
      </c>
      <c r="H2412" t="s">
        <v>5150</v>
      </c>
      <c r="I2412" t="s">
        <v>22</v>
      </c>
      <c r="J2412" t="s">
        <v>23</v>
      </c>
      <c r="K2412" t="s">
        <v>260</v>
      </c>
      <c r="L2412" t="s">
        <v>261</v>
      </c>
      <c r="M2412">
        <v>10011</v>
      </c>
      <c r="N2412" t="s">
        <v>144</v>
      </c>
      <c r="O2412" t="s">
        <v>2592</v>
      </c>
      <c r="P2412" t="s">
        <v>42</v>
      </c>
      <c r="Q2412" t="s">
        <v>43</v>
      </c>
      <c r="R2412" t="s">
        <v>2593</v>
      </c>
      <c r="S2412">
        <v>7.31</v>
      </c>
    </row>
    <row r="2413" spans="1:19" x14ac:dyDescent="0.35">
      <c r="A2413">
        <v>2458</v>
      </c>
      <c r="B2413" t="s">
        <v>5469</v>
      </c>
      <c r="C2413" s="1">
        <v>43176</v>
      </c>
      <c r="D2413" s="1">
        <v>43181</v>
      </c>
      <c r="E2413" s="1" t="str">
        <f t="shared" si="37"/>
        <v>SLOW</v>
      </c>
      <c r="F2413" t="s">
        <v>19</v>
      </c>
      <c r="G2413" t="s">
        <v>5149</v>
      </c>
      <c r="H2413" t="s">
        <v>5150</v>
      </c>
      <c r="I2413" t="s">
        <v>22</v>
      </c>
      <c r="J2413" t="s">
        <v>23</v>
      </c>
      <c r="K2413" t="s">
        <v>260</v>
      </c>
      <c r="L2413" t="s">
        <v>261</v>
      </c>
      <c r="M2413">
        <v>10011</v>
      </c>
      <c r="N2413" t="s">
        <v>144</v>
      </c>
      <c r="O2413" t="s">
        <v>175</v>
      </c>
      <c r="P2413" t="s">
        <v>42</v>
      </c>
      <c r="Q2413" t="s">
        <v>64</v>
      </c>
      <c r="R2413" t="s">
        <v>176</v>
      </c>
      <c r="S2413">
        <v>59.1</v>
      </c>
    </row>
    <row r="2414" spans="1:19" x14ac:dyDescent="0.35">
      <c r="A2414">
        <v>2459</v>
      </c>
      <c r="B2414" t="s">
        <v>5469</v>
      </c>
      <c r="C2414" s="1">
        <v>43176</v>
      </c>
      <c r="D2414" s="1">
        <v>43181</v>
      </c>
      <c r="E2414" s="1" t="str">
        <f t="shared" si="37"/>
        <v>SLOW</v>
      </c>
      <c r="F2414" t="s">
        <v>19</v>
      </c>
      <c r="G2414" t="s">
        <v>5149</v>
      </c>
      <c r="H2414" t="s">
        <v>5150</v>
      </c>
      <c r="I2414" t="s">
        <v>22</v>
      </c>
      <c r="J2414" t="s">
        <v>23</v>
      </c>
      <c r="K2414" t="s">
        <v>260</v>
      </c>
      <c r="L2414" t="s">
        <v>261</v>
      </c>
      <c r="M2414">
        <v>10011</v>
      </c>
      <c r="N2414" t="s">
        <v>144</v>
      </c>
      <c r="O2414" t="s">
        <v>717</v>
      </c>
      <c r="P2414" t="s">
        <v>42</v>
      </c>
      <c r="Q2414" t="s">
        <v>55</v>
      </c>
      <c r="R2414" t="s">
        <v>718</v>
      </c>
      <c r="S2414">
        <v>46.53</v>
      </c>
    </row>
    <row r="2415" spans="1:19" x14ac:dyDescent="0.35">
      <c r="A2415">
        <v>2460</v>
      </c>
      <c r="B2415" t="s">
        <v>5472</v>
      </c>
      <c r="C2415" s="1">
        <v>43327</v>
      </c>
      <c r="D2415" s="1">
        <v>43333</v>
      </c>
      <c r="E2415" s="1" t="str">
        <f t="shared" si="37"/>
        <v>FAST</v>
      </c>
      <c r="F2415" t="s">
        <v>46</v>
      </c>
      <c r="G2415" t="s">
        <v>4222</v>
      </c>
      <c r="H2415" t="s">
        <v>4223</v>
      </c>
      <c r="I2415" t="s">
        <v>22</v>
      </c>
      <c r="J2415" t="s">
        <v>23</v>
      </c>
      <c r="K2415" t="s">
        <v>2106</v>
      </c>
      <c r="L2415" t="s">
        <v>775</v>
      </c>
      <c r="M2415">
        <v>7060</v>
      </c>
      <c r="N2415" t="s">
        <v>144</v>
      </c>
      <c r="O2415" t="s">
        <v>1587</v>
      </c>
      <c r="P2415" t="s">
        <v>42</v>
      </c>
      <c r="Q2415" t="s">
        <v>74</v>
      </c>
      <c r="R2415" t="s">
        <v>1588</v>
      </c>
      <c r="S2415">
        <v>97.84</v>
      </c>
    </row>
    <row r="2416" spans="1:19" x14ac:dyDescent="0.35">
      <c r="A2416">
        <v>2461</v>
      </c>
      <c r="B2416" t="s">
        <v>5473</v>
      </c>
      <c r="C2416" s="1">
        <v>42562</v>
      </c>
      <c r="D2416" s="1">
        <v>42564</v>
      </c>
      <c r="E2416" s="1" t="str">
        <f t="shared" si="37"/>
        <v>SLOW</v>
      </c>
      <c r="F2416" t="s">
        <v>19</v>
      </c>
      <c r="G2416" t="s">
        <v>5474</v>
      </c>
      <c r="H2416" t="s">
        <v>5475</v>
      </c>
      <c r="I2416" t="s">
        <v>22</v>
      </c>
      <c r="J2416" t="s">
        <v>23</v>
      </c>
      <c r="K2416" t="s">
        <v>91</v>
      </c>
      <c r="L2416" t="s">
        <v>92</v>
      </c>
      <c r="M2416">
        <v>98115</v>
      </c>
      <c r="N2416" t="s">
        <v>40</v>
      </c>
      <c r="O2416" t="s">
        <v>3260</v>
      </c>
      <c r="P2416" t="s">
        <v>42</v>
      </c>
      <c r="Q2416" t="s">
        <v>86</v>
      </c>
      <c r="R2416" t="s">
        <v>3261</v>
      </c>
      <c r="S2416">
        <v>29.97</v>
      </c>
    </row>
    <row r="2417" spans="1:19" x14ac:dyDescent="0.35">
      <c r="A2417">
        <v>2462</v>
      </c>
      <c r="B2417" t="s">
        <v>5473</v>
      </c>
      <c r="C2417" s="1">
        <v>42562</v>
      </c>
      <c r="D2417" s="1">
        <v>42564</v>
      </c>
      <c r="E2417" s="1" t="str">
        <f t="shared" si="37"/>
        <v>SLOW</v>
      </c>
      <c r="F2417" t="s">
        <v>19</v>
      </c>
      <c r="G2417" t="s">
        <v>5474</v>
      </c>
      <c r="H2417" t="s">
        <v>5475</v>
      </c>
      <c r="I2417" t="s">
        <v>22</v>
      </c>
      <c r="J2417" t="s">
        <v>23</v>
      </c>
      <c r="K2417" t="s">
        <v>91</v>
      </c>
      <c r="L2417" t="s">
        <v>92</v>
      </c>
      <c r="M2417">
        <v>98115</v>
      </c>
      <c r="N2417" t="s">
        <v>40</v>
      </c>
      <c r="O2417" t="s">
        <v>3098</v>
      </c>
      <c r="P2417" t="s">
        <v>42</v>
      </c>
      <c r="Q2417" t="s">
        <v>71</v>
      </c>
      <c r="R2417" t="s">
        <v>3099</v>
      </c>
      <c r="S2417">
        <v>98.352000000000004</v>
      </c>
    </row>
    <row r="2418" spans="1:19" x14ac:dyDescent="0.35">
      <c r="A2418">
        <v>2463</v>
      </c>
      <c r="B2418" t="s">
        <v>5476</v>
      </c>
      <c r="C2418" s="1">
        <v>43437</v>
      </c>
      <c r="D2418" s="1">
        <v>43443</v>
      </c>
      <c r="E2418" s="1" t="str">
        <f t="shared" si="37"/>
        <v>FAST</v>
      </c>
      <c r="F2418" t="s">
        <v>46</v>
      </c>
      <c r="G2418" t="s">
        <v>3578</v>
      </c>
      <c r="H2418" t="s">
        <v>3579</v>
      </c>
      <c r="I2418" t="s">
        <v>22</v>
      </c>
      <c r="J2418" t="s">
        <v>23</v>
      </c>
      <c r="K2418" t="s">
        <v>260</v>
      </c>
      <c r="L2418" t="s">
        <v>261</v>
      </c>
      <c r="M2418">
        <v>10009</v>
      </c>
      <c r="N2418" t="s">
        <v>144</v>
      </c>
      <c r="O2418" t="s">
        <v>1187</v>
      </c>
      <c r="P2418" t="s">
        <v>42</v>
      </c>
      <c r="Q2418" t="s">
        <v>71</v>
      </c>
      <c r="R2418" t="s">
        <v>1188</v>
      </c>
      <c r="S2418">
        <v>83.92</v>
      </c>
    </row>
    <row r="2419" spans="1:19" x14ac:dyDescent="0.35">
      <c r="A2419">
        <v>2464</v>
      </c>
      <c r="B2419" t="s">
        <v>5476</v>
      </c>
      <c r="C2419" s="1">
        <v>43437</v>
      </c>
      <c r="D2419" s="1">
        <v>43443</v>
      </c>
      <c r="E2419" s="1" t="str">
        <f t="shared" si="37"/>
        <v>FAST</v>
      </c>
      <c r="F2419" t="s">
        <v>46</v>
      </c>
      <c r="G2419" t="s">
        <v>3578</v>
      </c>
      <c r="H2419" t="s">
        <v>3579</v>
      </c>
      <c r="I2419" t="s">
        <v>22</v>
      </c>
      <c r="J2419" t="s">
        <v>23</v>
      </c>
      <c r="K2419" t="s">
        <v>260</v>
      </c>
      <c r="L2419" t="s">
        <v>261</v>
      </c>
      <c r="M2419">
        <v>10009</v>
      </c>
      <c r="N2419" t="s">
        <v>144</v>
      </c>
      <c r="O2419" t="s">
        <v>5343</v>
      </c>
      <c r="P2419" t="s">
        <v>42</v>
      </c>
      <c r="Q2419" t="s">
        <v>71</v>
      </c>
      <c r="R2419" t="s">
        <v>5344</v>
      </c>
      <c r="S2419">
        <v>14.624000000000001</v>
      </c>
    </row>
    <row r="2420" spans="1:19" x14ac:dyDescent="0.35">
      <c r="A2420">
        <v>2465</v>
      </c>
      <c r="B2420" t="s">
        <v>5476</v>
      </c>
      <c r="C2420" s="1">
        <v>43437</v>
      </c>
      <c r="D2420" s="1">
        <v>43443</v>
      </c>
      <c r="E2420" s="1" t="str">
        <f t="shared" si="37"/>
        <v>FAST</v>
      </c>
      <c r="F2420" t="s">
        <v>46</v>
      </c>
      <c r="G2420" t="s">
        <v>3578</v>
      </c>
      <c r="H2420" t="s">
        <v>3579</v>
      </c>
      <c r="I2420" t="s">
        <v>22</v>
      </c>
      <c r="J2420" t="s">
        <v>23</v>
      </c>
      <c r="K2420" t="s">
        <v>260</v>
      </c>
      <c r="L2420" t="s">
        <v>261</v>
      </c>
      <c r="M2420">
        <v>10009</v>
      </c>
      <c r="N2420" t="s">
        <v>144</v>
      </c>
      <c r="O2420" t="s">
        <v>3176</v>
      </c>
      <c r="P2420" t="s">
        <v>67</v>
      </c>
      <c r="Q2420" t="s">
        <v>68</v>
      </c>
      <c r="R2420" t="s">
        <v>3177</v>
      </c>
      <c r="S2420">
        <v>136.99</v>
      </c>
    </row>
    <row r="2421" spans="1:19" x14ac:dyDescent="0.35">
      <c r="A2421">
        <v>2466</v>
      </c>
      <c r="B2421" t="s">
        <v>5476</v>
      </c>
      <c r="C2421" s="1">
        <v>43437</v>
      </c>
      <c r="D2421" s="1">
        <v>43443</v>
      </c>
      <c r="E2421" s="1" t="str">
        <f t="shared" si="37"/>
        <v>FAST</v>
      </c>
      <c r="F2421" t="s">
        <v>46</v>
      </c>
      <c r="G2421" t="s">
        <v>3578</v>
      </c>
      <c r="H2421" t="s">
        <v>3579</v>
      </c>
      <c r="I2421" t="s">
        <v>22</v>
      </c>
      <c r="J2421" t="s">
        <v>23</v>
      </c>
      <c r="K2421" t="s">
        <v>260</v>
      </c>
      <c r="L2421" t="s">
        <v>261</v>
      </c>
      <c r="M2421">
        <v>10009</v>
      </c>
      <c r="N2421" t="s">
        <v>144</v>
      </c>
      <c r="O2421" t="s">
        <v>1534</v>
      </c>
      <c r="P2421" t="s">
        <v>42</v>
      </c>
      <c r="Q2421" t="s">
        <v>43</v>
      </c>
      <c r="R2421" t="s">
        <v>1535</v>
      </c>
      <c r="S2421">
        <v>3.15</v>
      </c>
    </row>
    <row r="2422" spans="1:19" x14ac:dyDescent="0.35">
      <c r="A2422">
        <v>2467</v>
      </c>
      <c r="B2422" t="s">
        <v>5477</v>
      </c>
      <c r="C2422" s="1">
        <v>43224</v>
      </c>
      <c r="D2422" s="1">
        <v>43228</v>
      </c>
      <c r="E2422" s="1" t="str">
        <f t="shared" si="37"/>
        <v>FAST</v>
      </c>
      <c r="F2422" t="s">
        <v>46</v>
      </c>
      <c r="G2422" t="s">
        <v>1503</v>
      </c>
      <c r="H2422" t="s">
        <v>1504</v>
      </c>
      <c r="I2422" t="s">
        <v>22</v>
      </c>
      <c r="J2422" t="s">
        <v>23</v>
      </c>
      <c r="K2422" t="s">
        <v>5478</v>
      </c>
      <c r="L2422" t="s">
        <v>313</v>
      </c>
      <c r="M2422">
        <v>23602</v>
      </c>
      <c r="N2422" t="s">
        <v>26</v>
      </c>
      <c r="O2422" t="s">
        <v>5479</v>
      </c>
      <c r="P2422" t="s">
        <v>42</v>
      </c>
      <c r="Q2422" t="s">
        <v>86</v>
      </c>
      <c r="R2422" t="s">
        <v>5480</v>
      </c>
      <c r="S2422">
        <v>9.11</v>
      </c>
    </row>
    <row r="2423" spans="1:19" x14ac:dyDescent="0.35">
      <c r="A2423">
        <v>2468</v>
      </c>
      <c r="B2423" t="s">
        <v>5477</v>
      </c>
      <c r="C2423" s="1">
        <v>43224</v>
      </c>
      <c r="D2423" s="1">
        <v>43228</v>
      </c>
      <c r="E2423" s="1" t="str">
        <f t="shared" si="37"/>
        <v>FAST</v>
      </c>
      <c r="F2423" t="s">
        <v>46</v>
      </c>
      <c r="G2423" t="s">
        <v>1503</v>
      </c>
      <c r="H2423" t="s">
        <v>1504</v>
      </c>
      <c r="I2423" t="s">
        <v>22</v>
      </c>
      <c r="J2423" t="s">
        <v>23</v>
      </c>
      <c r="K2423" t="s">
        <v>5478</v>
      </c>
      <c r="L2423" t="s">
        <v>313</v>
      </c>
      <c r="M2423">
        <v>23602</v>
      </c>
      <c r="N2423" t="s">
        <v>26</v>
      </c>
      <c r="O2423" t="s">
        <v>1500</v>
      </c>
      <c r="P2423" t="s">
        <v>42</v>
      </c>
      <c r="Q2423" t="s">
        <v>55</v>
      </c>
      <c r="R2423" t="s">
        <v>1501</v>
      </c>
      <c r="S2423">
        <v>571.44000000000005</v>
      </c>
    </row>
    <row r="2424" spans="1:19" x14ac:dyDescent="0.35">
      <c r="A2424">
        <v>2469</v>
      </c>
      <c r="B2424" t="s">
        <v>5477</v>
      </c>
      <c r="C2424" s="1">
        <v>43224</v>
      </c>
      <c r="D2424" s="1">
        <v>43228</v>
      </c>
      <c r="E2424" s="1" t="str">
        <f t="shared" si="37"/>
        <v>FAST</v>
      </c>
      <c r="F2424" t="s">
        <v>46</v>
      </c>
      <c r="G2424" t="s">
        <v>1503</v>
      </c>
      <c r="H2424" t="s">
        <v>1504</v>
      </c>
      <c r="I2424" t="s">
        <v>22</v>
      </c>
      <c r="J2424" t="s">
        <v>23</v>
      </c>
      <c r="K2424" t="s">
        <v>5478</v>
      </c>
      <c r="L2424" t="s">
        <v>313</v>
      </c>
      <c r="M2424">
        <v>23602</v>
      </c>
      <c r="N2424" t="s">
        <v>26</v>
      </c>
      <c r="O2424" t="s">
        <v>5481</v>
      </c>
      <c r="P2424" t="s">
        <v>42</v>
      </c>
      <c r="Q2424" t="s">
        <v>86</v>
      </c>
      <c r="R2424" t="s">
        <v>5482</v>
      </c>
      <c r="S2424">
        <v>32.4</v>
      </c>
    </row>
    <row r="2425" spans="1:19" x14ac:dyDescent="0.35">
      <c r="A2425">
        <v>2470</v>
      </c>
      <c r="B2425" t="s">
        <v>5477</v>
      </c>
      <c r="C2425" s="1">
        <v>43224</v>
      </c>
      <c r="D2425" s="1">
        <v>43228</v>
      </c>
      <c r="E2425" s="1" t="str">
        <f t="shared" si="37"/>
        <v>FAST</v>
      </c>
      <c r="F2425" t="s">
        <v>46</v>
      </c>
      <c r="G2425" t="s">
        <v>1503</v>
      </c>
      <c r="H2425" t="s">
        <v>1504</v>
      </c>
      <c r="I2425" t="s">
        <v>22</v>
      </c>
      <c r="J2425" t="s">
        <v>23</v>
      </c>
      <c r="K2425" t="s">
        <v>5478</v>
      </c>
      <c r="L2425" t="s">
        <v>313</v>
      </c>
      <c r="M2425">
        <v>23602</v>
      </c>
      <c r="N2425" t="s">
        <v>26</v>
      </c>
      <c r="O2425" t="s">
        <v>4066</v>
      </c>
      <c r="P2425" t="s">
        <v>42</v>
      </c>
      <c r="Q2425" t="s">
        <v>55</v>
      </c>
      <c r="R2425" t="s">
        <v>4067</v>
      </c>
      <c r="S2425">
        <v>16.91</v>
      </c>
    </row>
    <row r="2426" spans="1:19" x14ac:dyDescent="0.35">
      <c r="A2426">
        <v>2471</v>
      </c>
      <c r="B2426" t="s">
        <v>5483</v>
      </c>
      <c r="C2426" s="1">
        <v>42757</v>
      </c>
      <c r="D2426" s="1">
        <v>42763</v>
      </c>
      <c r="E2426" s="1" t="str">
        <f t="shared" si="37"/>
        <v>FAST</v>
      </c>
      <c r="F2426" t="s">
        <v>46</v>
      </c>
      <c r="G2426" t="s">
        <v>5484</v>
      </c>
      <c r="H2426" t="s">
        <v>5485</v>
      </c>
      <c r="I2426" t="s">
        <v>22</v>
      </c>
      <c r="J2426" t="s">
        <v>23</v>
      </c>
      <c r="K2426" t="s">
        <v>1686</v>
      </c>
      <c r="L2426" t="s">
        <v>84</v>
      </c>
      <c r="M2426">
        <v>28314</v>
      </c>
      <c r="N2426" t="s">
        <v>26</v>
      </c>
      <c r="O2426" t="s">
        <v>5486</v>
      </c>
      <c r="P2426" t="s">
        <v>28</v>
      </c>
      <c r="Q2426" t="s">
        <v>61</v>
      </c>
      <c r="R2426" t="s">
        <v>5487</v>
      </c>
      <c r="S2426">
        <v>14.272</v>
      </c>
    </row>
    <row r="2427" spans="1:19" x14ac:dyDescent="0.35">
      <c r="A2427">
        <v>2472</v>
      </c>
      <c r="B2427" t="s">
        <v>5483</v>
      </c>
      <c r="C2427" s="1">
        <v>42757</v>
      </c>
      <c r="D2427" s="1">
        <v>42763</v>
      </c>
      <c r="E2427" s="1" t="str">
        <f t="shared" si="37"/>
        <v>FAST</v>
      </c>
      <c r="F2427" t="s">
        <v>46</v>
      </c>
      <c r="G2427" t="s">
        <v>5484</v>
      </c>
      <c r="H2427" t="s">
        <v>5485</v>
      </c>
      <c r="I2427" t="s">
        <v>22</v>
      </c>
      <c r="J2427" t="s">
        <v>23</v>
      </c>
      <c r="K2427" t="s">
        <v>1686</v>
      </c>
      <c r="L2427" t="s">
        <v>84</v>
      </c>
      <c r="M2427">
        <v>28314</v>
      </c>
      <c r="N2427" t="s">
        <v>26</v>
      </c>
      <c r="O2427" t="s">
        <v>4974</v>
      </c>
      <c r="P2427" t="s">
        <v>28</v>
      </c>
      <c r="Q2427" t="s">
        <v>29</v>
      </c>
      <c r="R2427" t="s">
        <v>5488</v>
      </c>
      <c r="S2427">
        <v>451.13600000000002</v>
      </c>
    </row>
    <row r="2428" spans="1:19" x14ac:dyDescent="0.35">
      <c r="A2428">
        <v>2473</v>
      </c>
      <c r="B2428" t="s">
        <v>5483</v>
      </c>
      <c r="C2428" s="1">
        <v>42757</v>
      </c>
      <c r="D2428" s="1">
        <v>42763</v>
      </c>
      <c r="E2428" s="1" t="str">
        <f t="shared" si="37"/>
        <v>FAST</v>
      </c>
      <c r="F2428" t="s">
        <v>46</v>
      </c>
      <c r="G2428" t="s">
        <v>5484</v>
      </c>
      <c r="H2428" t="s">
        <v>5485</v>
      </c>
      <c r="I2428" t="s">
        <v>22</v>
      </c>
      <c r="J2428" t="s">
        <v>23</v>
      </c>
      <c r="K2428" t="s">
        <v>1686</v>
      </c>
      <c r="L2428" t="s">
        <v>84</v>
      </c>
      <c r="M2428">
        <v>28314</v>
      </c>
      <c r="N2428" t="s">
        <v>26</v>
      </c>
      <c r="O2428" t="s">
        <v>5086</v>
      </c>
      <c r="P2428" t="s">
        <v>42</v>
      </c>
      <c r="Q2428" t="s">
        <v>74</v>
      </c>
      <c r="R2428" t="s">
        <v>5087</v>
      </c>
      <c r="S2428">
        <v>64.864000000000004</v>
      </c>
    </row>
    <row r="2429" spans="1:19" x14ac:dyDescent="0.35">
      <c r="A2429">
        <v>2474</v>
      </c>
      <c r="B2429" t="s">
        <v>5489</v>
      </c>
      <c r="C2429" s="1">
        <v>43042</v>
      </c>
      <c r="D2429" s="1">
        <v>43045</v>
      </c>
      <c r="E2429" s="1" t="str">
        <f t="shared" si="37"/>
        <v>MODERATE</v>
      </c>
      <c r="F2429" t="s">
        <v>184</v>
      </c>
      <c r="G2429" t="s">
        <v>3495</v>
      </c>
      <c r="H2429" t="s">
        <v>3496</v>
      </c>
      <c r="I2429" t="s">
        <v>22</v>
      </c>
      <c r="J2429" t="s">
        <v>23</v>
      </c>
      <c r="K2429" t="s">
        <v>38</v>
      </c>
      <c r="L2429" t="s">
        <v>39</v>
      </c>
      <c r="M2429">
        <v>90032</v>
      </c>
      <c r="N2429" t="s">
        <v>40</v>
      </c>
      <c r="O2429" t="s">
        <v>5490</v>
      </c>
      <c r="P2429" t="s">
        <v>28</v>
      </c>
      <c r="Q2429" t="s">
        <v>32</v>
      </c>
      <c r="R2429" t="s">
        <v>5491</v>
      </c>
      <c r="S2429">
        <v>217.584</v>
      </c>
    </row>
    <row r="2430" spans="1:19" x14ac:dyDescent="0.35">
      <c r="A2430">
        <v>2475</v>
      </c>
      <c r="B2430" t="s">
        <v>5489</v>
      </c>
      <c r="C2430" s="1">
        <v>43042</v>
      </c>
      <c r="D2430" s="1">
        <v>43045</v>
      </c>
      <c r="E2430" s="1" t="str">
        <f t="shared" si="37"/>
        <v>MODERATE</v>
      </c>
      <c r="F2430" t="s">
        <v>184</v>
      </c>
      <c r="G2430" t="s">
        <v>3495</v>
      </c>
      <c r="H2430" t="s">
        <v>3496</v>
      </c>
      <c r="I2430" t="s">
        <v>22</v>
      </c>
      <c r="J2430" t="s">
        <v>23</v>
      </c>
      <c r="K2430" t="s">
        <v>38</v>
      </c>
      <c r="L2430" t="s">
        <v>39</v>
      </c>
      <c r="M2430">
        <v>90032</v>
      </c>
      <c r="N2430" t="s">
        <v>40</v>
      </c>
      <c r="O2430" t="s">
        <v>5492</v>
      </c>
      <c r="P2430" t="s">
        <v>67</v>
      </c>
      <c r="Q2430" t="s">
        <v>157</v>
      </c>
      <c r="R2430" t="s">
        <v>5493</v>
      </c>
      <c r="S2430">
        <v>82.95</v>
      </c>
    </row>
    <row r="2431" spans="1:19" x14ac:dyDescent="0.35">
      <c r="A2431">
        <v>2476</v>
      </c>
      <c r="B2431" t="s">
        <v>5489</v>
      </c>
      <c r="C2431" s="1">
        <v>43042</v>
      </c>
      <c r="D2431" s="1">
        <v>43045</v>
      </c>
      <c r="E2431" s="1" t="str">
        <f t="shared" si="37"/>
        <v>MODERATE</v>
      </c>
      <c r="F2431" t="s">
        <v>184</v>
      </c>
      <c r="G2431" t="s">
        <v>3495</v>
      </c>
      <c r="H2431" t="s">
        <v>3496</v>
      </c>
      <c r="I2431" t="s">
        <v>22</v>
      </c>
      <c r="J2431" t="s">
        <v>23</v>
      </c>
      <c r="K2431" t="s">
        <v>38</v>
      </c>
      <c r="L2431" t="s">
        <v>39</v>
      </c>
      <c r="M2431">
        <v>90032</v>
      </c>
      <c r="N2431" t="s">
        <v>40</v>
      </c>
      <c r="O2431" t="s">
        <v>5494</v>
      </c>
      <c r="P2431" t="s">
        <v>42</v>
      </c>
      <c r="Q2431" t="s">
        <v>43</v>
      </c>
      <c r="R2431" t="s">
        <v>5495</v>
      </c>
      <c r="S2431">
        <v>87.71</v>
      </c>
    </row>
    <row r="2432" spans="1:19" x14ac:dyDescent="0.35">
      <c r="A2432">
        <v>2477</v>
      </c>
      <c r="B2432" t="s">
        <v>5489</v>
      </c>
      <c r="C2432" s="1">
        <v>43042</v>
      </c>
      <c r="D2432" s="1">
        <v>43045</v>
      </c>
      <c r="E2432" s="1" t="str">
        <f t="shared" si="37"/>
        <v>MODERATE</v>
      </c>
      <c r="F2432" t="s">
        <v>184</v>
      </c>
      <c r="G2432" t="s">
        <v>3495</v>
      </c>
      <c r="H2432" t="s">
        <v>3496</v>
      </c>
      <c r="I2432" t="s">
        <v>22</v>
      </c>
      <c r="J2432" t="s">
        <v>23</v>
      </c>
      <c r="K2432" t="s">
        <v>38</v>
      </c>
      <c r="L2432" t="s">
        <v>39</v>
      </c>
      <c r="M2432">
        <v>90032</v>
      </c>
      <c r="N2432" t="s">
        <v>40</v>
      </c>
      <c r="O2432" t="s">
        <v>5450</v>
      </c>
      <c r="P2432" t="s">
        <v>42</v>
      </c>
      <c r="Q2432" t="s">
        <v>74</v>
      </c>
      <c r="R2432" t="s">
        <v>5451</v>
      </c>
      <c r="S2432">
        <v>1101.48</v>
      </c>
    </row>
    <row r="2433" spans="1:19" x14ac:dyDescent="0.35">
      <c r="A2433">
        <v>2478</v>
      </c>
      <c r="B2433" t="s">
        <v>5496</v>
      </c>
      <c r="C2433" s="1">
        <v>43347</v>
      </c>
      <c r="D2433" s="1">
        <v>43351</v>
      </c>
      <c r="E2433" s="1" t="str">
        <f t="shared" si="37"/>
        <v>SLOW</v>
      </c>
      <c r="F2433" t="s">
        <v>19</v>
      </c>
      <c r="G2433" t="s">
        <v>5497</v>
      </c>
      <c r="H2433" t="s">
        <v>5498</v>
      </c>
      <c r="I2433" t="s">
        <v>37</v>
      </c>
      <c r="J2433" t="s">
        <v>23</v>
      </c>
      <c r="K2433" t="s">
        <v>38</v>
      </c>
      <c r="L2433" t="s">
        <v>39</v>
      </c>
      <c r="M2433">
        <v>90036</v>
      </c>
      <c r="N2433" t="s">
        <v>40</v>
      </c>
      <c r="O2433" t="s">
        <v>2292</v>
      </c>
      <c r="P2433" t="s">
        <v>28</v>
      </c>
      <c r="Q2433" t="s">
        <v>52</v>
      </c>
      <c r="R2433" t="s">
        <v>2293</v>
      </c>
      <c r="S2433">
        <v>1322.3520000000001</v>
      </c>
    </row>
    <row r="2434" spans="1:19" x14ac:dyDescent="0.35">
      <c r="A2434">
        <v>2479</v>
      </c>
      <c r="B2434" t="s">
        <v>5499</v>
      </c>
      <c r="C2434" s="1">
        <v>42260</v>
      </c>
      <c r="D2434" s="1">
        <v>42266</v>
      </c>
      <c r="E2434" s="1" t="str">
        <f t="shared" si="37"/>
        <v>FAST</v>
      </c>
      <c r="F2434" t="s">
        <v>46</v>
      </c>
      <c r="G2434" t="s">
        <v>3502</v>
      </c>
      <c r="H2434" t="s">
        <v>3503</v>
      </c>
      <c r="I2434" t="s">
        <v>22</v>
      </c>
      <c r="J2434" t="s">
        <v>23</v>
      </c>
      <c r="K2434" t="s">
        <v>260</v>
      </c>
      <c r="L2434" t="s">
        <v>261</v>
      </c>
      <c r="M2434">
        <v>10011</v>
      </c>
      <c r="N2434" t="s">
        <v>144</v>
      </c>
      <c r="O2434" t="s">
        <v>63</v>
      </c>
      <c r="P2434" t="s">
        <v>42</v>
      </c>
      <c r="Q2434" t="s">
        <v>64</v>
      </c>
      <c r="R2434" t="s">
        <v>65</v>
      </c>
      <c r="S2434">
        <v>5.46</v>
      </c>
    </row>
    <row r="2435" spans="1:19" x14ac:dyDescent="0.35">
      <c r="A2435">
        <v>2480</v>
      </c>
      <c r="B2435" t="s">
        <v>5500</v>
      </c>
      <c r="C2435" s="1">
        <v>43270</v>
      </c>
      <c r="D2435" s="1">
        <v>43276</v>
      </c>
      <c r="E2435" s="1" t="str">
        <f t="shared" ref="E2435:E2498" si="38">IF(F2435="STANDARD CLASS","FAST",IF(F2435="SECOND CLASS","SLOW","MODERATE"))</f>
        <v>FAST</v>
      </c>
      <c r="F2435" t="s">
        <v>46</v>
      </c>
      <c r="G2435" t="s">
        <v>3131</v>
      </c>
      <c r="H2435" t="s">
        <v>3132</v>
      </c>
      <c r="I2435" t="s">
        <v>22</v>
      </c>
      <c r="J2435" t="s">
        <v>23</v>
      </c>
      <c r="K2435" t="s">
        <v>802</v>
      </c>
      <c r="L2435" t="s">
        <v>100</v>
      </c>
      <c r="M2435">
        <v>75220</v>
      </c>
      <c r="N2435" t="s">
        <v>101</v>
      </c>
      <c r="O2435" t="s">
        <v>5501</v>
      </c>
      <c r="P2435" t="s">
        <v>42</v>
      </c>
      <c r="Q2435" t="s">
        <v>566</v>
      </c>
      <c r="R2435" t="s">
        <v>5502</v>
      </c>
      <c r="S2435">
        <v>11.183999999999999</v>
      </c>
    </row>
    <row r="2436" spans="1:19" x14ac:dyDescent="0.35">
      <c r="A2436">
        <v>2481</v>
      </c>
      <c r="B2436" t="s">
        <v>5500</v>
      </c>
      <c r="C2436" s="1">
        <v>43270</v>
      </c>
      <c r="D2436" s="1">
        <v>43276</v>
      </c>
      <c r="E2436" s="1" t="str">
        <f t="shared" si="38"/>
        <v>FAST</v>
      </c>
      <c r="F2436" t="s">
        <v>46</v>
      </c>
      <c r="G2436" t="s">
        <v>3131</v>
      </c>
      <c r="H2436" t="s">
        <v>3132</v>
      </c>
      <c r="I2436" t="s">
        <v>22</v>
      </c>
      <c r="J2436" t="s">
        <v>23</v>
      </c>
      <c r="K2436" t="s">
        <v>802</v>
      </c>
      <c r="L2436" t="s">
        <v>100</v>
      </c>
      <c r="M2436">
        <v>75220</v>
      </c>
      <c r="N2436" t="s">
        <v>101</v>
      </c>
      <c r="O2436" t="s">
        <v>369</v>
      </c>
      <c r="P2436" t="s">
        <v>42</v>
      </c>
      <c r="Q2436" t="s">
        <v>55</v>
      </c>
      <c r="R2436" t="s">
        <v>370</v>
      </c>
      <c r="S2436">
        <v>153.584</v>
      </c>
    </row>
    <row r="2437" spans="1:19" x14ac:dyDescent="0.35">
      <c r="A2437">
        <v>2482</v>
      </c>
      <c r="B2437" t="s">
        <v>5503</v>
      </c>
      <c r="C2437" s="1">
        <v>43458</v>
      </c>
      <c r="D2437" s="1">
        <v>43465</v>
      </c>
      <c r="E2437" s="1" t="str">
        <f t="shared" si="38"/>
        <v>FAST</v>
      </c>
      <c r="F2437" t="s">
        <v>46</v>
      </c>
      <c r="G2437" t="s">
        <v>977</v>
      </c>
      <c r="H2437" t="s">
        <v>978</v>
      </c>
      <c r="I2437" t="s">
        <v>22</v>
      </c>
      <c r="J2437" t="s">
        <v>23</v>
      </c>
      <c r="K2437" t="s">
        <v>91</v>
      </c>
      <c r="L2437" t="s">
        <v>92</v>
      </c>
      <c r="M2437">
        <v>98105</v>
      </c>
      <c r="N2437" t="s">
        <v>40</v>
      </c>
      <c r="O2437" t="s">
        <v>2901</v>
      </c>
      <c r="P2437" t="s">
        <v>42</v>
      </c>
      <c r="Q2437" t="s">
        <v>55</v>
      </c>
      <c r="R2437" t="s">
        <v>2902</v>
      </c>
      <c r="S2437">
        <v>1003.62</v>
      </c>
    </row>
    <row r="2438" spans="1:19" x14ac:dyDescent="0.35">
      <c r="A2438">
        <v>2483</v>
      </c>
      <c r="B2438" t="s">
        <v>5504</v>
      </c>
      <c r="C2438" s="1">
        <v>43340</v>
      </c>
      <c r="D2438" s="1">
        <v>43346</v>
      </c>
      <c r="E2438" s="1" t="str">
        <f t="shared" si="38"/>
        <v>FAST</v>
      </c>
      <c r="F2438" t="s">
        <v>46</v>
      </c>
      <c r="G2438" t="s">
        <v>5292</v>
      </c>
      <c r="H2438" t="s">
        <v>5293</v>
      </c>
      <c r="I2438" t="s">
        <v>98</v>
      </c>
      <c r="J2438" t="s">
        <v>23</v>
      </c>
      <c r="K2438" t="s">
        <v>91</v>
      </c>
      <c r="L2438" t="s">
        <v>92</v>
      </c>
      <c r="M2438">
        <v>98105</v>
      </c>
      <c r="N2438" t="s">
        <v>40</v>
      </c>
      <c r="O2438" t="s">
        <v>5505</v>
      </c>
      <c r="P2438" t="s">
        <v>67</v>
      </c>
      <c r="Q2438" t="s">
        <v>68</v>
      </c>
      <c r="R2438" t="s">
        <v>5506</v>
      </c>
      <c r="S2438">
        <v>35.167999999999999</v>
      </c>
    </row>
    <row r="2439" spans="1:19" x14ac:dyDescent="0.35">
      <c r="A2439">
        <v>2484</v>
      </c>
      <c r="B2439" t="s">
        <v>5504</v>
      </c>
      <c r="C2439" s="1">
        <v>43340</v>
      </c>
      <c r="D2439" s="1">
        <v>43346</v>
      </c>
      <c r="E2439" s="1" t="str">
        <f t="shared" si="38"/>
        <v>FAST</v>
      </c>
      <c r="F2439" t="s">
        <v>46</v>
      </c>
      <c r="G2439" t="s">
        <v>5292</v>
      </c>
      <c r="H2439" t="s">
        <v>5293</v>
      </c>
      <c r="I2439" t="s">
        <v>98</v>
      </c>
      <c r="J2439" t="s">
        <v>23</v>
      </c>
      <c r="K2439" t="s">
        <v>91</v>
      </c>
      <c r="L2439" t="s">
        <v>92</v>
      </c>
      <c r="M2439">
        <v>98105</v>
      </c>
      <c r="N2439" t="s">
        <v>40</v>
      </c>
      <c r="O2439" t="s">
        <v>1340</v>
      </c>
      <c r="P2439" t="s">
        <v>28</v>
      </c>
      <c r="Q2439" t="s">
        <v>52</v>
      </c>
      <c r="R2439" t="s">
        <v>1341</v>
      </c>
      <c r="S2439">
        <v>1137.75</v>
      </c>
    </row>
    <row r="2440" spans="1:19" x14ac:dyDescent="0.35">
      <c r="A2440">
        <v>2485</v>
      </c>
      <c r="B2440" t="s">
        <v>5504</v>
      </c>
      <c r="C2440" s="1">
        <v>43340</v>
      </c>
      <c r="D2440" s="1">
        <v>43346</v>
      </c>
      <c r="E2440" s="1" t="str">
        <f t="shared" si="38"/>
        <v>FAST</v>
      </c>
      <c r="F2440" t="s">
        <v>46</v>
      </c>
      <c r="G2440" t="s">
        <v>5292</v>
      </c>
      <c r="H2440" t="s">
        <v>5293</v>
      </c>
      <c r="I2440" t="s">
        <v>98</v>
      </c>
      <c r="J2440" t="s">
        <v>23</v>
      </c>
      <c r="K2440" t="s">
        <v>91</v>
      </c>
      <c r="L2440" t="s">
        <v>92</v>
      </c>
      <c r="M2440">
        <v>98105</v>
      </c>
      <c r="N2440" t="s">
        <v>40</v>
      </c>
      <c r="O2440" t="s">
        <v>1704</v>
      </c>
      <c r="P2440" t="s">
        <v>42</v>
      </c>
      <c r="Q2440" t="s">
        <v>71</v>
      </c>
      <c r="R2440" t="s">
        <v>1705</v>
      </c>
      <c r="S2440">
        <v>99.68</v>
      </c>
    </row>
    <row r="2441" spans="1:19" x14ac:dyDescent="0.35">
      <c r="A2441">
        <v>2486</v>
      </c>
      <c r="B2441" t="s">
        <v>5504</v>
      </c>
      <c r="C2441" s="1">
        <v>43340</v>
      </c>
      <c r="D2441" s="1">
        <v>43346</v>
      </c>
      <c r="E2441" s="1" t="str">
        <f t="shared" si="38"/>
        <v>FAST</v>
      </c>
      <c r="F2441" t="s">
        <v>46</v>
      </c>
      <c r="G2441" t="s">
        <v>5292</v>
      </c>
      <c r="H2441" t="s">
        <v>5293</v>
      </c>
      <c r="I2441" t="s">
        <v>98</v>
      </c>
      <c r="J2441" t="s">
        <v>23</v>
      </c>
      <c r="K2441" t="s">
        <v>91</v>
      </c>
      <c r="L2441" t="s">
        <v>92</v>
      </c>
      <c r="M2441">
        <v>98105</v>
      </c>
      <c r="N2441" t="s">
        <v>40</v>
      </c>
      <c r="O2441" t="s">
        <v>1719</v>
      </c>
      <c r="P2441" t="s">
        <v>42</v>
      </c>
      <c r="Q2441" t="s">
        <v>64</v>
      </c>
      <c r="R2441" t="s">
        <v>1720</v>
      </c>
      <c r="S2441">
        <v>5.56</v>
      </c>
    </row>
    <row r="2442" spans="1:19" x14ac:dyDescent="0.35">
      <c r="A2442">
        <v>2487</v>
      </c>
      <c r="B2442" t="s">
        <v>5507</v>
      </c>
      <c r="C2442" s="1">
        <v>42371</v>
      </c>
      <c r="D2442" s="1">
        <v>42373</v>
      </c>
      <c r="E2442" s="1" t="str">
        <f t="shared" si="38"/>
        <v>SLOW</v>
      </c>
      <c r="F2442" t="s">
        <v>19</v>
      </c>
      <c r="G2442" t="s">
        <v>983</v>
      </c>
      <c r="H2442" t="s">
        <v>984</v>
      </c>
      <c r="I2442" t="s">
        <v>37</v>
      </c>
      <c r="J2442" t="s">
        <v>23</v>
      </c>
      <c r="K2442" t="s">
        <v>594</v>
      </c>
      <c r="L2442" t="s">
        <v>239</v>
      </c>
      <c r="M2442">
        <v>19711</v>
      </c>
      <c r="N2442" t="s">
        <v>144</v>
      </c>
      <c r="O2442" t="s">
        <v>5508</v>
      </c>
      <c r="P2442" t="s">
        <v>42</v>
      </c>
      <c r="Q2442" t="s">
        <v>55</v>
      </c>
      <c r="R2442" t="s">
        <v>5509</v>
      </c>
      <c r="S2442">
        <v>85.52</v>
      </c>
    </row>
    <row r="2443" spans="1:19" x14ac:dyDescent="0.35">
      <c r="A2443">
        <v>2488</v>
      </c>
      <c r="B2443" t="s">
        <v>5507</v>
      </c>
      <c r="C2443" s="1">
        <v>42371</v>
      </c>
      <c r="D2443" s="1">
        <v>42373</v>
      </c>
      <c r="E2443" s="1" t="str">
        <f t="shared" si="38"/>
        <v>SLOW</v>
      </c>
      <c r="F2443" t="s">
        <v>19</v>
      </c>
      <c r="G2443" t="s">
        <v>983</v>
      </c>
      <c r="H2443" t="s">
        <v>984</v>
      </c>
      <c r="I2443" t="s">
        <v>37</v>
      </c>
      <c r="J2443" t="s">
        <v>23</v>
      </c>
      <c r="K2443" t="s">
        <v>594</v>
      </c>
      <c r="L2443" t="s">
        <v>239</v>
      </c>
      <c r="M2443">
        <v>19711</v>
      </c>
      <c r="N2443" t="s">
        <v>144</v>
      </c>
      <c r="O2443" t="s">
        <v>5510</v>
      </c>
      <c r="P2443" t="s">
        <v>42</v>
      </c>
      <c r="Q2443" t="s">
        <v>64</v>
      </c>
      <c r="R2443" t="s">
        <v>5511</v>
      </c>
      <c r="S2443">
        <v>9.84</v>
      </c>
    </row>
    <row r="2444" spans="1:19" x14ac:dyDescent="0.35">
      <c r="A2444">
        <v>2489</v>
      </c>
      <c r="B2444" t="s">
        <v>5507</v>
      </c>
      <c r="C2444" s="1">
        <v>42371</v>
      </c>
      <c r="D2444" s="1">
        <v>42373</v>
      </c>
      <c r="E2444" s="1" t="str">
        <f t="shared" si="38"/>
        <v>SLOW</v>
      </c>
      <c r="F2444" t="s">
        <v>19</v>
      </c>
      <c r="G2444" t="s">
        <v>983</v>
      </c>
      <c r="H2444" t="s">
        <v>984</v>
      </c>
      <c r="I2444" t="s">
        <v>37</v>
      </c>
      <c r="J2444" t="s">
        <v>23</v>
      </c>
      <c r="K2444" t="s">
        <v>594</v>
      </c>
      <c r="L2444" t="s">
        <v>239</v>
      </c>
      <c r="M2444">
        <v>19711</v>
      </c>
      <c r="N2444" t="s">
        <v>144</v>
      </c>
      <c r="O2444" t="s">
        <v>5180</v>
      </c>
      <c r="P2444" t="s">
        <v>42</v>
      </c>
      <c r="Q2444" t="s">
        <v>86</v>
      </c>
      <c r="R2444" t="s">
        <v>5181</v>
      </c>
      <c r="S2444">
        <v>20.04</v>
      </c>
    </row>
    <row r="2445" spans="1:19" x14ac:dyDescent="0.35">
      <c r="A2445">
        <v>2490</v>
      </c>
      <c r="B2445" t="s">
        <v>5512</v>
      </c>
      <c r="C2445" s="1">
        <v>42652</v>
      </c>
      <c r="D2445" s="1">
        <v>42656</v>
      </c>
      <c r="E2445" s="1" t="str">
        <f t="shared" si="38"/>
        <v>SLOW</v>
      </c>
      <c r="F2445" t="s">
        <v>19</v>
      </c>
      <c r="G2445" t="s">
        <v>5513</v>
      </c>
      <c r="H2445" t="s">
        <v>5514</v>
      </c>
      <c r="I2445" t="s">
        <v>22</v>
      </c>
      <c r="J2445" t="s">
        <v>23</v>
      </c>
      <c r="K2445" t="s">
        <v>260</v>
      </c>
      <c r="L2445" t="s">
        <v>261</v>
      </c>
      <c r="M2445">
        <v>10024</v>
      </c>
      <c r="N2445" t="s">
        <v>144</v>
      </c>
      <c r="O2445" t="s">
        <v>5515</v>
      </c>
      <c r="P2445" t="s">
        <v>67</v>
      </c>
      <c r="Q2445" t="s">
        <v>68</v>
      </c>
      <c r="R2445" t="s">
        <v>5516</v>
      </c>
      <c r="S2445">
        <v>631.96</v>
      </c>
    </row>
    <row r="2446" spans="1:19" x14ac:dyDescent="0.35">
      <c r="A2446">
        <v>2491</v>
      </c>
      <c r="B2446" t="s">
        <v>5512</v>
      </c>
      <c r="C2446" s="1">
        <v>42652</v>
      </c>
      <c r="D2446" s="1">
        <v>42656</v>
      </c>
      <c r="E2446" s="1" t="str">
        <f t="shared" si="38"/>
        <v>SLOW</v>
      </c>
      <c r="F2446" t="s">
        <v>19</v>
      </c>
      <c r="G2446" t="s">
        <v>5513</v>
      </c>
      <c r="H2446" t="s">
        <v>5514</v>
      </c>
      <c r="I2446" t="s">
        <v>22</v>
      </c>
      <c r="J2446" t="s">
        <v>23</v>
      </c>
      <c r="K2446" t="s">
        <v>260</v>
      </c>
      <c r="L2446" t="s">
        <v>261</v>
      </c>
      <c r="M2446">
        <v>10024</v>
      </c>
      <c r="N2446" t="s">
        <v>144</v>
      </c>
      <c r="O2446" t="s">
        <v>5517</v>
      </c>
      <c r="P2446" t="s">
        <v>42</v>
      </c>
      <c r="Q2446" t="s">
        <v>86</v>
      </c>
      <c r="R2446" t="s">
        <v>5518</v>
      </c>
      <c r="S2446">
        <v>23.92</v>
      </c>
    </row>
    <row r="2447" spans="1:19" x14ac:dyDescent="0.35">
      <c r="A2447">
        <v>2492</v>
      </c>
      <c r="B2447" t="s">
        <v>5519</v>
      </c>
      <c r="C2447" s="1">
        <v>42351</v>
      </c>
      <c r="D2447" s="1">
        <v>42353</v>
      </c>
      <c r="E2447" s="1" t="str">
        <f t="shared" si="38"/>
        <v>SLOW</v>
      </c>
      <c r="F2447" t="s">
        <v>19</v>
      </c>
      <c r="G2447" t="s">
        <v>416</v>
      </c>
      <c r="H2447" t="s">
        <v>417</v>
      </c>
      <c r="I2447" t="s">
        <v>22</v>
      </c>
      <c r="J2447" t="s">
        <v>23</v>
      </c>
      <c r="K2447" t="s">
        <v>38</v>
      </c>
      <c r="L2447" t="s">
        <v>39</v>
      </c>
      <c r="M2447">
        <v>90049</v>
      </c>
      <c r="N2447" t="s">
        <v>40</v>
      </c>
      <c r="O2447" t="s">
        <v>4392</v>
      </c>
      <c r="P2447" t="s">
        <v>42</v>
      </c>
      <c r="Q2447" t="s">
        <v>86</v>
      </c>
      <c r="R2447" t="s">
        <v>4393</v>
      </c>
      <c r="S2447">
        <v>90.24</v>
      </c>
    </row>
    <row r="2448" spans="1:19" x14ac:dyDescent="0.35">
      <c r="A2448">
        <v>2493</v>
      </c>
      <c r="B2448" t="s">
        <v>5520</v>
      </c>
      <c r="C2448" s="1">
        <v>42327</v>
      </c>
      <c r="D2448" s="1">
        <v>42331</v>
      </c>
      <c r="E2448" s="1" t="str">
        <f t="shared" si="38"/>
        <v>FAST</v>
      </c>
      <c r="F2448" t="s">
        <v>46</v>
      </c>
      <c r="G2448" t="s">
        <v>5521</v>
      </c>
      <c r="H2448" t="s">
        <v>5522</v>
      </c>
      <c r="I2448" t="s">
        <v>22</v>
      </c>
      <c r="J2448" t="s">
        <v>23</v>
      </c>
      <c r="K2448" t="s">
        <v>5523</v>
      </c>
      <c r="L2448" t="s">
        <v>261</v>
      </c>
      <c r="M2448">
        <v>14701</v>
      </c>
      <c r="N2448" t="s">
        <v>144</v>
      </c>
      <c r="O2448" t="s">
        <v>4554</v>
      </c>
      <c r="P2448" t="s">
        <v>67</v>
      </c>
      <c r="Q2448" t="s">
        <v>68</v>
      </c>
      <c r="R2448" t="s">
        <v>4555</v>
      </c>
      <c r="S2448">
        <v>4548.8100000000004</v>
      </c>
    </row>
    <row r="2449" spans="1:19" x14ac:dyDescent="0.35">
      <c r="A2449">
        <v>2494</v>
      </c>
      <c r="B2449" t="s">
        <v>5524</v>
      </c>
      <c r="C2449" s="1">
        <v>42988</v>
      </c>
      <c r="D2449" s="1">
        <v>42992</v>
      </c>
      <c r="E2449" s="1" t="str">
        <f t="shared" si="38"/>
        <v>SLOW</v>
      </c>
      <c r="F2449" t="s">
        <v>19</v>
      </c>
      <c r="G2449" t="s">
        <v>3419</v>
      </c>
      <c r="H2449" t="s">
        <v>3420</v>
      </c>
      <c r="I2449" t="s">
        <v>22</v>
      </c>
      <c r="J2449" t="s">
        <v>23</v>
      </c>
      <c r="K2449" t="s">
        <v>180</v>
      </c>
      <c r="L2449" t="s">
        <v>100</v>
      </c>
      <c r="M2449">
        <v>77095</v>
      </c>
      <c r="N2449" t="s">
        <v>101</v>
      </c>
      <c r="O2449" t="s">
        <v>3241</v>
      </c>
      <c r="P2449" t="s">
        <v>28</v>
      </c>
      <c r="Q2449" t="s">
        <v>52</v>
      </c>
      <c r="R2449" t="s">
        <v>3242</v>
      </c>
      <c r="S2449">
        <v>300.93</v>
      </c>
    </row>
    <row r="2450" spans="1:19" x14ac:dyDescent="0.35">
      <c r="A2450">
        <v>2495</v>
      </c>
      <c r="B2450" t="s">
        <v>5524</v>
      </c>
      <c r="C2450" s="1">
        <v>42988</v>
      </c>
      <c r="D2450" s="1">
        <v>42992</v>
      </c>
      <c r="E2450" s="1" t="str">
        <f t="shared" si="38"/>
        <v>SLOW</v>
      </c>
      <c r="F2450" t="s">
        <v>19</v>
      </c>
      <c r="G2450" t="s">
        <v>3419</v>
      </c>
      <c r="H2450" t="s">
        <v>3420</v>
      </c>
      <c r="I2450" t="s">
        <v>22</v>
      </c>
      <c r="J2450" t="s">
        <v>23</v>
      </c>
      <c r="K2450" t="s">
        <v>180</v>
      </c>
      <c r="L2450" t="s">
        <v>100</v>
      </c>
      <c r="M2450">
        <v>77095</v>
      </c>
      <c r="N2450" t="s">
        <v>101</v>
      </c>
      <c r="O2450" t="s">
        <v>4558</v>
      </c>
      <c r="P2450" t="s">
        <v>67</v>
      </c>
      <c r="Q2450" t="s">
        <v>68</v>
      </c>
      <c r="R2450" t="s">
        <v>4559</v>
      </c>
      <c r="S2450">
        <v>719.96</v>
      </c>
    </row>
    <row r="2451" spans="1:19" x14ac:dyDescent="0.35">
      <c r="A2451">
        <v>2496</v>
      </c>
      <c r="B2451" t="s">
        <v>5525</v>
      </c>
      <c r="C2451" s="1">
        <v>42171</v>
      </c>
      <c r="D2451" s="1">
        <v>42177</v>
      </c>
      <c r="E2451" s="1" t="str">
        <f t="shared" si="38"/>
        <v>FAST</v>
      </c>
      <c r="F2451" t="s">
        <v>46</v>
      </c>
      <c r="G2451" t="s">
        <v>5526</v>
      </c>
      <c r="H2451" t="s">
        <v>5527</v>
      </c>
      <c r="I2451" t="s">
        <v>22</v>
      </c>
      <c r="J2451" t="s">
        <v>23</v>
      </c>
      <c r="K2451" t="s">
        <v>5528</v>
      </c>
      <c r="L2451" t="s">
        <v>248</v>
      </c>
      <c r="M2451">
        <v>46544</v>
      </c>
      <c r="N2451" t="s">
        <v>101</v>
      </c>
      <c r="O2451" t="s">
        <v>1567</v>
      </c>
      <c r="P2451" t="s">
        <v>28</v>
      </c>
      <c r="Q2451" t="s">
        <v>32</v>
      </c>
      <c r="R2451" t="s">
        <v>1568</v>
      </c>
      <c r="S2451">
        <v>647.84</v>
      </c>
    </row>
    <row r="2452" spans="1:19" x14ac:dyDescent="0.35">
      <c r="A2452">
        <v>2497</v>
      </c>
      <c r="B2452" t="s">
        <v>5529</v>
      </c>
      <c r="C2452" s="1">
        <v>42639</v>
      </c>
      <c r="D2452" s="1">
        <v>42644</v>
      </c>
      <c r="E2452" s="1" t="str">
        <f t="shared" si="38"/>
        <v>FAST</v>
      </c>
      <c r="F2452" t="s">
        <v>46</v>
      </c>
      <c r="G2452" t="s">
        <v>2893</v>
      </c>
      <c r="H2452" t="s">
        <v>2894</v>
      </c>
      <c r="I2452" t="s">
        <v>98</v>
      </c>
      <c r="J2452" t="s">
        <v>23</v>
      </c>
      <c r="K2452" t="s">
        <v>935</v>
      </c>
      <c r="L2452" t="s">
        <v>39</v>
      </c>
      <c r="M2452">
        <v>92037</v>
      </c>
      <c r="N2452" t="s">
        <v>40</v>
      </c>
      <c r="O2452" t="s">
        <v>358</v>
      </c>
      <c r="P2452" t="s">
        <v>42</v>
      </c>
      <c r="Q2452" t="s">
        <v>55</v>
      </c>
      <c r="R2452" t="s">
        <v>359</v>
      </c>
      <c r="S2452">
        <v>64.17</v>
      </c>
    </row>
    <row r="2453" spans="1:19" x14ac:dyDescent="0.35">
      <c r="A2453">
        <v>2498</v>
      </c>
      <c r="B2453" t="s">
        <v>5529</v>
      </c>
      <c r="C2453" s="1">
        <v>42639</v>
      </c>
      <c r="D2453" s="1">
        <v>42644</v>
      </c>
      <c r="E2453" s="1" t="str">
        <f t="shared" si="38"/>
        <v>FAST</v>
      </c>
      <c r="F2453" t="s">
        <v>46</v>
      </c>
      <c r="G2453" t="s">
        <v>2893</v>
      </c>
      <c r="H2453" t="s">
        <v>2894</v>
      </c>
      <c r="I2453" t="s">
        <v>98</v>
      </c>
      <c r="J2453" t="s">
        <v>23</v>
      </c>
      <c r="K2453" t="s">
        <v>935</v>
      </c>
      <c r="L2453" t="s">
        <v>39</v>
      </c>
      <c r="M2453">
        <v>92037</v>
      </c>
      <c r="N2453" t="s">
        <v>40</v>
      </c>
      <c r="O2453" t="s">
        <v>2439</v>
      </c>
      <c r="P2453" t="s">
        <v>42</v>
      </c>
      <c r="Q2453" t="s">
        <v>169</v>
      </c>
      <c r="R2453" t="s">
        <v>2440</v>
      </c>
      <c r="S2453">
        <v>124.46</v>
      </c>
    </row>
    <row r="2454" spans="1:19" x14ac:dyDescent="0.35">
      <c r="A2454">
        <v>2499</v>
      </c>
      <c r="B2454" t="s">
        <v>5530</v>
      </c>
      <c r="C2454" s="1">
        <v>42874</v>
      </c>
      <c r="D2454" s="1">
        <v>42879</v>
      </c>
      <c r="E2454" s="1" t="str">
        <f t="shared" si="38"/>
        <v>FAST</v>
      </c>
      <c r="F2454" t="s">
        <v>46</v>
      </c>
      <c r="G2454" t="s">
        <v>3151</v>
      </c>
      <c r="H2454" t="s">
        <v>3152</v>
      </c>
      <c r="I2454" t="s">
        <v>37</v>
      </c>
      <c r="J2454" t="s">
        <v>23</v>
      </c>
      <c r="K2454" t="s">
        <v>123</v>
      </c>
      <c r="L2454" t="s">
        <v>39</v>
      </c>
      <c r="M2454">
        <v>94109</v>
      </c>
      <c r="N2454" t="s">
        <v>40</v>
      </c>
      <c r="O2454" t="s">
        <v>4874</v>
      </c>
      <c r="P2454" t="s">
        <v>42</v>
      </c>
      <c r="Q2454" t="s">
        <v>71</v>
      </c>
      <c r="R2454" t="s">
        <v>4875</v>
      </c>
      <c r="S2454">
        <v>9.5839999999999996</v>
      </c>
    </row>
    <row r="2455" spans="1:19" x14ac:dyDescent="0.35">
      <c r="A2455">
        <v>2501</v>
      </c>
      <c r="B2455" t="s">
        <v>5531</v>
      </c>
      <c r="C2455" s="1">
        <v>43268</v>
      </c>
      <c r="D2455" s="1">
        <v>43271</v>
      </c>
      <c r="E2455" s="1" t="str">
        <f t="shared" si="38"/>
        <v>MODERATE</v>
      </c>
      <c r="F2455" t="s">
        <v>184</v>
      </c>
      <c r="G2455" t="s">
        <v>5532</v>
      </c>
      <c r="H2455" t="s">
        <v>5533</v>
      </c>
      <c r="I2455" t="s">
        <v>37</v>
      </c>
      <c r="J2455" t="s">
        <v>23</v>
      </c>
      <c r="K2455" t="s">
        <v>4250</v>
      </c>
      <c r="L2455" t="s">
        <v>205</v>
      </c>
      <c r="M2455">
        <v>60076</v>
      </c>
      <c r="N2455" t="s">
        <v>101</v>
      </c>
      <c r="O2455" t="s">
        <v>3207</v>
      </c>
      <c r="P2455" t="s">
        <v>42</v>
      </c>
      <c r="Q2455" t="s">
        <v>86</v>
      </c>
      <c r="R2455" t="s">
        <v>3208</v>
      </c>
      <c r="S2455">
        <v>12.224</v>
      </c>
    </row>
    <row r="2456" spans="1:19" x14ac:dyDescent="0.35">
      <c r="A2456">
        <v>2502</v>
      </c>
      <c r="B2456" t="s">
        <v>5531</v>
      </c>
      <c r="C2456" s="1">
        <v>43268</v>
      </c>
      <c r="D2456" s="1">
        <v>43271</v>
      </c>
      <c r="E2456" s="1" t="str">
        <f t="shared" si="38"/>
        <v>MODERATE</v>
      </c>
      <c r="F2456" t="s">
        <v>184</v>
      </c>
      <c r="G2456" t="s">
        <v>5532</v>
      </c>
      <c r="H2456" t="s">
        <v>5533</v>
      </c>
      <c r="I2456" t="s">
        <v>37</v>
      </c>
      <c r="J2456" t="s">
        <v>23</v>
      </c>
      <c r="K2456" t="s">
        <v>4250</v>
      </c>
      <c r="L2456" t="s">
        <v>205</v>
      </c>
      <c r="M2456">
        <v>60076</v>
      </c>
      <c r="N2456" t="s">
        <v>101</v>
      </c>
      <c r="O2456" t="s">
        <v>2365</v>
      </c>
      <c r="P2456" t="s">
        <v>42</v>
      </c>
      <c r="Q2456" t="s">
        <v>71</v>
      </c>
      <c r="R2456" t="s">
        <v>2366</v>
      </c>
      <c r="S2456">
        <v>2.3039999999999998</v>
      </c>
    </row>
    <row r="2457" spans="1:19" x14ac:dyDescent="0.35">
      <c r="A2457">
        <v>2503</v>
      </c>
      <c r="B2457" t="s">
        <v>5531</v>
      </c>
      <c r="C2457" s="1">
        <v>43268</v>
      </c>
      <c r="D2457" s="1">
        <v>43271</v>
      </c>
      <c r="E2457" s="1" t="str">
        <f t="shared" si="38"/>
        <v>MODERATE</v>
      </c>
      <c r="F2457" t="s">
        <v>184</v>
      </c>
      <c r="G2457" t="s">
        <v>5532</v>
      </c>
      <c r="H2457" t="s">
        <v>5533</v>
      </c>
      <c r="I2457" t="s">
        <v>37</v>
      </c>
      <c r="J2457" t="s">
        <v>23</v>
      </c>
      <c r="K2457" t="s">
        <v>4250</v>
      </c>
      <c r="L2457" t="s">
        <v>205</v>
      </c>
      <c r="M2457">
        <v>60076</v>
      </c>
      <c r="N2457" t="s">
        <v>101</v>
      </c>
      <c r="O2457" t="s">
        <v>2586</v>
      </c>
      <c r="P2457" t="s">
        <v>42</v>
      </c>
      <c r="Q2457" t="s">
        <v>71</v>
      </c>
      <c r="R2457" t="s">
        <v>2587</v>
      </c>
      <c r="S2457">
        <v>9.36</v>
      </c>
    </row>
    <row r="2458" spans="1:19" x14ac:dyDescent="0.35">
      <c r="A2458">
        <v>2504</v>
      </c>
      <c r="B2458" t="s">
        <v>5534</v>
      </c>
      <c r="C2458" s="1">
        <v>43053</v>
      </c>
      <c r="D2458" s="1">
        <v>43058</v>
      </c>
      <c r="E2458" s="1" t="str">
        <f t="shared" si="38"/>
        <v>FAST</v>
      </c>
      <c r="F2458" t="s">
        <v>46</v>
      </c>
      <c r="G2458" t="s">
        <v>5535</v>
      </c>
      <c r="H2458" t="s">
        <v>5536</v>
      </c>
      <c r="I2458" t="s">
        <v>22</v>
      </c>
      <c r="J2458" t="s">
        <v>23</v>
      </c>
      <c r="K2458" t="s">
        <v>123</v>
      </c>
      <c r="L2458" t="s">
        <v>39</v>
      </c>
      <c r="M2458">
        <v>94110</v>
      </c>
      <c r="N2458" t="s">
        <v>40</v>
      </c>
      <c r="O2458" t="s">
        <v>4931</v>
      </c>
      <c r="P2458" t="s">
        <v>42</v>
      </c>
      <c r="Q2458" t="s">
        <v>43</v>
      </c>
      <c r="R2458" t="s">
        <v>4932</v>
      </c>
      <c r="S2458">
        <v>7.38</v>
      </c>
    </row>
    <row r="2459" spans="1:19" x14ac:dyDescent="0.35">
      <c r="A2459">
        <v>2505</v>
      </c>
      <c r="B2459" t="s">
        <v>5537</v>
      </c>
      <c r="C2459" s="1">
        <v>42210</v>
      </c>
      <c r="D2459" s="1">
        <v>42212</v>
      </c>
      <c r="E2459" s="1" t="str">
        <f t="shared" si="38"/>
        <v>SLOW</v>
      </c>
      <c r="F2459" t="s">
        <v>19</v>
      </c>
      <c r="G2459" t="s">
        <v>903</v>
      </c>
      <c r="H2459" t="s">
        <v>904</v>
      </c>
      <c r="I2459" t="s">
        <v>22</v>
      </c>
      <c r="J2459" t="s">
        <v>23</v>
      </c>
      <c r="K2459" t="s">
        <v>123</v>
      </c>
      <c r="L2459" t="s">
        <v>39</v>
      </c>
      <c r="M2459">
        <v>94122</v>
      </c>
      <c r="N2459" t="s">
        <v>40</v>
      </c>
      <c r="O2459" t="s">
        <v>941</v>
      </c>
      <c r="P2459" t="s">
        <v>42</v>
      </c>
      <c r="Q2459" t="s">
        <v>55</v>
      </c>
      <c r="R2459" t="s">
        <v>942</v>
      </c>
      <c r="S2459">
        <v>53.72</v>
      </c>
    </row>
    <row r="2460" spans="1:19" x14ac:dyDescent="0.35">
      <c r="A2460">
        <v>2506</v>
      </c>
      <c r="B2460" t="s">
        <v>5537</v>
      </c>
      <c r="C2460" s="1">
        <v>42210</v>
      </c>
      <c r="D2460" s="1">
        <v>42212</v>
      </c>
      <c r="E2460" s="1" t="str">
        <f t="shared" si="38"/>
        <v>SLOW</v>
      </c>
      <c r="F2460" t="s">
        <v>19</v>
      </c>
      <c r="G2460" t="s">
        <v>903</v>
      </c>
      <c r="H2460" t="s">
        <v>904</v>
      </c>
      <c r="I2460" t="s">
        <v>22</v>
      </c>
      <c r="J2460" t="s">
        <v>23</v>
      </c>
      <c r="K2460" t="s">
        <v>123</v>
      </c>
      <c r="L2460" t="s">
        <v>39</v>
      </c>
      <c r="M2460">
        <v>94122</v>
      </c>
      <c r="N2460" t="s">
        <v>40</v>
      </c>
      <c r="O2460" t="s">
        <v>5538</v>
      </c>
      <c r="P2460" t="s">
        <v>42</v>
      </c>
      <c r="Q2460" t="s">
        <v>566</v>
      </c>
      <c r="R2460" t="s">
        <v>5539</v>
      </c>
      <c r="S2460">
        <v>8187.65</v>
      </c>
    </row>
    <row r="2461" spans="1:19" x14ac:dyDescent="0.35">
      <c r="A2461">
        <v>2507</v>
      </c>
      <c r="B2461" t="s">
        <v>5537</v>
      </c>
      <c r="C2461" s="1">
        <v>42210</v>
      </c>
      <c r="D2461" s="1">
        <v>42212</v>
      </c>
      <c r="E2461" s="1" t="str">
        <f t="shared" si="38"/>
        <v>SLOW</v>
      </c>
      <c r="F2461" t="s">
        <v>19</v>
      </c>
      <c r="G2461" t="s">
        <v>903</v>
      </c>
      <c r="H2461" t="s">
        <v>904</v>
      </c>
      <c r="I2461" t="s">
        <v>22</v>
      </c>
      <c r="J2461" t="s">
        <v>23</v>
      </c>
      <c r="K2461" t="s">
        <v>123</v>
      </c>
      <c r="L2461" t="s">
        <v>39</v>
      </c>
      <c r="M2461">
        <v>94122</v>
      </c>
      <c r="N2461" t="s">
        <v>40</v>
      </c>
      <c r="O2461" t="s">
        <v>909</v>
      </c>
      <c r="P2461" t="s">
        <v>28</v>
      </c>
      <c r="Q2461" t="s">
        <v>61</v>
      </c>
      <c r="R2461" t="s">
        <v>910</v>
      </c>
      <c r="S2461">
        <v>77.92</v>
      </c>
    </row>
    <row r="2462" spans="1:19" x14ac:dyDescent="0.35">
      <c r="A2462">
        <v>2508</v>
      </c>
      <c r="B2462" t="s">
        <v>5540</v>
      </c>
      <c r="C2462" s="1">
        <v>42553</v>
      </c>
      <c r="D2462" s="1">
        <v>42553</v>
      </c>
      <c r="E2462" s="1" t="str">
        <f t="shared" si="38"/>
        <v>MODERATE</v>
      </c>
      <c r="F2462" t="s">
        <v>1276</v>
      </c>
      <c r="G2462" t="s">
        <v>5036</v>
      </c>
      <c r="H2462" t="s">
        <v>5037</v>
      </c>
      <c r="I2462" t="s">
        <v>22</v>
      </c>
      <c r="J2462" t="s">
        <v>23</v>
      </c>
      <c r="K2462" t="s">
        <v>180</v>
      </c>
      <c r="L2462" t="s">
        <v>100</v>
      </c>
      <c r="M2462">
        <v>77070</v>
      </c>
      <c r="N2462" t="s">
        <v>101</v>
      </c>
      <c r="O2462" t="s">
        <v>5541</v>
      </c>
      <c r="P2462" t="s">
        <v>42</v>
      </c>
      <c r="Q2462" t="s">
        <v>74</v>
      </c>
      <c r="R2462" t="s">
        <v>5542</v>
      </c>
      <c r="S2462">
        <v>32.783999999999999</v>
      </c>
    </row>
    <row r="2463" spans="1:19" x14ac:dyDescent="0.35">
      <c r="A2463">
        <v>2509</v>
      </c>
      <c r="B2463" t="s">
        <v>5543</v>
      </c>
      <c r="C2463" s="1">
        <v>43161</v>
      </c>
      <c r="D2463" s="1">
        <v>43167</v>
      </c>
      <c r="E2463" s="1" t="str">
        <f t="shared" si="38"/>
        <v>FAST</v>
      </c>
      <c r="F2463" t="s">
        <v>46</v>
      </c>
      <c r="G2463" t="s">
        <v>1699</v>
      </c>
      <c r="H2463" t="s">
        <v>1700</v>
      </c>
      <c r="I2463" t="s">
        <v>37</v>
      </c>
      <c r="J2463" t="s">
        <v>23</v>
      </c>
      <c r="K2463" t="s">
        <v>38</v>
      </c>
      <c r="L2463" t="s">
        <v>39</v>
      </c>
      <c r="M2463">
        <v>90045</v>
      </c>
      <c r="N2463" t="s">
        <v>40</v>
      </c>
      <c r="O2463" t="s">
        <v>5544</v>
      </c>
      <c r="P2463" t="s">
        <v>67</v>
      </c>
      <c r="Q2463" t="s">
        <v>68</v>
      </c>
      <c r="R2463" t="s">
        <v>5545</v>
      </c>
      <c r="S2463">
        <v>196.77600000000001</v>
      </c>
    </row>
    <row r="2464" spans="1:19" x14ac:dyDescent="0.35">
      <c r="A2464">
        <v>2510</v>
      </c>
      <c r="B2464" t="s">
        <v>5543</v>
      </c>
      <c r="C2464" s="1">
        <v>43161</v>
      </c>
      <c r="D2464" s="1">
        <v>43167</v>
      </c>
      <c r="E2464" s="1" t="str">
        <f t="shared" si="38"/>
        <v>FAST</v>
      </c>
      <c r="F2464" t="s">
        <v>46</v>
      </c>
      <c r="G2464" t="s">
        <v>1699</v>
      </c>
      <c r="H2464" t="s">
        <v>1700</v>
      </c>
      <c r="I2464" t="s">
        <v>37</v>
      </c>
      <c r="J2464" t="s">
        <v>23</v>
      </c>
      <c r="K2464" t="s">
        <v>38</v>
      </c>
      <c r="L2464" t="s">
        <v>39</v>
      </c>
      <c r="M2464">
        <v>90045</v>
      </c>
      <c r="N2464" t="s">
        <v>40</v>
      </c>
      <c r="O2464" t="s">
        <v>3514</v>
      </c>
      <c r="P2464" t="s">
        <v>67</v>
      </c>
      <c r="Q2464" t="s">
        <v>157</v>
      </c>
      <c r="R2464" t="s">
        <v>3515</v>
      </c>
      <c r="S2464">
        <v>479.94</v>
      </c>
    </row>
    <row r="2465" spans="1:19" x14ac:dyDescent="0.35">
      <c r="A2465">
        <v>2511</v>
      </c>
      <c r="B2465" t="s">
        <v>5546</v>
      </c>
      <c r="C2465" s="1">
        <v>43057</v>
      </c>
      <c r="D2465" s="1">
        <v>43062</v>
      </c>
      <c r="E2465" s="1" t="str">
        <f t="shared" si="38"/>
        <v>FAST</v>
      </c>
      <c r="F2465" t="s">
        <v>46</v>
      </c>
      <c r="G2465" t="s">
        <v>5106</v>
      </c>
      <c r="H2465" t="s">
        <v>5107</v>
      </c>
      <c r="I2465" t="s">
        <v>98</v>
      </c>
      <c r="J2465" t="s">
        <v>23</v>
      </c>
      <c r="K2465" t="s">
        <v>4805</v>
      </c>
      <c r="L2465" t="s">
        <v>637</v>
      </c>
      <c r="M2465">
        <v>73120</v>
      </c>
      <c r="N2465" t="s">
        <v>101</v>
      </c>
      <c r="O2465" t="s">
        <v>5547</v>
      </c>
      <c r="P2465" t="s">
        <v>42</v>
      </c>
      <c r="Q2465" t="s">
        <v>55</v>
      </c>
      <c r="R2465" t="s">
        <v>5548</v>
      </c>
      <c r="S2465">
        <v>1117.92</v>
      </c>
    </row>
    <row r="2466" spans="1:19" x14ac:dyDescent="0.35">
      <c r="A2466">
        <v>2512</v>
      </c>
      <c r="B2466" t="s">
        <v>5549</v>
      </c>
      <c r="C2466" s="1">
        <v>42478</v>
      </c>
      <c r="D2466" s="1">
        <v>42479</v>
      </c>
      <c r="E2466" s="1" t="str">
        <f t="shared" si="38"/>
        <v>MODERATE</v>
      </c>
      <c r="F2466" t="s">
        <v>184</v>
      </c>
      <c r="G2466" t="s">
        <v>5305</v>
      </c>
      <c r="H2466" t="s">
        <v>5306</v>
      </c>
      <c r="I2466" t="s">
        <v>22</v>
      </c>
      <c r="J2466" t="s">
        <v>23</v>
      </c>
      <c r="K2466" t="s">
        <v>724</v>
      </c>
      <c r="L2466" t="s">
        <v>725</v>
      </c>
      <c r="M2466">
        <v>71203</v>
      </c>
      <c r="N2466" t="s">
        <v>26</v>
      </c>
      <c r="O2466" t="s">
        <v>3604</v>
      </c>
      <c r="P2466" t="s">
        <v>67</v>
      </c>
      <c r="Q2466" t="s">
        <v>157</v>
      </c>
      <c r="R2466" t="s">
        <v>3605</v>
      </c>
      <c r="S2466">
        <v>106.5</v>
      </c>
    </row>
    <row r="2467" spans="1:19" x14ac:dyDescent="0.35">
      <c r="A2467">
        <v>2513</v>
      </c>
      <c r="B2467" t="s">
        <v>5550</v>
      </c>
      <c r="C2467" s="1">
        <v>43436</v>
      </c>
      <c r="D2467" s="1">
        <v>43440</v>
      </c>
      <c r="E2467" s="1" t="str">
        <f t="shared" si="38"/>
        <v>FAST</v>
      </c>
      <c r="F2467" t="s">
        <v>46</v>
      </c>
      <c r="G2467" t="s">
        <v>5551</v>
      </c>
      <c r="H2467" t="s">
        <v>5552</v>
      </c>
      <c r="I2467" t="s">
        <v>98</v>
      </c>
      <c r="J2467" t="s">
        <v>23</v>
      </c>
      <c r="K2467" t="s">
        <v>887</v>
      </c>
      <c r="L2467" t="s">
        <v>50</v>
      </c>
      <c r="M2467">
        <v>33614</v>
      </c>
      <c r="N2467" t="s">
        <v>26</v>
      </c>
      <c r="O2467" t="s">
        <v>1809</v>
      </c>
      <c r="P2467" t="s">
        <v>42</v>
      </c>
      <c r="Q2467" t="s">
        <v>71</v>
      </c>
      <c r="R2467" t="s">
        <v>1810</v>
      </c>
      <c r="S2467">
        <v>45.66</v>
      </c>
    </row>
    <row r="2468" spans="1:19" x14ac:dyDescent="0.35">
      <c r="A2468">
        <v>2514</v>
      </c>
      <c r="B2468" t="s">
        <v>5553</v>
      </c>
      <c r="C2468" s="1">
        <v>43050</v>
      </c>
      <c r="D2468" s="1">
        <v>43056</v>
      </c>
      <c r="E2468" s="1" t="str">
        <f t="shared" si="38"/>
        <v>FAST</v>
      </c>
      <c r="F2468" t="s">
        <v>46</v>
      </c>
      <c r="G2468" t="s">
        <v>1516</v>
      </c>
      <c r="H2468" t="s">
        <v>1517</v>
      </c>
      <c r="I2468" t="s">
        <v>37</v>
      </c>
      <c r="J2468" t="s">
        <v>23</v>
      </c>
      <c r="K2468" t="s">
        <v>297</v>
      </c>
      <c r="L2468" t="s">
        <v>205</v>
      </c>
      <c r="M2468">
        <v>60623</v>
      </c>
      <c r="N2468" t="s">
        <v>101</v>
      </c>
      <c r="O2468" t="s">
        <v>4128</v>
      </c>
      <c r="P2468" t="s">
        <v>67</v>
      </c>
      <c r="Q2468" t="s">
        <v>157</v>
      </c>
      <c r="R2468" t="s">
        <v>4129</v>
      </c>
      <c r="S2468">
        <v>95.968000000000004</v>
      </c>
    </row>
    <row r="2469" spans="1:19" x14ac:dyDescent="0.35">
      <c r="A2469">
        <v>2515</v>
      </c>
      <c r="B2469" t="s">
        <v>5553</v>
      </c>
      <c r="C2469" s="1">
        <v>43050</v>
      </c>
      <c r="D2469" s="1">
        <v>43056</v>
      </c>
      <c r="E2469" s="1" t="str">
        <f t="shared" si="38"/>
        <v>FAST</v>
      </c>
      <c r="F2469" t="s">
        <v>46</v>
      </c>
      <c r="G2469" t="s">
        <v>1516</v>
      </c>
      <c r="H2469" t="s">
        <v>1517</v>
      </c>
      <c r="I2469" t="s">
        <v>37</v>
      </c>
      <c r="J2469" t="s">
        <v>23</v>
      </c>
      <c r="K2469" t="s">
        <v>297</v>
      </c>
      <c r="L2469" t="s">
        <v>205</v>
      </c>
      <c r="M2469">
        <v>60623</v>
      </c>
      <c r="N2469" t="s">
        <v>101</v>
      </c>
      <c r="O2469" t="s">
        <v>3380</v>
      </c>
      <c r="P2469" t="s">
        <v>28</v>
      </c>
      <c r="Q2469" t="s">
        <v>32</v>
      </c>
      <c r="R2469" t="s">
        <v>3381</v>
      </c>
      <c r="S2469">
        <v>47.991999999999997</v>
      </c>
    </row>
    <row r="2470" spans="1:19" x14ac:dyDescent="0.35">
      <c r="A2470">
        <v>2516</v>
      </c>
      <c r="B2470" t="s">
        <v>5554</v>
      </c>
      <c r="C2470" s="1">
        <v>42252</v>
      </c>
      <c r="D2470" s="1">
        <v>42257</v>
      </c>
      <c r="E2470" s="1" t="str">
        <f t="shared" si="38"/>
        <v>FAST</v>
      </c>
      <c r="F2470" t="s">
        <v>46</v>
      </c>
      <c r="G2470" t="s">
        <v>3453</v>
      </c>
      <c r="H2470" t="s">
        <v>3454</v>
      </c>
      <c r="I2470" t="s">
        <v>22</v>
      </c>
      <c r="J2470" t="s">
        <v>23</v>
      </c>
      <c r="K2470" t="s">
        <v>4577</v>
      </c>
      <c r="L2470" t="s">
        <v>485</v>
      </c>
      <c r="M2470">
        <v>43402</v>
      </c>
      <c r="N2470" t="s">
        <v>144</v>
      </c>
      <c r="O2470" t="s">
        <v>2097</v>
      </c>
      <c r="P2470" t="s">
        <v>42</v>
      </c>
      <c r="Q2470" t="s">
        <v>55</v>
      </c>
      <c r="R2470" t="s">
        <v>2098</v>
      </c>
      <c r="S2470">
        <v>264.32</v>
      </c>
    </row>
    <row r="2471" spans="1:19" x14ac:dyDescent="0.35">
      <c r="A2471">
        <v>2517</v>
      </c>
      <c r="B2471" t="s">
        <v>5555</v>
      </c>
      <c r="C2471" s="1">
        <v>42323</v>
      </c>
      <c r="D2471" s="1">
        <v>42330</v>
      </c>
      <c r="E2471" s="1" t="str">
        <f t="shared" si="38"/>
        <v>FAST</v>
      </c>
      <c r="F2471" t="s">
        <v>46</v>
      </c>
      <c r="G2471" t="s">
        <v>2352</v>
      </c>
      <c r="H2471" t="s">
        <v>2353</v>
      </c>
      <c r="I2471" t="s">
        <v>22</v>
      </c>
      <c r="J2471" t="s">
        <v>23</v>
      </c>
      <c r="K2471" t="s">
        <v>180</v>
      </c>
      <c r="L2471" t="s">
        <v>100</v>
      </c>
      <c r="M2471">
        <v>77095</v>
      </c>
      <c r="N2471" t="s">
        <v>101</v>
      </c>
      <c r="O2471" t="s">
        <v>3765</v>
      </c>
      <c r="P2471" t="s">
        <v>42</v>
      </c>
      <c r="Q2471" t="s">
        <v>169</v>
      </c>
      <c r="R2471" t="s">
        <v>3766</v>
      </c>
      <c r="S2471">
        <v>604.65599999999995</v>
      </c>
    </row>
    <row r="2472" spans="1:19" x14ac:dyDescent="0.35">
      <c r="A2472">
        <v>2518</v>
      </c>
      <c r="B2472" t="s">
        <v>5556</v>
      </c>
      <c r="C2472" s="1">
        <v>43222</v>
      </c>
      <c r="D2472" s="1">
        <v>43227</v>
      </c>
      <c r="E2472" s="1" t="str">
        <f t="shared" si="38"/>
        <v>FAST</v>
      </c>
      <c r="F2472" t="s">
        <v>46</v>
      </c>
      <c r="G2472" t="s">
        <v>543</v>
      </c>
      <c r="H2472" t="s">
        <v>544</v>
      </c>
      <c r="I2472" t="s">
        <v>37</v>
      </c>
      <c r="J2472" t="s">
        <v>23</v>
      </c>
      <c r="K2472" t="s">
        <v>774</v>
      </c>
      <c r="L2472" t="s">
        <v>775</v>
      </c>
      <c r="M2472">
        <v>7090</v>
      </c>
      <c r="N2472" t="s">
        <v>144</v>
      </c>
      <c r="O2472" t="s">
        <v>3040</v>
      </c>
      <c r="P2472" t="s">
        <v>28</v>
      </c>
      <c r="Q2472" t="s">
        <v>61</v>
      </c>
      <c r="R2472" t="s">
        <v>3041</v>
      </c>
      <c r="S2472">
        <v>129.93</v>
      </c>
    </row>
    <row r="2473" spans="1:19" x14ac:dyDescent="0.35">
      <c r="A2473">
        <v>2519</v>
      </c>
      <c r="B2473" t="s">
        <v>5557</v>
      </c>
      <c r="C2473" s="1">
        <v>43023</v>
      </c>
      <c r="D2473" s="1">
        <v>43029</v>
      </c>
      <c r="E2473" s="1" t="str">
        <f t="shared" si="38"/>
        <v>FAST</v>
      </c>
      <c r="F2473" t="s">
        <v>46</v>
      </c>
      <c r="G2473" t="s">
        <v>4352</v>
      </c>
      <c r="H2473" t="s">
        <v>4353</v>
      </c>
      <c r="I2473" t="s">
        <v>98</v>
      </c>
      <c r="J2473" t="s">
        <v>23</v>
      </c>
      <c r="K2473" t="s">
        <v>4805</v>
      </c>
      <c r="L2473" t="s">
        <v>637</v>
      </c>
      <c r="M2473">
        <v>73120</v>
      </c>
      <c r="N2473" t="s">
        <v>101</v>
      </c>
      <c r="O2473" t="s">
        <v>5558</v>
      </c>
      <c r="P2473" t="s">
        <v>42</v>
      </c>
      <c r="Q2473" t="s">
        <v>43</v>
      </c>
      <c r="R2473" t="s">
        <v>5559</v>
      </c>
      <c r="S2473">
        <v>20.16</v>
      </c>
    </row>
    <row r="2474" spans="1:19" x14ac:dyDescent="0.35">
      <c r="A2474">
        <v>2520</v>
      </c>
      <c r="B2474" t="s">
        <v>5557</v>
      </c>
      <c r="C2474" s="1">
        <v>43023</v>
      </c>
      <c r="D2474" s="1">
        <v>43029</v>
      </c>
      <c r="E2474" s="1" t="str">
        <f t="shared" si="38"/>
        <v>FAST</v>
      </c>
      <c r="F2474" t="s">
        <v>46</v>
      </c>
      <c r="G2474" t="s">
        <v>4352</v>
      </c>
      <c r="H2474" t="s">
        <v>4353</v>
      </c>
      <c r="I2474" t="s">
        <v>98</v>
      </c>
      <c r="J2474" t="s">
        <v>23</v>
      </c>
      <c r="K2474" t="s">
        <v>4805</v>
      </c>
      <c r="L2474" t="s">
        <v>637</v>
      </c>
      <c r="M2474">
        <v>73120</v>
      </c>
      <c r="N2474" t="s">
        <v>101</v>
      </c>
      <c r="O2474" t="s">
        <v>2339</v>
      </c>
      <c r="P2474" t="s">
        <v>42</v>
      </c>
      <c r="Q2474" t="s">
        <v>43</v>
      </c>
      <c r="R2474" t="s">
        <v>2340</v>
      </c>
      <c r="S2474">
        <v>29.46</v>
      </c>
    </row>
    <row r="2475" spans="1:19" x14ac:dyDescent="0.35">
      <c r="A2475">
        <v>2521</v>
      </c>
      <c r="B2475" t="s">
        <v>5557</v>
      </c>
      <c r="C2475" s="1">
        <v>43023</v>
      </c>
      <c r="D2475" s="1">
        <v>43029</v>
      </c>
      <c r="E2475" s="1" t="str">
        <f t="shared" si="38"/>
        <v>FAST</v>
      </c>
      <c r="F2475" t="s">
        <v>46</v>
      </c>
      <c r="G2475" t="s">
        <v>4352</v>
      </c>
      <c r="H2475" t="s">
        <v>4353</v>
      </c>
      <c r="I2475" t="s">
        <v>98</v>
      </c>
      <c r="J2475" t="s">
        <v>23</v>
      </c>
      <c r="K2475" t="s">
        <v>4805</v>
      </c>
      <c r="L2475" t="s">
        <v>637</v>
      </c>
      <c r="M2475">
        <v>73120</v>
      </c>
      <c r="N2475" t="s">
        <v>101</v>
      </c>
      <c r="O2475" t="s">
        <v>5560</v>
      </c>
      <c r="P2475" t="s">
        <v>42</v>
      </c>
      <c r="Q2475" t="s">
        <v>74</v>
      </c>
      <c r="R2475" t="s">
        <v>5561</v>
      </c>
      <c r="S2475">
        <v>868.59</v>
      </c>
    </row>
    <row r="2476" spans="1:19" x14ac:dyDescent="0.35">
      <c r="A2476">
        <v>2522</v>
      </c>
      <c r="B2476" t="s">
        <v>5557</v>
      </c>
      <c r="C2476" s="1">
        <v>43023</v>
      </c>
      <c r="D2476" s="1">
        <v>43029</v>
      </c>
      <c r="E2476" s="1" t="str">
        <f t="shared" si="38"/>
        <v>FAST</v>
      </c>
      <c r="F2476" t="s">
        <v>46</v>
      </c>
      <c r="G2476" t="s">
        <v>4352</v>
      </c>
      <c r="H2476" t="s">
        <v>4353</v>
      </c>
      <c r="I2476" t="s">
        <v>98</v>
      </c>
      <c r="J2476" t="s">
        <v>23</v>
      </c>
      <c r="K2476" t="s">
        <v>4805</v>
      </c>
      <c r="L2476" t="s">
        <v>637</v>
      </c>
      <c r="M2476">
        <v>73120</v>
      </c>
      <c r="N2476" t="s">
        <v>101</v>
      </c>
      <c r="O2476" t="s">
        <v>400</v>
      </c>
      <c r="P2476" t="s">
        <v>42</v>
      </c>
      <c r="Q2476" t="s">
        <v>86</v>
      </c>
      <c r="R2476" t="s">
        <v>401</v>
      </c>
      <c r="S2476">
        <v>12.96</v>
      </c>
    </row>
    <row r="2477" spans="1:19" x14ac:dyDescent="0.35">
      <c r="A2477">
        <v>2523</v>
      </c>
      <c r="B2477" t="s">
        <v>5557</v>
      </c>
      <c r="C2477" s="1">
        <v>43023</v>
      </c>
      <c r="D2477" s="1">
        <v>43029</v>
      </c>
      <c r="E2477" s="1" t="str">
        <f t="shared" si="38"/>
        <v>FAST</v>
      </c>
      <c r="F2477" t="s">
        <v>46</v>
      </c>
      <c r="G2477" t="s">
        <v>4352</v>
      </c>
      <c r="H2477" t="s">
        <v>4353</v>
      </c>
      <c r="I2477" t="s">
        <v>98</v>
      </c>
      <c r="J2477" t="s">
        <v>23</v>
      </c>
      <c r="K2477" t="s">
        <v>4805</v>
      </c>
      <c r="L2477" t="s">
        <v>637</v>
      </c>
      <c r="M2477">
        <v>73120</v>
      </c>
      <c r="N2477" t="s">
        <v>101</v>
      </c>
      <c r="O2477" t="s">
        <v>3441</v>
      </c>
      <c r="P2477" t="s">
        <v>67</v>
      </c>
      <c r="Q2477" t="s">
        <v>68</v>
      </c>
      <c r="R2477" t="s">
        <v>3442</v>
      </c>
      <c r="S2477">
        <v>5.5</v>
      </c>
    </row>
    <row r="2478" spans="1:19" x14ac:dyDescent="0.35">
      <c r="A2478">
        <v>2524</v>
      </c>
      <c r="B2478" t="s">
        <v>5557</v>
      </c>
      <c r="C2478" s="1">
        <v>43023</v>
      </c>
      <c r="D2478" s="1">
        <v>43029</v>
      </c>
      <c r="E2478" s="1" t="str">
        <f t="shared" si="38"/>
        <v>FAST</v>
      </c>
      <c r="F2478" t="s">
        <v>46</v>
      </c>
      <c r="G2478" t="s">
        <v>4352</v>
      </c>
      <c r="H2478" t="s">
        <v>4353</v>
      </c>
      <c r="I2478" t="s">
        <v>98</v>
      </c>
      <c r="J2478" t="s">
        <v>23</v>
      </c>
      <c r="K2478" t="s">
        <v>4805</v>
      </c>
      <c r="L2478" t="s">
        <v>637</v>
      </c>
      <c r="M2478">
        <v>73120</v>
      </c>
      <c r="N2478" t="s">
        <v>101</v>
      </c>
      <c r="O2478" t="s">
        <v>3881</v>
      </c>
      <c r="P2478" t="s">
        <v>42</v>
      </c>
      <c r="Q2478" t="s">
        <v>71</v>
      </c>
      <c r="R2478" t="s">
        <v>3882</v>
      </c>
      <c r="S2478">
        <v>121.6</v>
      </c>
    </row>
    <row r="2479" spans="1:19" x14ac:dyDescent="0.35">
      <c r="A2479">
        <v>2525</v>
      </c>
      <c r="B2479" t="s">
        <v>5562</v>
      </c>
      <c r="C2479" s="1">
        <v>42466</v>
      </c>
      <c r="D2479" s="1">
        <v>42470</v>
      </c>
      <c r="E2479" s="1" t="str">
        <f t="shared" si="38"/>
        <v>FAST</v>
      </c>
      <c r="F2479" t="s">
        <v>46</v>
      </c>
      <c r="G2479" t="s">
        <v>5563</v>
      </c>
      <c r="H2479" t="s">
        <v>5564</v>
      </c>
      <c r="I2479" t="s">
        <v>22</v>
      </c>
      <c r="J2479" t="s">
        <v>23</v>
      </c>
      <c r="K2479" t="s">
        <v>180</v>
      </c>
      <c r="L2479" t="s">
        <v>100</v>
      </c>
      <c r="M2479">
        <v>77041</v>
      </c>
      <c r="N2479" t="s">
        <v>101</v>
      </c>
      <c r="O2479" t="s">
        <v>1967</v>
      </c>
      <c r="P2479" t="s">
        <v>42</v>
      </c>
      <c r="Q2479" t="s">
        <v>64</v>
      </c>
      <c r="R2479" t="s">
        <v>1968</v>
      </c>
      <c r="S2479">
        <v>42.048000000000002</v>
      </c>
    </row>
    <row r="2480" spans="1:19" x14ac:dyDescent="0.35">
      <c r="A2480">
        <v>2526</v>
      </c>
      <c r="B2480" t="s">
        <v>5562</v>
      </c>
      <c r="C2480" s="1">
        <v>42466</v>
      </c>
      <c r="D2480" s="1">
        <v>42470</v>
      </c>
      <c r="E2480" s="1" t="str">
        <f t="shared" si="38"/>
        <v>FAST</v>
      </c>
      <c r="F2480" t="s">
        <v>46</v>
      </c>
      <c r="G2480" t="s">
        <v>5563</v>
      </c>
      <c r="H2480" t="s">
        <v>5564</v>
      </c>
      <c r="I2480" t="s">
        <v>22</v>
      </c>
      <c r="J2480" t="s">
        <v>23</v>
      </c>
      <c r="K2480" t="s">
        <v>180</v>
      </c>
      <c r="L2480" t="s">
        <v>100</v>
      </c>
      <c r="M2480">
        <v>77041</v>
      </c>
      <c r="N2480" t="s">
        <v>101</v>
      </c>
      <c r="O2480" t="s">
        <v>5565</v>
      </c>
      <c r="P2480" t="s">
        <v>67</v>
      </c>
      <c r="Q2480" t="s">
        <v>157</v>
      </c>
      <c r="R2480" t="s">
        <v>5566</v>
      </c>
      <c r="S2480">
        <v>25.488</v>
      </c>
    </row>
    <row r="2481" spans="1:19" x14ac:dyDescent="0.35">
      <c r="A2481">
        <v>2527</v>
      </c>
      <c r="B2481" t="s">
        <v>5562</v>
      </c>
      <c r="C2481" s="1">
        <v>42466</v>
      </c>
      <c r="D2481" s="1">
        <v>42470</v>
      </c>
      <c r="E2481" s="1" t="str">
        <f t="shared" si="38"/>
        <v>FAST</v>
      </c>
      <c r="F2481" t="s">
        <v>46</v>
      </c>
      <c r="G2481" t="s">
        <v>5563</v>
      </c>
      <c r="H2481" t="s">
        <v>5564</v>
      </c>
      <c r="I2481" t="s">
        <v>22</v>
      </c>
      <c r="J2481" t="s">
        <v>23</v>
      </c>
      <c r="K2481" t="s">
        <v>180</v>
      </c>
      <c r="L2481" t="s">
        <v>100</v>
      </c>
      <c r="M2481">
        <v>77041</v>
      </c>
      <c r="N2481" t="s">
        <v>101</v>
      </c>
      <c r="O2481" t="s">
        <v>3998</v>
      </c>
      <c r="P2481" t="s">
        <v>42</v>
      </c>
      <c r="Q2481" t="s">
        <v>71</v>
      </c>
      <c r="R2481" t="s">
        <v>3999</v>
      </c>
      <c r="S2481">
        <v>6.9</v>
      </c>
    </row>
    <row r="2482" spans="1:19" x14ac:dyDescent="0.35">
      <c r="A2482">
        <v>2528</v>
      </c>
      <c r="B2482" t="s">
        <v>5562</v>
      </c>
      <c r="C2482" s="1">
        <v>42466</v>
      </c>
      <c r="D2482" s="1">
        <v>42470</v>
      </c>
      <c r="E2482" s="1" t="str">
        <f t="shared" si="38"/>
        <v>FAST</v>
      </c>
      <c r="F2482" t="s">
        <v>46</v>
      </c>
      <c r="G2482" t="s">
        <v>5563</v>
      </c>
      <c r="H2482" t="s">
        <v>5564</v>
      </c>
      <c r="I2482" t="s">
        <v>22</v>
      </c>
      <c r="J2482" t="s">
        <v>23</v>
      </c>
      <c r="K2482" t="s">
        <v>180</v>
      </c>
      <c r="L2482" t="s">
        <v>100</v>
      </c>
      <c r="M2482">
        <v>77041</v>
      </c>
      <c r="N2482" t="s">
        <v>101</v>
      </c>
      <c r="O2482" t="s">
        <v>4899</v>
      </c>
      <c r="P2482" t="s">
        <v>42</v>
      </c>
      <c r="Q2482" t="s">
        <v>71</v>
      </c>
      <c r="R2482" t="s">
        <v>4900</v>
      </c>
      <c r="S2482">
        <v>9.6479999999999997</v>
      </c>
    </row>
    <row r="2483" spans="1:19" x14ac:dyDescent="0.35">
      <c r="A2483">
        <v>2529</v>
      </c>
      <c r="B2483" t="s">
        <v>5562</v>
      </c>
      <c r="C2483" s="1">
        <v>42466</v>
      </c>
      <c r="D2483" s="1">
        <v>42470</v>
      </c>
      <c r="E2483" s="1" t="str">
        <f t="shared" si="38"/>
        <v>FAST</v>
      </c>
      <c r="F2483" t="s">
        <v>46</v>
      </c>
      <c r="G2483" t="s">
        <v>5563</v>
      </c>
      <c r="H2483" t="s">
        <v>5564</v>
      </c>
      <c r="I2483" t="s">
        <v>22</v>
      </c>
      <c r="J2483" t="s">
        <v>23</v>
      </c>
      <c r="K2483" t="s">
        <v>180</v>
      </c>
      <c r="L2483" t="s">
        <v>100</v>
      </c>
      <c r="M2483">
        <v>77041</v>
      </c>
      <c r="N2483" t="s">
        <v>101</v>
      </c>
      <c r="O2483" t="s">
        <v>4140</v>
      </c>
      <c r="P2483" t="s">
        <v>42</v>
      </c>
      <c r="Q2483" t="s">
        <v>86</v>
      </c>
      <c r="R2483" t="s">
        <v>4141</v>
      </c>
      <c r="S2483">
        <v>7.968</v>
      </c>
    </row>
    <row r="2484" spans="1:19" x14ac:dyDescent="0.35">
      <c r="A2484">
        <v>2530</v>
      </c>
      <c r="B2484" t="s">
        <v>5567</v>
      </c>
      <c r="C2484" s="1">
        <v>42301</v>
      </c>
      <c r="D2484" s="1">
        <v>42306</v>
      </c>
      <c r="E2484" s="1" t="str">
        <f t="shared" si="38"/>
        <v>FAST</v>
      </c>
      <c r="F2484" t="s">
        <v>46</v>
      </c>
      <c r="G2484" t="s">
        <v>5551</v>
      </c>
      <c r="H2484" t="s">
        <v>5552</v>
      </c>
      <c r="I2484" t="s">
        <v>98</v>
      </c>
      <c r="J2484" t="s">
        <v>23</v>
      </c>
      <c r="K2484" t="s">
        <v>49</v>
      </c>
      <c r="L2484" t="s">
        <v>50</v>
      </c>
      <c r="M2484">
        <v>33311</v>
      </c>
      <c r="N2484" t="s">
        <v>26</v>
      </c>
      <c r="O2484" t="s">
        <v>2854</v>
      </c>
      <c r="P2484" t="s">
        <v>42</v>
      </c>
      <c r="Q2484" t="s">
        <v>86</v>
      </c>
      <c r="R2484" t="s">
        <v>2855</v>
      </c>
      <c r="S2484">
        <v>10.368</v>
      </c>
    </row>
    <row r="2485" spans="1:19" x14ac:dyDescent="0.35">
      <c r="A2485">
        <v>2531</v>
      </c>
      <c r="B2485" t="s">
        <v>5568</v>
      </c>
      <c r="C2485" s="1">
        <v>42233</v>
      </c>
      <c r="D2485" s="1">
        <v>42237</v>
      </c>
      <c r="E2485" s="1" t="str">
        <f t="shared" si="38"/>
        <v>FAST</v>
      </c>
      <c r="F2485" t="s">
        <v>46</v>
      </c>
      <c r="G2485" t="s">
        <v>1171</v>
      </c>
      <c r="H2485" t="s">
        <v>1172</v>
      </c>
      <c r="I2485" t="s">
        <v>37</v>
      </c>
      <c r="J2485" t="s">
        <v>23</v>
      </c>
      <c r="K2485" t="s">
        <v>5096</v>
      </c>
      <c r="L2485" t="s">
        <v>1687</v>
      </c>
      <c r="M2485">
        <v>72209</v>
      </c>
      <c r="N2485" t="s">
        <v>26</v>
      </c>
      <c r="O2485" t="s">
        <v>4513</v>
      </c>
      <c r="P2485" t="s">
        <v>42</v>
      </c>
      <c r="Q2485" t="s">
        <v>86</v>
      </c>
      <c r="R2485" t="s">
        <v>4514</v>
      </c>
      <c r="S2485">
        <v>114.2</v>
      </c>
    </row>
    <row r="2486" spans="1:19" x14ac:dyDescent="0.35">
      <c r="A2486">
        <v>2532</v>
      </c>
      <c r="B2486" t="s">
        <v>5568</v>
      </c>
      <c r="C2486" s="1">
        <v>42233</v>
      </c>
      <c r="D2486" s="1">
        <v>42237</v>
      </c>
      <c r="E2486" s="1" t="str">
        <f t="shared" si="38"/>
        <v>FAST</v>
      </c>
      <c r="F2486" t="s">
        <v>46</v>
      </c>
      <c r="G2486" t="s">
        <v>1171</v>
      </c>
      <c r="H2486" t="s">
        <v>1172</v>
      </c>
      <c r="I2486" t="s">
        <v>37</v>
      </c>
      <c r="J2486" t="s">
        <v>23</v>
      </c>
      <c r="K2486" t="s">
        <v>5096</v>
      </c>
      <c r="L2486" t="s">
        <v>1687</v>
      </c>
      <c r="M2486">
        <v>72209</v>
      </c>
      <c r="N2486" t="s">
        <v>26</v>
      </c>
      <c r="O2486" t="s">
        <v>5569</v>
      </c>
      <c r="P2486" t="s">
        <v>42</v>
      </c>
      <c r="Q2486" t="s">
        <v>71</v>
      </c>
      <c r="R2486" t="s">
        <v>1207</v>
      </c>
      <c r="S2486">
        <v>17.96</v>
      </c>
    </row>
    <row r="2487" spans="1:19" x14ac:dyDescent="0.35">
      <c r="A2487">
        <v>2533</v>
      </c>
      <c r="B2487" t="s">
        <v>5568</v>
      </c>
      <c r="C2487" s="1">
        <v>42233</v>
      </c>
      <c r="D2487" s="1">
        <v>42237</v>
      </c>
      <c r="E2487" s="1" t="str">
        <f t="shared" si="38"/>
        <v>FAST</v>
      </c>
      <c r="F2487" t="s">
        <v>46</v>
      </c>
      <c r="G2487" t="s">
        <v>1171</v>
      </c>
      <c r="H2487" t="s">
        <v>1172</v>
      </c>
      <c r="I2487" t="s">
        <v>37</v>
      </c>
      <c r="J2487" t="s">
        <v>23</v>
      </c>
      <c r="K2487" t="s">
        <v>5096</v>
      </c>
      <c r="L2487" t="s">
        <v>1687</v>
      </c>
      <c r="M2487">
        <v>72209</v>
      </c>
      <c r="N2487" t="s">
        <v>26</v>
      </c>
      <c r="O2487" t="s">
        <v>4293</v>
      </c>
      <c r="P2487" t="s">
        <v>42</v>
      </c>
      <c r="Q2487" t="s">
        <v>263</v>
      </c>
      <c r="R2487" t="s">
        <v>4294</v>
      </c>
      <c r="S2487">
        <v>12.67</v>
      </c>
    </row>
    <row r="2488" spans="1:19" x14ac:dyDescent="0.35">
      <c r="A2488">
        <v>2534</v>
      </c>
      <c r="B2488" t="s">
        <v>5568</v>
      </c>
      <c r="C2488" s="1">
        <v>42233</v>
      </c>
      <c r="D2488" s="1">
        <v>42237</v>
      </c>
      <c r="E2488" s="1" t="str">
        <f t="shared" si="38"/>
        <v>FAST</v>
      </c>
      <c r="F2488" t="s">
        <v>46</v>
      </c>
      <c r="G2488" t="s">
        <v>1171</v>
      </c>
      <c r="H2488" t="s">
        <v>1172</v>
      </c>
      <c r="I2488" t="s">
        <v>37</v>
      </c>
      <c r="J2488" t="s">
        <v>23</v>
      </c>
      <c r="K2488" t="s">
        <v>5096</v>
      </c>
      <c r="L2488" t="s">
        <v>1687</v>
      </c>
      <c r="M2488">
        <v>72209</v>
      </c>
      <c r="N2488" t="s">
        <v>26</v>
      </c>
      <c r="O2488" t="s">
        <v>465</v>
      </c>
      <c r="P2488" t="s">
        <v>67</v>
      </c>
      <c r="Q2488" t="s">
        <v>157</v>
      </c>
      <c r="R2488" t="s">
        <v>466</v>
      </c>
      <c r="S2488">
        <v>339.96</v>
      </c>
    </row>
    <row r="2489" spans="1:19" x14ac:dyDescent="0.35">
      <c r="A2489">
        <v>2535</v>
      </c>
      <c r="B2489" t="s">
        <v>5570</v>
      </c>
      <c r="C2489" s="1">
        <v>43327</v>
      </c>
      <c r="D2489" s="1">
        <v>43330</v>
      </c>
      <c r="E2489" s="1" t="str">
        <f t="shared" si="38"/>
        <v>SLOW</v>
      </c>
      <c r="F2489" t="s">
        <v>19</v>
      </c>
      <c r="G2489" t="s">
        <v>3224</v>
      </c>
      <c r="H2489" t="s">
        <v>3225</v>
      </c>
      <c r="I2489" t="s">
        <v>37</v>
      </c>
      <c r="J2489" t="s">
        <v>23</v>
      </c>
      <c r="K2489" t="s">
        <v>142</v>
      </c>
      <c r="L2489" t="s">
        <v>143</v>
      </c>
      <c r="M2489">
        <v>19120</v>
      </c>
      <c r="N2489" t="s">
        <v>144</v>
      </c>
      <c r="O2489" t="s">
        <v>1749</v>
      </c>
      <c r="P2489" t="s">
        <v>42</v>
      </c>
      <c r="Q2489" t="s">
        <v>55</v>
      </c>
      <c r="R2489" t="s">
        <v>1750</v>
      </c>
      <c r="S2489">
        <v>1801.6320000000001</v>
      </c>
    </row>
    <row r="2490" spans="1:19" x14ac:dyDescent="0.35">
      <c r="A2490">
        <v>2536</v>
      </c>
      <c r="B2490" t="s">
        <v>5571</v>
      </c>
      <c r="C2490" s="1">
        <v>42619</v>
      </c>
      <c r="D2490" s="1">
        <v>42621</v>
      </c>
      <c r="E2490" s="1" t="str">
        <f t="shared" si="38"/>
        <v>MODERATE</v>
      </c>
      <c r="F2490" t="s">
        <v>184</v>
      </c>
      <c r="G2490" t="s">
        <v>5572</v>
      </c>
      <c r="H2490" t="s">
        <v>5573</v>
      </c>
      <c r="I2490" t="s">
        <v>37</v>
      </c>
      <c r="J2490" t="s">
        <v>23</v>
      </c>
      <c r="K2490" t="s">
        <v>5574</v>
      </c>
      <c r="L2490" t="s">
        <v>39</v>
      </c>
      <c r="M2490">
        <v>92253</v>
      </c>
      <c r="N2490" t="s">
        <v>40</v>
      </c>
      <c r="O2490" t="s">
        <v>455</v>
      </c>
      <c r="P2490" t="s">
        <v>67</v>
      </c>
      <c r="Q2490" t="s">
        <v>157</v>
      </c>
      <c r="R2490" t="s">
        <v>456</v>
      </c>
      <c r="S2490">
        <v>46.32</v>
      </c>
    </row>
    <row r="2491" spans="1:19" x14ac:dyDescent="0.35">
      <c r="A2491">
        <v>2537</v>
      </c>
      <c r="B2491" t="s">
        <v>5575</v>
      </c>
      <c r="C2491" s="1">
        <v>42396</v>
      </c>
      <c r="D2491" s="1">
        <v>42398</v>
      </c>
      <c r="E2491" s="1" t="str">
        <f t="shared" si="38"/>
        <v>SLOW</v>
      </c>
      <c r="F2491" t="s">
        <v>19</v>
      </c>
      <c r="G2491" t="s">
        <v>2278</v>
      </c>
      <c r="H2491" t="s">
        <v>2279</v>
      </c>
      <c r="I2491" t="s">
        <v>22</v>
      </c>
      <c r="J2491" t="s">
        <v>23</v>
      </c>
      <c r="K2491" t="s">
        <v>2160</v>
      </c>
      <c r="L2491" t="s">
        <v>485</v>
      </c>
      <c r="M2491">
        <v>44105</v>
      </c>
      <c r="N2491" t="s">
        <v>144</v>
      </c>
      <c r="O2491" t="s">
        <v>330</v>
      </c>
      <c r="P2491" t="s">
        <v>28</v>
      </c>
      <c r="Q2491" t="s">
        <v>32</v>
      </c>
      <c r="R2491" t="s">
        <v>331</v>
      </c>
      <c r="S2491">
        <v>181.98599999999999</v>
      </c>
    </row>
    <row r="2492" spans="1:19" x14ac:dyDescent="0.35">
      <c r="A2492">
        <v>2538</v>
      </c>
      <c r="B2492" t="s">
        <v>5575</v>
      </c>
      <c r="C2492" s="1">
        <v>42396</v>
      </c>
      <c r="D2492" s="1">
        <v>42398</v>
      </c>
      <c r="E2492" s="1" t="str">
        <f t="shared" si="38"/>
        <v>SLOW</v>
      </c>
      <c r="F2492" t="s">
        <v>19</v>
      </c>
      <c r="G2492" t="s">
        <v>2278</v>
      </c>
      <c r="H2492" t="s">
        <v>2279</v>
      </c>
      <c r="I2492" t="s">
        <v>22</v>
      </c>
      <c r="J2492" t="s">
        <v>23</v>
      </c>
      <c r="K2492" t="s">
        <v>2160</v>
      </c>
      <c r="L2492" t="s">
        <v>485</v>
      </c>
      <c r="M2492">
        <v>44105</v>
      </c>
      <c r="N2492" t="s">
        <v>144</v>
      </c>
      <c r="O2492" t="s">
        <v>4558</v>
      </c>
      <c r="P2492" t="s">
        <v>67</v>
      </c>
      <c r="Q2492" t="s">
        <v>68</v>
      </c>
      <c r="R2492" t="s">
        <v>4559</v>
      </c>
      <c r="S2492">
        <v>431.976</v>
      </c>
    </row>
    <row r="2493" spans="1:19" x14ac:dyDescent="0.35">
      <c r="A2493">
        <v>2539</v>
      </c>
      <c r="B2493" t="s">
        <v>5575</v>
      </c>
      <c r="C2493" s="1">
        <v>42396</v>
      </c>
      <c r="D2493" s="1">
        <v>42398</v>
      </c>
      <c r="E2493" s="1" t="str">
        <f t="shared" si="38"/>
        <v>SLOW</v>
      </c>
      <c r="F2493" t="s">
        <v>19</v>
      </c>
      <c r="G2493" t="s">
        <v>2278</v>
      </c>
      <c r="H2493" t="s">
        <v>2279</v>
      </c>
      <c r="I2493" t="s">
        <v>22</v>
      </c>
      <c r="J2493" t="s">
        <v>23</v>
      </c>
      <c r="K2493" t="s">
        <v>2160</v>
      </c>
      <c r="L2493" t="s">
        <v>485</v>
      </c>
      <c r="M2493">
        <v>44105</v>
      </c>
      <c r="N2493" t="s">
        <v>144</v>
      </c>
      <c r="O2493" t="s">
        <v>5576</v>
      </c>
      <c r="P2493" t="s">
        <v>67</v>
      </c>
      <c r="Q2493" t="s">
        <v>68</v>
      </c>
      <c r="R2493" t="s">
        <v>5577</v>
      </c>
      <c r="S2493">
        <v>155.37</v>
      </c>
    </row>
    <row r="2494" spans="1:19" x14ac:dyDescent="0.35">
      <c r="A2494">
        <v>2540</v>
      </c>
      <c r="B2494" t="s">
        <v>5578</v>
      </c>
      <c r="C2494" s="1">
        <v>42567</v>
      </c>
      <c r="D2494" s="1">
        <v>42567</v>
      </c>
      <c r="E2494" s="1" t="str">
        <f t="shared" si="38"/>
        <v>MODERATE</v>
      </c>
      <c r="F2494" t="s">
        <v>1276</v>
      </c>
      <c r="G2494" t="s">
        <v>5412</v>
      </c>
      <c r="H2494" t="s">
        <v>5413</v>
      </c>
      <c r="I2494" t="s">
        <v>37</v>
      </c>
      <c r="J2494" t="s">
        <v>23</v>
      </c>
      <c r="K2494" t="s">
        <v>123</v>
      </c>
      <c r="L2494" t="s">
        <v>39</v>
      </c>
      <c r="M2494">
        <v>94122</v>
      </c>
      <c r="N2494" t="s">
        <v>40</v>
      </c>
      <c r="O2494" t="s">
        <v>1183</v>
      </c>
      <c r="P2494" t="s">
        <v>28</v>
      </c>
      <c r="Q2494" t="s">
        <v>32</v>
      </c>
      <c r="R2494" t="s">
        <v>1184</v>
      </c>
      <c r="S2494">
        <v>1348.704</v>
      </c>
    </row>
    <row r="2495" spans="1:19" x14ac:dyDescent="0.35">
      <c r="A2495">
        <v>2541</v>
      </c>
      <c r="B2495" t="s">
        <v>5578</v>
      </c>
      <c r="C2495" s="1">
        <v>42567</v>
      </c>
      <c r="D2495" s="1">
        <v>42567</v>
      </c>
      <c r="E2495" s="1" t="str">
        <f t="shared" si="38"/>
        <v>MODERATE</v>
      </c>
      <c r="F2495" t="s">
        <v>1276</v>
      </c>
      <c r="G2495" t="s">
        <v>5412</v>
      </c>
      <c r="H2495" t="s">
        <v>5413</v>
      </c>
      <c r="I2495" t="s">
        <v>37</v>
      </c>
      <c r="J2495" t="s">
        <v>23</v>
      </c>
      <c r="K2495" t="s">
        <v>123</v>
      </c>
      <c r="L2495" t="s">
        <v>39</v>
      </c>
      <c r="M2495">
        <v>94122</v>
      </c>
      <c r="N2495" t="s">
        <v>40</v>
      </c>
      <c r="O2495" t="s">
        <v>1124</v>
      </c>
      <c r="P2495" t="s">
        <v>28</v>
      </c>
      <c r="Q2495" t="s">
        <v>32</v>
      </c>
      <c r="R2495" t="s">
        <v>1125</v>
      </c>
      <c r="S2495">
        <v>700.15200000000004</v>
      </c>
    </row>
    <row r="2496" spans="1:19" x14ac:dyDescent="0.35">
      <c r="A2496">
        <v>2543</v>
      </c>
      <c r="B2496" t="s">
        <v>5579</v>
      </c>
      <c r="C2496" s="1">
        <v>42273</v>
      </c>
      <c r="D2496" s="1">
        <v>42278</v>
      </c>
      <c r="E2496" s="1" t="str">
        <f t="shared" si="38"/>
        <v>SLOW</v>
      </c>
      <c r="F2496" t="s">
        <v>19</v>
      </c>
      <c r="G2496" t="s">
        <v>5580</v>
      </c>
      <c r="H2496" t="s">
        <v>5581</v>
      </c>
      <c r="I2496" t="s">
        <v>37</v>
      </c>
      <c r="J2496" t="s">
        <v>23</v>
      </c>
      <c r="K2496" t="s">
        <v>142</v>
      </c>
      <c r="L2496" t="s">
        <v>143</v>
      </c>
      <c r="M2496">
        <v>19134</v>
      </c>
      <c r="N2496" t="s">
        <v>144</v>
      </c>
      <c r="O2496" t="s">
        <v>3148</v>
      </c>
      <c r="P2496" t="s">
        <v>42</v>
      </c>
      <c r="Q2496" t="s">
        <v>74</v>
      </c>
      <c r="R2496" t="s">
        <v>3149</v>
      </c>
      <c r="S2496">
        <v>143.952</v>
      </c>
    </row>
    <row r="2497" spans="1:19" x14ac:dyDescent="0.35">
      <c r="A2497">
        <v>2544</v>
      </c>
      <c r="B2497" t="s">
        <v>5582</v>
      </c>
      <c r="C2497" s="1">
        <v>42986</v>
      </c>
      <c r="D2497" s="1">
        <v>42992</v>
      </c>
      <c r="E2497" s="1" t="str">
        <f t="shared" si="38"/>
        <v>FAST</v>
      </c>
      <c r="F2497" t="s">
        <v>46</v>
      </c>
      <c r="G2497" t="s">
        <v>3308</v>
      </c>
      <c r="H2497" t="s">
        <v>3309</v>
      </c>
      <c r="I2497" t="s">
        <v>98</v>
      </c>
      <c r="J2497" t="s">
        <v>23</v>
      </c>
      <c r="K2497" t="s">
        <v>5396</v>
      </c>
      <c r="L2497" t="s">
        <v>1233</v>
      </c>
      <c r="M2497">
        <v>2148</v>
      </c>
      <c r="N2497" t="s">
        <v>144</v>
      </c>
      <c r="O2497" t="s">
        <v>5583</v>
      </c>
      <c r="P2497" t="s">
        <v>28</v>
      </c>
      <c r="Q2497" t="s">
        <v>29</v>
      </c>
      <c r="R2497" t="s">
        <v>5584</v>
      </c>
      <c r="S2497">
        <v>173.94</v>
      </c>
    </row>
    <row r="2498" spans="1:19" x14ac:dyDescent="0.35">
      <c r="A2498">
        <v>2545</v>
      </c>
      <c r="B2498" t="s">
        <v>5582</v>
      </c>
      <c r="C2498" s="1">
        <v>42986</v>
      </c>
      <c r="D2498" s="1">
        <v>42992</v>
      </c>
      <c r="E2498" s="1" t="str">
        <f t="shared" si="38"/>
        <v>FAST</v>
      </c>
      <c r="F2498" t="s">
        <v>46</v>
      </c>
      <c r="G2498" t="s">
        <v>3308</v>
      </c>
      <c r="H2498" t="s">
        <v>3309</v>
      </c>
      <c r="I2498" t="s">
        <v>98</v>
      </c>
      <c r="J2498" t="s">
        <v>23</v>
      </c>
      <c r="K2498" t="s">
        <v>5396</v>
      </c>
      <c r="L2498" t="s">
        <v>1233</v>
      </c>
      <c r="M2498">
        <v>2148</v>
      </c>
      <c r="N2498" t="s">
        <v>144</v>
      </c>
      <c r="O2498" t="s">
        <v>4931</v>
      </c>
      <c r="P2498" t="s">
        <v>42</v>
      </c>
      <c r="Q2498" t="s">
        <v>43</v>
      </c>
      <c r="R2498" t="s">
        <v>4932</v>
      </c>
      <c r="S2498">
        <v>14.76</v>
      </c>
    </row>
    <row r="2499" spans="1:19" x14ac:dyDescent="0.35">
      <c r="A2499">
        <v>2546</v>
      </c>
      <c r="B2499" t="s">
        <v>5585</v>
      </c>
      <c r="C2499" s="1">
        <v>43206</v>
      </c>
      <c r="D2499" s="1">
        <v>43210</v>
      </c>
      <c r="E2499" s="1" t="str">
        <f t="shared" ref="E2499:E2501" si="39">IF(F2499="STANDARD CLASS","FAST",IF(F2499="SECOND CLASS","SLOW","MODERATE"))</f>
        <v>FAST</v>
      </c>
      <c r="F2499" t="s">
        <v>46</v>
      </c>
      <c r="G2499" t="s">
        <v>326</v>
      </c>
      <c r="H2499" t="s">
        <v>327</v>
      </c>
      <c r="I2499" t="s">
        <v>22</v>
      </c>
      <c r="J2499" t="s">
        <v>23</v>
      </c>
      <c r="K2499" t="s">
        <v>618</v>
      </c>
      <c r="L2499" t="s">
        <v>39</v>
      </c>
      <c r="M2499">
        <v>95123</v>
      </c>
      <c r="N2499" t="s">
        <v>40</v>
      </c>
      <c r="O2499" t="s">
        <v>948</v>
      </c>
      <c r="P2499" t="s">
        <v>42</v>
      </c>
      <c r="Q2499" t="s">
        <v>55</v>
      </c>
      <c r="R2499" t="s">
        <v>949</v>
      </c>
      <c r="S2499">
        <v>205.92</v>
      </c>
    </row>
    <row r="2500" spans="1:19" x14ac:dyDescent="0.35">
      <c r="A2500">
        <v>2547</v>
      </c>
      <c r="B2500" t="s">
        <v>5585</v>
      </c>
      <c r="C2500" s="1">
        <v>43206</v>
      </c>
      <c r="D2500" s="1">
        <v>43210</v>
      </c>
      <c r="E2500" s="1" t="str">
        <f t="shared" si="39"/>
        <v>FAST</v>
      </c>
      <c r="F2500" t="s">
        <v>46</v>
      </c>
      <c r="G2500" t="s">
        <v>326</v>
      </c>
      <c r="H2500" t="s">
        <v>327</v>
      </c>
      <c r="I2500" t="s">
        <v>22</v>
      </c>
      <c r="J2500" t="s">
        <v>23</v>
      </c>
      <c r="K2500" t="s">
        <v>618</v>
      </c>
      <c r="L2500" t="s">
        <v>39</v>
      </c>
      <c r="M2500">
        <v>95123</v>
      </c>
      <c r="N2500" t="s">
        <v>40</v>
      </c>
      <c r="O2500" t="s">
        <v>1649</v>
      </c>
      <c r="P2500" t="s">
        <v>28</v>
      </c>
      <c r="Q2500" t="s">
        <v>29</v>
      </c>
      <c r="R2500" t="s">
        <v>1650</v>
      </c>
      <c r="S2500">
        <v>102.833</v>
      </c>
    </row>
    <row r="2501" spans="1:19" x14ac:dyDescent="0.35">
      <c r="A2501">
        <v>2548</v>
      </c>
      <c r="B2501" t="s">
        <v>5586</v>
      </c>
      <c r="C2501" s="1">
        <v>42598</v>
      </c>
      <c r="D2501" s="1">
        <v>42604</v>
      </c>
      <c r="E2501" s="1" t="str">
        <f t="shared" si="39"/>
        <v>FAST</v>
      </c>
      <c r="F2501" t="s">
        <v>46</v>
      </c>
      <c r="G2501" t="s">
        <v>5521</v>
      </c>
      <c r="H2501" t="s">
        <v>5522</v>
      </c>
      <c r="I2501" t="s">
        <v>22</v>
      </c>
      <c r="J2501" t="s">
        <v>23</v>
      </c>
      <c r="K2501" t="s">
        <v>531</v>
      </c>
      <c r="L2501" t="s">
        <v>304</v>
      </c>
      <c r="M2501">
        <v>85023</v>
      </c>
      <c r="N2501" t="s">
        <v>40</v>
      </c>
      <c r="O2501" t="s">
        <v>3201</v>
      </c>
      <c r="P2501" t="s">
        <v>42</v>
      </c>
      <c r="Q2501" t="s">
        <v>64</v>
      </c>
      <c r="R2501" t="s">
        <v>3202</v>
      </c>
      <c r="S2501">
        <v>2.3039999999999998</v>
      </c>
    </row>
    <row r="2502" spans="1:19" x14ac:dyDescent="0.35">
      <c r="S2502" s="8">
        <f>SUBTOTAL(109,Table1[Sales])</f>
        <v>576922.25370000093</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B9957-85D1-4A66-8A96-4A644810662F}">
  <sheetPr codeName="Sheet2"/>
  <dimension ref="A1:B41"/>
  <sheetViews>
    <sheetView showGridLines="0" tabSelected="1" topLeftCell="C1" zoomScale="78" zoomScaleNormal="78" workbookViewId="0">
      <selection activeCell="F33" sqref="F33"/>
    </sheetView>
  </sheetViews>
  <sheetFormatPr defaultRowHeight="14.5" x14ac:dyDescent="0.35"/>
  <cols>
    <col min="1" max="2" width="8.7265625" hidden="1" customWidth="1"/>
    <col min="4" max="4" width="14.7265625" customWidth="1"/>
  </cols>
  <sheetData>
    <row r="1" s="6" customFormat="1" ht="83.5" customHeight="1" x14ac:dyDescent="0.35"/>
    <row r="2" s="6" customFormat="1" x14ac:dyDescent="0.35"/>
    <row r="3" s="6" customFormat="1" x14ac:dyDescent="0.35"/>
    <row r="4" s="6" customFormat="1" x14ac:dyDescent="0.35"/>
    <row r="5" s="6" customFormat="1" x14ac:dyDescent="0.35"/>
    <row r="6" s="6" customFormat="1" x14ac:dyDescent="0.35"/>
    <row r="7" s="6" customFormat="1" x14ac:dyDescent="0.35"/>
    <row r="8" s="6" customFormat="1" x14ac:dyDescent="0.35"/>
    <row r="9" s="6" customFormat="1" x14ac:dyDescent="0.35"/>
    <row r="10" s="6" customFormat="1" x14ac:dyDescent="0.35"/>
    <row r="11" s="6" customFormat="1" x14ac:dyDescent="0.35"/>
    <row r="12" s="6" customFormat="1" x14ac:dyDescent="0.35"/>
    <row r="13" s="6" customFormat="1" x14ac:dyDescent="0.35"/>
    <row r="14" s="6" customFormat="1" x14ac:dyDescent="0.35"/>
    <row r="15" s="6" customFormat="1" x14ac:dyDescent="0.35"/>
    <row r="16" s="6" customFormat="1" x14ac:dyDescent="0.35"/>
    <row r="17" s="6" customFormat="1" x14ac:dyDescent="0.35"/>
    <row r="18" s="6" customFormat="1" x14ac:dyDescent="0.35"/>
    <row r="19" s="6" customFormat="1" x14ac:dyDescent="0.35"/>
    <row r="20" s="6" customFormat="1" x14ac:dyDescent="0.35"/>
    <row r="21" s="6" customFormat="1" x14ac:dyDescent="0.35"/>
    <row r="22" s="6" customFormat="1" x14ac:dyDescent="0.35"/>
    <row r="23" s="6" customFormat="1" x14ac:dyDescent="0.35"/>
    <row r="24" s="6" customFormat="1" x14ac:dyDescent="0.35"/>
    <row r="25" s="6" customFormat="1" x14ac:dyDescent="0.35"/>
    <row r="26" s="6" customFormat="1" x14ac:dyDescent="0.35"/>
    <row r="27" s="6" customFormat="1" x14ac:dyDescent="0.35"/>
    <row r="28" s="6" customFormat="1" x14ac:dyDescent="0.35"/>
    <row r="29" s="6" customFormat="1" x14ac:dyDescent="0.35"/>
    <row r="30" s="6" customFormat="1" x14ac:dyDescent="0.35"/>
    <row r="31" s="6" customFormat="1" x14ac:dyDescent="0.35"/>
    <row r="32" s="6" customFormat="1" x14ac:dyDescent="0.35"/>
    <row r="33" s="6" customFormat="1" x14ac:dyDescent="0.35"/>
    <row r="34" s="6" customFormat="1" x14ac:dyDescent="0.35"/>
    <row r="35" s="6" customFormat="1" x14ac:dyDescent="0.35"/>
    <row r="36" s="6" customFormat="1" x14ac:dyDescent="0.35"/>
    <row r="37" s="6" customFormat="1" x14ac:dyDescent="0.35"/>
    <row r="38" s="6" customFormat="1" x14ac:dyDescent="0.35"/>
    <row r="39" s="6" customFormat="1" x14ac:dyDescent="0.35"/>
    <row r="40" s="6" customFormat="1" x14ac:dyDescent="0.35"/>
    <row r="41" s="6" customForma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6D326-AE4B-43F0-A44C-F63CE68B595F}">
  <sheetPr codeName="Sheet3"/>
  <dimension ref="A1"/>
  <sheetViews>
    <sheetView showGridLines="0" workbookViewId="0">
      <selection activeCell="S12" sqref="S12"/>
    </sheetView>
  </sheetViews>
  <sheetFormatPr defaultRowHeight="14.5" x14ac:dyDescent="0.35"/>
  <sheetData>
    <row r="1" ht="14.5" customHeight="1"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199D4-3CC3-4B40-A076-FEF320E2EEDA}">
  <sheetPr codeName="Sheet4"/>
  <dimension ref="A8:B11"/>
  <sheetViews>
    <sheetView showGridLines="0" workbookViewId="0">
      <selection activeCell="A3" sqref="A3:XFD3"/>
    </sheetView>
  </sheetViews>
  <sheetFormatPr defaultRowHeight="14.5" x14ac:dyDescent="0.35"/>
  <cols>
    <col min="1" max="1" width="13.1796875" bestFit="1" customWidth="1"/>
    <col min="2" max="2" width="11.26953125" bestFit="1" customWidth="1"/>
    <col min="3" max="2063" width="15.26953125" bestFit="1" customWidth="1"/>
    <col min="2064" max="2064" width="10.7265625" bestFit="1" customWidth="1"/>
  </cols>
  <sheetData>
    <row r="8" spans="1:2" x14ac:dyDescent="0.35">
      <c r="A8" s="4" t="s">
        <v>5587</v>
      </c>
      <c r="B8" t="s">
        <v>5588</v>
      </c>
    </row>
    <row r="9" spans="1:2" x14ac:dyDescent="0.35">
      <c r="A9" s="5" t="s">
        <v>28</v>
      </c>
      <c r="B9" s="11">
        <v>194540.79870000025</v>
      </c>
    </row>
    <row r="10" spans="1:2" x14ac:dyDescent="0.35">
      <c r="A10" s="5" t="s">
        <v>42</v>
      </c>
      <c r="B10" s="11">
        <v>174094.83499999961</v>
      </c>
    </row>
    <row r="11" spans="1:2" x14ac:dyDescent="0.35">
      <c r="A11" s="5" t="s">
        <v>67</v>
      </c>
      <c r="B11" s="11">
        <v>208286.61999999997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7BA6C-D53F-4399-86D8-23EBF00B18E3}">
  <sheetPr codeName="Sheet5"/>
  <dimension ref="A6:B16"/>
  <sheetViews>
    <sheetView showGridLines="0" workbookViewId="0">
      <selection activeCell="M28" sqref="M28"/>
    </sheetView>
  </sheetViews>
  <sheetFormatPr defaultRowHeight="14.5" x14ac:dyDescent="0.35"/>
  <cols>
    <col min="1" max="1" width="12.36328125" bestFit="1" customWidth="1"/>
    <col min="2" max="2" width="13.08984375" bestFit="1" customWidth="1"/>
  </cols>
  <sheetData>
    <row r="6" spans="1:2" x14ac:dyDescent="0.35">
      <c r="A6" s="4" t="s">
        <v>5587</v>
      </c>
      <c r="B6" t="s">
        <v>5589</v>
      </c>
    </row>
    <row r="7" spans="1:2" x14ac:dyDescent="0.35">
      <c r="A7" s="5" t="s">
        <v>39</v>
      </c>
      <c r="B7" s="12">
        <v>647432</v>
      </c>
    </row>
    <row r="8" spans="1:2" x14ac:dyDescent="0.35">
      <c r="A8" s="5" t="s">
        <v>261</v>
      </c>
      <c r="B8" s="12">
        <v>426503</v>
      </c>
    </row>
    <row r="9" spans="1:2" x14ac:dyDescent="0.35">
      <c r="A9" s="5" t="s">
        <v>100</v>
      </c>
      <c r="B9" s="12">
        <v>295423</v>
      </c>
    </row>
    <row r="10" spans="1:2" x14ac:dyDescent="0.35">
      <c r="A10" s="5" t="s">
        <v>143</v>
      </c>
      <c r="B10" s="12">
        <v>215768</v>
      </c>
    </row>
    <row r="11" spans="1:2" x14ac:dyDescent="0.35">
      <c r="A11" s="5" t="s">
        <v>92</v>
      </c>
      <c r="B11" s="12">
        <v>156283</v>
      </c>
    </row>
    <row r="12" spans="1:2" x14ac:dyDescent="0.35">
      <c r="A12" s="5" t="s">
        <v>485</v>
      </c>
      <c r="B12" s="12">
        <v>146953</v>
      </c>
    </row>
    <row r="13" spans="1:2" x14ac:dyDescent="0.35">
      <c r="A13" s="5" t="s">
        <v>205</v>
      </c>
      <c r="B13" s="12">
        <v>133252</v>
      </c>
    </row>
    <row r="14" spans="1:2" x14ac:dyDescent="0.35">
      <c r="A14" s="5" t="s">
        <v>50</v>
      </c>
      <c r="B14" s="12">
        <v>84730</v>
      </c>
    </row>
    <row r="15" spans="1:2" x14ac:dyDescent="0.35">
      <c r="A15" s="5" t="s">
        <v>304</v>
      </c>
      <c r="B15" s="12">
        <v>84587</v>
      </c>
    </row>
    <row r="16" spans="1:2" x14ac:dyDescent="0.35">
      <c r="A16" s="5" t="s">
        <v>313</v>
      </c>
      <c r="B16" s="12">
        <v>82047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6E80D-D0E4-4784-9FD4-EE8C05EF3B1F}">
  <sheetPr codeName="Sheet6"/>
  <dimension ref="A8:B13"/>
  <sheetViews>
    <sheetView showGridLines="0" workbookViewId="0">
      <selection sqref="A1:XFD1"/>
    </sheetView>
  </sheetViews>
  <sheetFormatPr defaultRowHeight="14.5" x14ac:dyDescent="0.35"/>
  <cols>
    <col min="1" max="1" width="12.36328125" bestFit="1" customWidth="1"/>
    <col min="2" max="2" width="11.26953125" bestFit="1" customWidth="1"/>
  </cols>
  <sheetData>
    <row r="8" spans="1:2" x14ac:dyDescent="0.35">
      <c r="A8" s="4" t="s">
        <v>5587</v>
      </c>
      <c r="B8" t="s">
        <v>5588</v>
      </c>
    </row>
    <row r="9" spans="1:2" x14ac:dyDescent="0.35">
      <c r="A9" s="5" t="s">
        <v>101</v>
      </c>
      <c r="B9" s="11">
        <v>132219.05719999975</v>
      </c>
    </row>
    <row r="10" spans="1:2" x14ac:dyDescent="0.35">
      <c r="A10" s="5" t="s">
        <v>144</v>
      </c>
      <c r="B10" s="11">
        <v>169265.54700000005</v>
      </c>
    </row>
    <row r="11" spans="1:2" x14ac:dyDescent="0.35">
      <c r="A11" s="5" t="s">
        <v>26</v>
      </c>
      <c r="B11" s="11">
        <v>88495.611000000019</v>
      </c>
    </row>
    <row r="12" spans="1:2" x14ac:dyDescent="0.35">
      <c r="A12" s="5" t="s">
        <v>40</v>
      </c>
      <c r="B12" s="11">
        <v>186942.0385000002</v>
      </c>
    </row>
    <row r="13" spans="1:2" x14ac:dyDescent="0.35">
      <c r="B13" s="11"/>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0E70-04E5-487E-B66B-64BA48C1441D}">
  <sheetPr codeName="Sheet7"/>
  <dimension ref="A9:B26"/>
  <sheetViews>
    <sheetView showGridLines="0" workbookViewId="0">
      <selection sqref="A1:XFD1"/>
    </sheetView>
  </sheetViews>
  <sheetFormatPr defaultRowHeight="14.5" x14ac:dyDescent="0.35"/>
  <cols>
    <col min="1" max="1" width="12.36328125" bestFit="1" customWidth="1"/>
    <col min="2" max="2" width="11.26953125" bestFit="1" customWidth="1"/>
  </cols>
  <sheetData>
    <row r="9" spans="1:2" x14ac:dyDescent="0.35">
      <c r="A9" s="4" t="s">
        <v>5587</v>
      </c>
      <c r="B9" t="s">
        <v>5588</v>
      </c>
    </row>
    <row r="10" spans="1:2" x14ac:dyDescent="0.35">
      <c r="A10" s="5" t="s">
        <v>68</v>
      </c>
      <c r="B10" s="7">
        <v>0.15714724716988329</v>
      </c>
    </row>
    <row r="11" spans="1:2" x14ac:dyDescent="0.35">
      <c r="A11" s="5" t="s">
        <v>32</v>
      </c>
      <c r="B11" s="7">
        <v>0.13748592378141439</v>
      </c>
    </row>
    <row r="12" spans="1:2" x14ac:dyDescent="0.35">
      <c r="A12" s="5" t="s">
        <v>52</v>
      </c>
      <c r="B12" s="7">
        <v>0.11327744003784473</v>
      </c>
    </row>
    <row r="13" spans="1:2" x14ac:dyDescent="0.35">
      <c r="A13" s="5" t="s">
        <v>55</v>
      </c>
      <c r="B13" s="7">
        <v>9.5300230919138834E-2</v>
      </c>
    </row>
    <row r="14" spans="1:2" x14ac:dyDescent="0.35">
      <c r="A14" s="5" t="s">
        <v>671</v>
      </c>
      <c r="B14" s="7">
        <v>9.167432814526566E-2</v>
      </c>
    </row>
    <row r="15" spans="1:2" x14ac:dyDescent="0.35">
      <c r="A15" s="5" t="s">
        <v>157</v>
      </c>
      <c r="B15" s="7">
        <v>8.1789616707239943E-2</v>
      </c>
    </row>
    <row r="16" spans="1:2" x14ac:dyDescent="0.35">
      <c r="A16" s="5" t="s">
        <v>71</v>
      </c>
      <c r="B16" s="7">
        <v>6.9303055556582782E-2</v>
      </c>
    </row>
    <row r="17" spans="1:2" x14ac:dyDescent="0.35">
      <c r="A17" s="5" t="s">
        <v>29</v>
      </c>
      <c r="B17" s="7">
        <v>4.665664312196386E-2</v>
      </c>
    </row>
    <row r="18" spans="1:2" x14ac:dyDescent="0.35">
      <c r="A18" s="5" t="s">
        <v>74</v>
      </c>
      <c r="B18" s="7">
        <v>4.5517928683776132E-2</v>
      </c>
    </row>
    <row r="19" spans="1:2" x14ac:dyDescent="0.35">
      <c r="A19" s="5" t="s">
        <v>61</v>
      </c>
      <c r="B19" s="7">
        <v>3.9784525302668163E-2</v>
      </c>
    </row>
    <row r="20" spans="1:2" x14ac:dyDescent="0.35">
      <c r="A20" s="5" t="s">
        <v>86</v>
      </c>
      <c r="B20" s="7">
        <v>3.3671528313243833E-2</v>
      </c>
    </row>
    <row r="21" spans="1:2" x14ac:dyDescent="0.35">
      <c r="A21" s="5" t="s">
        <v>1204</v>
      </c>
      <c r="B21" s="7">
        <v>3.0419464472808921E-2</v>
      </c>
    </row>
    <row r="22" spans="1:2" x14ac:dyDescent="0.35">
      <c r="A22" s="5" t="s">
        <v>566</v>
      </c>
      <c r="B22" s="7">
        <v>2.8133277743936685E-2</v>
      </c>
    </row>
    <row r="23" spans="1:2" x14ac:dyDescent="0.35">
      <c r="A23" s="5" t="s">
        <v>64</v>
      </c>
      <c r="B23" s="7">
        <v>1.35740023023487E-2</v>
      </c>
    </row>
    <row r="24" spans="1:2" x14ac:dyDescent="0.35">
      <c r="A24" s="5" t="s">
        <v>169</v>
      </c>
      <c r="B24" s="7">
        <v>7.4353727430154113E-3</v>
      </c>
    </row>
    <row r="25" spans="1:2" x14ac:dyDescent="0.35">
      <c r="A25" s="5" t="s">
        <v>43</v>
      </c>
      <c r="B25" s="7">
        <v>7.3533582259872558E-3</v>
      </c>
    </row>
    <row r="26" spans="1:2" x14ac:dyDescent="0.35">
      <c r="A26" s="5" t="s">
        <v>263</v>
      </c>
      <c r="B26" s="7">
        <v>1.4760567728815969E-3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26870-9922-4101-9D6C-9D61FC2D54BF}">
  <sheetPr codeName="Sheet8"/>
  <dimension ref="A10:B13"/>
  <sheetViews>
    <sheetView showGridLines="0" workbookViewId="0">
      <selection sqref="A1:XFD1"/>
    </sheetView>
  </sheetViews>
  <sheetFormatPr defaultRowHeight="14.5" x14ac:dyDescent="0.35"/>
  <cols>
    <col min="1" max="2" width="12.36328125" bestFit="1" customWidth="1"/>
  </cols>
  <sheetData>
    <row r="10" spans="1:2" x14ac:dyDescent="0.35">
      <c r="A10" s="4" t="s">
        <v>5587</v>
      </c>
      <c r="B10" t="s">
        <v>5588</v>
      </c>
    </row>
    <row r="11" spans="1:2" x14ac:dyDescent="0.35">
      <c r="A11" s="5" t="s">
        <v>22</v>
      </c>
      <c r="B11" s="8">
        <v>312710.37440000009</v>
      </c>
    </row>
    <row r="12" spans="1:2" x14ac:dyDescent="0.35">
      <c r="A12" s="5" t="s">
        <v>37</v>
      </c>
      <c r="B12" s="8">
        <v>169205.9516</v>
      </c>
    </row>
    <row r="13" spans="1:2" x14ac:dyDescent="0.35">
      <c r="A13" s="5" t="s">
        <v>98</v>
      </c>
      <c r="B13" s="8">
        <v>95005.9277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0A08A-901E-4F1B-8C1E-9F7BBDFA46F2}">
  <sheetPr codeName="Sheet9"/>
  <dimension ref="A9:B14"/>
  <sheetViews>
    <sheetView showGridLines="0" workbookViewId="0">
      <selection sqref="A1:XFD1"/>
    </sheetView>
  </sheetViews>
  <sheetFormatPr defaultRowHeight="14.5" x14ac:dyDescent="0.35"/>
  <cols>
    <col min="1" max="1" width="12.36328125" bestFit="1" customWidth="1"/>
    <col min="2" max="2" width="12.54296875" bestFit="1" customWidth="1"/>
  </cols>
  <sheetData>
    <row r="9" spans="1:2" x14ac:dyDescent="0.35">
      <c r="A9" s="4" t="s">
        <v>5587</v>
      </c>
      <c r="B9" t="s">
        <v>5588</v>
      </c>
    </row>
    <row r="10" spans="1:2" x14ac:dyDescent="0.35">
      <c r="A10" s="5" t="s">
        <v>5590</v>
      </c>
      <c r="B10" s="8">
        <v>140375.79599999989</v>
      </c>
    </row>
    <row r="11" spans="1:2" x14ac:dyDescent="0.35">
      <c r="A11" s="5" t="s">
        <v>5591</v>
      </c>
      <c r="B11" s="8">
        <v>127311.30919999992</v>
      </c>
    </row>
    <row r="12" spans="1:2" x14ac:dyDescent="0.35">
      <c r="A12" s="5" t="s">
        <v>5592</v>
      </c>
      <c r="B12" s="8">
        <v>149878.64139999967</v>
      </c>
    </row>
    <row r="13" spans="1:2" x14ac:dyDescent="0.35">
      <c r="A13" s="5" t="s">
        <v>5593</v>
      </c>
      <c r="B13" s="8">
        <v>156938.66230000014</v>
      </c>
    </row>
    <row r="14" spans="1:2" x14ac:dyDescent="0.35">
      <c r="A14" s="5" t="s">
        <v>5594</v>
      </c>
      <c r="B14" s="8">
        <v>2417.8447999999999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F2AC6-52C0-4F8F-A937-05D6486E8C5A}">
  <sheetPr codeName="Sheet10"/>
  <dimension ref="A9:B19"/>
  <sheetViews>
    <sheetView showGridLines="0" workbookViewId="0">
      <selection sqref="A1:XFD1"/>
    </sheetView>
  </sheetViews>
  <sheetFormatPr defaultRowHeight="14.5" x14ac:dyDescent="0.35"/>
  <cols>
    <col min="1" max="1" width="67.08984375" bestFit="1" customWidth="1"/>
    <col min="2" max="2" width="11.26953125" bestFit="1" customWidth="1"/>
  </cols>
  <sheetData>
    <row r="9" spans="1:2" x14ac:dyDescent="0.35">
      <c r="A9" s="4" t="s">
        <v>5587</v>
      </c>
      <c r="B9" t="s">
        <v>5588</v>
      </c>
    </row>
    <row r="10" spans="1:2" x14ac:dyDescent="0.35">
      <c r="A10" s="5" t="s">
        <v>4555</v>
      </c>
      <c r="B10" s="8">
        <v>5328.6060000000007</v>
      </c>
    </row>
    <row r="11" spans="1:2" x14ac:dyDescent="0.35">
      <c r="A11" s="5" t="s">
        <v>1781</v>
      </c>
      <c r="B11" s="8">
        <v>5329.9840000000004</v>
      </c>
    </row>
    <row r="12" spans="1:2" x14ac:dyDescent="0.35">
      <c r="A12" s="5" t="s">
        <v>4563</v>
      </c>
      <c r="B12" s="8">
        <v>5439.9319999999998</v>
      </c>
    </row>
    <row r="13" spans="1:2" x14ac:dyDescent="0.35">
      <c r="A13" s="5" t="s">
        <v>1244</v>
      </c>
      <c r="B13" s="8">
        <v>5443.9599999999991</v>
      </c>
    </row>
    <row r="14" spans="1:2" x14ac:dyDescent="0.35">
      <c r="A14" s="5" t="s">
        <v>163</v>
      </c>
      <c r="B14" s="8">
        <v>5479.6956</v>
      </c>
    </row>
    <row r="15" spans="1:2" x14ac:dyDescent="0.35">
      <c r="A15" s="5" t="s">
        <v>891</v>
      </c>
      <c r="B15" s="8">
        <v>6112.1125000000002</v>
      </c>
    </row>
    <row r="16" spans="1:2" x14ac:dyDescent="0.35">
      <c r="A16" s="5" t="s">
        <v>1723</v>
      </c>
      <c r="B16" s="8">
        <v>7371.7420000000002</v>
      </c>
    </row>
    <row r="17" spans="1:2" x14ac:dyDescent="0.35">
      <c r="A17" s="5" t="s">
        <v>2201</v>
      </c>
      <c r="B17" s="8">
        <v>7999.98</v>
      </c>
    </row>
    <row r="18" spans="1:2" x14ac:dyDescent="0.35">
      <c r="A18" s="5" t="s">
        <v>5539</v>
      </c>
      <c r="B18" s="8">
        <v>8187.65</v>
      </c>
    </row>
    <row r="19" spans="1:2" x14ac:dyDescent="0.35">
      <c r="A19" s="5" t="s">
        <v>672</v>
      </c>
      <c r="B19" s="8">
        <v>14279.916000000001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 DATA</vt:lpstr>
      <vt:lpstr>REPORT</vt:lpstr>
      <vt:lpstr>ANALYSIS AND SUGGESTION</vt:lpstr>
      <vt:lpstr>sales vs category</vt:lpstr>
      <vt:lpstr>Sales vs states</vt:lpstr>
      <vt:lpstr>Sales in regions</vt:lpstr>
      <vt:lpstr>sales vs subcategory</vt:lpstr>
      <vt:lpstr>SEGMENT SALES</vt:lpstr>
      <vt:lpstr>EACH YEAR SALES</vt:lpstr>
      <vt:lpstr>TOP 10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 Chaurasia</dc:creator>
  <cp:lastModifiedBy>Tanya Chaurasia</cp:lastModifiedBy>
  <dcterms:created xsi:type="dcterms:W3CDTF">2026-02-25T21:22:10Z</dcterms:created>
  <dcterms:modified xsi:type="dcterms:W3CDTF">2026-03-26T11:50:50Z</dcterms:modified>
</cp:coreProperties>
</file>