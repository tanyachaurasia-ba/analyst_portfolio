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E:\"/>
    </mc:Choice>
  </mc:AlternateContent>
  <xr:revisionPtr revIDLastSave="0" documentId="13_ncr:1_{4E2C4242-3A26-4561-90EB-749E7A0ABC4C}" xr6:coauthVersionLast="47" xr6:coauthVersionMax="47" xr10:uidLastSave="{00000000-0000-0000-0000-000000000000}"/>
  <bookViews>
    <workbookView xWindow="-110" yWindow="-110" windowWidth="19420" windowHeight="10300" xr2:uid="{CA5D653E-CB96-4B96-B765-1F612BC1DF3F}"/>
  </bookViews>
  <sheets>
    <sheet name="DASHBOARD" sheetId="3" r:id="rId1"/>
    <sheet name="MAIN DATA" sheetId="1" r:id="rId2"/>
    <sheet name="Monthly SALES" sheetId="15" r:id="rId3"/>
    <sheet name="ORDER MODE VS CATEGORY" sheetId="7" r:id="rId4"/>
    <sheet name="ORDER QTY VS BRAND" sheetId="9" r:id="rId5"/>
    <sheet name="POPULAR PRODUCT" sheetId="11" r:id="rId6"/>
    <sheet name="SALES VS CITY" sheetId="13" r:id="rId7"/>
    <sheet name="OVERALL SUMMARY" sheetId="4" r:id="rId8"/>
  </sheets>
  <definedNames>
    <definedName name="_xlnm._FilterDatabase" localSheetId="3" hidden="1">'ORDER MODE VS CATEGORY'!$I$4:$M$7</definedName>
    <definedName name="Slicer_City">#N/A</definedName>
    <definedName name="Slicer_Platform">#N/A</definedName>
    <definedName name="Slicer_Quarters__OrderDate">#N/A</definedName>
  </definedNames>
  <calcPr calcId="191029"/>
  <pivotCaches>
    <pivotCache cacheId="9"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 i="7" l="1"/>
  <c r="L4" i="7"/>
  <c r="M4" i="7"/>
  <c r="J4" i="7"/>
  <c r="J6" i="7"/>
  <c r="K6" i="7"/>
  <c r="L6" i="7"/>
  <c r="M6" i="7"/>
  <c r="J5" i="7"/>
  <c r="K5" i="7"/>
  <c r="L5" i="7"/>
  <c r="M5" i="7"/>
  <c r="J7" i="7"/>
  <c r="K7" i="7"/>
  <c r="L7" i="7"/>
  <c r="M7" i="7"/>
  <c r="I5" i="7"/>
  <c r="I7" i="7"/>
  <c r="I6" i="7"/>
  <c r="J4" i="4"/>
  <c r="H4" i="4"/>
  <c r="I4" i="4"/>
  <c r="K4" i="4"/>
  <c r="G4" i="4"/>
</calcChain>
</file>

<file path=xl/sharedStrings.xml><?xml version="1.0" encoding="utf-8"?>
<sst xmlns="http://schemas.openxmlformats.org/spreadsheetml/2006/main" count="12101" uniqueCount="2072">
  <si>
    <t>OrderID</t>
  </si>
  <si>
    <t>Product</t>
  </si>
  <si>
    <t>Category</t>
  </si>
  <si>
    <t>Brand</t>
  </si>
  <si>
    <t>Platform</t>
  </si>
  <si>
    <t>City</t>
  </si>
  <si>
    <t>Price</t>
  </si>
  <si>
    <t>Quantity</t>
  </si>
  <si>
    <t>TotalAmount</t>
  </si>
  <si>
    <t>Rating</t>
  </si>
  <si>
    <t>OrderDate</t>
  </si>
  <si>
    <t>ORD100000</t>
  </si>
  <si>
    <t>Samsung Galaxy A14</t>
  </si>
  <si>
    <t>Electronics</t>
  </si>
  <si>
    <t>Samsung</t>
  </si>
  <si>
    <t>Souq</t>
  </si>
  <si>
    <t>Cairo</t>
  </si>
  <si>
    <t>ORD100001</t>
  </si>
  <si>
    <t>Nike Air Max</t>
  </si>
  <si>
    <t>Fashion</t>
  </si>
  <si>
    <t>Nike</t>
  </si>
  <si>
    <t>Jumia</t>
  </si>
  <si>
    <t>Alexandria</t>
  </si>
  <si>
    <t>ORD100002</t>
  </si>
  <si>
    <t>Bluetooth Headset</t>
  </si>
  <si>
    <t>Accessories</t>
  </si>
  <si>
    <t>JBL</t>
  </si>
  <si>
    <t>Casablanca</t>
  </si>
  <si>
    <t>ORD100003</t>
  </si>
  <si>
    <t>HP Pavilion Laptop</t>
  </si>
  <si>
    <t>Computers</t>
  </si>
  <si>
    <t>HP</t>
  </si>
  <si>
    <t>Dubai</t>
  </si>
  <si>
    <t>ORD100004</t>
  </si>
  <si>
    <t>iPhone 13</t>
  </si>
  <si>
    <t>Apple</t>
  </si>
  <si>
    <t>ORD100005</t>
  </si>
  <si>
    <t>T-shirt Cotton</t>
  </si>
  <si>
    <t>Generic</t>
  </si>
  <si>
    <t>Riyadh</t>
  </si>
  <si>
    <t>ORD100006</t>
  </si>
  <si>
    <t>ORD100007</t>
  </si>
  <si>
    <t>Smartwatch FitPro</t>
  </si>
  <si>
    <t>FitPro</t>
  </si>
  <si>
    <t>ORD100008</t>
  </si>
  <si>
    <t>Amazon</t>
  </si>
  <si>
    <t>ORD100009</t>
  </si>
  <si>
    <t>Xiaomi Redmi Note 12</t>
  </si>
  <si>
    <t>Xiaomi</t>
  </si>
  <si>
    <t>ORD100010</t>
  </si>
  <si>
    <t>ORD100011</t>
  </si>
  <si>
    <t>Dell Inspiron 3501</t>
  </si>
  <si>
    <t>Dell</t>
  </si>
  <si>
    <t>ORD100012</t>
  </si>
  <si>
    <t>ORD100013</t>
  </si>
  <si>
    <t>ORD100014</t>
  </si>
  <si>
    <t>ORD100015</t>
  </si>
  <si>
    <t>ORD100016</t>
  </si>
  <si>
    <t>ORD100017</t>
  </si>
  <si>
    <t>ORD100018</t>
  </si>
  <si>
    <t>Giza</t>
  </si>
  <si>
    <t>ORD100019</t>
  </si>
  <si>
    <t>ORD100020</t>
  </si>
  <si>
    <t>Adidas Running Shoes</t>
  </si>
  <si>
    <t>Adidas</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</si>
  <si>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</si>
  <si>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</si>
  <si>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</si>
  <si>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</si>
  <si>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</si>
  <si>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</si>
  <si>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</si>
  <si>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</si>
  <si>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</si>
  <si>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</si>
  <si>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</si>
  <si>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</si>
  <si>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</si>
  <si>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</si>
  <si>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</si>
  <si>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</si>
  <si>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</si>
  <si>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</si>
  <si>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</si>
  <si>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</si>
  <si>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</si>
  <si>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</si>
  <si>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</si>
  <si>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</si>
  <si>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</si>
  <si>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</si>
  <si>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</si>
  <si>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</si>
  <si>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</si>
  <si>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</si>
  <si>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</si>
  <si>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</si>
  <si>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</si>
  <si>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</si>
  <si>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</si>
  <si>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</si>
  <si>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</si>
  <si>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</si>
  <si>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</si>
  <si>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</si>
  <si>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</si>
  <si>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</si>
  <si>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</si>
  <si>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</si>
  <si>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</si>
  <si>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</si>
  <si>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</si>
  <si>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</si>
  <si>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</si>
  <si>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</si>
  <si>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</si>
  <si>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</si>
  <si>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</si>
  <si>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</si>
  <si>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</si>
  <si>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</si>
  <si>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</si>
  <si>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</si>
  <si>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</si>
  <si>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</si>
  <si>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</si>
  <si>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</si>
  <si>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</si>
  <si>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</si>
  <si>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</si>
  <si>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</si>
  <si>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</si>
  <si>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</si>
  <si>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</si>
  <si>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</si>
  <si>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</si>
  <si>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</si>
  <si>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</si>
  <si>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</si>
  <si>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</si>
  <si>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</si>
  <si>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</si>
  <si>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</si>
  <si>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</si>
  <si>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</si>
  <si>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</si>
  <si>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</si>
  <si>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</si>
  <si>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</si>
  <si>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</si>
  <si>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</si>
  <si>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</si>
  <si>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</si>
  <si>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</si>
  <si>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</si>
  <si>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</si>
  <si>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</si>
  <si>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</si>
  <si>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</si>
  <si>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</si>
  <si>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</si>
  <si>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</si>
  <si>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</si>
  <si>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</si>
  <si>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</si>
  <si>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</si>
  <si>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</si>
  <si>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</si>
  <si>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</si>
  <si>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</si>
  <si>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</si>
  <si>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</si>
  <si>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</si>
  <si>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</si>
  <si>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</si>
  <si>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</si>
  <si>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</si>
  <si>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</si>
  <si>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</si>
  <si>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</si>
  <si>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</si>
  <si>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</si>
  <si>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</si>
  <si>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</si>
  <si>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</si>
  <si>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</si>
  <si>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</si>
  <si>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</si>
  <si>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</si>
  <si>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</si>
  <si>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</si>
  <si>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</si>
  <si>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</si>
  <si>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</si>
  <si>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</si>
  <si>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</si>
  <si>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</si>
  <si>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</si>
  <si>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</si>
  <si>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</si>
  <si>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</si>
  <si>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</si>
  <si>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</si>
  <si>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</si>
  <si>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</si>
  <si>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</si>
  <si>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</si>
  <si>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</si>
  <si>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</si>
  <si>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</si>
  <si>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</si>
  <si>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</si>
  <si>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</si>
  <si>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</si>
  <si>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</si>
  <si>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</si>
  <si>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</si>
  <si>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</si>
  <si>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</si>
  <si>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</si>
  <si>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</si>
  <si>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</si>
  <si>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</si>
  <si>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</si>
  <si>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</si>
  <si>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</si>
  <si>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</si>
  <si>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</si>
  <si>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</si>
  <si>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</si>
  <si>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</si>
  <si>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</si>
  <si>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</si>
  <si>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</si>
  <si>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</si>
  <si>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</si>
  <si>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</si>
  <si>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</si>
  <si>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</si>
  <si>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</si>
  <si>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</si>
  <si>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</si>
  <si>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</si>
  <si>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</si>
  <si>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</si>
  <si>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</si>
  <si>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</si>
  <si>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</si>
  <si>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</si>
  <si>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</si>
  <si>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</si>
  <si>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</si>
  <si>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</si>
  <si>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</si>
  <si>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</si>
  <si>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</si>
  <si>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</si>
  <si>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</si>
  <si>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</si>
  <si>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</si>
  <si>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</si>
  <si>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</si>
  <si>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</si>
  <si>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</si>
  <si>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</si>
  <si>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</si>
  <si>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</si>
  <si>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</si>
  <si>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</si>
  <si>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</si>
  <si>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</si>
  <si>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</si>
  <si>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</si>
  <si>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</si>
  <si>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</si>
  <si>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</si>
  <si>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</si>
  <si>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</si>
  <si>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</si>
  <si>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</si>
  <si>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</si>
  <si>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</si>
  <si>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</si>
  <si>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</si>
  <si>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</si>
  <si>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</si>
  <si>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</si>
  <si>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</si>
  <si>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</si>
  <si>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</si>
  <si>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</si>
  <si>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</si>
  <si>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</si>
  <si>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</si>
  <si>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</si>
  <si>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</si>
  <si>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</si>
  <si>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</si>
  <si>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</si>
  <si>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</si>
  <si>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</si>
  <si>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</si>
  <si>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</si>
  <si>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</si>
  <si>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</si>
  <si>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</si>
  <si>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</si>
  <si>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</si>
  <si>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</si>
  <si>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</si>
  <si>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</si>
  <si>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</si>
  <si>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</si>
  <si>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</si>
  <si>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</si>
  <si>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</si>
  <si>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</si>
  <si>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</si>
  <si>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</si>
  <si>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</si>
  <si>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</si>
  <si>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</si>
  <si>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</si>
  <si>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</si>
  <si>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</si>
  <si>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</si>
  <si>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</si>
  <si>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</si>
  <si>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</si>
  <si>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</si>
  <si>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</si>
  <si>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</si>
  <si>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</si>
  <si>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</si>
  <si>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</si>
  <si>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</si>
  <si>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</si>
  <si>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</si>
  <si>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</si>
  <si>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</si>
  <si>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</si>
  <si>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</si>
  <si>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</si>
  <si>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</si>
  <si>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</si>
  <si>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</si>
  <si>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</si>
  <si>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</si>
  <si>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</si>
  <si>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</si>
  <si>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</si>
  <si>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</si>
  <si>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</si>
  <si>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</si>
  <si>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</si>
  <si>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</si>
  <si>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</si>
  <si>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</si>
  <si>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</si>
  <si>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</si>
  <si>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</si>
  <si>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</si>
  <si>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</si>
  <si>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</si>
  <si>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</si>
  <si>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</si>
  <si>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</si>
  <si>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</si>
  <si>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</si>
  <si>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</si>
  <si>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</si>
  <si>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</si>
  <si>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</si>
  <si>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</si>
  <si>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</si>
  <si>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</si>
  <si>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</si>
  <si>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</si>
  <si>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</si>
  <si>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</si>
  <si>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</si>
  <si>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</si>
  <si>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</si>
  <si>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</si>
  <si>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</si>
  <si>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</si>
  <si>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</si>
  <si>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</si>
  <si>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</si>
  <si>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</si>
  <si>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</si>
  <si>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</si>
  <si>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</si>
  <si>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</si>
  <si>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</si>
  <si>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</si>
  <si>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</si>
  <si>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</si>
  <si>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</si>
  <si>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</si>
  <si>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</si>
  <si>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</si>
  <si>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</si>
  <si>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</si>
  <si>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</si>
  <si>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</si>
  <si>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</si>
  <si>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</si>
  <si>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</si>
  <si>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</si>
  <si>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</si>
  <si>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</si>
  <si>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</si>
  <si>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</si>
  <si>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</si>
  <si>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</si>
  <si>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</si>
  <si>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</si>
  <si>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</si>
  <si>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</si>
  <si>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</si>
  <si>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</si>
  <si>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</si>
  <si>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</si>
  <si>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</si>
  <si>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</si>
  <si>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</si>
  <si>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</si>
  <si>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</si>
  <si>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</si>
  <si>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</si>
  <si>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</si>
  <si>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</si>
  <si>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</si>
  <si>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</si>
  <si>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</si>
  <si>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</si>
  <si>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</si>
  <si>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</si>
  <si>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</si>
  <si>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</si>
  <si>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</si>
  <si>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</si>
  <si>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</si>
  <si>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</si>
  <si>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</si>
  <si>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</si>
  <si>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</si>
  <si>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</si>
  <si>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</si>
  <si>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</si>
  <si>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</si>
  <si>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</si>
  <si>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</si>
  <si>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</si>
  <si>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</si>
  <si>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</si>
  <si>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</si>
  <si>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</si>
  <si>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</si>
  <si>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</si>
  <si>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</si>
  <si>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</si>
  <si>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</si>
  <si>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</si>
  <si>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</si>
  <si>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</si>
  <si>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</si>
  <si>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</si>
  <si>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</si>
  <si>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</si>
  <si>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</si>
  <si>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</si>
  <si>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</si>
  <si>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</si>
  <si>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</si>
  <si>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</si>
  <si>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</si>
  <si>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</si>
  <si>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</si>
  <si>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</si>
  <si>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</si>
  <si>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</si>
  <si>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</si>
  <si>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</si>
  <si>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</si>
  <si>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</si>
  <si>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</si>
  <si>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</si>
  <si>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</si>
  <si>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</si>
  <si>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</si>
  <si>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</si>
  <si>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</si>
  <si>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</si>
  <si>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</si>
  <si>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</si>
  <si>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</si>
  <si>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</si>
  <si>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</si>
  <si>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</si>
  <si>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</si>
  <si>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</si>
  <si>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</si>
  <si>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</si>
  <si>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</si>
  <si>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</si>
  <si>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</si>
  <si>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</si>
  <si>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</si>
  <si>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</si>
  <si>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</si>
  <si>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</si>
  <si>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</si>
  <si>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</si>
  <si>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</si>
  <si>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</si>
  <si>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</si>
  <si>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</si>
  <si>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</si>
  <si>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</si>
  <si>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</si>
  <si>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</si>
  <si>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</si>
  <si>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</si>
  <si>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</si>
  <si>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</si>
  <si>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</si>
  <si>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</si>
  <si>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</si>
  <si>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</si>
  <si>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</si>
  <si>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</si>
  <si>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</si>
  <si>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</si>
  <si>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</si>
  <si>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</si>
  <si>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</si>
  <si>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</si>
  <si>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</si>
  <si>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</si>
  <si>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</si>
  <si>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</si>
  <si>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</si>
  <si>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</si>
  <si>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</si>
  <si>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</si>
  <si>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</si>
  <si>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</si>
  <si>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</si>
  <si>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</si>
  <si>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</si>
  <si>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</si>
  <si>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</si>
  <si>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</si>
  <si>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</si>
  <si>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</si>
  <si>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</si>
  <si>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</si>
  <si>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</si>
  <si>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</si>
  <si>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</si>
  <si>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</si>
  <si>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</si>
  <si>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</si>
  <si>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</si>
  <si>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</si>
  <si>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</si>
  <si>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</si>
  <si>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</si>
  <si>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</si>
  <si>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</si>
  <si>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</si>
  <si>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</si>
  <si>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</si>
  <si>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</si>
  <si>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</si>
  <si>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</si>
  <si>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</si>
  <si>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</si>
  <si>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</si>
  <si>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</si>
  <si>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</si>
  <si>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</si>
  <si>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</si>
  <si>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</si>
  <si>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</si>
  <si>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</si>
  <si>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</si>
  <si>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</si>
  <si>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</si>
  <si>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</si>
  <si>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</si>
  <si>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</si>
  <si>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</si>
  <si>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</si>
  <si>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</si>
  <si>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</si>
  <si>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</si>
  <si>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</si>
  <si>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</si>
  <si>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</si>
  <si>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</si>
  <si>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</si>
  <si>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</si>
  <si>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</si>
  <si>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</si>
  <si>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</si>
  <si>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</si>
  <si>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</si>
  <si>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</si>
  <si>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</si>
  <si>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</si>
  <si>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</si>
  <si>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</si>
  <si>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</si>
  <si>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</si>
  <si>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</si>
  <si>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</si>
  <si>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</si>
  <si>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</si>
  <si>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</si>
  <si>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</si>
  <si>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</si>
  <si>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</si>
  <si>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</si>
  <si>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</si>
  <si>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</si>
  <si>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</si>
  <si>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</si>
  <si>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</si>
  <si>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</si>
  <si>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</si>
  <si>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</si>
  <si>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</si>
  <si>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</si>
  <si>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</si>
  <si>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</si>
  <si>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</si>
  <si>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</si>
  <si>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</si>
  <si>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</si>
  <si>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</si>
  <si>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</si>
  <si>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</si>
  <si>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</si>
  <si>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</si>
  <si>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</si>
  <si>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</si>
  <si>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</si>
  <si>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</si>
  <si>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</si>
  <si>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</si>
  <si>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</si>
  <si>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</si>
  <si>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</si>
  <si>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</si>
  <si>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</si>
  <si>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</si>
  <si>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</si>
  <si>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</si>
  <si>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</si>
  <si>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</si>
  <si>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</si>
  <si>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</si>
  <si>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</si>
  <si>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</si>
  <si>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</si>
  <si>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</si>
  <si>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</si>
  <si>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</si>
  <si>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</si>
  <si>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</si>
  <si>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</si>
  <si>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</si>
  <si>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</si>
  <si>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</si>
  <si>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</si>
  <si>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</si>
  <si>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</si>
  <si>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</si>
  <si>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</si>
  <si>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</si>
  <si>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</si>
  <si>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</si>
  <si>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</si>
  <si>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</si>
  <si>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</si>
  <si>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</si>
  <si>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</si>
  <si>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</si>
  <si>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</si>
  <si>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</si>
  <si>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</si>
  <si>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</si>
  <si>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</si>
  <si>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</si>
  <si>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</si>
  <si>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</si>
  <si>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</si>
  <si>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</si>
  <si>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</si>
  <si>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</si>
  <si>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</si>
  <si>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</si>
  <si>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</si>
  <si>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</si>
  <si>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</si>
  <si>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</si>
  <si>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</si>
  <si>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</si>
  <si>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</si>
  <si>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</si>
  <si>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</si>
  <si>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</si>
  <si>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</si>
  <si>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</si>
  <si>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</si>
  <si>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</si>
  <si>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</si>
  <si>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</si>
  <si>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</si>
  <si>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</si>
  <si>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</si>
  <si>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</si>
  <si>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</si>
  <si>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</si>
  <si>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</si>
  <si>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</si>
  <si>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</si>
  <si>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</si>
  <si>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</si>
  <si>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</si>
  <si>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</si>
  <si>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</si>
  <si>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</si>
  <si>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</si>
  <si>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</si>
  <si>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</si>
  <si>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</si>
  <si>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</si>
  <si>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</si>
  <si>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</si>
  <si>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</si>
  <si>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</si>
  <si>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</si>
  <si>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</si>
  <si>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</si>
  <si>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</si>
  <si>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</si>
  <si>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</si>
  <si>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</si>
  <si>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</si>
  <si>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</si>
  <si>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</si>
  <si>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</si>
  <si>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</si>
  <si>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</si>
  <si>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</si>
  <si>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</si>
  <si>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</si>
  <si>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</si>
  <si>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</si>
  <si>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</si>
  <si>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</si>
  <si>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</si>
  <si>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</si>
  <si>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</si>
  <si>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</si>
  <si>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</si>
  <si>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</si>
  <si>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</si>
  <si>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</si>
  <si>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</si>
  <si>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</si>
  <si>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</si>
  <si>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</si>
  <si>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</si>
  <si>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</si>
  <si>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</si>
  <si>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</si>
  <si>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</si>
  <si>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</si>
  <si>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</si>
  <si>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</si>
  <si>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</si>
  <si>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</si>
  <si>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</si>
  <si>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</si>
  <si>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</si>
  <si>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</si>
  <si>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</si>
  <si>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</si>
  <si>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</si>
  <si>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</si>
  <si>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</si>
  <si>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</si>
  <si>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</si>
  <si>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</si>
  <si>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</si>
  <si>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</si>
  <si>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</si>
  <si>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</si>
  <si>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</si>
  <si>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</si>
  <si>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</si>
  <si>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</si>
  <si>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</si>
  <si>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</si>
  <si>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</si>
  <si>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</si>
  <si>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</si>
  <si>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</si>
  <si>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</si>
  <si>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</si>
  <si>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</si>
  <si>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</si>
  <si>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</si>
  <si>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</si>
  <si>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</si>
  <si>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</si>
  <si>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</si>
  <si>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</si>
  <si>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</si>
  <si>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</si>
  <si>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</si>
  <si>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</si>
  <si>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</si>
  <si>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</si>
  <si>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</si>
  <si>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</si>
  <si>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</si>
  <si>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</si>
  <si>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</si>
  <si>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</si>
  <si>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</si>
  <si>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</si>
  <si>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</si>
  <si>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</si>
  <si>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</si>
  <si>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</si>
  <si>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</si>
  <si>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</si>
  <si>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</si>
  <si>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</si>
  <si>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</si>
  <si>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</si>
  <si>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</si>
  <si>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</si>
  <si>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</si>
  <si>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</si>
  <si>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</si>
  <si>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</si>
  <si>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</si>
  <si>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</si>
  <si>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</si>
  <si>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</si>
  <si>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</si>
  <si>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</si>
  <si>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</si>
  <si>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</si>
  <si>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</si>
  <si>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</si>
  <si>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</si>
  <si>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</si>
  <si>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</si>
  <si>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</si>
  <si>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</si>
  <si>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</si>
  <si>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</si>
  <si>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</si>
  <si>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</si>
  <si>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</si>
  <si>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</si>
  <si>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</si>
  <si>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</si>
  <si>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</si>
  <si>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</si>
  <si>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</si>
  <si>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</si>
  <si>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</si>
  <si>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</si>
  <si>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</si>
  <si>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</si>
  <si>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</si>
  <si>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</si>
  <si>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</si>
  <si>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</si>
  <si>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</si>
  <si>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</si>
  <si>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</si>
  <si>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</si>
  <si>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</si>
  <si>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</si>
  <si>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</si>
  <si>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</si>
  <si>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</si>
  <si>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</si>
  <si>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</si>
  <si>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</si>
  <si>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</si>
  <si>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</si>
  <si>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</si>
  <si>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</si>
  <si>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</si>
  <si>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</si>
  <si>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</si>
  <si>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</si>
  <si>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</si>
  <si>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</si>
  <si>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</si>
  <si>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</si>
  <si>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</si>
  <si>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</si>
  <si>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</si>
  <si>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</si>
  <si>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</si>
  <si>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</si>
  <si>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</si>
  <si>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</si>
  <si>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</si>
  <si>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</si>
  <si>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</si>
  <si>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</si>
  <si>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</si>
  <si>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</si>
  <si>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</si>
  <si>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</si>
  <si>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</si>
  <si>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</si>
  <si>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</si>
  <si>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</si>
  <si>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</si>
  <si>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</si>
  <si>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</si>
  <si>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</si>
  <si>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</si>
  <si>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</si>
  <si>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</si>
  <si>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</si>
  <si>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</si>
  <si>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</si>
  <si>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</si>
  <si>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</si>
  <si>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</si>
  <si>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</si>
  <si>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</si>
  <si>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</si>
  <si>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</si>
  <si>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</si>
  <si>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</si>
  <si>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</si>
  <si>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</si>
  <si>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</si>
  <si>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</si>
  <si>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</si>
  <si>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</si>
  <si>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</si>
  <si>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</si>
  <si>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</si>
  <si>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</si>
  <si>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</si>
  <si>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</si>
  <si>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</si>
  <si>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</si>
  <si>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</si>
  <si>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</si>
  <si>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</si>
  <si>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</si>
  <si>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</si>
  <si>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</si>
  <si>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</si>
  <si>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</si>
  <si>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</si>
  <si>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</si>
  <si>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</si>
  <si>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</si>
  <si>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</si>
  <si>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</si>
  <si>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</si>
  <si>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</si>
  <si>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</si>
  <si>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</si>
  <si>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</si>
  <si>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</si>
  <si>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</si>
  <si>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</si>
  <si>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</si>
  <si>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</si>
  <si>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</si>
  <si>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</si>
  <si>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</si>
  <si>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</si>
  <si>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</si>
  <si>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</si>
  <si>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</si>
  <si>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</si>
  <si>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</si>
  <si>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</si>
  <si>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</si>
  <si>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</si>
  <si>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</si>
  <si>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</si>
  <si>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</si>
  <si>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</si>
  <si>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</si>
  <si>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</si>
  <si>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</si>
  <si>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</si>
  <si>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</si>
  <si>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</si>
  <si>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</si>
  <si>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</si>
  <si>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</si>
  <si>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</si>
  <si>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</si>
  <si>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</si>
  <si>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</si>
  <si>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</si>
  <si>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</si>
  <si>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</si>
  <si>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</si>
  <si>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</si>
  <si>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</si>
  <si>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</si>
  <si>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</si>
  <si>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</si>
  <si>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</si>
  <si>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</si>
  <si>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</si>
  <si>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</si>
  <si>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</si>
  <si>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</si>
  <si>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</si>
  <si>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</si>
  <si>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</si>
  <si>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</si>
  <si>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</si>
  <si>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</si>
  <si>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</si>
  <si>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</si>
  <si>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</si>
  <si>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</si>
  <si>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</si>
  <si>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</si>
  <si>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</si>
  <si>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</si>
  <si>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</si>
  <si>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</si>
  <si>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</si>
  <si>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</si>
  <si>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</si>
  <si>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</si>
  <si>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</si>
  <si>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</si>
  <si>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</si>
  <si>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</si>
  <si>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</si>
  <si>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</si>
  <si>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</si>
  <si>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</si>
  <si>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</si>
  <si>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</si>
  <si>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</si>
  <si>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</si>
  <si>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</si>
  <si>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</si>
  <si>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</si>
  <si>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</si>
  <si>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</si>
  <si>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</si>
  <si>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</si>
  <si>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</si>
  <si>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</si>
  <si>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</si>
  <si>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</si>
  <si>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</si>
  <si>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</si>
  <si>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</si>
  <si>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</si>
  <si>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</si>
  <si>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</si>
  <si>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</si>
  <si>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</si>
  <si>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</si>
  <si>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</si>
  <si>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</si>
  <si>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</si>
  <si>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</si>
  <si>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</si>
  <si>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</si>
  <si>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</si>
  <si>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</si>
  <si>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</si>
  <si>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</si>
  <si>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</si>
  <si>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</si>
  <si>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</si>
  <si>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</si>
  <si>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</si>
  <si>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</si>
  <si>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</si>
  <si>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</si>
  <si>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</si>
  <si>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</si>
  <si>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</si>
  <si>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</si>
  <si>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</si>
  <si>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</si>
  <si>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</si>
  <si>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</si>
  <si>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</si>
  <si>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</si>
  <si>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</si>
  <si>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</si>
  <si>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</si>
  <si>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</si>
  <si>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</si>
  <si>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</si>
  <si>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</si>
  <si>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</si>
  <si>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</si>
  <si>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</si>
  <si>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</si>
  <si>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</si>
  <si>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</si>
  <si>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</si>
  <si>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</si>
  <si>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</si>
  <si>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</si>
  <si>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</si>
  <si>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</si>
  <si>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</si>
  <si>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</si>
  <si>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</si>
  <si>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</si>
  <si>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</si>
  <si>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</si>
  <si>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</si>
  <si>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</si>
  <si>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</si>
  <si>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</si>
  <si>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</si>
  <si>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</si>
  <si>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</si>
  <si>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</si>
  <si>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</si>
  <si>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</si>
  <si>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</si>
  <si>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</si>
  <si>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</si>
  <si>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</si>
  <si>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</si>
  <si>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</si>
  <si>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</si>
  <si>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</si>
  <si>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</si>
  <si>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</si>
  <si>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</si>
  <si>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</si>
  <si>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</si>
  <si>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</si>
  <si>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</si>
  <si>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</si>
  <si>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</si>
  <si>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</si>
  <si>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</si>
  <si>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</si>
  <si>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</si>
  <si>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</si>
  <si>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</si>
  <si>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</si>
  <si>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</si>
  <si>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</si>
  <si>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</si>
  <si>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</si>
  <si>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</si>
  <si>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</si>
  <si>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</si>
  <si>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</si>
  <si>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</si>
  <si>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</si>
  <si>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</si>
  <si>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</si>
  <si>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</si>
  <si>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</si>
  <si>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</si>
  <si>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</si>
  <si>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</si>
  <si>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</si>
  <si>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</si>
  <si>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</si>
  <si>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</si>
  <si>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</si>
  <si>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</si>
  <si>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</si>
  <si>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</si>
  <si>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</si>
  <si>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</si>
  <si>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</si>
  <si>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</si>
  <si>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</si>
  <si>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</si>
  <si>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</si>
  <si>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</si>
  <si>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</si>
  <si>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</si>
  <si>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</si>
  <si>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</si>
  <si>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</si>
  <si>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</si>
  <si>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</si>
  <si>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</si>
  <si>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</si>
  <si>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</si>
  <si>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</si>
  <si>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</si>
  <si>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</si>
  <si>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</si>
  <si>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</si>
  <si>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</si>
  <si>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</si>
  <si>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</si>
  <si>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</si>
  <si>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</si>
  <si>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</si>
  <si>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</si>
  <si>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</si>
  <si>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</si>
  <si>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</si>
  <si>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</si>
  <si>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</si>
  <si>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</si>
  <si>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</si>
  <si>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</si>
  <si>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</si>
  <si>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</si>
  <si>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</si>
  <si>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</si>
  <si>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</si>
  <si>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</si>
  <si>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</si>
  <si>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</si>
  <si>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</si>
  <si>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</si>
  <si>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</si>
  <si>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</si>
  <si>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</si>
  <si>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</si>
  <si>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</si>
  <si>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</si>
  <si>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</si>
  <si>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</si>
  <si>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</si>
  <si>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</si>
  <si>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</si>
  <si>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</si>
  <si>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</si>
  <si>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</si>
  <si>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</si>
  <si>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</si>
  <si>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</si>
  <si>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</si>
  <si>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</si>
  <si>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</si>
  <si>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</si>
  <si>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</si>
  <si>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</si>
  <si>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</si>
  <si>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</si>
  <si>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</si>
  <si>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</si>
  <si>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</si>
  <si>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</si>
  <si>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</si>
  <si>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</si>
  <si>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</si>
  <si>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</si>
  <si>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</si>
  <si>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</si>
  <si>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</si>
  <si>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</si>
  <si>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</si>
  <si>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</si>
  <si>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</si>
  <si>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</si>
  <si>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</si>
  <si>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</si>
  <si>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</si>
  <si>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</si>
  <si>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</si>
  <si>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</si>
  <si>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</si>
  <si>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</si>
  <si>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</si>
  <si>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</si>
  <si>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</si>
  <si>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</si>
  <si>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</si>
  <si>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</si>
  <si>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</si>
  <si>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</si>
  <si>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</si>
  <si>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</si>
  <si>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</si>
  <si>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</si>
  <si>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</si>
  <si>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</si>
  <si>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</si>
  <si>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</si>
  <si>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</si>
  <si>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</si>
  <si>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</si>
  <si>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</si>
  <si>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</si>
  <si>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</si>
  <si>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</si>
  <si>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</si>
  <si>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</si>
  <si>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</si>
  <si>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</si>
  <si>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</si>
  <si>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</si>
  <si>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</si>
  <si>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</si>
  <si>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</si>
  <si>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</si>
  <si>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</si>
  <si>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</si>
  <si>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</si>
  <si>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</si>
  <si>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</si>
  <si>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</si>
  <si>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</si>
  <si>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</si>
  <si>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</si>
  <si>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</si>
  <si>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</si>
  <si>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</si>
  <si>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</si>
  <si>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</si>
  <si>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</si>
  <si>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</si>
  <si>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</si>
  <si>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</si>
  <si>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</si>
  <si>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</si>
  <si>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</si>
  <si>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</si>
  <si>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</si>
  <si>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</si>
  <si>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</si>
  <si>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</si>
  <si>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</si>
  <si>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</si>
  <si>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</si>
  <si>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</si>
  <si>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</si>
  <si>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</si>
  <si>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</si>
  <si>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</si>
  <si>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</si>
  <si>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</si>
  <si>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</si>
  <si>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</si>
  <si>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</si>
  <si>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</si>
  <si>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</si>
  <si>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</si>
  <si>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</si>
  <si>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</si>
  <si>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</si>
  <si>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</si>
  <si>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</si>
  <si>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</si>
  <si>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</si>
  <si>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</si>
  <si>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</si>
  <si>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</si>
  <si>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</si>
  <si>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</si>
  <si>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</si>
  <si>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</si>
  <si>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</si>
  <si>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</si>
  <si>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</si>
  <si>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</si>
  <si>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</si>
  <si>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</si>
  <si>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</si>
  <si>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</si>
  <si>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</si>
  <si>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</si>
  <si>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</si>
  <si>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</si>
  <si>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</si>
  <si>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</si>
  <si>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</si>
  <si>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</si>
  <si>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</si>
  <si>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</si>
  <si>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</si>
  <si>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</si>
  <si>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</si>
  <si>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</si>
  <si>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</si>
  <si>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</si>
  <si>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</si>
  <si>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</si>
  <si>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</si>
  <si>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</si>
  <si>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</si>
  <si>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</si>
  <si>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</si>
  <si>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</si>
  <si>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</si>
  <si>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</si>
  <si>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</si>
  <si>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</si>
  <si>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</si>
  <si>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</si>
  <si>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</si>
  <si>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</si>
  <si>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</si>
  <si>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</si>
  <si>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</si>
  <si>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</si>
  <si>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</si>
  <si>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</si>
  <si>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</si>
  <si>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</si>
  <si>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</si>
  <si>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</si>
  <si>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</si>
  <si>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</si>
  <si>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</si>
  <si>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</si>
  <si>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</si>
  <si>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</si>
  <si>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</si>
  <si>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</si>
  <si>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</si>
  <si>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</si>
  <si>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</si>
  <si>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</si>
  <si>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</si>
  <si>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</si>
  <si>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</si>
  <si>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</si>
  <si>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</si>
  <si>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</si>
  <si>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</si>
  <si>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</si>
  <si>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</si>
  <si>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</si>
  <si>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</si>
  <si>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</si>
  <si>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</si>
  <si>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</si>
  <si>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</si>
  <si>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</si>
  <si>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</si>
  <si>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</si>
  <si>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</si>
  <si>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</si>
  <si>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</si>
  <si>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</si>
  <si>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</si>
  <si>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</si>
  <si>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</si>
  <si>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</si>
  <si>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</si>
  <si>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</si>
  <si>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</si>
  <si>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</si>
  <si>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</si>
  <si>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</si>
  <si>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</si>
  <si>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</si>
  <si>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</si>
  <si>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</si>
  <si>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</si>
  <si>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</si>
  <si>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</si>
  <si>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</si>
  <si>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</si>
  <si>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</si>
  <si>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</si>
  <si>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</si>
  <si>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</si>
  <si>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</si>
  <si>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</si>
  <si>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</si>
  <si>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</si>
  <si>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</si>
  <si>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</si>
  <si>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</si>
  <si>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</si>
  <si>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</si>
  <si>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</si>
  <si>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</si>
  <si>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</si>
  <si>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</si>
  <si>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</si>
  <si>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</si>
  <si>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</si>
  <si>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</si>
  <si>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</si>
  <si>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</si>
  <si>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</si>
  <si>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</si>
  <si>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</si>
  <si>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</si>
  <si>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</si>
  <si>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</si>
  <si>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</si>
  <si>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</si>
  <si>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</si>
  <si>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</si>
  <si>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</si>
  <si>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</si>
  <si>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</si>
  <si>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</si>
  <si>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</si>
  <si>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</si>
  <si>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</si>
  <si>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</si>
  <si>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</si>
  <si>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</si>
  <si>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</si>
  <si>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</si>
  <si>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</si>
  <si>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</si>
  <si>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</si>
  <si>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</si>
  <si>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</si>
  <si>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</si>
  <si>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</si>
  <si>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</si>
  <si>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</si>
  <si>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</si>
  <si>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</si>
  <si>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</si>
  <si>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</si>
  <si>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</si>
  <si>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</si>
  <si>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</si>
  <si>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</si>
  <si>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</si>
  <si>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</si>
  <si>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</si>
  <si>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</si>
  <si>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</si>
  <si>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</si>
  <si>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</si>
  <si>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</si>
  <si>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</si>
  <si>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</si>
  <si>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</si>
  <si>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</si>
  <si>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</si>
  <si>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</si>
  <si>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</si>
  <si>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</si>
  <si>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</si>
  <si>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</si>
  <si>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</si>
  <si>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</si>
  <si>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</si>
  <si>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</si>
  <si>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</si>
  <si>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</si>
  <si>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</si>
  <si>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</si>
  <si>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</si>
  <si>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</si>
  <si>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</si>
  <si>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</si>
  <si>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</si>
  <si>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</si>
  <si>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</si>
  <si>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</si>
  <si>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</si>
  <si>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</si>
  <si>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</si>
  <si>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</si>
  <si>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</si>
  <si>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</si>
  <si>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</si>
  <si>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</si>
  <si>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</si>
  <si>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</si>
  <si>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</si>
  <si>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</si>
  <si>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</si>
  <si>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</si>
  <si>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</si>
  <si>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</si>
  <si>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</si>
  <si>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</si>
  <si>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</si>
  <si>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</si>
  <si>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</si>
  <si>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</si>
  <si>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</si>
  <si>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</si>
  <si>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</si>
  <si>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</si>
  <si>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</si>
  <si>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</si>
  <si>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</si>
  <si>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</si>
  <si>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</si>
  <si>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</si>
  <si>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</si>
  <si>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</si>
  <si>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</si>
  <si>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</si>
  <si>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</si>
  <si>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</si>
  <si>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</si>
  <si>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</si>
  <si>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</si>
  <si>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</si>
  <si>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</si>
  <si>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</si>
  <si>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</si>
  <si>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</si>
  <si>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</si>
  <si>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</si>
  <si>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</si>
  <si>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</si>
  <si>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</si>
  <si>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</si>
  <si>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</si>
  <si>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</si>
  <si>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</si>
  <si>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</si>
  <si>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</si>
  <si>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</si>
  <si>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</si>
  <si>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</si>
  <si>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</si>
  <si>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</si>
  <si>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</si>
  <si>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</si>
  <si>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</si>
  <si>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</si>
  <si>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</si>
  <si>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</si>
  <si>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</si>
  <si>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</si>
  <si>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</si>
  <si>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</si>
  <si>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</si>
  <si>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</si>
  <si>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</si>
  <si>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</si>
  <si>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</si>
  <si>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</si>
  <si>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</si>
  <si>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</si>
  <si>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</si>
  <si>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</si>
  <si>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</si>
  <si>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</si>
  <si>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</si>
  <si>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</si>
  <si>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</si>
  <si>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</si>
  <si>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</si>
  <si>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</si>
  <si>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</si>
  <si>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</si>
  <si>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</si>
  <si>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</si>
  <si>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</si>
  <si>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</si>
  <si>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</si>
  <si>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</si>
  <si>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</si>
  <si>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</si>
  <si>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</si>
  <si>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</si>
  <si>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</si>
  <si>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</si>
  <si>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</si>
  <si>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</si>
  <si>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</si>
  <si>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</si>
  <si>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</si>
  <si>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</si>
  <si>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</si>
  <si>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</si>
  <si>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</si>
  <si>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</si>
  <si>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</si>
  <si>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</si>
  <si>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</si>
  <si>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</si>
  <si>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</si>
  <si>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</si>
  <si>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</si>
  <si>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</si>
  <si>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</si>
  <si>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</si>
  <si>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</si>
  <si>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</si>
  <si>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</si>
  <si>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</si>
  <si>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</si>
  <si>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</si>
  <si>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</si>
  <si>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</si>
  <si>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</si>
  <si>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</si>
  <si>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</si>
  <si>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</si>
  <si>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</si>
  <si>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</si>
  <si>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</si>
  <si>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</si>
  <si>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</si>
  <si>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</si>
  <si>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</si>
  <si>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</si>
  <si>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</si>
  <si>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</si>
  <si>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</si>
  <si>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</si>
  <si>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</si>
  <si>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</si>
  <si>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</si>
  <si>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</si>
  <si>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</si>
  <si>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</si>
  <si>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</si>
  <si>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</si>
  <si>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</si>
  <si>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</si>
  <si>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</si>
  <si>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</si>
  <si>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</si>
  <si>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</si>
  <si>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</si>
  <si>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</si>
  <si>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</si>
  <si>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</si>
  <si>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</si>
  <si>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</si>
  <si>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</si>
  <si>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</si>
  <si>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</si>
  <si>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</si>
  <si>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</si>
  <si>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</si>
  <si>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</si>
  <si>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</si>
  <si>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</si>
  <si>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</si>
  <si>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</si>
  <si>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</si>
  <si>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</si>
  <si>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</si>
  <si>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</si>
  <si>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</si>
  <si>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</si>
  <si>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</si>
  <si>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</si>
  <si>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</si>
  <si>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</si>
  <si>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</si>
  <si>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</si>
  <si>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</si>
  <si>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</si>
  <si>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</si>
  <si>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</si>
  <si>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</si>
  <si>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</si>
  <si>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</si>
  <si>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</si>
  <si>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</si>
  <si>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</si>
  <si>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</si>
  <si>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</si>
  <si>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</si>
  <si>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</si>
  <si>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</si>
  <si>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</si>
  <si>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</si>
  <si>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</si>
  <si>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</si>
  <si>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</si>
  <si>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</si>
  <si>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</si>
  <si>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</si>
  <si>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</si>
  <si>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</si>
  <si>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</si>
  <si>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</si>
  <si>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</si>
  <si>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</si>
  <si>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</si>
  <si>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</si>
  <si>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</si>
  <si>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</si>
  <si>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</si>
  <si>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</si>
  <si>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</si>
  <si>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</si>
  <si>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</si>
  <si>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</si>
  <si>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</si>
  <si>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</si>
  <si>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</si>
  <si>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</si>
  <si>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</si>
  <si>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</si>
  <si>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</si>
  <si>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</si>
  <si>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</si>
  <si>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</si>
  <si>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</si>
  <si>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</si>
  <si>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</si>
  <si>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</si>
  <si>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</si>
  <si>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</si>
  <si>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</si>
  <si>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</si>
  <si>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</si>
  <si>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</si>
  <si>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</si>
  <si>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</si>
  <si>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</si>
  <si>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</si>
  <si>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</si>
  <si>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</si>
  <si>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</si>
  <si>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</si>
  <si>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</si>
  <si>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</si>
  <si>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</si>
  <si>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</si>
  <si>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</si>
  <si>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</si>
  <si>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</si>
  <si>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</si>
  <si>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</si>
  <si>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</si>
  <si>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</si>
  <si>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</si>
  <si>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</si>
  <si>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</si>
  <si>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</si>
  <si>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</si>
  <si>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</si>
  <si>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</si>
  <si>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</si>
  <si>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</si>
  <si>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</si>
  <si>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</si>
  <si>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</si>
  <si>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</si>
  <si>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</si>
  <si>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</si>
  <si>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</si>
  <si>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</si>
  <si>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</si>
  <si>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</si>
  <si>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</si>
  <si>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</si>
  <si>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</si>
  <si>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</si>
  <si>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</si>
  <si>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</si>
  <si>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</si>
  <si>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</si>
  <si>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</si>
  <si>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</si>
  <si>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</si>
  <si>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</si>
  <si>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</si>
  <si>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</si>
  <si>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</si>
  <si>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</si>
  <si>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</si>
  <si>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</si>
  <si>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</si>
  <si>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</si>
  <si>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</si>
  <si>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</si>
  <si>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</si>
  <si>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</si>
  <si>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</si>
  <si>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</si>
  <si>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</si>
  <si>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</si>
  <si>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</si>
  <si>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</si>
  <si>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</si>
  <si>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</si>
  <si>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</si>
  <si>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</si>
  <si>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</si>
  <si>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</si>
  <si>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</si>
  <si>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</si>
  <si>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</si>
  <si>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</si>
  <si>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</si>
  <si>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</si>
  <si>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</si>
  <si>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</si>
  <si>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</si>
  <si>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</si>
  <si>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</si>
  <si>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</si>
  <si>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</si>
  <si>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</si>
  <si>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</si>
  <si>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</si>
  <si>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</si>
  <si>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</si>
  <si>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</si>
  <si>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</si>
  <si>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</si>
  <si>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</si>
  <si>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</si>
  <si>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</si>
  <si>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</si>
  <si>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</si>
  <si>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</si>
  <si>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</si>
  <si>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</si>
  <si>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</si>
  <si>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</si>
  <si>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</si>
  <si>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</si>
  <si>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</si>
  <si>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</si>
  <si>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</si>
  <si>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</si>
  <si>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</si>
  <si>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</si>
  <si>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</si>
  <si>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</si>
  <si>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</si>
  <si>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</si>
  <si>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</si>
  <si>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</si>
  <si>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</si>
  <si>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</si>
  <si>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</si>
  <si>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</si>
  <si>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</si>
  <si>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</si>
  <si>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</si>
  <si>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</si>
  <si>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</si>
  <si>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</si>
  <si>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</si>
  <si>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</si>
  <si>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</si>
  <si>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</si>
  <si>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</si>
  <si>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</si>
  <si>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</si>
  <si>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</si>
  <si>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</si>
  <si>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</si>
  <si>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</si>
  <si>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</si>
  <si>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</si>
  <si>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</si>
  <si>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</si>
  <si>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</si>
  <si>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</si>
  <si>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</si>
  <si>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</si>
  <si>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</si>
  <si>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</si>
  <si>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</si>
  <si>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</si>
  <si>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</si>
  <si>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</si>
  <si>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</si>
  <si>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</si>
  <si>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</si>
  <si>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</si>
  <si>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</si>
  <si>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</si>
  <si>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</si>
  <si>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</si>
  <si>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</si>
  <si>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</si>
  <si>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</si>
  <si>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</si>
  <si>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</si>
  <si>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</si>
  <si>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</si>
  <si>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</si>
  <si>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</si>
  <si>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</si>
  <si>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</si>
  <si>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</si>
  <si>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</si>
  <si>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</si>
  <si>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</si>
  <si>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</si>
  <si>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</si>
  <si>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</si>
  <si>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</si>
  <si>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</si>
  <si>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</si>
  <si>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</si>
  <si>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</si>
  <si>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</si>
  <si>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</si>
  <si>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</si>
  <si>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</si>
  <si>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</si>
  <si>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</si>
  <si>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</si>
  <si>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</si>
  <si>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</si>
  <si>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</si>
  <si>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</si>
  <si>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</si>
  <si>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</si>
  <si>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</si>
  <si>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</si>
  <si>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</si>
  <si>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</si>
  <si>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</si>
  <si>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</si>
  <si>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</si>
  <si>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</si>
  <si>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</si>
  <si>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</si>
  <si>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</si>
  <si>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</si>
  <si>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</si>
  <si>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Sum of TotalAmount</t>
  </si>
  <si>
    <t>Sum of Quantity</t>
  </si>
  <si>
    <t>Average of Rating</t>
  </si>
  <si>
    <t>Count of OrderID</t>
  </si>
  <si>
    <t>Row Labels</t>
  </si>
  <si>
    <t>Grand Total</t>
  </si>
  <si>
    <t>Jan</t>
  </si>
  <si>
    <t>Feb</t>
  </si>
  <si>
    <t>Mar</t>
  </si>
  <si>
    <t>Apr</t>
  </si>
  <si>
    <t>May</t>
  </si>
  <si>
    <t>Jun</t>
  </si>
  <si>
    <t>Jul</t>
  </si>
  <si>
    <t>Aug</t>
  </si>
  <si>
    <t>Sep</t>
  </si>
  <si>
    <t>Oct</t>
  </si>
  <si>
    <t>Nov</t>
  </si>
  <si>
    <t>Dec</t>
  </si>
  <si>
    <t xml:space="preserve"> </t>
  </si>
  <si>
    <t>Value for Display</t>
  </si>
  <si>
    <t>Qty.</t>
  </si>
  <si>
    <t>Amount</t>
  </si>
  <si>
    <t>Avg. Rating</t>
  </si>
  <si>
    <t>Orders</t>
  </si>
  <si>
    <t>For Trends</t>
  </si>
  <si>
    <t>Column Labels</t>
  </si>
  <si>
    <t>Fpr Matrix</t>
  </si>
  <si>
    <t>App/CATEGORY</t>
  </si>
  <si>
    <t>Count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</si>
</sst>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00_ ;_-[$$-409]* \-#,##0.00\ ;_-[$$-409]* &quot;-&quot;??_ ;_-@_ "/>
    <numFmt numFmtId="165"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2"/>
      <name val="Agency FB"/>
      <family val="2"/>
    </font>
    <font>
      <b/>
      <sz val="12"/>
      <color theme="0"/>
      <name val="Arial Rounded MT Bold"/>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rgb="FF002060"/>
        <bgColor indexed="64"/>
      </patternFill>
    </fill>
    <fill>
      <patternFill patternType="solid">
        <fgColor rgb="FF0070C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theme="0"/>
      </left>
      <right style="double">
        <color theme="0" tint="-4.9989318521683403E-2"/>
      </right>
      <top style="double">
        <color theme="0"/>
      </top>
      <bottom style="double">
        <color theme="0" tint="-4.9989318521683403E-2"/>
      </bottom>
      <diagonal/>
    </border>
    <border>
      <left style="double">
        <color theme="0" tint="-4.9989318521683403E-2"/>
      </left>
      <right style="double">
        <color theme="0" tint="-4.9989318521683403E-2"/>
      </right>
      <top style="double">
        <color theme="0"/>
      </top>
      <bottom style="double">
        <color theme="0" tint="-4.9989318521683403E-2"/>
      </bottom>
      <diagonal/>
    </border>
    <border>
      <left style="double">
        <color theme="0"/>
      </left>
      <right style="double">
        <color theme="0" tint="-4.9989318521683403E-2"/>
      </right>
      <top style="double">
        <color theme="0" tint="-4.9989318521683403E-2"/>
      </top>
      <bottom style="double">
        <color theme="0" tint="-4.9989318521683403E-2"/>
      </bottom>
      <diagonal/>
    </border>
    <border>
      <left style="double">
        <color theme="0" tint="-4.9989318521683403E-2"/>
      </left>
      <right style="double">
        <color theme="0" tint="-4.9989318521683403E-2"/>
      </right>
      <top style="double">
        <color theme="0" tint="-4.9989318521683403E-2"/>
      </top>
      <bottom style="double">
        <color theme="0" tint="-4.9989318521683403E-2"/>
      </bottom>
      <diagonal/>
    </border>
    <border>
      <left style="double">
        <color theme="0"/>
      </left>
      <right style="double">
        <color theme="0" tint="-4.9989318521683403E-2"/>
      </right>
      <top style="double">
        <color theme="0" tint="-4.9989318521683403E-2"/>
      </top>
      <bottom style="double">
        <color theme="0"/>
      </bottom>
      <diagonal/>
    </border>
    <border>
      <left style="double">
        <color theme="0" tint="-4.9989318521683403E-2"/>
      </left>
      <right style="double">
        <color theme="0" tint="-4.9989318521683403E-2"/>
      </right>
      <top style="double">
        <color theme="0" tint="-4.9989318521683403E-2"/>
      </top>
      <bottom style="double">
        <color theme="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0" fontId="18" fillId="33" borderId="0" xfId="0" applyFont="1" applyFill="1" applyAlignment="1">
      <alignment horizontal="center"/>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19" fillId="35" borderId="10" xfId="0" applyFont="1" applyFill="1" applyBorder="1" applyAlignment="1">
      <alignment horizontal="center"/>
    </xf>
    <xf numFmtId="0" fontId="19" fillId="34" borderId="11" xfId="0" applyFont="1" applyFill="1" applyBorder="1" applyAlignment="1">
      <alignment horizontal="center"/>
    </xf>
    <xf numFmtId="0" fontId="19" fillId="34" borderId="12" xfId="0" applyFont="1" applyFill="1" applyBorder="1" applyAlignment="1">
      <alignment horizontal="center"/>
    </xf>
    <xf numFmtId="165" fontId="0" fillId="0" borderId="13" xfId="0" applyNumberFormat="1" applyBorder="1"/>
    <xf numFmtId="0" fontId="19" fillId="34" borderId="14" xfId="0" applyFont="1" applyFill="1" applyBorder="1" applyAlignment="1">
      <alignment horizontal="center"/>
    </xf>
    <xf numFmtId="165" fontId="0" fillId="0" borderId="15" xfId="0" applyNumberFormat="1" applyBorder="1"/>
    <xf numFmtId="2" fontId="0" fillId="0" borderId="0" xfId="0" applyNumberFormat="1"/>
    <xf numFmtId="0" fontId="0" fillId="0" borderId="0" xfId="0"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2" formatCode="0.00"/>
    </dxf>
    <dxf>
      <numFmt numFmtId="14" formatCode="0.00%"/>
    </dxf>
    <dxf>
      <numFmt numFmtId="166" formatCode="[$$-409]#,##0"/>
    </dxf>
    <dxf>
      <numFmt numFmtId="19" formatCode="dd/mm/yyyy"/>
    </dxf>
    <dxf>
      <font>
        <b/>
        <i val="0"/>
        <strike val="0"/>
        <condense val="0"/>
        <extend val="0"/>
        <outline val="0"/>
        <shadow val="0"/>
        <u val="none"/>
        <vertAlign val="baseline"/>
        <sz val="16"/>
        <color theme="2"/>
        <name val="Agency FB"/>
        <family val="2"/>
        <scheme val="none"/>
      </font>
      <fill>
        <patternFill patternType="solid">
          <fgColor indexed="64"/>
          <bgColor theme="4" tint="-0.249977111117893"/>
        </patternFill>
      </fill>
      <alignment horizontal="center" vertical="bottom" textRotation="0" wrapText="0" indent="0" justifyLastLine="0" shrinkToFit="0" readingOrder="0"/>
    </dxf>
    <dxf>
      <fill>
        <patternFill>
          <fgColor rgb="FFEF8DDC"/>
        </patternFill>
      </fill>
    </dxf>
    <dxf>
      <fill>
        <patternFill>
          <bgColor theme="0" tint="-0.14996795556505021"/>
        </patternFill>
      </fill>
    </dxf>
    <dxf>
      <fill>
        <patternFill patternType="solid">
          <fgColor rgb="FFFF99FF"/>
          <bgColor auto="1"/>
        </patternFill>
      </fill>
    </dxf>
    <dxf>
      <fill>
        <patternFill>
          <bgColor rgb="FFFF99FF"/>
        </patternFill>
      </fill>
    </dxf>
    <dxf>
      <fill>
        <gradientFill degree="135">
          <stop position="0">
            <color rgb="FFEF8DDC"/>
          </stop>
          <stop position="0.5">
            <color theme="4"/>
          </stop>
          <stop position="1">
            <color rgb="FFEF8DDC"/>
          </stop>
        </gradientFill>
      </fill>
      <border>
        <left style="thin">
          <color auto="1"/>
        </left>
        <right style="thin">
          <color auto="1"/>
        </right>
        <top style="thin">
          <color auto="1"/>
        </top>
        <bottom style="thin">
          <color auto="1"/>
        </bottom>
      </border>
    </dxf>
  </dxfs>
  <tableStyles count="3" defaultTableStyle="TableStyleMedium2" defaultPivotStyle="PivotStyleLight16">
    <tableStyle name="Slicer Style 1" pivot="0" table="0" count="10" xr9:uid="{CFAE06E5-E1F3-4CC2-9094-8A72B7E56501}">
      <tableStyleElement type="wholeTable" dxfId="9"/>
      <tableStyleElement type="headerRow" dxfId="8"/>
    </tableStyle>
    <tableStyle name="Slicer Style 2" pivot="0" table="0" count="6" xr9:uid="{2E33E128-D3F9-455C-ABEC-FD887592F827}">
      <tableStyleElement type="wholeTable" dxfId="7"/>
      <tableStyleElement type="headerRow" dxfId="6"/>
    </tableStyle>
    <tableStyle name="Slicer Style 3" pivot="0" table="0" count="1" xr9:uid="{1DF7DCDC-5C85-4A63-8A30-E0EA6A6E86B9}">
      <tableStyleElement type="wholeTable" dxfId="5"/>
    </tableStyle>
  </tableStyles>
  <colors>
    <mruColors>
      <color rgb="FFEF8DDC"/>
      <color rgb="FFFF99FF"/>
    </mruColors>
  </colors>
  <extLst>
    <ext xmlns:x14="http://schemas.microsoft.com/office/spreadsheetml/2009/9/main" uri="{46F421CA-312F-682f-3DD2-61675219B42D}">
      <x14:dxfs count="12">
        <dxf>
          <fill>
            <patternFill>
              <bgColor theme="0"/>
            </patternFill>
          </fill>
        </dxf>
        <dxf>
          <fill>
            <patternFill>
              <bgColor theme="0"/>
            </patternFill>
          </fill>
        </dxf>
        <dxf>
          <fill>
            <patternFill>
              <bgColor theme="0"/>
            </patternFill>
          </fill>
        </dxf>
        <dxf>
          <fill>
            <patternFill>
              <bgColor theme="0"/>
            </patternFill>
          </fill>
        </dxf>
        <dxf>
          <fill>
            <patternFill>
              <bgColor rgb="FFFF99FF"/>
            </patternFill>
          </fill>
        </dxf>
        <dxf>
          <fill>
            <patternFill>
              <bgColor theme="0"/>
            </patternFill>
          </fill>
        </dxf>
        <dxf>
          <fill>
            <patternFill>
              <bgColor rgb="FFFF99FF"/>
            </patternFill>
          </fill>
        </dxf>
        <dxf>
          <fill>
            <patternFill>
              <bgColor theme="0"/>
            </patternFill>
          </fill>
        </dxf>
        <dxf>
          <fill>
            <patternFill>
              <bgColor rgb="FFFF99FF"/>
            </patternFill>
          </fill>
        </dxf>
        <dxf>
          <fill>
            <patternFill>
              <bgColor rgb="FFFF99FF"/>
            </patternFill>
          </fill>
        </dxf>
        <dxf>
          <fill>
            <patternFill>
              <bgColor theme="0"/>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1"/>
            <x14:slicerStyleElement type="unselectedItemWithNoData" dxfId="10"/>
            <x14:slicerStyleElement type="selectedItemWithData" dxfId="9"/>
            <x14:slicerStyleElement type="selectedItemWithNoData" dxfId="8"/>
            <x14:slicerStyleElement type="hoveredUnselectedItemWithData" dxfId="7"/>
            <x14:slicerStyleElement type="hoveredSelectedItemWithData" dxfId="6"/>
            <x14:slicerStyleElement type="hoveredUnselectedItemWithNoData" dxfId="5"/>
            <x14:slicerStyleElement type="hoveredSelectedItemWithNoData" dxfId="4"/>
          </x14:slicerStyleElements>
        </x14:slicerStyle>
        <x14:slicerStyle name="Slicer Style 2">
          <x14:slicerStyleElements>
            <x14:slicerStyleElement type="unselectedItemWithData" dxfId="3"/>
            <x14:slicerStyleElement type="unselectedItemWithNoData" dxfId="2"/>
            <x14:slicerStyleElement type="hoveredUnselectedItemWithData" dxfId="1"/>
            <x14:slicerStyleElement type="hoveredUnselectedItemWithNo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[GADGET DATA.xlsx]ORDER QTY VS BRAND!PivotTable7</c:name>
    <c:fmtId val="2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Quantity</a:t>
            </a:r>
            <a:r>
              <a:rPr lang="en-IN" baseline="0"/>
              <a:t> Sold on Websites</a:t>
            </a:r>
            <a:endParaRPr lang="en-IN"/>
          </a:p>
        </c:rich>
      </c:tx>
      <c:layout>
        <c:manualLayout>
          <c:xMode val="edge"/>
          <c:yMode val="edge"/>
          <c:x val="0.20121148492802035"/>
          <c:y val="4.1666771653543308E-2"/>
        </c:manualLayout>
      </c:layout>
      <c:overlay val="0"/>
      <c:spPr>
        <a:solidFill>
          <a:schemeClr val="tx1"/>
        </a:soli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pivotFmt>
      <c:pivotFmt>
        <c:idx val="1"/>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pivotFmt>
      <c:pivotFmt>
        <c:idx val="2"/>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pivotFmt>
      <c:pivotFmt>
        <c:idx val="3"/>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6"/>
            </a:solidFill>
          </a:ln>
          <a:effectLst>
            <a:glow rad="139700">
              <a:schemeClr val="accent6">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3734908136483"/>
          <c:y val="0.23375202099737533"/>
          <c:w val="0.74202992125984257"/>
          <c:h val="0.56246509186351701"/>
        </c:manualLayout>
      </c:layout>
      <c:lineChart>
        <c:grouping val="standard"/>
        <c:varyColors val="0"/>
        <c:ser>
          <c:idx val="0"/>
          <c:order val="0"/>
          <c:tx>
            <c:strRef>
              <c:f>'ORDER QTY VS BRAND'!$B$3:$B$4</c:f>
              <c:strCache>
                <c:ptCount val="1"/>
                <c:pt idx="0">
                  <c:v>Amazon</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'ORDER QTY VS BRAND'!$A$5:$A$14</c:f>
              <c:strCache>
                <c:ptCount val="10"/>
                <c:pt idx="0">
                  <c:v>Adidas</c:v>
                </c:pt>
                <c:pt idx="1">
                  <c:v>Apple</c:v>
                </c:pt>
                <c:pt idx="2">
                  <c:v>Dell</c:v>
                </c:pt>
                <c:pt idx="3">
                  <c:v>FitPro</c:v>
                </c:pt>
                <c:pt idx="4">
                  <c:v>Generic</c:v>
                </c:pt>
                <c:pt idx="5">
                  <c:v>HP</c:v>
                </c:pt>
                <c:pt idx="6">
                  <c:v>JBL</c:v>
                </c:pt>
                <c:pt idx="7">
                  <c:v>Nike</c:v>
                </c:pt>
                <c:pt idx="8">
                  <c:v>Samsung</c:v>
                </c:pt>
                <c:pt idx="9">
                  <c:v>Xiaomi</c:v>
                </c:pt>
              </c:strCache>
            </c:strRef>
          </c:cat>
          <c:val>
            <c:numRef>
              <c:f>'ORDER QTY VS BRAND'!$B$5:$B$14</c:f>
              <c:numCache>
                <c:formatCode>General</c:formatCode>
                <c:ptCount val="10"/>
                <c:pt idx="0">
                  <c:v>214</c:v>
                </c:pt>
                <c:pt idx="1">
                  <c:v>199</c:v>
                </c:pt>
                <c:pt idx="2">
                  <c:v>203</c:v>
                </c:pt>
                <c:pt idx="3">
                  <c:v>177</c:v>
                </c:pt>
                <c:pt idx="4">
                  <c:v>181</c:v>
                </c:pt>
                <c:pt idx="5">
                  <c:v>161</c:v>
                </c:pt>
                <c:pt idx="6">
                  <c:v>164</c:v>
                </c:pt>
                <c:pt idx="7">
                  <c:v>218</c:v>
                </c:pt>
                <c:pt idx="8">
                  <c:v>226</c:v>
                </c:pt>
                <c:pt idx="9">
                  <c:v>204</c:v>
                </c:pt>
              </c:numCache>
            </c:numRef>
          </c:val>
          <c:smooth val="0"/>
          <c:extLst>
            <c:ext xmlns:c16="http://schemas.microsoft.com/office/drawing/2014/chart" uri="{C3380CC4-5D6E-409C-BE32-E72D297353CC}">
              <c16:uniqueId val="{00000003-213D-436F-BEF3-7D2DB2AC806E}"/>
            </c:ext>
          </c:extLst>
        </c:ser>
        <c:ser>
          <c:idx val="1"/>
          <c:order val="1"/>
          <c:tx>
            <c:strRef>
              <c:f>'ORDER QTY VS BRAND'!$C$3:$C$4</c:f>
              <c:strCache>
                <c:ptCount val="1"/>
                <c:pt idx="0">
                  <c:v>Jumia</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'ORDER QTY VS BRAND'!$A$5:$A$14</c:f>
              <c:strCache>
                <c:ptCount val="10"/>
                <c:pt idx="0">
                  <c:v>Adidas</c:v>
                </c:pt>
                <c:pt idx="1">
                  <c:v>Apple</c:v>
                </c:pt>
                <c:pt idx="2">
                  <c:v>Dell</c:v>
                </c:pt>
                <c:pt idx="3">
                  <c:v>FitPro</c:v>
                </c:pt>
                <c:pt idx="4">
                  <c:v>Generic</c:v>
                </c:pt>
                <c:pt idx="5">
                  <c:v>HP</c:v>
                </c:pt>
                <c:pt idx="6">
                  <c:v>JBL</c:v>
                </c:pt>
                <c:pt idx="7">
                  <c:v>Nike</c:v>
                </c:pt>
                <c:pt idx="8">
                  <c:v>Samsung</c:v>
                </c:pt>
                <c:pt idx="9">
                  <c:v>Xiaomi</c:v>
                </c:pt>
              </c:strCache>
            </c:strRef>
          </c:cat>
          <c:val>
            <c:numRef>
              <c:f>'ORDER QTY VS BRAND'!$C$5:$C$14</c:f>
              <c:numCache>
                <c:formatCode>General</c:formatCode>
                <c:ptCount val="10"/>
                <c:pt idx="0">
                  <c:v>210</c:v>
                </c:pt>
                <c:pt idx="1">
                  <c:v>172</c:v>
                </c:pt>
                <c:pt idx="2">
                  <c:v>176</c:v>
                </c:pt>
                <c:pt idx="3">
                  <c:v>228</c:v>
                </c:pt>
                <c:pt idx="4">
                  <c:v>194</c:v>
                </c:pt>
                <c:pt idx="5">
                  <c:v>262</c:v>
                </c:pt>
                <c:pt idx="6">
                  <c:v>177</c:v>
                </c:pt>
                <c:pt idx="7">
                  <c:v>211</c:v>
                </c:pt>
                <c:pt idx="8">
                  <c:v>207</c:v>
                </c:pt>
                <c:pt idx="9">
                  <c:v>231</c:v>
                </c:pt>
              </c:numCache>
            </c:numRef>
          </c:val>
          <c:smooth val="0"/>
          <c:extLst>
            <c:ext xmlns:c16="http://schemas.microsoft.com/office/drawing/2014/chart" uri="{C3380CC4-5D6E-409C-BE32-E72D297353CC}">
              <c16:uniqueId val="{00000004-213D-436F-BEF3-7D2DB2AC806E}"/>
            </c:ext>
          </c:extLst>
        </c:ser>
        <c:ser>
          <c:idx val="2"/>
          <c:order val="2"/>
          <c:tx>
            <c:strRef>
              <c:f>'ORDER QTY VS BRAND'!$D$3:$D$4</c:f>
              <c:strCache>
                <c:ptCount val="1"/>
                <c:pt idx="0">
                  <c:v>Souq</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'ORDER QTY VS BRAND'!$A$5:$A$14</c:f>
              <c:strCache>
                <c:ptCount val="10"/>
                <c:pt idx="0">
                  <c:v>Adidas</c:v>
                </c:pt>
                <c:pt idx="1">
                  <c:v>Apple</c:v>
                </c:pt>
                <c:pt idx="2">
                  <c:v>Dell</c:v>
                </c:pt>
                <c:pt idx="3">
                  <c:v>FitPro</c:v>
                </c:pt>
                <c:pt idx="4">
                  <c:v>Generic</c:v>
                </c:pt>
                <c:pt idx="5">
                  <c:v>HP</c:v>
                </c:pt>
                <c:pt idx="6">
                  <c:v>JBL</c:v>
                </c:pt>
                <c:pt idx="7">
                  <c:v>Nike</c:v>
                </c:pt>
                <c:pt idx="8">
                  <c:v>Samsung</c:v>
                </c:pt>
                <c:pt idx="9">
                  <c:v>Xiaomi</c:v>
                </c:pt>
              </c:strCache>
            </c:strRef>
          </c:cat>
          <c:val>
            <c:numRef>
              <c:f>'ORDER QTY VS BRAND'!$D$5:$D$14</c:f>
              <c:numCache>
                <c:formatCode>General</c:formatCode>
                <c:ptCount val="10"/>
                <c:pt idx="0">
                  <c:v>164</c:v>
                </c:pt>
                <c:pt idx="1">
                  <c:v>201</c:v>
                </c:pt>
                <c:pt idx="2">
                  <c:v>190</c:v>
                </c:pt>
                <c:pt idx="3">
                  <c:v>189</c:v>
                </c:pt>
                <c:pt idx="4">
                  <c:v>256</c:v>
                </c:pt>
                <c:pt idx="5">
                  <c:v>192</c:v>
                </c:pt>
                <c:pt idx="6">
                  <c:v>161</c:v>
                </c:pt>
                <c:pt idx="7">
                  <c:v>170</c:v>
                </c:pt>
                <c:pt idx="8">
                  <c:v>241</c:v>
                </c:pt>
                <c:pt idx="9">
                  <c:v>242</c:v>
                </c:pt>
              </c:numCache>
            </c:numRef>
          </c:val>
          <c:smooth val="0"/>
          <c:extLst>
            <c:ext xmlns:c16="http://schemas.microsoft.com/office/drawing/2014/chart" uri="{C3380CC4-5D6E-409C-BE32-E72D297353CC}">
              <c16:uniqueId val="{00000005-213D-436F-BEF3-7D2DB2AC806E}"/>
            </c:ext>
          </c:extLst>
        </c:ser>
        <c:dLbls>
          <c:showLegendKey val="0"/>
          <c:showVal val="0"/>
          <c:showCatName val="0"/>
          <c:showSerName val="0"/>
          <c:showPercent val="0"/>
          <c:showBubbleSize val="0"/>
        </c:dLbls>
        <c:marker val="1"/>
        <c:smooth val="0"/>
        <c:axId val="1279001711"/>
        <c:axId val="1278985391"/>
      </c:lineChart>
      <c:catAx>
        <c:axId val="1279001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8985391"/>
        <c:crosses val="autoZero"/>
        <c:auto val="1"/>
        <c:lblAlgn val="ctr"/>
        <c:lblOffset val="100"/>
        <c:noMultiLvlLbl val="0"/>
      </c:catAx>
      <c:valAx>
        <c:axId val="1278985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9001711"/>
        <c:crosses val="autoZero"/>
        <c:crossBetween val="between"/>
      </c:valAx>
      <c:spPr>
        <a:noFill/>
        <a:ln>
          <a:noFill/>
        </a:ln>
        <a:effectLst/>
      </c:spPr>
    </c:plotArea>
    <c:legend>
      <c:legendPos val="r"/>
      <c:layout>
        <c:manualLayout>
          <c:xMode val="edge"/>
          <c:yMode val="edge"/>
          <c:x val="0.1545101407778573"/>
          <c:y val="0.16873742782152232"/>
          <c:w val="0.74238415652588885"/>
          <c:h val="8.333522309711285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[GADGET DATA.xlsx]POPULAR PRODUCT!PivotTable8</c:name>
    <c:fmtId val="17"/>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IN"/>
              <a:t>MOST POPULAR PRODUCT</a:t>
            </a:r>
          </a:p>
        </c:rich>
      </c:tx>
      <c:layout>
        <c:manualLayout>
          <c:xMode val="edge"/>
          <c:yMode val="edge"/>
          <c:x val="7.057633420822397E-2"/>
          <c:y val="3.2407407407407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bg1">
                <a:alpha val="40000"/>
              </a:schemeClr>
            </a:glo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bg1">
                <a:alpha val="40000"/>
              </a:schemeClr>
            </a:glo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bg1">
                <a:alpha val="40000"/>
              </a:schemeClr>
            </a:glo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bg1">
                <a:alpha val="40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bg1">
                <a:alpha val="40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bg1">
                <a:alpha val="40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665428613876108E-2"/>
          <c:y val="0.21589111844890355"/>
          <c:w val="0.53892738407699037"/>
          <c:h val="0.73614154254814546"/>
        </c:manualLayout>
      </c:layout>
      <c:barChart>
        <c:barDir val="bar"/>
        <c:grouping val="stacked"/>
        <c:varyColors val="0"/>
        <c:ser>
          <c:idx val="0"/>
          <c:order val="0"/>
          <c:tx>
            <c:strRef>
              <c:f>'POPULAR PRODUCT'!$B$3:$B$4</c:f>
              <c:strCache>
                <c:ptCount val="1"/>
                <c:pt idx="0">
                  <c:v>Amazon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63500">
                <a:schemeClr val="bg1">
                  <a:alpha val="40000"/>
                </a:schemeClr>
              </a:glow>
            </a:effectLst>
          </c:spPr>
          <c:invertIfNegative val="0"/>
          <c:cat>
            <c:strRef>
              <c:f>'POPULAR PRODUCT'!$A$5:$A$14</c:f>
              <c:strCache>
                <c:ptCount val="10"/>
                <c:pt idx="0">
                  <c:v>Samsung Galaxy A14</c:v>
                </c:pt>
                <c:pt idx="1">
                  <c:v>Nike Air Max</c:v>
                </c:pt>
                <c:pt idx="2">
                  <c:v>Adidas Running Shoes</c:v>
                </c:pt>
                <c:pt idx="3">
                  <c:v>Xiaomi Redmi Note 12</c:v>
                </c:pt>
                <c:pt idx="4">
                  <c:v>Dell Inspiron 3501</c:v>
                </c:pt>
                <c:pt idx="5">
                  <c:v>iPhone 13</c:v>
                </c:pt>
                <c:pt idx="6">
                  <c:v>T-shirt Cotton</c:v>
                </c:pt>
                <c:pt idx="7">
                  <c:v>Smartwatch FitPro</c:v>
                </c:pt>
                <c:pt idx="8">
                  <c:v>Bluetooth Headset</c:v>
                </c:pt>
                <c:pt idx="9">
                  <c:v>HP Pavilion Laptop</c:v>
                </c:pt>
              </c:strCache>
            </c:strRef>
          </c:cat>
          <c:val>
            <c:numRef>
              <c:f>'POPULAR PRODUCT'!$B$5:$B$14</c:f>
              <c:numCache>
                <c:formatCode>General</c:formatCode>
                <c:ptCount val="10"/>
                <c:pt idx="0">
                  <c:v>226</c:v>
                </c:pt>
                <c:pt idx="1">
                  <c:v>218</c:v>
                </c:pt>
                <c:pt idx="2">
                  <c:v>214</c:v>
                </c:pt>
                <c:pt idx="3">
                  <c:v>204</c:v>
                </c:pt>
                <c:pt idx="4">
                  <c:v>203</c:v>
                </c:pt>
                <c:pt idx="5">
                  <c:v>199</c:v>
                </c:pt>
                <c:pt idx="6">
                  <c:v>181</c:v>
                </c:pt>
                <c:pt idx="7">
                  <c:v>177</c:v>
                </c:pt>
                <c:pt idx="8">
                  <c:v>164</c:v>
                </c:pt>
                <c:pt idx="9">
                  <c:v>161</c:v>
                </c:pt>
              </c:numCache>
            </c:numRef>
          </c:val>
          <c:extLst>
            <c:ext xmlns:c16="http://schemas.microsoft.com/office/drawing/2014/chart" uri="{C3380CC4-5D6E-409C-BE32-E72D297353CC}">
              <c16:uniqueId val="{0000000D-E3AA-4BB8-8B4D-08EFC50D542A}"/>
            </c:ext>
          </c:extLst>
        </c:ser>
        <c:ser>
          <c:idx val="1"/>
          <c:order val="1"/>
          <c:tx>
            <c:strRef>
              <c:f>'POPULAR PRODUCT'!$C$3:$C$4</c:f>
              <c:strCache>
                <c:ptCount val="1"/>
                <c:pt idx="0">
                  <c:v>Jumia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glow rad="63500">
                <a:schemeClr val="bg1">
                  <a:alpha val="40000"/>
                </a:schemeClr>
              </a:glow>
            </a:effectLst>
          </c:spPr>
          <c:invertIfNegative val="0"/>
          <c:cat>
            <c:strRef>
              <c:f>'POPULAR PRODUCT'!$A$5:$A$14</c:f>
              <c:strCache>
                <c:ptCount val="10"/>
                <c:pt idx="0">
                  <c:v>Samsung Galaxy A14</c:v>
                </c:pt>
                <c:pt idx="1">
                  <c:v>Nike Air Max</c:v>
                </c:pt>
                <c:pt idx="2">
                  <c:v>Adidas Running Shoes</c:v>
                </c:pt>
                <c:pt idx="3">
                  <c:v>Xiaomi Redmi Note 12</c:v>
                </c:pt>
                <c:pt idx="4">
                  <c:v>Dell Inspiron 3501</c:v>
                </c:pt>
                <c:pt idx="5">
                  <c:v>iPhone 13</c:v>
                </c:pt>
                <c:pt idx="6">
                  <c:v>T-shirt Cotton</c:v>
                </c:pt>
                <c:pt idx="7">
                  <c:v>Smartwatch FitPro</c:v>
                </c:pt>
                <c:pt idx="8">
                  <c:v>Bluetooth Headset</c:v>
                </c:pt>
                <c:pt idx="9">
                  <c:v>HP Pavilion Laptop</c:v>
                </c:pt>
              </c:strCache>
            </c:strRef>
          </c:cat>
          <c:val>
            <c:numRef>
              <c:f>'POPULAR PRODUCT'!$C$5:$C$14</c:f>
              <c:numCache>
                <c:formatCode>General</c:formatCode>
                <c:ptCount val="10"/>
                <c:pt idx="0">
                  <c:v>207</c:v>
                </c:pt>
                <c:pt idx="1">
                  <c:v>211</c:v>
                </c:pt>
                <c:pt idx="2">
                  <c:v>210</c:v>
                </c:pt>
                <c:pt idx="3">
                  <c:v>231</c:v>
                </c:pt>
                <c:pt idx="4">
                  <c:v>176</c:v>
                </c:pt>
                <c:pt idx="5">
                  <c:v>172</c:v>
                </c:pt>
                <c:pt idx="6">
                  <c:v>194</c:v>
                </c:pt>
                <c:pt idx="7">
                  <c:v>228</c:v>
                </c:pt>
                <c:pt idx="8">
                  <c:v>177</c:v>
                </c:pt>
                <c:pt idx="9">
                  <c:v>262</c:v>
                </c:pt>
              </c:numCache>
            </c:numRef>
          </c:val>
          <c:extLst>
            <c:ext xmlns:c16="http://schemas.microsoft.com/office/drawing/2014/chart" uri="{C3380CC4-5D6E-409C-BE32-E72D297353CC}">
              <c16:uniqueId val="{0000000E-E3AA-4BB8-8B4D-08EFC50D542A}"/>
            </c:ext>
          </c:extLst>
        </c:ser>
        <c:ser>
          <c:idx val="2"/>
          <c:order val="2"/>
          <c:tx>
            <c:strRef>
              <c:f>'POPULAR PRODUCT'!$D$3:$D$4</c:f>
              <c:strCache>
                <c:ptCount val="1"/>
                <c:pt idx="0">
                  <c:v>Souq</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glow rad="63500">
                <a:schemeClr val="bg1">
                  <a:alpha val="40000"/>
                </a:schemeClr>
              </a:glow>
            </a:effectLst>
          </c:spPr>
          <c:invertIfNegative val="0"/>
          <c:cat>
            <c:strRef>
              <c:f>'POPULAR PRODUCT'!$A$5:$A$14</c:f>
              <c:strCache>
                <c:ptCount val="10"/>
                <c:pt idx="0">
                  <c:v>Samsung Galaxy A14</c:v>
                </c:pt>
                <c:pt idx="1">
                  <c:v>Nike Air Max</c:v>
                </c:pt>
                <c:pt idx="2">
                  <c:v>Adidas Running Shoes</c:v>
                </c:pt>
                <c:pt idx="3">
                  <c:v>Xiaomi Redmi Note 12</c:v>
                </c:pt>
                <c:pt idx="4">
                  <c:v>Dell Inspiron 3501</c:v>
                </c:pt>
                <c:pt idx="5">
                  <c:v>iPhone 13</c:v>
                </c:pt>
                <c:pt idx="6">
                  <c:v>T-shirt Cotton</c:v>
                </c:pt>
                <c:pt idx="7">
                  <c:v>Smartwatch FitPro</c:v>
                </c:pt>
                <c:pt idx="8">
                  <c:v>Bluetooth Headset</c:v>
                </c:pt>
                <c:pt idx="9">
                  <c:v>HP Pavilion Laptop</c:v>
                </c:pt>
              </c:strCache>
            </c:strRef>
          </c:cat>
          <c:val>
            <c:numRef>
              <c:f>'POPULAR PRODUCT'!$D$5:$D$14</c:f>
              <c:numCache>
                <c:formatCode>General</c:formatCode>
                <c:ptCount val="10"/>
                <c:pt idx="0">
                  <c:v>241</c:v>
                </c:pt>
                <c:pt idx="1">
                  <c:v>170</c:v>
                </c:pt>
                <c:pt idx="2">
                  <c:v>164</c:v>
                </c:pt>
                <c:pt idx="3">
                  <c:v>242</c:v>
                </c:pt>
                <c:pt idx="4">
                  <c:v>190</c:v>
                </c:pt>
                <c:pt idx="5">
                  <c:v>201</c:v>
                </c:pt>
                <c:pt idx="6">
                  <c:v>256</c:v>
                </c:pt>
                <c:pt idx="7">
                  <c:v>189</c:v>
                </c:pt>
                <c:pt idx="8">
                  <c:v>161</c:v>
                </c:pt>
                <c:pt idx="9">
                  <c:v>192</c:v>
                </c:pt>
              </c:numCache>
            </c:numRef>
          </c:val>
          <c:extLst>
            <c:ext xmlns:c16="http://schemas.microsoft.com/office/drawing/2014/chart" uri="{C3380CC4-5D6E-409C-BE32-E72D297353CC}">
              <c16:uniqueId val="{0000000F-E3AA-4BB8-8B4D-08EFC50D542A}"/>
            </c:ext>
          </c:extLst>
        </c:ser>
        <c:dLbls>
          <c:showLegendKey val="0"/>
          <c:showVal val="0"/>
          <c:showCatName val="0"/>
          <c:showSerName val="0"/>
          <c:showPercent val="0"/>
          <c:showBubbleSize val="0"/>
        </c:dLbls>
        <c:gapWidth val="54"/>
        <c:overlap val="96"/>
        <c:axId val="660993855"/>
        <c:axId val="660995295"/>
      </c:barChart>
      <c:catAx>
        <c:axId val="660993855"/>
        <c:scaling>
          <c:orientation val="maxMin"/>
        </c:scaling>
        <c:delete val="0"/>
        <c:axPos val="l"/>
        <c:numFmt formatCode="General" sourceLinked="1"/>
        <c:majorTickMark val="none"/>
        <c:minorTickMark val="none"/>
        <c:tickLblPos val="high"/>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0995295"/>
        <c:crosses val="autoZero"/>
        <c:auto val="1"/>
        <c:lblAlgn val="ctr"/>
        <c:lblOffset val="100"/>
        <c:noMultiLvlLbl val="0"/>
      </c:catAx>
      <c:valAx>
        <c:axId val="660995295"/>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0993855"/>
        <c:crosses val="autoZero"/>
        <c:crossBetween val="between"/>
      </c:valAx>
      <c:spPr>
        <a:noFill/>
        <a:ln>
          <a:noFill/>
        </a:ln>
        <a:effectLst/>
      </c:spPr>
    </c:plotArea>
    <c:legend>
      <c:legendPos val="r"/>
      <c:layout>
        <c:manualLayout>
          <c:xMode val="edge"/>
          <c:yMode val="edge"/>
          <c:x val="0.7457177239637498"/>
          <c:y val="2.2132957550047936E-2"/>
          <c:w val="0.18759919214643628"/>
          <c:h val="0.211692812177398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shade val="30000"/>
            <a:satMod val="115000"/>
          </a:schemeClr>
        </a:gs>
        <a:gs pos="0">
          <a:schemeClr val="accent1">
            <a:shade val="67500"/>
            <a:satMod val="115000"/>
          </a:schemeClr>
        </a:gs>
        <a:gs pos="30000">
          <a:srgbClr val="2D447E"/>
        </a:gs>
        <a:gs pos="90000">
          <a:srgbClr val="EF8DDC"/>
        </a:gs>
      </a:gsLst>
      <a:lin ang="5400000" scaled="1"/>
    </a:gra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[GADGET DATA.xlsx]POPULAR PRODUCT!PivotTable9</c:name>
    <c:fmtId val="29"/>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IN" sz="1400"/>
              <a:t>WEBSITE VS QUANTITY</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glow rad="101600">
              <a:schemeClr val="accent6">
                <a:satMod val="175000"/>
                <a:alpha val="40000"/>
              </a:schemeClr>
            </a:glo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glow rad="101600">
              <a:schemeClr val="accent6">
                <a:satMod val="175000"/>
                <a:alpha val="40000"/>
              </a:schemeClr>
            </a:glo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glow rad="101600">
              <a:schemeClr val="accent6">
                <a:satMod val="175000"/>
                <a:alpha val="40000"/>
              </a:schemeClr>
            </a:glow>
          </a:effectLst>
        </c:spPr>
      </c:pivotFmt>
      <c:pivotFmt>
        <c:idx val="3"/>
        <c:spPr>
          <a:solidFill>
            <a:schemeClr val="accent6"/>
          </a:solidFill>
          <a:ln>
            <a:noFill/>
          </a:ln>
          <a:effectLst>
            <a:glow rad="101600">
              <a:schemeClr val="accent6">
                <a:satMod val="175000"/>
                <a:alpha val="40000"/>
              </a:schemeClr>
            </a:glow>
          </a:effectLst>
        </c:spPr>
      </c:pivotFmt>
      <c:pivotFmt>
        <c:idx val="4"/>
        <c:spPr>
          <a:solidFill>
            <a:schemeClr val="accent6"/>
          </a:solidFill>
          <a:ln>
            <a:noFill/>
          </a:ln>
          <a:effectLst>
            <a:glow rad="101600">
              <a:schemeClr val="accent6">
                <a:satMod val="175000"/>
                <a:alpha val="40000"/>
              </a:schemeClr>
            </a:glow>
          </a:effectLst>
        </c:spPr>
      </c:pivotFmt>
      <c:pivotFmt>
        <c:idx val="5"/>
        <c:spPr>
          <a:solidFill>
            <a:schemeClr val="accent6"/>
          </a:solidFill>
          <a:ln>
            <a:noFill/>
          </a:ln>
          <a:effectLst>
            <a:glow rad="101600">
              <a:schemeClr val="accent6">
                <a:satMod val="175000"/>
                <a:alpha val="40000"/>
              </a:schemeClr>
            </a:glo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glow rad="101600">
              <a:schemeClr val="accent6">
                <a:satMod val="175000"/>
                <a:alpha val="40000"/>
              </a:schemeClr>
            </a:glow>
          </a:effectLst>
        </c:spPr>
      </c:pivotFmt>
      <c:pivotFmt>
        <c:idx val="7"/>
        <c:spPr>
          <a:solidFill>
            <a:schemeClr val="accent6"/>
          </a:solidFill>
          <a:ln>
            <a:noFill/>
          </a:ln>
          <a:effectLst>
            <a:glow rad="101600">
              <a:schemeClr val="accent6">
                <a:satMod val="175000"/>
                <a:alpha val="40000"/>
              </a:schemeClr>
            </a:glow>
          </a:effectLst>
        </c:spPr>
      </c:pivotFmt>
      <c:pivotFmt>
        <c:idx val="8"/>
        <c:spPr>
          <a:solidFill>
            <a:schemeClr val="accent6"/>
          </a:solidFill>
          <a:ln>
            <a:noFill/>
          </a:ln>
          <a:effectLst>
            <a:glow rad="101600">
              <a:schemeClr val="accent6">
                <a:satMod val="175000"/>
                <a:alpha val="40000"/>
              </a:schemeClr>
            </a:glow>
          </a:effectLst>
        </c:spPr>
      </c:pivotFmt>
    </c:pivotFmts>
    <c:plotArea>
      <c:layout>
        <c:manualLayout>
          <c:layoutTarget val="inner"/>
          <c:xMode val="edge"/>
          <c:yMode val="edge"/>
          <c:x val="0.20908694923772828"/>
          <c:y val="0.31347464073518228"/>
          <c:w val="0.5545064313769289"/>
          <c:h val="0.75018811290886289"/>
        </c:manualLayout>
      </c:layout>
      <c:doughnutChart>
        <c:varyColors val="1"/>
        <c:ser>
          <c:idx val="0"/>
          <c:order val="0"/>
          <c:tx>
            <c:strRef>
              <c:f>'POPULAR PRODUCT'!$I$7</c:f>
              <c:strCache>
                <c:ptCount val="1"/>
                <c:pt idx="0">
                  <c:v>Total</c:v>
                </c:pt>
              </c:strCache>
            </c:strRef>
          </c:tx>
          <c:spPr>
            <a:effectLst>
              <a:glow rad="101600">
                <a:schemeClr val="accent6">
                  <a:satMod val="175000"/>
                  <a:alpha val="40000"/>
                </a:schemeClr>
              </a:glow>
            </a:effectLst>
          </c:spPr>
          <c:dPt>
            <c:idx val="0"/>
            <c:bubble3D val="0"/>
            <c:spPr>
              <a:solidFill>
                <a:schemeClr val="accent6"/>
              </a:solidFill>
              <a:ln>
                <a:noFill/>
              </a:ln>
              <a:effectLst>
                <a:glow rad="101600">
                  <a:schemeClr val="accent6">
                    <a:satMod val="175000"/>
                    <a:alpha val="40000"/>
                  </a:schemeClr>
                </a:glow>
              </a:effectLst>
            </c:spPr>
            <c:extLst>
              <c:ext xmlns:c16="http://schemas.microsoft.com/office/drawing/2014/chart" uri="{C3380CC4-5D6E-409C-BE32-E72D297353CC}">
                <c16:uniqueId val="{00000001-A069-47BE-ABC5-24E3B8D00F53}"/>
              </c:ext>
            </c:extLst>
          </c:dPt>
          <c:dPt>
            <c:idx val="1"/>
            <c:bubble3D val="0"/>
            <c:spPr>
              <a:solidFill>
                <a:schemeClr val="accent5"/>
              </a:solidFill>
              <a:ln>
                <a:noFill/>
              </a:ln>
              <a:effectLst>
                <a:glow rad="101600">
                  <a:schemeClr val="accent6">
                    <a:satMod val="175000"/>
                    <a:alpha val="40000"/>
                  </a:schemeClr>
                </a:glow>
              </a:effectLst>
            </c:spPr>
            <c:extLst>
              <c:ext xmlns:c16="http://schemas.microsoft.com/office/drawing/2014/chart" uri="{C3380CC4-5D6E-409C-BE32-E72D297353CC}">
                <c16:uniqueId val="{00000003-A069-47BE-ABC5-24E3B8D00F53}"/>
              </c:ext>
            </c:extLst>
          </c:dPt>
          <c:dPt>
            <c:idx val="2"/>
            <c:bubble3D val="0"/>
            <c:spPr>
              <a:solidFill>
                <a:schemeClr val="accent4"/>
              </a:solidFill>
              <a:ln>
                <a:noFill/>
              </a:ln>
              <a:effectLst>
                <a:glow rad="101600">
                  <a:schemeClr val="accent6">
                    <a:satMod val="175000"/>
                    <a:alpha val="40000"/>
                  </a:schemeClr>
                </a:glow>
              </a:effectLst>
            </c:spPr>
            <c:extLst>
              <c:ext xmlns:c16="http://schemas.microsoft.com/office/drawing/2014/chart" uri="{C3380CC4-5D6E-409C-BE32-E72D297353CC}">
                <c16:uniqueId val="{00000005-A069-47BE-ABC5-24E3B8D00F53}"/>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'POPULAR PRODUCT'!$H$8:$H$10</c:f>
              <c:strCache>
                <c:ptCount val="3"/>
                <c:pt idx="0">
                  <c:v>Amazon</c:v>
                </c:pt>
                <c:pt idx="1">
                  <c:v>Jumia</c:v>
                </c:pt>
                <c:pt idx="2">
                  <c:v>Souq</c:v>
                </c:pt>
              </c:strCache>
            </c:strRef>
          </c:cat>
          <c:val>
            <c:numRef>
              <c:f>'POPULAR PRODUCT'!$I$8:$I$10</c:f>
              <c:numCache>
                <c:formatCode>General</c:formatCode>
                <c:ptCount val="3"/>
                <c:pt idx="0">
                  <c:v>1947</c:v>
                </c:pt>
                <c:pt idx="1">
                  <c:v>2068</c:v>
                </c:pt>
                <c:pt idx="2">
                  <c:v>2006</c:v>
                </c:pt>
              </c:numCache>
            </c:numRef>
          </c:val>
          <c:extLst>
            <c:ext xmlns:c16="http://schemas.microsoft.com/office/drawing/2014/chart" uri="{C3380CC4-5D6E-409C-BE32-E72D297353CC}">
              <c16:uniqueId val="{00000007-61EA-4477-BCAD-D4088D0A693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
          <c:y val="0.13271103208873083"/>
          <c:w val="0.99535266824852264"/>
          <c:h val="0.1063898061129455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[GADGET DATA.xlsx]SALES VS CITY!PivotTable10</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VS CITY</a:t>
            </a:r>
            <a:endParaRPr lang="en-IN"/>
          </a:p>
        </c:rich>
      </c:tx>
      <c:layout>
        <c:manualLayout>
          <c:xMode val="edge"/>
          <c:yMode val="edge"/>
          <c:x val="0.3336769354560607"/>
          <c:y val="3.768330341417511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23449623541584"/>
          <c:y val="0.1589298620045059"/>
          <c:w val="0.82499999999999996"/>
          <c:h val="0.60477208807465443"/>
        </c:manualLayout>
      </c:layout>
      <c:barChart>
        <c:barDir val="col"/>
        <c:grouping val="clustered"/>
        <c:varyColors val="0"/>
        <c:ser>
          <c:idx val="0"/>
          <c:order val="0"/>
          <c:tx>
            <c:strRef>
              <c:f>'SALES VS CITY'!$B$3</c:f>
              <c:strCache>
                <c:ptCount val="1"/>
                <c:pt idx="0">
                  <c:v>Sum of TotalAmount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VS CITY'!$A$4:$A$9</c:f>
              <c:strCache>
                <c:ptCount val="6"/>
                <c:pt idx="0">
                  <c:v>Alexandria</c:v>
                </c:pt>
                <c:pt idx="1">
                  <c:v>Cairo</c:v>
                </c:pt>
                <c:pt idx="2">
                  <c:v>Casablanca</c:v>
                </c:pt>
                <c:pt idx="3">
                  <c:v>Dubai</c:v>
                </c:pt>
                <c:pt idx="4">
                  <c:v>Giza</c:v>
                </c:pt>
                <c:pt idx="5">
                  <c:v>Riyadh</c:v>
                </c:pt>
              </c:strCache>
            </c:strRef>
          </c:cat>
          <c:val>
            <c:numRef>
              <c:f>'SALES VS CITY'!$B$4:$B$9</c:f>
              <c:numCache>
                <c:formatCode>General</c:formatCode>
                <c:ptCount val="6"/>
                <c:pt idx="0">
                  <c:v>9964624.6100000013</c:v>
                </c:pt>
                <c:pt idx="1">
                  <c:v>9665846.9399999958</c:v>
                </c:pt>
                <c:pt idx="2">
                  <c:v>10862163.32000001</c:v>
                </c:pt>
                <c:pt idx="3">
                  <c:v>9506322.6599999927</c:v>
                </c:pt>
                <c:pt idx="4">
                  <c:v>10327126.369999986</c:v>
                </c:pt>
                <c:pt idx="5">
                  <c:v>11103953.610000007</c:v>
                </c:pt>
              </c:numCache>
            </c:numRef>
          </c:val>
          <c:extLst>
            <c:ext xmlns:c16="http://schemas.microsoft.com/office/drawing/2014/chart" uri="{C3380CC4-5D6E-409C-BE32-E72D297353CC}">
              <c16:uniqueId val="{00000002-2CA1-4794-B950-ABC12F107CF5}"/>
            </c:ext>
          </c:extLst>
        </c:ser>
        <c:ser>
          <c:idx val="1"/>
          <c:order val="1"/>
          <c:tx>
            <c:strRef>
              <c:f>'SALES VS CITY'!$C$3</c:f>
              <c:strCache>
                <c:ptCount val="1"/>
                <c:pt idx="0">
                  <c:v>Count of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invertIfNegative val="0"/>
          <c:cat>
            <c:strRef>
              <c:f>'SALES VS CITY'!$A$4:$A$9</c:f>
              <c:strCache>
                <c:ptCount val="6"/>
                <c:pt idx="0">
                  <c:v>Alexandria</c:v>
                </c:pt>
                <c:pt idx="1">
                  <c:v>Cairo</c:v>
                </c:pt>
                <c:pt idx="2">
                  <c:v>Casablanca</c:v>
                </c:pt>
                <c:pt idx="3">
                  <c:v>Dubai</c:v>
                </c:pt>
                <c:pt idx="4">
                  <c:v>Giza</c:v>
                </c:pt>
                <c:pt idx="5">
                  <c:v>Riyadh</c:v>
                </c:pt>
              </c:strCache>
            </c:strRef>
          </c:cat>
          <c:val>
            <c:numRef>
              <c:f>'SALES VS CITY'!$C$4:$C$9</c:f>
              <c:numCache>
                <c:formatCode>General</c:formatCode>
                <c:ptCount val="6"/>
                <c:pt idx="0">
                  <c:v>339</c:v>
                </c:pt>
                <c:pt idx="1">
                  <c:v>330</c:v>
                </c:pt>
                <c:pt idx="2">
                  <c:v>338</c:v>
                </c:pt>
                <c:pt idx="3">
                  <c:v>309</c:v>
                </c:pt>
                <c:pt idx="4">
                  <c:v>331</c:v>
                </c:pt>
                <c:pt idx="5">
                  <c:v>352</c:v>
                </c:pt>
              </c:numCache>
            </c:numRef>
          </c:val>
          <c:extLst>
            <c:ext xmlns:c16="http://schemas.microsoft.com/office/drawing/2014/chart" uri="{C3380CC4-5D6E-409C-BE32-E72D297353CC}">
              <c16:uniqueId val="{00000003-2CA1-4794-B950-ABC12F107CF5}"/>
            </c:ext>
          </c:extLst>
        </c:ser>
        <c:dLbls>
          <c:showLegendKey val="0"/>
          <c:showVal val="0"/>
          <c:showCatName val="0"/>
          <c:showSerName val="0"/>
          <c:showPercent val="0"/>
          <c:showBubbleSize val="0"/>
        </c:dLbls>
        <c:gapWidth val="24"/>
        <c:axId val="1278977711"/>
        <c:axId val="1278966671"/>
      </c:barChart>
      <c:catAx>
        <c:axId val="12789777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8966671"/>
        <c:crosses val="autoZero"/>
        <c:auto val="1"/>
        <c:lblAlgn val="ctr"/>
        <c:lblOffset val="100"/>
        <c:noMultiLvlLbl val="0"/>
      </c:catAx>
      <c:valAx>
        <c:axId val="1278966671"/>
        <c:scaling>
          <c:orientation val="minMax"/>
        </c:scaling>
        <c:delete val="0"/>
        <c:axPos val="l"/>
        <c:numFmt formatCode="[$$-409]#,##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897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[GADGET DATA.xlsx]Monthly SALES!PivotTable11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PER QUARTER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01600">
                      <a:schemeClr val="accent1">
                        <a:satMod val="175000"/>
                        <a:alpha val="40000"/>
                      </a:schemeClr>
                    </a:glo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01600">
                      <a:schemeClr val="accent1">
                        <a:satMod val="175000"/>
                        <a:alpha val="40000"/>
                      </a:schemeClr>
                    </a:glo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01600">
                      <a:schemeClr val="accent1">
                        <a:satMod val="175000"/>
                        <a:alpha val="40000"/>
                      </a:schemeClr>
                    </a:glo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2919266239261071E-2"/>
              <c:y val="0.14233145099286831"/>
            </c:manualLayout>
          </c:layout>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01600">
                      <a:schemeClr val="accent1">
                        <a:satMod val="175000"/>
                        <a:alpha val="40000"/>
                      </a:schemeClr>
                    </a:glo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5790198356353001E-2"/>
              <c:y val="-0.21253691773376812"/>
            </c:manualLayout>
          </c:layout>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01600">
                      <a:schemeClr val="accent1">
                        <a:satMod val="175000"/>
                        <a:alpha val="40000"/>
                      </a:schemeClr>
                    </a:glo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7.5280036716721885E-2"/>
              <c:y val="-0.17920782629444046"/>
            </c:manualLayout>
          </c:layout>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01600">
                      <a:schemeClr val="accent1">
                        <a:satMod val="175000"/>
                        <a:alpha val="40000"/>
                      </a:schemeClr>
                    </a:glo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3949629247163773E-2"/>
              <c:y val="0.10580768313051778"/>
            </c:manualLayout>
          </c:layout>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01600">
                      <a:schemeClr val="accent1">
                        <a:satMod val="175000"/>
                        <a:alpha val="40000"/>
                      </a:schemeClr>
                    </a:glo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9317011603057795E-2"/>
          <c:y val="0.22341313396431509"/>
          <c:w val="0.83560776214448595"/>
          <c:h val="0.77279885468861842"/>
        </c:manualLayout>
      </c:layout>
      <c:pie3DChart>
        <c:varyColors val="1"/>
        <c:ser>
          <c:idx val="0"/>
          <c:order val="0"/>
          <c:tx>
            <c:strRef>
              <c:f>'Monthly SALES'!$B$3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DE3-4BED-BACF-27349DDF2F45}"/>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DE3-4BED-BACF-27349DDF2F45}"/>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DE3-4BED-BACF-27349DDF2F45}"/>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DDE3-4BED-BACF-27349DDF2F45}"/>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DDE3-4BED-BACF-27349DDF2F45}"/>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DDE3-4BED-BACF-27349DDF2F45}"/>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DDE3-4BED-BACF-27349DDF2F45}"/>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DDE3-4BED-BACF-27349DDF2F45}"/>
              </c:ext>
            </c:extLst>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DDE3-4BED-BACF-27349DDF2F45}"/>
              </c:ext>
            </c:extLst>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DDE3-4BED-BACF-27349DDF2F45}"/>
              </c:ext>
            </c:extLst>
          </c:dPt>
          <c:dPt>
            <c:idx val="1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DDE3-4BED-BACF-27349DDF2F45}"/>
              </c:ext>
            </c:extLst>
          </c:dPt>
          <c:dPt>
            <c:idx val="1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DDE3-4BED-BACF-27349DDF2F45}"/>
              </c:ext>
            </c:extLst>
          </c:dPt>
          <c:dLbls>
            <c:dLbl>
              <c:idx val="0"/>
              <c:layout>
                <c:manualLayout>
                  <c:x val="-6.2919266239261071E-2"/>
                  <c:y val="0.1423314509928683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E3-4BED-BACF-27349DDF2F45}"/>
                </c:ext>
              </c:extLst>
            </c:dLbl>
            <c:dLbl>
              <c:idx val="4"/>
              <c:layout>
                <c:manualLayout>
                  <c:x val="-8.5790198356353001E-2"/>
                  <c:y val="-0.2125369177337681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DE3-4BED-BACF-27349DDF2F45}"/>
                </c:ext>
              </c:extLst>
            </c:dLbl>
            <c:dLbl>
              <c:idx val="7"/>
              <c:layout>
                <c:manualLayout>
                  <c:x val="7.5280036716721885E-2"/>
                  <c:y val="-0.1792078262944404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DE3-4BED-BACF-27349DDF2F45}"/>
                </c:ext>
              </c:extLst>
            </c:dLbl>
            <c:dLbl>
              <c:idx val="11"/>
              <c:layout>
                <c:manualLayout>
                  <c:x val="8.3949629247163773E-2"/>
                  <c:y val="0.1058076831305177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DDE3-4BED-BACF-27349DDF2F45}"/>
                </c:ext>
              </c:extLst>
            </c:dLbl>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101600">
                        <a:schemeClr val="accent1">
                          <a:satMod val="175000"/>
                          <a:alpha val="40000"/>
                        </a:schemeClr>
                      </a:glo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SALES'!$B$4:$B$15</c:f>
              <c:numCache>
                <c:formatCode>0.00%</c:formatCode>
                <c:ptCount val="12"/>
                <c:pt idx="0">
                  <c:v>8.7426438395479325E-2</c:v>
                </c:pt>
                <c:pt idx="1">
                  <c:v>7.6465057818585078E-2</c:v>
                </c:pt>
                <c:pt idx="2">
                  <c:v>7.6151592602210008E-2</c:v>
                </c:pt>
                <c:pt idx="3">
                  <c:v>7.8787583504439929E-2</c:v>
                </c:pt>
                <c:pt idx="4">
                  <c:v>8.5559528091520481E-2</c:v>
                </c:pt>
                <c:pt idx="5">
                  <c:v>8.5172862040793537E-2</c:v>
                </c:pt>
                <c:pt idx="6">
                  <c:v>8.2562625965747968E-2</c:v>
                </c:pt>
                <c:pt idx="7">
                  <c:v>7.8025046122098665E-2</c:v>
                </c:pt>
                <c:pt idx="8">
                  <c:v>0.1073799218977556</c:v>
                </c:pt>
                <c:pt idx="9">
                  <c:v>7.9381819996547809E-2</c:v>
                </c:pt>
                <c:pt idx="10">
                  <c:v>9.1314913963496308E-2</c:v>
                </c:pt>
                <c:pt idx="11">
                  <c:v>7.177260960132531E-2</c:v>
                </c:pt>
              </c:numCache>
            </c:numRef>
          </c:val>
          <c:extLst>
            <c:ext xmlns:c16="http://schemas.microsoft.com/office/drawing/2014/chart" uri="{C3380CC4-5D6E-409C-BE32-E72D297353CC}">
              <c16:uniqueId val="{00000019-831D-4CA1-9125-ADD2271692BA}"/>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5.1001821493624776E-2"/>
          <c:y val="0.15431904345290173"/>
          <c:w val="0.11645396784418341"/>
          <c:h val="0.681822953948938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[GADGET DATA.xlsx]OVERALL SUMMARY!PivotTable2</c:name>
    <c:fmtId val="4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MOST TO WORST RATED</a:t>
            </a:r>
          </a:p>
        </c:rich>
      </c:tx>
      <c:layout>
        <c:manualLayout>
          <c:xMode val="edge"/>
          <c:yMode val="edge"/>
          <c:x val="0.10312100340275837"/>
          <c:y val="4.761904761904761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'OVERALL SUMMARY'!$B$7</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'OVERALL SUMMARY'!$A$8:$A$18</c:f>
              <c:strCache>
                <c:ptCount val="10"/>
                <c:pt idx="0">
                  <c:v>HP Pavilion Laptop</c:v>
                </c:pt>
                <c:pt idx="1">
                  <c:v>Samsung Galaxy A14</c:v>
                </c:pt>
                <c:pt idx="2">
                  <c:v>T-shirt Cotton</c:v>
                </c:pt>
                <c:pt idx="3">
                  <c:v>Bluetooth Headset</c:v>
                </c:pt>
                <c:pt idx="4">
                  <c:v>Adidas Running Shoes</c:v>
                </c:pt>
                <c:pt idx="5">
                  <c:v>Smartwatch FitPro</c:v>
                </c:pt>
                <c:pt idx="6">
                  <c:v>Dell Inspiron 3501</c:v>
                </c:pt>
                <c:pt idx="7">
                  <c:v>Nike Air Max</c:v>
                </c:pt>
                <c:pt idx="8">
                  <c:v>Xiaomi Redmi Note 12</c:v>
                </c:pt>
                <c:pt idx="9">
                  <c:v>iPhone 13</c:v>
                </c:pt>
              </c:strCache>
            </c:strRef>
          </c:cat>
          <c:val>
            <c:numRef>
              <c:f>'OVERALL SUMMARY'!$B$8:$B$18</c:f>
              <c:numCache>
                <c:formatCode>0.00</c:formatCode>
                <c:ptCount val="10"/>
                <c:pt idx="0">
                  <c:v>3.162904761904763</c:v>
                </c:pt>
                <c:pt idx="1">
                  <c:v>3.0385333333333331</c:v>
                </c:pt>
                <c:pt idx="2">
                  <c:v>3.0333980582524274</c:v>
                </c:pt>
                <c:pt idx="3">
                  <c:v>3.0258426966292142</c:v>
                </c:pt>
                <c:pt idx="4">
                  <c:v>3.0257868020304572</c:v>
                </c:pt>
                <c:pt idx="5">
                  <c:v>3.0064921465968575</c:v>
                </c:pt>
                <c:pt idx="6">
                  <c:v>2.9866120218579244</c:v>
                </c:pt>
                <c:pt idx="7">
                  <c:v>2.9741752577319587</c:v>
                </c:pt>
                <c:pt idx="8">
                  <c:v>2.9569724770642196</c:v>
                </c:pt>
                <c:pt idx="9">
                  <c:v>2.8716243654822335</c:v>
                </c:pt>
              </c:numCache>
            </c:numRef>
          </c:val>
          <c:smooth val="0"/>
          <c:extLst>
            <c:ext xmlns:c16="http://schemas.microsoft.com/office/drawing/2014/chart" uri="{C3380CC4-5D6E-409C-BE32-E72D297353CC}">
              <c16:uniqueId val="{00000000-9304-49B7-B29D-4E237A607E02}"/>
            </c:ext>
          </c:extLst>
        </c:ser>
        <c:dLbls>
          <c:dLblPos val="ctr"/>
          <c:showLegendKey val="0"/>
          <c:showVal val="1"/>
          <c:showCatName val="0"/>
          <c:showSerName val="0"/>
          <c:showPercent val="0"/>
          <c:showBubbleSize val="0"/>
        </c:dLbls>
        <c:marker val="1"/>
        <c:smooth val="0"/>
        <c:axId val="1307050047"/>
        <c:axId val="1307009247"/>
      </c:lineChart>
      <c:catAx>
        <c:axId val="13070500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07009247"/>
        <c:crosses val="autoZero"/>
        <c:auto val="1"/>
        <c:lblAlgn val="ctr"/>
        <c:lblOffset val="100"/>
        <c:noMultiLvlLbl val="0"/>
      </c:catAx>
      <c:valAx>
        <c:axId val="1307009247"/>
        <c:scaling>
          <c:orientation val="minMax"/>
        </c:scaling>
        <c:delete val="1"/>
        <c:axPos val="l"/>
        <c:numFmt formatCode="0.00" sourceLinked="1"/>
        <c:majorTickMark val="none"/>
        <c:minorTickMark val="none"/>
        <c:tickLblPos val="nextTo"/>
        <c:crossAx val="130705004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emf"/><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387350</xdr:colOff>
      <xdr:row>30</xdr:row>
      <xdr:rowOff>19050</xdr:rowOff>
    </xdr:to>
    <xdr:sp macro="" textlink="">
      <xdr:nvSpPr>
        <xdr:cNvPr id="3" name="Rectangle 2">
          <a:extLst>
            <a:ext uri="{FF2B5EF4-FFF2-40B4-BE49-F238E27FC236}">
              <a16:creationId xmlns:a16="http://schemas.microsoft.com/office/drawing/2014/main" id="{738F3DF2-E007-49FD-99A1-9BC95B71CF6E}"/>
            </a:ext>
          </a:extLst>
        </xdr:cNvPr>
        <xdr:cNvSpPr/>
      </xdr:nvSpPr>
      <xdr:spPr>
        <a:xfrm>
          <a:off x="0" y="0"/>
          <a:ext cx="11938000" cy="5543550"/>
        </a:xfrm>
        <a:prstGeom prst="rect">
          <a:avLst/>
        </a:prstGeom>
        <a:solidFill>
          <a:srgbClr val="FFC000"/>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xdr:col>
      <xdr:colOff>12700</xdr:colOff>
      <xdr:row>30</xdr:row>
      <xdr:rowOff>19050</xdr:rowOff>
    </xdr:to>
    <xdr:sp macro="" textlink="">
      <xdr:nvSpPr>
        <xdr:cNvPr id="2" name="Rectangle 1">
          <a:extLst>
            <a:ext uri="{FF2B5EF4-FFF2-40B4-BE49-F238E27FC236}">
              <a16:creationId xmlns:a16="http://schemas.microsoft.com/office/drawing/2014/main" id="{945A7AA2-2CD3-E7D8-3869-6540DA194B67}"/>
            </a:ext>
          </a:extLst>
        </xdr:cNvPr>
        <xdr:cNvSpPr/>
      </xdr:nvSpPr>
      <xdr:spPr>
        <a:xfrm>
          <a:off x="0" y="0"/>
          <a:ext cx="1809750" cy="5543550"/>
        </a:xfrm>
        <a:prstGeom prst="rect">
          <a:avLst/>
        </a:prstGeom>
        <a:solidFill>
          <a:schemeClr val="accent6">
            <a:lumMod val="5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165100</xdr:colOff>
      <xdr:row>1</xdr:row>
      <xdr:rowOff>82550</xdr:rowOff>
    </xdr:from>
    <xdr:to>
      <xdr:col>2</xdr:col>
      <xdr:colOff>165100</xdr:colOff>
      <xdr:row>3</xdr:row>
      <xdr:rowOff>50800</xdr:rowOff>
    </xdr:to>
    <xdr:sp macro="" textlink="'OVERALL SUMMARY'!G4">
      <xdr:nvSpPr>
        <xdr:cNvPr id="4" name="TextBox 3">
          <a:extLst>
            <a:ext uri="{FF2B5EF4-FFF2-40B4-BE49-F238E27FC236}">
              <a16:creationId xmlns:a16="http://schemas.microsoft.com/office/drawing/2014/main" id="{EB9A6E2F-E16E-ADE3-3DCD-769968A1D2CB}"/>
            </a:ext>
          </a:extLst>
        </xdr:cNvPr>
        <xdr:cNvSpPr txBox="1"/>
      </xdr:nvSpPr>
      <xdr:spPr>
        <a:xfrm>
          <a:off x="165100" y="266700"/>
          <a:ext cx="15621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915C393-9C59-42AA-A179-DA61D1EA70FB}" type="TxLink">
            <a:rPr lang="en-US" sz="2000" b="1" i="0" u="none" strike="noStrike">
              <a:solidFill>
                <a:schemeClr val="bg1"/>
              </a:solidFill>
              <a:effectLst>
                <a:glow rad="101600">
                  <a:schemeClr val="accent6">
                    <a:satMod val="175000"/>
                    <a:alpha val="40000"/>
                  </a:schemeClr>
                </a:glow>
              </a:effectLst>
              <a:latin typeface="Maiandra GD" panose="020E0502030308020204" pitchFamily="34" charset="0"/>
              <a:ea typeface="Calibri"/>
              <a:cs typeface="Calibri"/>
            </a:rPr>
            <a:pPr marL="0" indent="0"/>
            <a:t> 1,999</a:t>
          </a:fld>
          <a:endParaRPr lang="en-IN" sz="2000" b="1" i="0" u="none" strike="noStrike">
            <a:solidFill>
              <a:schemeClr val="bg1"/>
            </a:solidFill>
            <a:effectLst>
              <a:glow rad="101600">
                <a:schemeClr val="accent6">
                  <a:satMod val="175000"/>
                  <a:alpha val="40000"/>
                </a:schemeClr>
              </a:glow>
            </a:effectLst>
            <a:latin typeface="Maiandra GD" panose="020E0502030308020204" pitchFamily="34" charset="0"/>
            <a:ea typeface="Calibri"/>
            <a:cs typeface="Calibri"/>
          </a:endParaRPr>
        </a:p>
      </xdr:txBody>
    </xdr:sp>
    <xdr:clientData/>
  </xdr:twoCellAnchor>
  <xdr:twoCellAnchor>
    <xdr:from>
      <xdr:col>0</xdr:col>
      <xdr:colOff>0</xdr:colOff>
      <xdr:row>4</xdr:row>
      <xdr:rowOff>57150</xdr:rowOff>
    </xdr:from>
    <xdr:to>
      <xdr:col>2</xdr:col>
      <xdr:colOff>0</xdr:colOff>
      <xdr:row>7</xdr:row>
      <xdr:rowOff>25400</xdr:rowOff>
    </xdr:to>
    <xdr:sp macro="" textlink="'OVERALL SUMMARY'!H4">
      <xdr:nvSpPr>
        <xdr:cNvPr id="5" name="TextBox 4">
          <a:extLst>
            <a:ext uri="{FF2B5EF4-FFF2-40B4-BE49-F238E27FC236}">
              <a16:creationId xmlns:a16="http://schemas.microsoft.com/office/drawing/2014/main" id="{FD25C576-B99F-437C-97F2-80423B6EA31D}"/>
            </a:ext>
          </a:extLst>
        </xdr:cNvPr>
        <xdr:cNvSpPr txBox="1"/>
      </xdr:nvSpPr>
      <xdr:spPr>
        <a:xfrm>
          <a:off x="0" y="793750"/>
          <a:ext cx="1562100"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6E0AB3B-D373-450E-9C1D-7C3AF13272BA}" type="TxLink">
            <a:rPr lang="en-US" sz="2000" b="1" i="0" u="none" strike="noStrike">
              <a:solidFill>
                <a:schemeClr val="bg1"/>
              </a:solidFill>
              <a:effectLst>
                <a:glow rad="101600">
                  <a:schemeClr val="accent6">
                    <a:satMod val="175000"/>
                    <a:alpha val="40000"/>
                  </a:schemeClr>
                </a:glow>
              </a:effectLst>
              <a:latin typeface="Maiandra GD" panose="020E0502030308020204" pitchFamily="34" charset="0"/>
              <a:ea typeface="Calibri"/>
              <a:cs typeface="Calibri"/>
            </a:rPr>
            <a:pPr marL="0" indent="0"/>
            <a:t> $61,430.0k</a:t>
          </a:fld>
          <a:endParaRPr lang="en-IN" sz="2000" b="1" i="0" u="none" strike="noStrike">
            <a:solidFill>
              <a:schemeClr val="bg1"/>
            </a:solidFill>
            <a:effectLst>
              <a:glow rad="101600">
                <a:schemeClr val="accent6">
                  <a:satMod val="175000"/>
                  <a:alpha val="40000"/>
                </a:schemeClr>
              </a:glow>
            </a:effectLst>
            <a:latin typeface="Maiandra GD" panose="020E0502030308020204" pitchFamily="34" charset="0"/>
            <a:ea typeface="Calibri"/>
            <a:cs typeface="Calibri"/>
          </a:endParaRPr>
        </a:p>
      </xdr:txBody>
    </xdr:sp>
    <xdr:clientData/>
  </xdr:twoCellAnchor>
  <xdr:twoCellAnchor>
    <xdr:from>
      <xdr:col>0</xdr:col>
      <xdr:colOff>209550</xdr:colOff>
      <xdr:row>7</xdr:row>
      <xdr:rowOff>31750</xdr:rowOff>
    </xdr:from>
    <xdr:to>
      <xdr:col>2</xdr:col>
      <xdr:colOff>209550</xdr:colOff>
      <xdr:row>9</xdr:row>
      <xdr:rowOff>38100</xdr:rowOff>
    </xdr:to>
    <xdr:sp macro="" textlink="'OVERALL SUMMARY'!I4">
      <xdr:nvSpPr>
        <xdr:cNvPr id="6" name="TextBox 5">
          <a:extLst>
            <a:ext uri="{FF2B5EF4-FFF2-40B4-BE49-F238E27FC236}">
              <a16:creationId xmlns:a16="http://schemas.microsoft.com/office/drawing/2014/main" id="{126129C7-A5D9-4BE8-997E-631B18471D65}"/>
            </a:ext>
          </a:extLst>
        </xdr:cNvPr>
        <xdr:cNvSpPr txBox="1"/>
      </xdr:nvSpPr>
      <xdr:spPr>
        <a:xfrm>
          <a:off x="209550" y="1320800"/>
          <a:ext cx="156210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C5BA6C8-F7DF-4033-88FD-304660C517B1}" type="TxLink">
            <a:rPr lang="en-US" sz="2000" b="1" i="0" u="none" strike="noStrike">
              <a:solidFill>
                <a:schemeClr val="bg1"/>
              </a:solidFill>
              <a:effectLst>
                <a:glow rad="101600">
                  <a:schemeClr val="accent6">
                    <a:satMod val="175000"/>
                    <a:alpha val="40000"/>
                  </a:schemeClr>
                </a:glow>
              </a:effectLst>
              <a:latin typeface="Maiandra GD" panose="020E0502030308020204" pitchFamily="34" charset="0"/>
              <a:ea typeface="Calibri"/>
              <a:cs typeface="Calibri"/>
            </a:rPr>
            <a:pPr marL="0" indent="0"/>
            <a:t>6,021</a:t>
          </a:fld>
          <a:endParaRPr lang="en-IN" sz="2000" b="1" i="0" u="none" strike="noStrike">
            <a:solidFill>
              <a:schemeClr val="bg1"/>
            </a:solidFill>
            <a:effectLst>
              <a:glow rad="101600">
                <a:schemeClr val="accent6">
                  <a:satMod val="175000"/>
                  <a:alpha val="40000"/>
                </a:schemeClr>
              </a:glow>
            </a:effectLst>
            <a:latin typeface="Maiandra GD" panose="020E0502030308020204" pitchFamily="34" charset="0"/>
            <a:ea typeface="Calibri"/>
            <a:cs typeface="Calibri"/>
          </a:endParaRPr>
        </a:p>
      </xdr:txBody>
    </xdr:sp>
    <xdr:clientData/>
  </xdr:twoCellAnchor>
  <xdr:twoCellAnchor>
    <xdr:from>
      <xdr:col>0</xdr:col>
      <xdr:colOff>215900</xdr:colOff>
      <xdr:row>9</xdr:row>
      <xdr:rowOff>152400</xdr:rowOff>
    </xdr:from>
    <xdr:to>
      <xdr:col>2</xdr:col>
      <xdr:colOff>215900</xdr:colOff>
      <xdr:row>11</xdr:row>
      <xdr:rowOff>139700</xdr:rowOff>
    </xdr:to>
    <xdr:sp macro="" textlink="'OVERALL SUMMARY'!J4">
      <xdr:nvSpPr>
        <xdr:cNvPr id="7" name="TextBox 6">
          <a:extLst>
            <a:ext uri="{FF2B5EF4-FFF2-40B4-BE49-F238E27FC236}">
              <a16:creationId xmlns:a16="http://schemas.microsoft.com/office/drawing/2014/main" id="{5939AEB6-70EE-48EF-9218-92B1D9FBD1E9}"/>
            </a:ext>
          </a:extLst>
        </xdr:cNvPr>
        <xdr:cNvSpPr txBox="1"/>
      </xdr:nvSpPr>
      <xdr:spPr>
        <a:xfrm>
          <a:off x="215900" y="1809750"/>
          <a:ext cx="15621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10F324E-CD7D-418E-ACED-84081C9C8EEC}" type="TxLink">
            <a:rPr lang="en-US" sz="2000" b="1" i="0" u="none" strike="noStrike">
              <a:solidFill>
                <a:schemeClr val="bg1"/>
              </a:solidFill>
              <a:effectLst>
                <a:glow rad="101600">
                  <a:schemeClr val="accent6">
                    <a:satMod val="175000"/>
                    <a:alpha val="40000"/>
                  </a:schemeClr>
                </a:glow>
              </a:effectLst>
              <a:latin typeface="Maiandra GD" panose="020E0502030308020204" pitchFamily="34" charset="0"/>
              <a:ea typeface="Calibri"/>
              <a:cs typeface="Calibri"/>
            </a:rPr>
            <a:pPr marL="0" indent="0"/>
            <a:t>3.0</a:t>
          </a:fld>
          <a:endParaRPr lang="en-IN" sz="2000" b="1" i="0" u="none" strike="noStrike">
            <a:solidFill>
              <a:schemeClr val="bg1"/>
            </a:solidFill>
            <a:effectLst>
              <a:glow rad="101600">
                <a:schemeClr val="accent6">
                  <a:satMod val="175000"/>
                  <a:alpha val="40000"/>
                </a:schemeClr>
              </a:glow>
            </a:effectLst>
            <a:latin typeface="Maiandra GD" panose="020E0502030308020204" pitchFamily="34" charset="0"/>
            <a:ea typeface="Calibri"/>
            <a:cs typeface="Calibri"/>
          </a:endParaRPr>
        </a:p>
      </xdr:txBody>
    </xdr:sp>
    <xdr:clientData/>
  </xdr:twoCellAnchor>
  <xdr:twoCellAnchor>
    <xdr:from>
      <xdr:col>0</xdr:col>
      <xdr:colOff>0</xdr:colOff>
      <xdr:row>0</xdr:row>
      <xdr:rowOff>44450</xdr:rowOff>
    </xdr:from>
    <xdr:to>
      <xdr:col>1</xdr:col>
      <xdr:colOff>1200150</xdr:colOff>
      <xdr:row>2</xdr:row>
      <xdr:rowOff>19050</xdr:rowOff>
    </xdr:to>
    <xdr:sp macro="" textlink="">
      <xdr:nvSpPr>
        <xdr:cNvPr id="9" name="TextBox 8">
          <a:extLst>
            <a:ext uri="{FF2B5EF4-FFF2-40B4-BE49-F238E27FC236}">
              <a16:creationId xmlns:a16="http://schemas.microsoft.com/office/drawing/2014/main" id="{512E345E-3169-1FA2-C88C-9DCC086AB466}"/>
            </a:ext>
          </a:extLst>
        </xdr:cNvPr>
        <xdr:cNvSpPr txBox="1"/>
      </xdr:nvSpPr>
      <xdr:spPr>
        <a:xfrm>
          <a:off x="0" y="44450"/>
          <a:ext cx="14414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0">
              <a:solidFill>
                <a:schemeClr val="bg2"/>
              </a:solidFill>
              <a:effectLst>
                <a:glow rad="63500">
                  <a:schemeClr val="accent2">
                    <a:satMod val="175000"/>
                    <a:alpha val="40000"/>
                  </a:schemeClr>
                </a:glow>
              </a:effectLst>
              <a:latin typeface="Copperplate Gothic Bold" panose="020E0705020206020404" pitchFamily="34" charset="0"/>
              <a:ea typeface="+mn-ea"/>
              <a:cs typeface="+mn-cs"/>
            </a:rPr>
            <a:t>🛒Orders</a:t>
          </a:r>
        </a:p>
      </xdr:txBody>
    </xdr:sp>
    <xdr:clientData/>
  </xdr:twoCellAnchor>
  <xdr:twoCellAnchor>
    <xdr:from>
      <xdr:col>0</xdr:col>
      <xdr:colOff>0</xdr:colOff>
      <xdr:row>6</xdr:row>
      <xdr:rowOff>25400</xdr:rowOff>
    </xdr:from>
    <xdr:to>
      <xdr:col>2</xdr:col>
      <xdr:colOff>0</xdr:colOff>
      <xdr:row>7</xdr:row>
      <xdr:rowOff>139700</xdr:rowOff>
    </xdr:to>
    <xdr:sp macro="" textlink="'OVERALL SUMMARY'!G4">
      <xdr:nvSpPr>
        <xdr:cNvPr id="13" name="TextBox 12">
          <a:extLst>
            <a:ext uri="{FF2B5EF4-FFF2-40B4-BE49-F238E27FC236}">
              <a16:creationId xmlns:a16="http://schemas.microsoft.com/office/drawing/2014/main" id="{4D896593-30AC-43DF-A40D-1D282138958B}"/>
            </a:ext>
          </a:extLst>
        </xdr:cNvPr>
        <xdr:cNvSpPr txBox="1"/>
      </xdr:nvSpPr>
      <xdr:spPr>
        <a:xfrm>
          <a:off x="0" y="1130300"/>
          <a:ext cx="15621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bg2"/>
              </a:solidFill>
              <a:effectLst>
                <a:glow rad="63500">
                  <a:schemeClr val="accent2">
                    <a:satMod val="175000"/>
                    <a:alpha val="40000"/>
                  </a:schemeClr>
                </a:glow>
              </a:effectLst>
              <a:latin typeface="Copperplate Gothic Bold" panose="020E0705020206020404" pitchFamily="34" charset="0"/>
            </a:rPr>
            <a:t>👕quantity</a:t>
          </a:r>
        </a:p>
      </xdr:txBody>
    </xdr:sp>
    <xdr:clientData/>
  </xdr:twoCellAnchor>
  <xdr:twoCellAnchor>
    <xdr:from>
      <xdr:col>0</xdr:col>
      <xdr:colOff>0</xdr:colOff>
      <xdr:row>3</xdr:row>
      <xdr:rowOff>12700</xdr:rowOff>
    </xdr:from>
    <xdr:to>
      <xdr:col>2</xdr:col>
      <xdr:colOff>0</xdr:colOff>
      <xdr:row>4</xdr:row>
      <xdr:rowOff>146050</xdr:rowOff>
    </xdr:to>
    <xdr:sp macro="" textlink="'OVERALL SUMMARY'!G4">
      <xdr:nvSpPr>
        <xdr:cNvPr id="14" name="TextBox 13">
          <a:extLst>
            <a:ext uri="{FF2B5EF4-FFF2-40B4-BE49-F238E27FC236}">
              <a16:creationId xmlns:a16="http://schemas.microsoft.com/office/drawing/2014/main" id="{B0EACF02-5F0E-42FD-A5FA-A13CF0A145EC}"/>
            </a:ext>
          </a:extLst>
        </xdr:cNvPr>
        <xdr:cNvSpPr txBox="1"/>
      </xdr:nvSpPr>
      <xdr:spPr>
        <a:xfrm>
          <a:off x="0" y="565150"/>
          <a:ext cx="15621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0">
              <a:solidFill>
                <a:schemeClr val="bg2"/>
              </a:solidFill>
              <a:effectLst>
                <a:glow rad="63500">
                  <a:schemeClr val="accent2">
                    <a:satMod val="175000"/>
                    <a:alpha val="40000"/>
                  </a:schemeClr>
                </a:glow>
              </a:effectLst>
              <a:latin typeface="Copperplate Gothic Bold" panose="020E0705020206020404" pitchFamily="34" charset="0"/>
              <a:ea typeface="+mn-ea"/>
              <a:cs typeface="+mn-cs"/>
            </a:rPr>
            <a:t>💵Amount</a:t>
          </a:r>
        </a:p>
      </xdr:txBody>
    </xdr:sp>
    <xdr:clientData/>
  </xdr:twoCellAnchor>
  <xdr:twoCellAnchor>
    <xdr:from>
      <xdr:col>0</xdr:col>
      <xdr:colOff>0</xdr:colOff>
      <xdr:row>8</xdr:row>
      <xdr:rowOff>133350</xdr:rowOff>
    </xdr:from>
    <xdr:to>
      <xdr:col>2</xdr:col>
      <xdr:colOff>0</xdr:colOff>
      <xdr:row>10</xdr:row>
      <xdr:rowOff>69850</xdr:rowOff>
    </xdr:to>
    <xdr:sp macro="" textlink="'OVERALL SUMMARY'!G4">
      <xdr:nvSpPr>
        <xdr:cNvPr id="15" name="TextBox 14">
          <a:extLst>
            <a:ext uri="{FF2B5EF4-FFF2-40B4-BE49-F238E27FC236}">
              <a16:creationId xmlns:a16="http://schemas.microsoft.com/office/drawing/2014/main" id="{43B2E4D5-869E-4068-8009-B679D8AC2777}"/>
            </a:ext>
          </a:extLst>
        </xdr:cNvPr>
        <xdr:cNvSpPr txBox="1"/>
      </xdr:nvSpPr>
      <xdr:spPr>
        <a:xfrm>
          <a:off x="0" y="1606550"/>
          <a:ext cx="15621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0">
              <a:solidFill>
                <a:schemeClr val="bg2"/>
              </a:solidFill>
              <a:effectLst>
                <a:glow rad="63500">
                  <a:schemeClr val="accent2">
                    <a:satMod val="175000"/>
                    <a:alpha val="40000"/>
                  </a:schemeClr>
                </a:glow>
              </a:effectLst>
              <a:latin typeface="Copperplate Gothic Bold" panose="020E0705020206020404" pitchFamily="34" charset="0"/>
              <a:ea typeface="+mn-ea"/>
              <a:cs typeface="+mn-cs"/>
            </a:rPr>
            <a:t>⭐Avg. rating</a:t>
          </a:r>
        </a:p>
      </xdr:txBody>
    </xdr:sp>
    <xdr:clientData/>
  </xdr:twoCellAnchor>
  <mc:AlternateContent xmlns:mc="http://schemas.openxmlformats.org/markup-compatibility/2006">
    <mc:Choice xmlns:a14="http://schemas.microsoft.com/office/drawing/2010/main" Requires="a14">
      <xdr:twoCellAnchor editAs="oneCell">
        <xdr:from>
          <xdr:col>3</xdr:col>
          <xdr:colOff>57150</xdr:colOff>
          <xdr:row>10</xdr:row>
          <xdr:rowOff>177800</xdr:rowOff>
        </xdr:from>
        <xdr:to>
          <xdr:col>8</xdr:col>
          <xdr:colOff>514350</xdr:colOff>
          <xdr:row>15</xdr:row>
          <xdr:rowOff>95250</xdr:rowOff>
        </xdr:to>
        <xdr:pic>
          <xdr:nvPicPr>
            <xdr:cNvPr id="20" name="Picture 19">
              <a:extLst>
                <a:ext uri="{FF2B5EF4-FFF2-40B4-BE49-F238E27FC236}">
                  <a16:creationId xmlns:a16="http://schemas.microsoft.com/office/drawing/2014/main" id="{54F15A89-C1DE-F020-F66C-8A0A0D0ABB1D}"/>
                </a:ext>
              </a:extLst>
            </xdr:cNvPr>
            <xdr:cNvPicPr>
              <a:picLocks noChangeAspect="1" noChangeArrowheads="1"/>
              <a:extLst>
                <a:ext uri="{84589F7E-364E-4C9E-8A38-B11213B215E9}">
                  <a14:cameraTool cellRange="'ORDER MODE VS CATEGORY'!$I$4:$M$7" spid="_x0000_s1055"/>
                </a:ext>
              </a:extLst>
            </xdr:cNvPicPr>
          </xdr:nvPicPr>
          <xdr:blipFill>
            <a:blip xmlns:r="http://schemas.openxmlformats.org/officeDocument/2006/relationships" r:embed="rId1"/>
            <a:srcRect/>
            <a:stretch>
              <a:fillRect/>
            </a:stretch>
          </xdr:blipFill>
          <xdr:spPr bwMode="auto">
            <a:xfrm>
              <a:off x="1854200" y="2019300"/>
              <a:ext cx="3505200" cy="8382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xdr:col>
      <xdr:colOff>63500</xdr:colOff>
      <xdr:row>15</xdr:row>
      <xdr:rowOff>133350</xdr:rowOff>
    </xdr:from>
    <xdr:to>
      <xdr:col>8</xdr:col>
      <xdr:colOff>203200</xdr:colOff>
      <xdr:row>28</xdr:row>
      <xdr:rowOff>120650</xdr:rowOff>
    </xdr:to>
    <xdr:graphicFrame macro="">
      <xdr:nvGraphicFramePr>
        <xdr:cNvPr id="21" name="Chart 20">
          <a:extLst>
            <a:ext uri="{FF2B5EF4-FFF2-40B4-BE49-F238E27FC236}">
              <a16:creationId xmlns:a16="http://schemas.microsoft.com/office/drawing/2014/main" id="{632892B7-C1B9-46CE-8FB3-1FF4D4CDC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57150</xdr:colOff>
      <xdr:row>0</xdr:row>
      <xdr:rowOff>50800</xdr:rowOff>
    </xdr:from>
    <xdr:to>
      <xdr:col>19</xdr:col>
      <xdr:colOff>196850</xdr:colOff>
      <xdr:row>15</xdr:row>
      <xdr:rowOff>95250</xdr:rowOff>
    </xdr:to>
    <xdr:graphicFrame macro="">
      <xdr:nvGraphicFramePr>
        <xdr:cNvPr id="22" name="Chart 21">
          <a:extLst>
            <a:ext uri="{FF2B5EF4-FFF2-40B4-BE49-F238E27FC236}">
              <a16:creationId xmlns:a16="http://schemas.microsoft.com/office/drawing/2014/main" id="{92852004-FB26-45E8-9F5B-E1F06EF3F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63500</xdr:colOff>
      <xdr:row>15</xdr:row>
      <xdr:rowOff>146050</xdr:rowOff>
    </xdr:from>
    <xdr:to>
      <xdr:col>19</xdr:col>
      <xdr:colOff>323850</xdr:colOff>
      <xdr:row>28</xdr:row>
      <xdr:rowOff>114300</xdr:rowOff>
    </xdr:to>
    <xdr:graphicFrame macro="">
      <xdr:nvGraphicFramePr>
        <xdr:cNvPr id="23" name="Chart 22">
          <a:extLst>
            <a:ext uri="{FF2B5EF4-FFF2-40B4-BE49-F238E27FC236}">
              <a16:creationId xmlns:a16="http://schemas.microsoft.com/office/drawing/2014/main" id="{29845095-3B0F-4CAE-8855-C62D682A2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234950</xdr:colOff>
      <xdr:row>15</xdr:row>
      <xdr:rowOff>158750</xdr:rowOff>
    </xdr:from>
    <xdr:to>
      <xdr:col>14</xdr:col>
      <xdr:colOff>57150</xdr:colOff>
      <xdr:row>28</xdr:row>
      <xdr:rowOff>123935</xdr:rowOff>
    </xdr:to>
    <xdr:graphicFrame macro="">
      <xdr:nvGraphicFramePr>
        <xdr:cNvPr id="24" name="Chart 23">
          <a:extLst>
            <a:ext uri="{FF2B5EF4-FFF2-40B4-BE49-F238E27FC236}">
              <a16:creationId xmlns:a16="http://schemas.microsoft.com/office/drawing/2014/main" id="{33831DFA-45E8-44DB-A192-619ECE485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76200</xdr:colOff>
      <xdr:row>0</xdr:row>
      <xdr:rowOff>69850</xdr:rowOff>
    </xdr:from>
    <xdr:to>
      <xdr:col>8</xdr:col>
      <xdr:colOff>514350</xdr:colOff>
      <xdr:row>10</xdr:row>
      <xdr:rowOff>114300</xdr:rowOff>
    </xdr:to>
    <xdr:graphicFrame macro="">
      <xdr:nvGraphicFramePr>
        <xdr:cNvPr id="25" name="Chart 24">
          <a:extLst>
            <a:ext uri="{FF2B5EF4-FFF2-40B4-BE49-F238E27FC236}">
              <a16:creationId xmlns:a16="http://schemas.microsoft.com/office/drawing/2014/main" id="{9C80EBA2-1D7D-4AFA-84FD-E18302270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590550</xdr:colOff>
      <xdr:row>6</xdr:row>
      <xdr:rowOff>57150</xdr:rowOff>
    </xdr:from>
    <xdr:to>
      <xdr:col>13</xdr:col>
      <xdr:colOff>584200</xdr:colOff>
      <xdr:row>15</xdr:row>
      <xdr:rowOff>107950</xdr:rowOff>
    </xdr:to>
    <xdr:graphicFrame macro="">
      <xdr:nvGraphicFramePr>
        <xdr:cNvPr id="26" name="Chart 25">
          <a:extLst>
            <a:ext uri="{FF2B5EF4-FFF2-40B4-BE49-F238E27FC236}">
              <a16:creationId xmlns:a16="http://schemas.microsoft.com/office/drawing/2014/main" id="{CDFE9F64-71D9-4EFE-A0FF-A64E3A612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57150</xdr:colOff>
      <xdr:row>0</xdr:row>
      <xdr:rowOff>38100</xdr:rowOff>
    </xdr:from>
    <xdr:to>
      <xdr:col>13</xdr:col>
      <xdr:colOff>450850</xdr:colOff>
      <xdr:row>6</xdr:row>
      <xdr:rowOff>19050</xdr:rowOff>
    </xdr:to>
    <xdr:sp macro="" textlink="">
      <xdr:nvSpPr>
        <xdr:cNvPr id="27" name="TextBox 26">
          <a:extLst>
            <a:ext uri="{FF2B5EF4-FFF2-40B4-BE49-F238E27FC236}">
              <a16:creationId xmlns:a16="http://schemas.microsoft.com/office/drawing/2014/main" id="{154C7700-4290-2BB8-647F-9385CD3A3E7A}"/>
            </a:ext>
          </a:extLst>
        </xdr:cNvPr>
        <xdr:cNvSpPr txBox="1"/>
      </xdr:nvSpPr>
      <xdr:spPr>
        <a:xfrm>
          <a:off x="5511800" y="38100"/>
          <a:ext cx="2832100" cy="1085850"/>
        </a:xfrm>
        <a:prstGeom prst="rect">
          <a:avLst/>
        </a:prstGeom>
        <a:noFill/>
        <a:ln w="9525" cmpd="sng">
          <a:noFill/>
        </a:ln>
        <a:effectLst>
          <a:glow rad="1016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800" b="1" u="dbl">
              <a:effectLst>
                <a:glow rad="228600">
                  <a:schemeClr val="accent6">
                    <a:satMod val="175000"/>
                    <a:alpha val="40000"/>
                  </a:schemeClr>
                </a:glow>
              </a:effectLst>
              <a:latin typeface="Copperplate Gothic Bold" panose="020E0705020206020404" pitchFamily="34" charset="0"/>
            </a:rPr>
            <a:t>DASHBOARD</a:t>
          </a:r>
        </a:p>
        <a:p>
          <a:pPr algn="ctr"/>
          <a:r>
            <a:rPr lang="en-IN" sz="1400" b="0" u="none">
              <a:solidFill>
                <a:srgbClr val="002060"/>
              </a:solidFill>
              <a:effectLst>
                <a:glow rad="101600">
                  <a:schemeClr val="accent2">
                    <a:satMod val="175000"/>
                    <a:alpha val="40000"/>
                  </a:schemeClr>
                </a:glow>
              </a:effectLst>
              <a:latin typeface="Copperplate Gothic Bold" panose="020E0705020206020404" pitchFamily="34" charset="0"/>
            </a:rPr>
            <a:t>(</a:t>
          </a:r>
          <a:r>
            <a:rPr lang="en-IN" sz="1400" b="0" u="none">
              <a:solidFill>
                <a:srgbClr val="002060"/>
              </a:solidFill>
              <a:effectLst>
                <a:glow rad="101600">
                  <a:schemeClr val="accent2">
                    <a:satMod val="175000"/>
                    <a:alpha val="40000"/>
                  </a:schemeClr>
                </a:glow>
              </a:effectLst>
              <a:latin typeface="Copperplate Gothic Bold" panose="020E0705020206020404" pitchFamily="34" charset="0"/>
              <a:ea typeface="+mn-ea"/>
              <a:cs typeface="+mn-cs"/>
            </a:rPr>
            <a:t>Products used</a:t>
          </a:r>
          <a:r>
            <a:rPr lang="en-IN" sz="1400" b="0" u="none" baseline="0">
              <a:solidFill>
                <a:srgbClr val="002060"/>
              </a:solidFill>
              <a:effectLst>
                <a:glow rad="101600">
                  <a:schemeClr val="accent2">
                    <a:satMod val="175000"/>
                    <a:alpha val="40000"/>
                  </a:schemeClr>
                </a:glow>
              </a:effectLst>
              <a:latin typeface="Copperplate Gothic Bold" panose="020E0705020206020404" pitchFamily="34" charset="0"/>
              <a:ea typeface="+mn-ea"/>
              <a:cs typeface="+mn-cs"/>
            </a:rPr>
            <a:t> in the</a:t>
          </a:r>
          <a:r>
            <a:rPr lang="en-IN" sz="1400" b="0" u="none">
              <a:solidFill>
                <a:srgbClr val="002060"/>
              </a:solidFill>
              <a:effectLst>
                <a:glow rad="101600">
                  <a:schemeClr val="accent2">
                    <a:satMod val="175000"/>
                    <a:alpha val="40000"/>
                  </a:schemeClr>
                </a:glow>
              </a:effectLst>
              <a:latin typeface="Copperplate Gothic Bold" panose="020E0705020206020404" pitchFamily="34" charset="0"/>
              <a:ea typeface="+mn-ea"/>
              <a:cs typeface="+mn-cs"/>
            </a:rPr>
            <a:t> Cities in a Year)</a:t>
          </a:r>
        </a:p>
      </xdr:txBody>
    </xdr:sp>
    <xdr:clientData/>
  </xdr:twoCellAnchor>
  <xdr:twoCellAnchor editAs="oneCell">
    <xdr:from>
      <xdr:col>0</xdr:col>
      <xdr:colOff>82550</xdr:colOff>
      <xdr:row>23</xdr:row>
      <xdr:rowOff>88901</xdr:rowOff>
    </xdr:from>
    <xdr:to>
      <xdr:col>2</xdr:col>
      <xdr:colOff>209550</xdr:colOff>
      <xdr:row>30</xdr:row>
      <xdr:rowOff>0</xdr:rowOff>
    </xdr:to>
    <mc:AlternateContent xmlns:mc="http://schemas.openxmlformats.org/markup-compatibility/2006" xmlns:a14="http://schemas.microsoft.com/office/drawing/2010/main">
      <mc:Choice Requires="a14">
        <xdr:graphicFrame macro="">
          <xdr:nvGraphicFramePr>
            <xdr:cNvPr id="29" name="City">
              <a:extLst>
                <a:ext uri="{FF2B5EF4-FFF2-40B4-BE49-F238E27FC236}">
                  <a16:creationId xmlns:a16="http://schemas.microsoft.com/office/drawing/2014/main" id="{05CA7299-CC18-487F-BB8A-5C56F7026D6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2550" y="4324351"/>
              <a:ext cx="1689100" cy="1200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88900</xdr:colOff>
      <xdr:row>16</xdr:row>
      <xdr:rowOff>158751</xdr:rowOff>
    </xdr:from>
    <xdr:to>
      <xdr:col>2</xdr:col>
      <xdr:colOff>215900</xdr:colOff>
      <xdr:row>23</xdr:row>
      <xdr:rowOff>88901</xdr:rowOff>
    </xdr:to>
    <mc:AlternateContent xmlns:mc="http://schemas.openxmlformats.org/markup-compatibility/2006" xmlns:a14="http://schemas.microsoft.com/office/drawing/2010/main">
      <mc:Choice Requires="a14">
        <xdr:graphicFrame macro="">
          <xdr:nvGraphicFramePr>
            <xdr:cNvPr id="28" name="Platform">
              <a:extLst>
                <a:ext uri="{FF2B5EF4-FFF2-40B4-BE49-F238E27FC236}">
                  <a16:creationId xmlns:a16="http://schemas.microsoft.com/office/drawing/2014/main" id="{B79705C3-3A02-4756-A7BE-E72AEE8E7824}"/>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88900" y="3105151"/>
              <a:ext cx="16891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82550</xdr:colOff>
      <xdr:row>11</xdr:row>
      <xdr:rowOff>139700</xdr:rowOff>
    </xdr:from>
    <xdr:to>
      <xdr:col>2</xdr:col>
      <xdr:colOff>209550</xdr:colOff>
      <xdr:row>16</xdr:row>
      <xdr:rowOff>139700</xdr:rowOff>
    </xdr:to>
    <mc:AlternateContent xmlns:mc="http://schemas.openxmlformats.org/markup-compatibility/2006" xmlns:a14="http://schemas.microsoft.com/office/drawing/2010/main">
      <mc:Choice Requires="a14">
        <xdr:graphicFrame macro="">
          <xdr:nvGraphicFramePr>
            <xdr:cNvPr id="30" name="Quarters (OrderDate)">
              <a:extLst>
                <a:ext uri="{FF2B5EF4-FFF2-40B4-BE49-F238E27FC236}">
                  <a16:creationId xmlns:a16="http://schemas.microsoft.com/office/drawing/2014/main" id="{AF278128-592B-4EBA-BB6A-04DD0B9CE9D9}"/>
                </a:ext>
              </a:extLst>
            </xdr:cNvPr>
            <xdr:cNvGraphicFramePr/>
          </xdr:nvGraphicFramePr>
          <xdr:xfrm>
            <a:off x="0" y="0"/>
            <a:ext cx="0" cy="0"/>
          </xdr:xfrm>
          <a:graphic>
            <a:graphicData uri="http://schemas.microsoft.com/office/drawing/2010/slicer">
              <sle:slicer xmlns:sle="http://schemas.microsoft.com/office/drawing/2010/slicer" name="Quarters (OrderDate)"/>
            </a:graphicData>
          </a:graphic>
        </xdr:graphicFrame>
      </mc:Choice>
      <mc:Fallback xmlns="">
        <xdr:sp macro="" textlink="">
          <xdr:nvSpPr>
            <xdr:cNvPr id="0" name=""/>
            <xdr:cNvSpPr>
              <a:spLocks noTextEdit="1"/>
            </xdr:cNvSpPr>
          </xdr:nvSpPr>
          <xdr:spPr>
            <a:xfrm>
              <a:off x="82550" y="2165350"/>
              <a:ext cx="1689100" cy="920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Tanya Chaurasia" refreshedDate="46108.098948611114" createdVersion="8" refreshedVersion="8" minRefreshableVersion="3" recordCount="1999" xr:uid="{35A260F9-2768-451B-9791-F92C361429E7}">
  <cacheSource type="worksheet">
    <worksheetSource name="Table1"/>
  </cacheSource>
  <cacheFields count="13">
    <cacheField name="OrderDate" numFmtId="14">
      <sharedItems containsSemiMixedTypes="0" containsNonDate="0" containsDate="1" containsString="0" minDate="2024-01-01T00:00:00" maxDate="2024-12-27T00:00:00" count="359">
        <d v="2024-01-02T00:00:00"/>
        <d v="2024-01-03T00:00:00"/>
        <d v="2024-01-07T00:00:00"/>
        <d v="2024-01-08T00:00:00"/>
        <d v="2024-01-11T00:00:00"/>
        <d v="2024-01-12T00:00:00"/>
        <d v="2024-01-13T00:00:00"/>
        <d v="2024-01-15T00:00:00"/>
        <d v="2024-01-16T00:00:00"/>
        <d v="2024-01-18T00:00:00"/>
        <d v="2024-01-19T00:00:00"/>
        <d v="2024-01-20T00:00:00"/>
        <d v="2024-01-21T00:00:00"/>
        <d v="2024-01-23T00:00:00"/>
        <d v="2024-01-24T00:00:00"/>
        <d v="2024-01-25T00:00:00"/>
        <d v="2024-01-26T00:00:00"/>
        <d v="2024-01-28T00:00:00"/>
        <d v="2024-01-29T00:00:00"/>
        <d v="2024-01-30T00:00:00"/>
        <d v="2024-01-31T00:00:00"/>
        <d v="2024-02-01T00:00:00"/>
        <d v="2024-02-04T00:00:00"/>
        <d v="2024-02-05T00:00:00"/>
        <d v="2024-02-07T00:00:00"/>
        <d v="2024-02-08T00:00:00"/>
        <d v="2024-02-09T00:00:00"/>
        <d v="2024-02-10T00:00:00"/>
        <d v="2024-02-11T00:00:00"/>
        <d v="2024-02-14T00:00:00"/>
        <d v="2024-02-15T00:00:00"/>
        <d v="2024-02-16T00:00:00"/>
        <d v="2024-02-17T00:00:00"/>
        <d v="2024-02-19T00:00:00"/>
        <d v="2024-02-21T00:00:00"/>
        <d v="2024-02-22T00:00:00"/>
        <d v="2024-02-24T00:00:00"/>
        <d v="2024-02-25T00:00:00"/>
        <d v="2024-02-28T00:00:00"/>
        <d v="2024-02-29T00:00:00"/>
        <d v="2024-03-01T00:00:00"/>
        <d v="2024-03-02T00:00:00"/>
        <d v="2024-03-04T00:00:00"/>
        <d v="2024-03-05T00:00:00"/>
        <d v="2024-03-06T00:00:00"/>
        <d v="2024-03-07T00:00:00"/>
        <d v="2024-03-08T00:00:00"/>
        <d v="2024-03-11T00:00:00"/>
        <d v="2024-03-12T00:00:00"/>
        <d v="2024-03-17T00:00:00"/>
        <d v="2024-03-18T00:00:00"/>
        <d v="2024-03-19T00:00:00"/>
        <d v="2024-03-20T00:00:00"/>
        <d v="2024-03-21T00:00:00"/>
        <d v="2024-03-22T00:00:00"/>
        <d v="2024-03-23T00:00:00"/>
        <d v="2024-03-27T00:00:00"/>
        <d v="2024-03-28T00:00:00"/>
        <d v="2024-03-29T00:00:00"/>
        <d v="2024-03-30T00:00:00"/>
        <d v="2024-03-31T00:00:00"/>
        <d v="2024-04-01T00:00:00"/>
        <d v="2024-04-02T00:00:00"/>
        <d v="2024-04-04T00:00:00"/>
        <d v="2024-04-05T00:00:00"/>
        <d v="2024-04-06T00:00:00"/>
        <d v="2024-04-07T00:00:00"/>
        <d v="2024-04-10T00:00:00"/>
        <d v="2024-04-11T00:00:00"/>
        <d v="2024-04-13T00:00:00"/>
        <d v="2024-04-15T00:00:00"/>
        <d v="2024-04-17T00:00:00"/>
        <d v="2024-04-18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9T00:00:00"/>
        <d v="2024-05-10T00:00:00"/>
        <d v="2024-05-11T00:00:00"/>
        <d v="2024-05-12T00:00:00"/>
        <d v="2024-05-14T00:00:00"/>
        <d v="2024-05-15T00:00:00"/>
        <d v="2024-05-17T00:00:00"/>
        <d v="2024-05-18T00:00:00"/>
        <d v="2024-05-19T00:00:00"/>
        <d v="2024-05-20T00:00:00"/>
        <d v="2024-05-21T00:00:00"/>
        <d v="2024-05-23T00:00:00"/>
        <d v="2024-05-24T00:00:00"/>
        <d v="2024-05-25T00:00:00"/>
        <d v="2024-05-27T00:00:00"/>
        <d v="2024-05-28T00:00:00"/>
        <d v="2024-05-29T00:00:00"/>
        <d v="2024-05-30T00:00:00"/>
        <d v="2024-05-31T00:00:00"/>
        <d v="2024-06-02T00:00:00"/>
        <d v="2024-06-03T00:00:00"/>
        <d v="2024-06-05T00:00:00"/>
        <d v="2024-06-07T00:00:00"/>
        <d v="2024-06-11T00:00:00"/>
        <d v="2024-06-13T00:00:00"/>
        <d v="2024-06-16T00:00:00"/>
        <d v="2024-06-18T00:00:00"/>
        <d v="2024-06-19T00:00:00"/>
        <d v="2024-06-21T00:00:00"/>
        <d v="2024-06-23T00:00:00"/>
        <d v="2024-06-24T00:00:00"/>
        <d v="2024-06-26T00:00:00"/>
        <d v="2024-06-27T00:00:00"/>
        <d v="2024-06-28T00:00:00"/>
        <d v="2024-06-29T00:00:00"/>
        <d v="2024-07-01T00:00:00"/>
        <d v="2024-07-02T00:00:00"/>
        <d v="2024-07-03T00:00:00"/>
        <d v="2024-07-07T00:00:00"/>
        <d v="2024-07-08T00:00:00"/>
        <d v="2024-07-11T00:00:00"/>
        <d v="2024-07-12T00:00:00"/>
        <d v="2024-07-14T00:00:00"/>
        <d v="2024-07-17T00:00:00"/>
        <d v="2024-07-18T00:00:00"/>
        <d v="2024-07-19T00:00:00"/>
        <d v="2024-07-22T00:00:00"/>
        <d v="2024-07-23T00:00:00"/>
        <d v="2024-07-24T00:00:00"/>
        <d v="2024-07-28T00:00:00"/>
        <d v="2024-07-30T00:00:00"/>
        <d v="2024-07-31T00:00:00"/>
        <d v="2024-08-02T00:00:00"/>
        <d v="2024-08-03T00:00:00"/>
        <d v="2024-08-04T00:00:00"/>
        <d v="2024-08-08T00:00:00"/>
        <d v="2024-08-10T00:00:00"/>
        <d v="2024-08-11T00:00:00"/>
        <d v="2024-08-12T00:00:00"/>
        <d v="2024-08-15T00:00:00"/>
        <d v="2024-08-17T00:00:00"/>
        <d v="2024-08-18T00:00:00"/>
        <d v="2024-08-19T00:00:00"/>
        <d v="2024-08-20T00:00:00"/>
        <d v="2024-08-21T00:00:00"/>
        <d v="2024-08-24T00:00:00"/>
        <d v="2024-08-25T00:00:00"/>
        <d v="2024-08-26T00:00:00"/>
        <d v="2024-08-27T00:00:00"/>
        <d v="2024-08-28T00:00:00"/>
        <d v="2024-08-31T00:00:00"/>
        <d v="2024-09-01T00:00:00"/>
        <d v="2024-09-02T00:00:00"/>
        <d v="2024-09-03T00:00:00"/>
        <d v="2024-09-04T00:00:00"/>
        <d v="2024-09-06T00:00:00"/>
        <d v="2024-09-07T00:00:00"/>
        <d v="2024-09-09T00:00:00"/>
        <d v="2024-09-11T00:00:00"/>
        <d v="2024-09-12T00:00:00"/>
        <d v="2024-09-13T00:00:00"/>
        <d v="2024-09-15T00:00:00"/>
        <d v="2024-09-17T00:00:00"/>
        <d v="2024-09-20T00:00:00"/>
        <d v="2024-09-21T00:00:00"/>
        <d v="2024-09-23T00:00:00"/>
        <d v="2024-09-28T00:00:00"/>
        <d v="2024-09-29T00:00:00"/>
        <d v="2024-09-30T00:00:00"/>
        <d v="2024-10-02T00:00:00"/>
        <d v="2024-10-03T00:00:00"/>
        <d v="2024-10-04T00:00:00"/>
        <d v="2024-10-06T00:00:00"/>
        <d v="2024-10-07T00:00:00"/>
        <d v="2024-10-08T00:00:00"/>
        <d v="2024-10-10T00:00:00"/>
        <d v="2024-10-13T00:00:00"/>
        <d v="2024-10-14T00:00:00"/>
        <d v="2024-10-15T00:00:00"/>
        <d v="2024-10-16T00:00:00"/>
        <d v="2024-10-17T00:00:00"/>
        <d v="2024-10-18T00:00:00"/>
        <d v="2024-10-19T00:00:00"/>
        <d v="2024-10-20T00:00:00"/>
        <d v="2024-10-22T00:00:00"/>
        <d v="2024-10-23T00:00:00"/>
        <d v="2024-10-27T00:00:00"/>
        <d v="2024-10-29T00:00:00"/>
        <d v="2024-10-31T00:00:00"/>
        <d v="2024-11-01T00:00:00"/>
        <d v="2024-11-02T00:00:00"/>
        <d v="2024-11-07T00:00:00"/>
        <d v="2024-11-08T00:00:00"/>
        <d v="2024-11-09T00:00:00"/>
        <d v="2024-11-11T00:00:00"/>
        <d v="2024-11-13T00:00:00"/>
        <d v="2024-11-14T00:00:00"/>
        <d v="2024-11-15T00:00:00"/>
        <d v="2024-11-16T00:00:00"/>
        <d v="2024-11-19T00:00:00"/>
        <d v="2024-11-20T00:00:00"/>
        <d v="2024-11-21T00:00:00"/>
        <d v="2024-11-22T00:00:00"/>
        <d v="2024-11-24T00:00:00"/>
        <d v="2024-11-26T00:00:00"/>
        <d v="2024-11-27T00:00:00"/>
        <d v="2024-11-30T00:00:00"/>
        <d v="2024-12-01T00:00:00"/>
        <d v="2024-12-02T00:00:00"/>
        <d v="2024-12-03T00:00:00"/>
        <d v="2024-12-04T00:00:00"/>
        <d v="2024-12-05T00:00:00"/>
        <d v="2024-12-06T00:00:00"/>
        <d v="2024-12-08T00:00:00"/>
        <d v="2024-12-10T00:00:00"/>
        <d v="2024-12-11T00:00:00"/>
        <d v="2024-12-14T00:00:00"/>
        <d v="2024-12-15T00:00:00"/>
        <d v="2024-12-16T00:00:00"/>
        <d v="2024-12-17T00:00:00"/>
        <d v="2024-12-21T00:00:00"/>
        <d v="2024-12-22T00:00:00"/>
        <d v="2024-12-23T00:00:00"/>
        <d v="2024-12-24T00:00:00"/>
        <d v="2024-12-25T00:00:00"/>
        <d v="2024-12-26T00:00:00"/>
        <d v="2024-01-05T00:00:00"/>
        <d v="2024-01-09T00:00:00"/>
        <d v="2024-01-10T00:00:00"/>
        <d v="2024-01-14T00:00:00"/>
        <d v="2024-01-17T00:00:00"/>
        <d v="2024-02-02T00:00:00"/>
        <d v="2024-02-03T00:00:00"/>
        <d v="2024-02-12T00:00:00"/>
        <d v="2024-02-13T00:00:00"/>
        <d v="2024-02-20T00:00:00"/>
        <d v="2024-02-26T00:00:00"/>
        <d v="2024-02-27T00:00:00"/>
        <d v="2024-03-14T00:00:00"/>
        <d v="2024-03-15T00:00:00"/>
        <d v="2024-04-08T00:00:00"/>
        <d v="2024-04-09T00:00:00"/>
        <d v="2024-04-12T00:00:00"/>
        <d v="2024-04-16T00:00:00"/>
        <d v="2024-04-19T00:00:00"/>
        <d v="2024-05-07T00:00:00"/>
        <d v="2024-05-08T00:00:00"/>
        <d v="2024-05-13T00:00:00"/>
        <d v="2024-05-16T00:00:00"/>
        <d v="2024-05-26T00:00:00"/>
        <d v="2024-06-01T00:00:00"/>
        <d v="2024-06-04T00:00:00"/>
        <d v="2024-06-06T00:00:00"/>
        <d v="2024-06-09T00:00:00"/>
        <d v="2024-06-10T00:00:00"/>
        <d v="2024-06-15T00:00:00"/>
        <d v="2024-06-17T00:00:00"/>
        <d v="2024-06-20T00:00:00"/>
        <d v="2024-06-25T00:00:00"/>
        <d v="2024-06-30T00:00:00"/>
        <d v="2024-07-04T00:00:00"/>
        <d v="2024-07-05T00:00:00"/>
        <d v="2024-07-10T00:00:00"/>
        <d v="2024-07-13T00:00:00"/>
        <d v="2024-07-15T00:00:00"/>
        <d v="2024-07-25T00:00:00"/>
        <d v="2024-07-26T00:00:00"/>
        <d v="2024-07-29T00:00:00"/>
        <d v="2024-08-01T00:00:00"/>
        <d v="2024-08-05T00:00:00"/>
        <d v="2024-08-06T00:00:00"/>
        <d v="2024-08-09T00:00:00"/>
        <d v="2024-08-14T00:00:00"/>
        <d v="2024-08-29T00:00:00"/>
        <d v="2024-08-30T00:00:00"/>
        <d v="2024-09-05T00:00:00"/>
        <d v="2024-09-08T00:00:00"/>
        <d v="2024-09-16T00:00:00"/>
        <d v="2024-09-19T00:00:00"/>
        <d v="2024-09-22T00:00:00"/>
        <d v="2024-09-24T00:00:00"/>
        <d v="2024-09-25T00:00:00"/>
        <d v="2024-09-27T00:00:00"/>
        <d v="2024-10-09T00:00:00"/>
        <d v="2024-10-21T00:00:00"/>
        <d v="2024-10-25T00:00:00"/>
        <d v="2024-10-26T00:00:00"/>
        <d v="2024-10-30T00:00:00"/>
        <d v="2024-11-03T00:00:00"/>
        <d v="2024-11-12T00:00:00"/>
        <d v="2024-11-17T00:00:00"/>
        <d v="2024-11-18T00:00:00"/>
        <d v="2024-11-23T00:00:00"/>
        <d v="2024-11-25T00:00:00"/>
        <d v="2024-11-28T00:00:00"/>
        <d v="2024-12-12T00:00:00"/>
        <d v="2024-12-13T00:00:00"/>
        <d v="2024-01-04T00:00:00"/>
        <d v="2024-01-06T00:00:00"/>
        <d v="2024-01-22T00:00:00"/>
        <d v="2024-01-27T00:00:00"/>
        <d v="2024-02-06T00:00:00"/>
        <d v="2024-03-03T00:00:00"/>
        <d v="2024-03-09T00:00:00"/>
        <d v="2024-03-13T00:00:00"/>
        <d v="2024-03-16T00:00:00"/>
        <d v="2024-03-24T00:00:00"/>
        <d v="2024-03-25T00:00:00"/>
        <d v="2024-03-26T00:00:00"/>
        <d v="2024-04-14T00:00:00"/>
        <d v="2024-06-08T00:00:00"/>
        <d v="2024-06-12T00:00:00"/>
        <d v="2024-06-14T00:00:00"/>
        <d v="2024-06-22T00:00:00"/>
        <d v="2024-07-06T00:00:00"/>
        <d v="2024-07-09T00:00:00"/>
        <d v="2024-07-16T00:00:00"/>
        <d v="2024-07-20T00:00:00"/>
        <d v="2024-07-21T00:00:00"/>
        <d v="2024-07-27T00:00:00"/>
        <d v="2024-08-13T00:00:00"/>
        <d v="2024-08-16T00:00:00"/>
        <d v="2024-08-22T00:00:00"/>
        <d v="2024-08-23T00:00:00"/>
        <d v="2024-09-10T00:00:00"/>
        <d v="2024-09-14T00:00:00"/>
        <d v="2024-09-18T00:00:00"/>
        <d v="2024-09-26T00:00:00"/>
        <d v="2024-10-01T00:00:00"/>
        <d v="2024-10-05T00:00:00"/>
        <d v="2024-10-12T00:00:00"/>
        <d v="2024-10-24T00:00:00"/>
        <d v="2024-11-04T00:00:00"/>
        <d v="2024-11-05T00:00:00"/>
        <d v="2024-11-06T00:00:00"/>
        <d v="2024-11-10T00:00:00"/>
        <d v="2024-11-29T00:00:00"/>
        <d v="2024-12-07T00:00:00"/>
        <d v="2024-12-09T00:00:00"/>
        <d v="2024-12-18T00:00:00"/>
        <d v="2024-12-19T00:00:00"/>
        <d v="2024-12-20T00:00:00"/>
        <d v="2024-01-01T00:00:00"/>
        <d v="2024-03-10T00:00:00"/>
        <d v="2024-04-03T00:00:00"/>
        <d v="2024-05-22T00:00:00"/>
        <d v="2024-08-07T00:00:00"/>
        <d v="2024-10-11T00:00:00"/>
        <d v="2024-10-28T00:00:00"/>
      </sharedItems>
      <fieldGroup par="12"/>
    </cacheField>
    <cacheField name="OrderID" numFmtId="0">
      <sharedItems/>
    </cacheField>
    <cacheField name="Product" numFmtId="0">
      <sharedItems count="10">
        <s v="Bluetooth Headset"/>
        <s v="Smartwatch FitPro"/>
        <s v="HP Pavilion Laptop"/>
        <s v="Dell Inspiron 3501"/>
        <s v="Xiaomi Redmi Note 12"/>
        <s v="Samsung Galaxy A14"/>
        <s v="iPhone 13"/>
        <s v="Nike Air Max"/>
        <s v="T-shirt Cotton"/>
        <s v="Adidas Running Shoes"/>
      </sharedItems>
    </cacheField>
    <cacheField name="Category" numFmtId="0">
      <sharedItems count="5">
        <s v="Accessories"/>
        <s v="Computers"/>
        <s v="Electronics"/>
        <s v="Fashion"/>
        <s v="Wearables" u="1"/>
      </sharedItems>
    </cacheField>
    <cacheField name="Brand" numFmtId="0">
      <sharedItems count="10">
        <s v="JBL"/>
        <s v="FitPro"/>
        <s v="HP"/>
        <s v="Dell"/>
        <s v="Xiaomi"/>
        <s v="Samsung"/>
        <s v="Apple"/>
        <s v="Nike"/>
        <s v="Generic"/>
        <s v="Adidas"/>
      </sharedItems>
    </cacheField>
    <cacheField name="Platform" numFmtId="0">
      <sharedItems count="3">
        <s v="Souq"/>
        <s v="Jumia"/>
        <s v="Amazon"/>
      </sharedItems>
    </cacheField>
    <cacheField name="City" numFmtId="0">
      <sharedItems count="6">
        <s v="Riyadh"/>
        <s v="Cairo"/>
        <s v="Dubai"/>
        <s v="Alexandria"/>
        <s v="Casablanca"/>
        <s v="Giza"/>
      </sharedItems>
    </cacheField>
    <cacheField name="Price" numFmtId="0">
      <sharedItems containsSemiMixedTypes="0" containsString="0" containsNumber="1" minValue="105.59" maxValue="19978.64"/>
    </cacheField>
    <cacheField name="Quantity" numFmtId="0">
      <sharedItems containsSemiMixedTypes="0" containsString="0" containsNumber="1" containsInteger="1" minValue="1" maxValue="5"/>
    </cacheField>
    <cacheField name="TotalAmount" numFmtId="0">
      <sharedItems containsSemiMixedTypes="0" containsString="0" containsNumber="1" minValue="113.55" maxValue="99869.15"/>
    </cacheField>
    <cacheField name="Rating" numFmtId="0">
      <sharedItems containsSemiMixedTypes="0" containsString="0" containsNumber="1" minValue="1" maxValue="5"/>
    </cacheField>
    <cacheField name="Months (OrderDate)" numFmtId="0" databaseField="0">
      <fieldGroup base="0">
        <rangePr groupBy="months" startDate="2024-01-01T00:00:00" endDate="2024-12-27T00:00:00"/>
        <groupItems count="14">
          <s v="&lt;01-01-2024"/>
          <s v="Jan"/>
          <s v="Feb"/>
          <s v="Mar"/>
          <s v="Apr"/>
          <s v="May"/>
          <s v="Jun"/>
          <s v="Jul"/>
          <s v="Aug"/>
          <s v="Sep"/>
          <s v="Oct"/>
          <s v="Nov"/>
          <s v="Dec"/>
          <s v="&gt;27-12-2024"/>
        </groupItems>
      </fieldGroup>
    </cacheField>
    <cacheField name="Quarters (OrderDate)" numFmtId="0" databaseField="0">
      <fieldGroup base="0">
        <rangePr groupBy="quarters" startDate="2024-01-01T00:00:00" endDate="2024-12-27T00:00:00"/>
        <groupItems count="6">
          <s v="&lt;01-01-2024"/>
          <s v="Qtr1"/>
          <s v="Qtr2"/>
          <s v="Qtr3"/>
          <s v="Qtr4"/>
          <s v="&gt;27-12-2024"/>
        </groupItems>
      </fieldGroup>
    </cacheField>
  </cacheFields>
  <extLst>
    <ext xmlns:x14="http://schemas.microsoft.com/office/spreadsheetml/2009/9/main" uri="{725AE2AE-9491-48be-B2B4-4EB974FC3084}">
      <x14:pivotCacheDefinition pivotCacheId="8939322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9">
  <r>
    <x v="0"/>
    <s v="ORD101620"/>
    <x v="0"/>
    <x v="0"/>
    <x v="0"/>
    <x v="0"/>
    <x v="0"/>
    <n v="14212.6"/>
    <n v="3"/>
    <n v="42637.8"/>
    <n v="4.9400000000000004"/>
  </r>
  <r>
    <x v="1"/>
    <s v="ORD100827"/>
    <x v="1"/>
    <x v="0"/>
    <x v="1"/>
    <x v="1"/>
    <x v="1"/>
    <n v="19017.25"/>
    <n v="3"/>
    <n v="57051.75"/>
    <n v="2.67"/>
  </r>
  <r>
    <x v="2"/>
    <s v="ORD101077"/>
    <x v="0"/>
    <x v="0"/>
    <x v="0"/>
    <x v="0"/>
    <x v="0"/>
    <n v="15915.81"/>
    <n v="5"/>
    <n v="79579.05"/>
    <n v="2.87"/>
  </r>
  <r>
    <x v="3"/>
    <s v="ORD101896"/>
    <x v="0"/>
    <x v="0"/>
    <x v="0"/>
    <x v="2"/>
    <x v="2"/>
    <n v="16859.62"/>
    <n v="5"/>
    <n v="84298.1"/>
    <n v="3.26"/>
  </r>
  <r>
    <x v="4"/>
    <s v="ORD100154"/>
    <x v="0"/>
    <x v="0"/>
    <x v="0"/>
    <x v="1"/>
    <x v="2"/>
    <n v="4003.94"/>
    <n v="2"/>
    <n v="8007.88"/>
    <n v="4.16"/>
  </r>
  <r>
    <x v="4"/>
    <s v="ORD101140"/>
    <x v="1"/>
    <x v="0"/>
    <x v="1"/>
    <x v="1"/>
    <x v="0"/>
    <n v="5408.87"/>
    <n v="4"/>
    <n v="21635.48"/>
    <n v="1.91"/>
  </r>
  <r>
    <x v="5"/>
    <s v="ORD101663"/>
    <x v="0"/>
    <x v="0"/>
    <x v="0"/>
    <x v="1"/>
    <x v="2"/>
    <n v="15931.12"/>
    <n v="3"/>
    <n v="47793.36"/>
    <n v="3.65"/>
  </r>
  <r>
    <x v="6"/>
    <s v="ORD101689"/>
    <x v="0"/>
    <x v="0"/>
    <x v="0"/>
    <x v="0"/>
    <x v="3"/>
    <n v="18725.37"/>
    <n v="2"/>
    <n v="37450.74"/>
    <n v="2.4300000000000002"/>
  </r>
  <r>
    <x v="6"/>
    <s v="ORD100210"/>
    <x v="1"/>
    <x v="0"/>
    <x v="1"/>
    <x v="2"/>
    <x v="1"/>
    <n v="17811.95"/>
    <n v="1"/>
    <n v="17811.95"/>
    <n v="4.7"/>
  </r>
  <r>
    <x v="6"/>
    <s v="ORD100657"/>
    <x v="1"/>
    <x v="0"/>
    <x v="1"/>
    <x v="0"/>
    <x v="2"/>
    <n v="18722.22"/>
    <n v="3"/>
    <n v="56166.66"/>
    <n v="3.41"/>
  </r>
  <r>
    <x v="7"/>
    <s v="ORD100578"/>
    <x v="1"/>
    <x v="0"/>
    <x v="1"/>
    <x v="0"/>
    <x v="4"/>
    <n v="14939.54"/>
    <n v="3"/>
    <n v="44818.62"/>
    <n v="1.52"/>
  </r>
  <r>
    <x v="7"/>
    <s v="ORD101473"/>
    <x v="1"/>
    <x v="0"/>
    <x v="1"/>
    <x v="1"/>
    <x v="5"/>
    <n v="13862.72"/>
    <n v="3"/>
    <n v="41588.160000000003"/>
    <n v="3.12"/>
  </r>
  <r>
    <x v="8"/>
    <s v="ORD100279"/>
    <x v="0"/>
    <x v="0"/>
    <x v="0"/>
    <x v="1"/>
    <x v="4"/>
    <n v="12784.54"/>
    <n v="1"/>
    <n v="12784.54"/>
    <n v="2.66"/>
  </r>
  <r>
    <x v="9"/>
    <s v="ORD101008"/>
    <x v="1"/>
    <x v="0"/>
    <x v="1"/>
    <x v="2"/>
    <x v="0"/>
    <n v="1609.02"/>
    <n v="1"/>
    <n v="1609.02"/>
    <n v="2.92"/>
  </r>
  <r>
    <x v="10"/>
    <s v="ORD101596"/>
    <x v="1"/>
    <x v="0"/>
    <x v="1"/>
    <x v="1"/>
    <x v="3"/>
    <n v="15832.53"/>
    <n v="2"/>
    <n v="31665.06"/>
    <n v="3.38"/>
  </r>
  <r>
    <x v="11"/>
    <s v="ORD100609"/>
    <x v="1"/>
    <x v="0"/>
    <x v="1"/>
    <x v="0"/>
    <x v="0"/>
    <n v="5721.59"/>
    <n v="3"/>
    <n v="17164.77"/>
    <n v="4.9800000000000004"/>
  </r>
  <r>
    <x v="12"/>
    <s v="ORD100282"/>
    <x v="1"/>
    <x v="0"/>
    <x v="1"/>
    <x v="2"/>
    <x v="0"/>
    <n v="2094.9699999999998"/>
    <n v="5"/>
    <n v="10474.85"/>
    <n v="2.63"/>
  </r>
  <r>
    <x v="13"/>
    <s v="ORD100725"/>
    <x v="1"/>
    <x v="0"/>
    <x v="1"/>
    <x v="1"/>
    <x v="4"/>
    <n v="9389.08"/>
    <n v="1"/>
    <n v="9389.08"/>
    <n v="1.59"/>
  </r>
  <r>
    <x v="14"/>
    <s v="ORD100396"/>
    <x v="0"/>
    <x v="0"/>
    <x v="0"/>
    <x v="1"/>
    <x v="4"/>
    <n v="3475.06"/>
    <n v="4"/>
    <n v="13900.24"/>
    <n v="2.25"/>
  </r>
  <r>
    <x v="14"/>
    <s v="ORD101941"/>
    <x v="0"/>
    <x v="0"/>
    <x v="0"/>
    <x v="2"/>
    <x v="3"/>
    <n v="19684.560000000001"/>
    <n v="2"/>
    <n v="39369.120000000003"/>
    <n v="2.35"/>
  </r>
  <r>
    <x v="15"/>
    <s v="ORD100440"/>
    <x v="0"/>
    <x v="0"/>
    <x v="0"/>
    <x v="2"/>
    <x v="3"/>
    <n v="9502.33"/>
    <n v="1"/>
    <n v="9502.33"/>
    <n v="2.16"/>
  </r>
  <r>
    <x v="16"/>
    <s v="ORD101032"/>
    <x v="0"/>
    <x v="0"/>
    <x v="0"/>
    <x v="1"/>
    <x v="4"/>
    <n v="17648.2"/>
    <n v="3"/>
    <n v="52944.6"/>
    <n v="3.95"/>
  </r>
  <r>
    <x v="17"/>
    <s v="ORD100325"/>
    <x v="1"/>
    <x v="0"/>
    <x v="1"/>
    <x v="0"/>
    <x v="0"/>
    <n v="9632.51"/>
    <n v="4"/>
    <n v="38530.04"/>
    <n v="3.95"/>
  </r>
  <r>
    <x v="18"/>
    <s v="ORD100720"/>
    <x v="1"/>
    <x v="0"/>
    <x v="1"/>
    <x v="2"/>
    <x v="4"/>
    <n v="16795.330000000002"/>
    <n v="1"/>
    <n v="16795.330000000002"/>
    <n v="4.82"/>
  </r>
  <r>
    <x v="19"/>
    <s v="ORD100007"/>
    <x v="1"/>
    <x v="0"/>
    <x v="1"/>
    <x v="0"/>
    <x v="4"/>
    <n v="13081.14"/>
    <n v="3"/>
    <n v="39243.42"/>
    <n v="2.98"/>
  </r>
  <r>
    <x v="20"/>
    <s v="ORD101344"/>
    <x v="0"/>
    <x v="0"/>
    <x v="0"/>
    <x v="2"/>
    <x v="5"/>
    <n v="1503.49"/>
    <n v="4"/>
    <n v="6013.96"/>
    <n v="3.72"/>
  </r>
  <r>
    <x v="21"/>
    <s v="ORD101450"/>
    <x v="0"/>
    <x v="0"/>
    <x v="0"/>
    <x v="1"/>
    <x v="4"/>
    <n v="2767.31"/>
    <n v="1"/>
    <n v="2767.31"/>
    <n v="1.25"/>
  </r>
  <r>
    <x v="21"/>
    <s v="ORD101577"/>
    <x v="1"/>
    <x v="0"/>
    <x v="1"/>
    <x v="2"/>
    <x v="3"/>
    <n v="15723.88"/>
    <n v="5"/>
    <n v="78619.399999999994"/>
    <n v="2.82"/>
  </r>
  <r>
    <x v="22"/>
    <s v="ORD100520"/>
    <x v="0"/>
    <x v="0"/>
    <x v="0"/>
    <x v="2"/>
    <x v="2"/>
    <n v="5895.23"/>
    <n v="3"/>
    <n v="17685.689999999999"/>
    <n v="2.14"/>
  </r>
  <r>
    <x v="23"/>
    <s v="ORD100172"/>
    <x v="0"/>
    <x v="0"/>
    <x v="0"/>
    <x v="2"/>
    <x v="2"/>
    <n v="18705.82"/>
    <n v="1"/>
    <n v="18705.82"/>
    <n v="1.9"/>
  </r>
  <r>
    <x v="24"/>
    <s v="ORD100817"/>
    <x v="1"/>
    <x v="0"/>
    <x v="1"/>
    <x v="2"/>
    <x v="1"/>
    <n v="2514.5500000000002"/>
    <n v="4"/>
    <n v="10058.200000000001"/>
    <n v="3.09"/>
  </r>
  <r>
    <x v="25"/>
    <s v="ORD100203"/>
    <x v="1"/>
    <x v="0"/>
    <x v="1"/>
    <x v="1"/>
    <x v="2"/>
    <n v="17609.55"/>
    <n v="5"/>
    <n v="88047.75"/>
    <n v="4.76"/>
  </r>
  <r>
    <x v="25"/>
    <s v="ORD100815"/>
    <x v="1"/>
    <x v="0"/>
    <x v="1"/>
    <x v="1"/>
    <x v="0"/>
    <n v="15464.3"/>
    <n v="4"/>
    <n v="61857.2"/>
    <n v="3.17"/>
  </r>
  <r>
    <x v="26"/>
    <s v="ORD101319"/>
    <x v="1"/>
    <x v="0"/>
    <x v="1"/>
    <x v="0"/>
    <x v="2"/>
    <n v="3872.29"/>
    <n v="4"/>
    <n v="15489.16"/>
    <n v="1.7"/>
  </r>
  <r>
    <x v="27"/>
    <s v="ORD100732"/>
    <x v="1"/>
    <x v="0"/>
    <x v="1"/>
    <x v="1"/>
    <x v="3"/>
    <n v="8677.3799999999992"/>
    <n v="5"/>
    <n v="43386.9"/>
    <n v="4.25"/>
  </r>
  <r>
    <x v="27"/>
    <s v="ORD101908"/>
    <x v="1"/>
    <x v="0"/>
    <x v="1"/>
    <x v="2"/>
    <x v="1"/>
    <n v="6211.44"/>
    <n v="2"/>
    <n v="12422.88"/>
    <n v="3.01"/>
  </r>
  <r>
    <x v="28"/>
    <s v="ORD101829"/>
    <x v="0"/>
    <x v="0"/>
    <x v="0"/>
    <x v="0"/>
    <x v="2"/>
    <n v="1252.01"/>
    <n v="1"/>
    <n v="1252.01"/>
    <n v="2.56"/>
  </r>
  <r>
    <x v="29"/>
    <s v="ORD100637"/>
    <x v="0"/>
    <x v="0"/>
    <x v="0"/>
    <x v="0"/>
    <x v="4"/>
    <n v="1994.58"/>
    <n v="1"/>
    <n v="1994.58"/>
    <n v="1.32"/>
  </r>
  <r>
    <x v="30"/>
    <s v="ORD100188"/>
    <x v="0"/>
    <x v="0"/>
    <x v="0"/>
    <x v="0"/>
    <x v="3"/>
    <n v="7070.15"/>
    <n v="5"/>
    <n v="35350.75"/>
    <n v="3.65"/>
  </r>
  <r>
    <x v="31"/>
    <s v="ORD100731"/>
    <x v="0"/>
    <x v="0"/>
    <x v="0"/>
    <x v="1"/>
    <x v="5"/>
    <n v="15646.98"/>
    <n v="3"/>
    <n v="46940.94"/>
    <n v="4.08"/>
  </r>
  <r>
    <x v="31"/>
    <s v="ORD101979"/>
    <x v="1"/>
    <x v="0"/>
    <x v="1"/>
    <x v="0"/>
    <x v="0"/>
    <n v="9465.18"/>
    <n v="4"/>
    <n v="37860.720000000001"/>
    <n v="4.79"/>
  </r>
  <r>
    <x v="32"/>
    <s v="ORD101511"/>
    <x v="0"/>
    <x v="0"/>
    <x v="0"/>
    <x v="0"/>
    <x v="2"/>
    <n v="4713.17"/>
    <n v="3"/>
    <n v="14139.51"/>
    <n v="1.67"/>
  </r>
  <r>
    <x v="33"/>
    <s v="ORD101300"/>
    <x v="0"/>
    <x v="0"/>
    <x v="0"/>
    <x v="1"/>
    <x v="3"/>
    <n v="13446.89"/>
    <n v="3"/>
    <n v="40340.67"/>
    <n v="3.17"/>
  </r>
  <r>
    <x v="33"/>
    <s v="ORD101232"/>
    <x v="1"/>
    <x v="0"/>
    <x v="1"/>
    <x v="1"/>
    <x v="4"/>
    <n v="7151.29"/>
    <n v="2"/>
    <n v="14302.58"/>
    <n v="1.54"/>
  </r>
  <r>
    <x v="34"/>
    <s v="ORD101085"/>
    <x v="0"/>
    <x v="0"/>
    <x v="0"/>
    <x v="0"/>
    <x v="1"/>
    <n v="4338.83"/>
    <n v="4"/>
    <n v="17355.32"/>
    <n v="1.26"/>
  </r>
  <r>
    <x v="35"/>
    <s v="ORD101305"/>
    <x v="0"/>
    <x v="0"/>
    <x v="0"/>
    <x v="1"/>
    <x v="0"/>
    <n v="6249.12"/>
    <n v="3"/>
    <n v="18747.36"/>
    <n v="1.03"/>
  </r>
  <r>
    <x v="36"/>
    <s v="ORD100504"/>
    <x v="1"/>
    <x v="0"/>
    <x v="1"/>
    <x v="2"/>
    <x v="4"/>
    <n v="5233.74"/>
    <n v="5"/>
    <n v="26168.7"/>
    <n v="1.1200000000000001"/>
  </r>
  <r>
    <x v="36"/>
    <s v="ORD101798"/>
    <x v="1"/>
    <x v="0"/>
    <x v="1"/>
    <x v="0"/>
    <x v="5"/>
    <n v="11590.97"/>
    <n v="3"/>
    <n v="34772.910000000003"/>
    <n v="3.18"/>
  </r>
  <r>
    <x v="37"/>
    <s v="ORD100582"/>
    <x v="1"/>
    <x v="0"/>
    <x v="1"/>
    <x v="1"/>
    <x v="4"/>
    <n v="13916.67"/>
    <n v="2"/>
    <n v="27833.34"/>
    <n v="4.1900000000000004"/>
  </r>
  <r>
    <x v="37"/>
    <s v="ORD100641"/>
    <x v="1"/>
    <x v="0"/>
    <x v="1"/>
    <x v="0"/>
    <x v="0"/>
    <n v="2394.66"/>
    <n v="3"/>
    <n v="7183.98"/>
    <n v="3.76"/>
  </r>
  <r>
    <x v="37"/>
    <s v="ORD101532"/>
    <x v="1"/>
    <x v="0"/>
    <x v="1"/>
    <x v="2"/>
    <x v="0"/>
    <n v="18390.77"/>
    <n v="4"/>
    <n v="73563.08"/>
    <n v="2.4900000000000002"/>
  </r>
  <r>
    <x v="37"/>
    <s v="ORD101856"/>
    <x v="1"/>
    <x v="0"/>
    <x v="1"/>
    <x v="1"/>
    <x v="0"/>
    <n v="12269.48"/>
    <n v="2"/>
    <n v="24538.959999999999"/>
    <n v="1.47"/>
  </r>
  <r>
    <x v="38"/>
    <s v="ORD100901"/>
    <x v="1"/>
    <x v="0"/>
    <x v="1"/>
    <x v="0"/>
    <x v="3"/>
    <n v="17212.98"/>
    <n v="5"/>
    <n v="86064.9"/>
    <n v="3.86"/>
  </r>
  <r>
    <x v="38"/>
    <s v="ORD101102"/>
    <x v="1"/>
    <x v="0"/>
    <x v="1"/>
    <x v="0"/>
    <x v="0"/>
    <n v="8303.01"/>
    <n v="1"/>
    <n v="8303.01"/>
    <n v="1.49"/>
  </r>
  <r>
    <x v="39"/>
    <s v="ORD100264"/>
    <x v="0"/>
    <x v="0"/>
    <x v="0"/>
    <x v="1"/>
    <x v="4"/>
    <n v="18290.169999999998"/>
    <n v="1"/>
    <n v="18290.169999999998"/>
    <n v="3.98"/>
  </r>
  <r>
    <x v="40"/>
    <s v="ORD101197"/>
    <x v="0"/>
    <x v="0"/>
    <x v="0"/>
    <x v="0"/>
    <x v="5"/>
    <n v="3005.1"/>
    <n v="3"/>
    <n v="9015.2999999999993"/>
    <n v="3.61"/>
  </r>
  <r>
    <x v="41"/>
    <s v="ORD101732"/>
    <x v="1"/>
    <x v="0"/>
    <x v="1"/>
    <x v="2"/>
    <x v="2"/>
    <n v="16010.02"/>
    <n v="4"/>
    <n v="64040.08"/>
    <n v="4.57"/>
  </r>
  <r>
    <x v="42"/>
    <s v="ORD101093"/>
    <x v="1"/>
    <x v="0"/>
    <x v="1"/>
    <x v="0"/>
    <x v="1"/>
    <n v="12703.96"/>
    <n v="5"/>
    <n v="63519.8"/>
    <n v="2.59"/>
  </r>
  <r>
    <x v="43"/>
    <s v="ORD101925"/>
    <x v="0"/>
    <x v="0"/>
    <x v="0"/>
    <x v="0"/>
    <x v="5"/>
    <n v="1159.81"/>
    <n v="2"/>
    <n v="2319.62"/>
    <n v="4.04"/>
  </r>
  <r>
    <x v="43"/>
    <s v="ORD100063"/>
    <x v="1"/>
    <x v="0"/>
    <x v="1"/>
    <x v="1"/>
    <x v="5"/>
    <n v="18610.55"/>
    <n v="2"/>
    <n v="37221.1"/>
    <n v="1.2"/>
  </r>
  <r>
    <x v="43"/>
    <s v="ORD101266"/>
    <x v="1"/>
    <x v="0"/>
    <x v="1"/>
    <x v="0"/>
    <x v="0"/>
    <n v="14155.9"/>
    <n v="1"/>
    <n v="14155.9"/>
    <n v="2.75"/>
  </r>
  <r>
    <x v="44"/>
    <s v="ORD101219"/>
    <x v="0"/>
    <x v="0"/>
    <x v="0"/>
    <x v="1"/>
    <x v="1"/>
    <n v="7743.02"/>
    <n v="5"/>
    <n v="38715.1"/>
    <n v="1.41"/>
  </r>
  <r>
    <x v="44"/>
    <s v="ORD100195"/>
    <x v="1"/>
    <x v="0"/>
    <x v="1"/>
    <x v="2"/>
    <x v="4"/>
    <n v="6402.17"/>
    <n v="1"/>
    <n v="6402.17"/>
    <n v="4.9800000000000004"/>
  </r>
  <r>
    <x v="45"/>
    <s v="ORD100352"/>
    <x v="0"/>
    <x v="0"/>
    <x v="0"/>
    <x v="2"/>
    <x v="5"/>
    <n v="4235.07"/>
    <n v="2"/>
    <n v="8470.14"/>
    <n v="2.25"/>
  </r>
  <r>
    <x v="45"/>
    <s v="ORD101872"/>
    <x v="1"/>
    <x v="0"/>
    <x v="1"/>
    <x v="2"/>
    <x v="2"/>
    <n v="7177.29"/>
    <n v="1"/>
    <n v="7177.29"/>
    <n v="4.03"/>
  </r>
  <r>
    <x v="46"/>
    <s v="ORD100142"/>
    <x v="0"/>
    <x v="0"/>
    <x v="0"/>
    <x v="0"/>
    <x v="2"/>
    <n v="8713.4599999999991"/>
    <n v="2"/>
    <n v="17426.919999999998"/>
    <n v="1.2"/>
  </r>
  <r>
    <x v="46"/>
    <s v="ORD100698"/>
    <x v="0"/>
    <x v="0"/>
    <x v="0"/>
    <x v="1"/>
    <x v="4"/>
    <n v="11621.12"/>
    <n v="1"/>
    <n v="11621.12"/>
    <n v="2.16"/>
  </r>
  <r>
    <x v="46"/>
    <s v="ORD101519"/>
    <x v="0"/>
    <x v="0"/>
    <x v="0"/>
    <x v="0"/>
    <x v="2"/>
    <n v="15760.01"/>
    <n v="1"/>
    <n v="15760.01"/>
    <n v="4.01"/>
  </r>
  <r>
    <x v="47"/>
    <s v="ORD100700"/>
    <x v="0"/>
    <x v="0"/>
    <x v="0"/>
    <x v="2"/>
    <x v="2"/>
    <n v="12496.42"/>
    <n v="4"/>
    <n v="49985.68"/>
    <n v="1.1000000000000001"/>
  </r>
  <r>
    <x v="48"/>
    <s v="ORD100805"/>
    <x v="0"/>
    <x v="0"/>
    <x v="0"/>
    <x v="0"/>
    <x v="4"/>
    <n v="10854.19"/>
    <n v="2"/>
    <n v="21708.38"/>
    <n v="5"/>
  </r>
  <r>
    <x v="48"/>
    <s v="ORD101364"/>
    <x v="0"/>
    <x v="0"/>
    <x v="0"/>
    <x v="0"/>
    <x v="3"/>
    <n v="7417.15"/>
    <n v="2"/>
    <n v="14834.3"/>
    <n v="4.4800000000000004"/>
  </r>
  <r>
    <x v="49"/>
    <s v="ORD100925"/>
    <x v="0"/>
    <x v="0"/>
    <x v="0"/>
    <x v="1"/>
    <x v="1"/>
    <n v="2783.82"/>
    <n v="1"/>
    <n v="2783.82"/>
    <n v="2.41"/>
  </r>
  <r>
    <x v="50"/>
    <s v="ORD100192"/>
    <x v="0"/>
    <x v="0"/>
    <x v="0"/>
    <x v="0"/>
    <x v="3"/>
    <n v="19772.849999999999"/>
    <n v="1"/>
    <n v="19772.849999999999"/>
    <n v="1.1599999999999999"/>
  </r>
  <r>
    <x v="51"/>
    <s v="ORD100784"/>
    <x v="0"/>
    <x v="0"/>
    <x v="0"/>
    <x v="2"/>
    <x v="3"/>
    <n v="7111.2"/>
    <n v="5"/>
    <n v="35556"/>
    <n v="2.23"/>
  </r>
  <r>
    <x v="51"/>
    <s v="ORD100843"/>
    <x v="1"/>
    <x v="0"/>
    <x v="1"/>
    <x v="0"/>
    <x v="3"/>
    <n v="16771.66"/>
    <n v="1"/>
    <n v="16771.66"/>
    <n v="4.5"/>
  </r>
  <r>
    <x v="52"/>
    <s v="ORD100652"/>
    <x v="0"/>
    <x v="0"/>
    <x v="0"/>
    <x v="1"/>
    <x v="1"/>
    <n v="9622.26"/>
    <n v="1"/>
    <n v="9622.26"/>
    <n v="3.52"/>
  </r>
  <r>
    <x v="53"/>
    <s v="ORD100591"/>
    <x v="1"/>
    <x v="0"/>
    <x v="1"/>
    <x v="0"/>
    <x v="5"/>
    <n v="2382.84"/>
    <n v="2"/>
    <n v="4765.68"/>
    <n v="1.52"/>
  </r>
  <r>
    <x v="54"/>
    <s v="ORD101660"/>
    <x v="1"/>
    <x v="0"/>
    <x v="1"/>
    <x v="2"/>
    <x v="2"/>
    <n v="14798.98"/>
    <n v="3"/>
    <n v="44396.94"/>
    <n v="2.72"/>
  </r>
  <r>
    <x v="55"/>
    <s v="ORD100267"/>
    <x v="0"/>
    <x v="0"/>
    <x v="0"/>
    <x v="0"/>
    <x v="3"/>
    <n v="10753.1"/>
    <n v="2"/>
    <n v="21506.2"/>
    <n v="2.63"/>
  </r>
  <r>
    <x v="56"/>
    <s v="ORD101039"/>
    <x v="0"/>
    <x v="0"/>
    <x v="0"/>
    <x v="0"/>
    <x v="3"/>
    <n v="16736.150000000001"/>
    <n v="2"/>
    <n v="33472.300000000003"/>
    <n v="2.12"/>
  </r>
  <r>
    <x v="56"/>
    <s v="ORD101814"/>
    <x v="0"/>
    <x v="0"/>
    <x v="0"/>
    <x v="2"/>
    <x v="0"/>
    <n v="6136.91"/>
    <n v="1"/>
    <n v="6136.91"/>
    <n v="4.5999999999999996"/>
  </r>
  <r>
    <x v="57"/>
    <s v="ORD101419"/>
    <x v="1"/>
    <x v="0"/>
    <x v="1"/>
    <x v="1"/>
    <x v="4"/>
    <n v="8616.7099999999991"/>
    <n v="4"/>
    <n v="34466.839999999997"/>
    <n v="4.0999999999999996"/>
  </r>
  <r>
    <x v="57"/>
    <s v="ORD101592"/>
    <x v="1"/>
    <x v="0"/>
    <x v="1"/>
    <x v="0"/>
    <x v="3"/>
    <n v="16661.939999999999"/>
    <n v="5"/>
    <n v="83309.7"/>
    <n v="3.44"/>
  </r>
  <r>
    <x v="58"/>
    <s v="ORD100874"/>
    <x v="0"/>
    <x v="0"/>
    <x v="0"/>
    <x v="2"/>
    <x v="2"/>
    <n v="5605.11"/>
    <n v="3"/>
    <n v="16815.330000000002"/>
    <n v="4.09"/>
  </r>
  <r>
    <x v="58"/>
    <s v="ORD100623"/>
    <x v="1"/>
    <x v="0"/>
    <x v="1"/>
    <x v="2"/>
    <x v="2"/>
    <n v="5266.58"/>
    <n v="3"/>
    <n v="15799.74"/>
    <n v="4.7300000000000004"/>
  </r>
  <r>
    <x v="59"/>
    <s v="ORD101773"/>
    <x v="1"/>
    <x v="0"/>
    <x v="1"/>
    <x v="2"/>
    <x v="2"/>
    <n v="16047.93"/>
    <n v="1"/>
    <n v="16047.93"/>
    <n v="2.73"/>
  </r>
  <r>
    <x v="60"/>
    <s v="ORD101326"/>
    <x v="1"/>
    <x v="0"/>
    <x v="1"/>
    <x v="1"/>
    <x v="3"/>
    <n v="8357.61"/>
    <n v="1"/>
    <n v="8357.61"/>
    <n v="2.0099999999999998"/>
  </r>
  <r>
    <x v="60"/>
    <s v="ORD101516"/>
    <x v="1"/>
    <x v="0"/>
    <x v="1"/>
    <x v="2"/>
    <x v="2"/>
    <n v="6721.6"/>
    <n v="1"/>
    <n v="6721.6"/>
    <n v="2.0699999999999998"/>
  </r>
  <r>
    <x v="61"/>
    <s v="ORD101527"/>
    <x v="0"/>
    <x v="0"/>
    <x v="0"/>
    <x v="1"/>
    <x v="3"/>
    <n v="8046.22"/>
    <n v="4"/>
    <n v="32184.880000000001"/>
    <n v="2.62"/>
  </r>
  <r>
    <x v="61"/>
    <s v="ORD100094"/>
    <x v="1"/>
    <x v="0"/>
    <x v="1"/>
    <x v="0"/>
    <x v="4"/>
    <n v="6220.11"/>
    <n v="1"/>
    <n v="6220.11"/>
    <n v="1.76"/>
  </r>
  <r>
    <x v="62"/>
    <s v="ORD101315"/>
    <x v="0"/>
    <x v="0"/>
    <x v="0"/>
    <x v="2"/>
    <x v="3"/>
    <n v="15798.69"/>
    <n v="3"/>
    <n v="47396.07"/>
    <n v="4.6399999999999997"/>
  </r>
  <r>
    <x v="62"/>
    <s v="ORD100748"/>
    <x v="1"/>
    <x v="0"/>
    <x v="1"/>
    <x v="1"/>
    <x v="4"/>
    <n v="15381.69"/>
    <n v="2"/>
    <n v="30763.38"/>
    <n v="3.45"/>
  </r>
  <r>
    <x v="62"/>
    <s v="ORD100833"/>
    <x v="1"/>
    <x v="0"/>
    <x v="1"/>
    <x v="0"/>
    <x v="3"/>
    <n v="7479.26"/>
    <n v="4"/>
    <n v="29917.040000000001"/>
    <n v="2.2599999999999998"/>
  </r>
  <r>
    <x v="63"/>
    <s v="ORD100250"/>
    <x v="0"/>
    <x v="0"/>
    <x v="0"/>
    <x v="2"/>
    <x v="1"/>
    <n v="3948.53"/>
    <n v="3"/>
    <n v="11845.59"/>
    <n v="4.47"/>
  </r>
  <r>
    <x v="63"/>
    <s v="ORD101810"/>
    <x v="0"/>
    <x v="0"/>
    <x v="0"/>
    <x v="2"/>
    <x v="2"/>
    <n v="13017.05"/>
    <n v="3"/>
    <n v="39051.15"/>
    <n v="3.57"/>
  </r>
  <r>
    <x v="63"/>
    <s v="ORD101451"/>
    <x v="1"/>
    <x v="0"/>
    <x v="1"/>
    <x v="1"/>
    <x v="2"/>
    <n v="12207.43"/>
    <n v="2"/>
    <n v="24414.86"/>
    <n v="4.76"/>
  </r>
  <r>
    <x v="64"/>
    <s v="ORD100232"/>
    <x v="0"/>
    <x v="0"/>
    <x v="0"/>
    <x v="1"/>
    <x v="2"/>
    <n v="3348.83"/>
    <n v="2"/>
    <n v="6697.66"/>
    <n v="4.78"/>
  </r>
  <r>
    <x v="65"/>
    <s v="ORD101707"/>
    <x v="1"/>
    <x v="0"/>
    <x v="1"/>
    <x v="1"/>
    <x v="0"/>
    <n v="17469.52"/>
    <n v="2"/>
    <n v="34939.040000000001"/>
    <n v="1.22"/>
  </r>
  <r>
    <x v="65"/>
    <s v="ORD101869"/>
    <x v="1"/>
    <x v="0"/>
    <x v="1"/>
    <x v="0"/>
    <x v="3"/>
    <n v="459.58"/>
    <n v="4"/>
    <n v="1838.32"/>
    <n v="3.47"/>
  </r>
  <r>
    <x v="66"/>
    <s v="ORD101894"/>
    <x v="1"/>
    <x v="0"/>
    <x v="1"/>
    <x v="1"/>
    <x v="0"/>
    <n v="4306.6099999999997"/>
    <n v="1"/>
    <n v="4306.6099999999997"/>
    <n v="1.65"/>
  </r>
  <r>
    <x v="67"/>
    <s v="ORD101911"/>
    <x v="0"/>
    <x v="0"/>
    <x v="0"/>
    <x v="2"/>
    <x v="5"/>
    <n v="4889.97"/>
    <n v="1"/>
    <n v="4889.97"/>
    <n v="1.96"/>
  </r>
  <r>
    <x v="67"/>
    <s v="ORD101859"/>
    <x v="1"/>
    <x v="0"/>
    <x v="1"/>
    <x v="0"/>
    <x v="1"/>
    <n v="4235.58"/>
    <n v="4"/>
    <n v="16942.32"/>
    <n v="4.38"/>
  </r>
  <r>
    <x v="68"/>
    <s v="ORD100225"/>
    <x v="1"/>
    <x v="0"/>
    <x v="1"/>
    <x v="1"/>
    <x v="2"/>
    <n v="17738.689999999999"/>
    <n v="4"/>
    <n v="70954.759999999995"/>
    <n v="4.67"/>
  </r>
  <r>
    <x v="69"/>
    <s v="ORD100475"/>
    <x v="1"/>
    <x v="0"/>
    <x v="1"/>
    <x v="0"/>
    <x v="5"/>
    <n v="1325.62"/>
    <n v="5"/>
    <n v="6628.1"/>
    <n v="1.64"/>
  </r>
  <r>
    <x v="70"/>
    <s v="ORD100166"/>
    <x v="0"/>
    <x v="0"/>
    <x v="0"/>
    <x v="2"/>
    <x v="0"/>
    <n v="9869.5300000000007"/>
    <n v="5"/>
    <n v="49347.65"/>
    <n v="4.2699999999999996"/>
  </r>
  <r>
    <x v="70"/>
    <s v="ORD100234"/>
    <x v="0"/>
    <x v="0"/>
    <x v="0"/>
    <x v="2"/>
    <x v="0"/>
    <n v="3383.51"/>
    <n v="4"/>
    <n v="13534.04"/>
    <n v="3.5"/>
  </r>
  <r>
    <x v="70"/>
    <s v="ORD101403"/>
    <x v="0"/>
    <x v="0"/>
    <x v="0"/>
    <x v="2"/>
    <x v="4"/>
    <n v="13719.26"/>
    <n v="4"/>
    <n v="54877.04"/>
    <n v="2.57"/>
  </r>
  <r>
    <x v="71"/>
    <s v="ORD100147"/>
    <x v="0"/>
    <x v="0"/>
    <x v="0"/>
    <x v="0"/>
    <x v="2"/>
    <n v="5830.08"/>
    <n v="3"/>
    <n v="17490.240000000002"/>
    <n v="2.25"/>
  </r>
  <r>
    <x v="72"/>
    <s v="ORD100066"/>
    <x v="0"/>
    <x v="0"/>
    <x v="0"/>
    <x v="2"/>
    <x v="2"/>
    <n v="2059.56"/>
    <n v="1"/>
    <n v="2059.56"/>
    <n v="2.2599999999999998"/>
  </r>
  <r>
    <x v="73"/>
    <s v="ORD101952"/>
    <x v="0"/>
    <x v="0"/>
    <x v="0"/>
    <x v="2"/>
    <x v="4"/>
    <n v="18980.96"/>
    <n v="4"/>
    <n v="75923.839999999997"/>
    <n v="2.52"/>
  </r>
  <r>
    <x v="74"/>
    <s v="ORD100138"/>
    <x v="0"/>
    <x v="0"/>
    <x v="0"/>
    <x v="1"/>
    <x v="5"/>
    <n v="16569.599999999999"/>
    <n v="4"/>
    <n v="66278.399999999994"/>
    <n v="3.71"/>
  </r>
  <r>
    <x v="75"/>
    <s v="ORD100207"/>
    <x v="0"/>
    <x v="0"/>
    <x v="0"/>
    <x v="2"/>
    <x v="1"/>
    <n v="11305.18"/>
    <n v="1"/>
    <n v="11305.18"/>
    <n v="4.7300000000000004"/>
  </r>
  <r>
    <x v="75"/>
    <s v="ORD100339"/>
    <x v="1"/>
    <x v="0"/>
    <x v="1"/>
    <x v="0"/>
    <x v="1"/>
    <n v="3540.22"/>
    <n v="2"/>
    <n v="7080.44"/>
    <n v="2.56"/>
  </r>
  <r>
    <x v="76"/>
    <s v="ORD100125"/>
    <x v="0"/>
    <x v="0"/>
    <x v="0"/>
    <x v="2"/>
    <x v="4"/>
    <n v="16774.22"/>
    <n v="2"/>
    <n v="33548.44"/>
    <n v="4.8499999999999996"/>
  </r>
  <r>
    <x v="77"/>
    <s v="ORD101628"/>
    <x v="1"/>
    <x v="0"/>
    <x v="1"/>
    <x v="2"/>
    <x v="3"/>
    <n v="2219.65"/>
    <n v="5"/>
    <n v="11098.25"/>
    <n v="3.87"/>
  </r>
  <r>
    <x v="78"/>
    <s v="ORD100813"/>
    <x v="0"/>
    <x v="0"/>
    <x v="0"/>
    <x v="0"/>
    <x v="0"/>
    <n v="9997.32"/>
    <n v="5"/>
    <n v="49986.6"/>
    <n v="2.76"/>
  </r>
  <r>
    <x v="78"/>
    <s v="ORD101942"/>
    <x v="0"/>
    <x v="0"/>
    <x v="0"/>
    <x v="2"/>
    <x v="3"/>
    <n v="12419.98"/>
    <n v="2"/>
    <n v="24839.96"/>
    <n v="2.38"/>
  </r>
  <r>
    <x v="79"/>
    <s v="ORD100855"/>
    <x v="1"/>
    <x v="0"/>
    <x v="1"/>
    <x v="2"/>
    <x v="2"/>
    <n v="2509.56"/>
    <n v="1"/>
    <n v="2509.56"/>
    <n v="2.73"/>
  </r>
  <r>
    <x v="80"/>
    <s v="ORD101286"/>
    <x v="1"/>
    <x v="0"/>
    <x v="1"/>
    <x v="0"/>
    <x v="2"/>
    <n v="2351.6"/>
    <n v="1"/>
    <n v="2351.6"/>
    <n v="4.93"/>
  </r>
  <r>
    <x v="80"/>
    <s v="ORD101747"/>
    <x v="1"/>
    <x v="0"/>
    <x v="1"/>
    <x v="1"/>
    <x v="5"/>
    <n v="17722.11"/>
    <n v="1"/>
    <n v="17722.11"/>
    <n v="2.7"/>
  </r>
  <r>
    <x v="81"/>
    <s v="ORD100257"/>
    <x v="1"/>
    <x v="0"/>
    <x v="1"/>
    <x v="2"/>
    <x v="3"/>
    <n v="13409.13"/>
    <n v="3"/>
    <n v="40227.39"/>
    <n v="1.86"/>
  </r>
  <r>
    <x v="81"/>
    <s v="ORD101854"/>
    <x v="1"/>
    <x v="0"/>
    <x v="1"/>
    <x v="2"/>
    <x v="4"/>
    <n v="2282.0300000000002"/>
    <n v="5"/>
    <n v="11410.15"/>
    <n v="2.7"/>
  </r>
  <r>
    <x v="82"/>
    <s v="ORD100105"/>
    <x v="0"/>
    <x v="0"/>
    <x v="0"/>
    <x v="2"/>
    <x v="4"/>
    <n v="15360.28"/>
    <n v="1"/>
    <n v="15360.28"/>
    <n v="2.5099999999999998"/>
  </r>
  <r>
    <x v="83"/>
    <s v="ORD100209"/>
    <x v="1"/>
    <x v="0"/>
    <x v="1"/>
    <x v="1"/>
    <x v="2"/>
    <n v="11259.08"/>
    <n v="4"/>
    <n v="45036.32"/>
    <n v="4.3499999999999996"/>
  </r>
  <r>
    <x v="83"/>
    <s v="ORD101118"/>
    <x v="1"/>
    <x v="0"/>
    <x v="1"/>
    <x v="0"/>
    <x v="5"/>
    <n v="3724.19"/>
    <n v="5"/>
    <n v="18620.95"/>
    <n v="1.83"/>
  </r>
  <r>
    <x v="84"/>
    <s v="ORD100425"/>
    <x v="1"/>
    <x v="0"/>
    <x v="1"/>
    <x v="2"/>
    <x v="1"/>
    <n v="17096.95"/>
    <n v="5"/>
    <n v="85484.75"/>
    <n v="1.69"/>
  </r>
  <r>
    <x v="84"/>
    <s v="ORD101777"/>
    <x v="1"/>
    <x v="0"/>
    <x v="1"/>
    <x v="0"/>
    <x v="1"/>
    <n v="6304.28"/>
    <n v="4"/>
    <n v="25217.119999999999"/>
    <n v="4.04"/>
  </r>
  <r>
    <x v="85"/>
    <s v="ORD101725"/>
    <x v="1"/>
    <x v="0"/>
    <x v="1"/>
    <x v="0"/>
    <x v="5"/>
    <n v="1878.33"/>
    <n v="4"/>
    <n v="7513.32"/>
    <n v="1.84"/>
  </r>
  <r>
    <x v="86"/>
    <s v="ORD100104"/>
    <x v="0"/>
    <x v="0"/>
    <x v="0"/>
    <x v="2"/>
    <x v="5"/>
    <n v="18642.22"/>
    <n v="3"/>
    <n v="55926.66"/>
    <n v="4.33"/>
  </r>
  <r>
    <x v="86"/>
    <s v="ORD101849"/>
    <x v="1"/>
    <x v="0"/>
    <x v="1"/>
    <x v="0"/>
    <x v="0"/>
    <n v="9595.3799999999992"/>
    <n v="5"/>
    <n v="47976.9"/>
    <n v="1.78"/>
  </r>
  <r>
    <x v="87"/>
    <s v="ORD101540"/>
    <x v="0"/>
    <x v="0"/>
    <x v="0"/>
    <x v="1"/>
    <x v="0"/>
    <n v="6542.43"/>
    <n v="4"/>
    <n v="26169.72"/>
    <n v="1.04"/>
  </r>
  <r>
    <x v="87"/>
    <s v="ORD100082"/>
    <x v="1"/>
    <x v="0"/>
    <x v="1"/>
    <x v="2"/>
    <x v="5"/>
    <n v="4894.12"/>
    <n v="4"/>
    <n v="19576.48"/>
    <n v="1.3"/>
  </r>
  <r>
    <x v="88"/>
    <s v="ORD100062"/>
    <x v="0"/>
    <x v="0"/>
    <x v="0"/>
    <x v="2"/>
    <x v="0"/>
    <n v="13550.34"/>
    <n v="4"/>
    <n v="54201.36"/>
    <n v="4.62"/>
  </r>
  <r>
    <x v="89"/>
    <s v="ORD100068"/>
    <x v="0"/>
    <x v="0"/>
    <x v="0"/>
    <x v="0"/>
    <x v="4"/>
    <n v="19518.009999999998"/>
    <n v="2"/>
    <n v="39036.019999999997"/>
    <n v="3.57"/>
  </r>
  <r>
    <x v="89"/>
    <s v="ORD101833"/>
    <x v="0"/>
    <x v="0"/>
    <x v="0"/>
    <x v="1"/>
    <x v="2"/>
    <n v="5579.08"/>
    <n v="2"/>
    <n v="11158.16"/>
    <n v="2.08"/>
  </r>
  <r>
    <x v="90"/>
    <s v="ORD101439"/>
    <x v="0"/>
    <x v="0"/>
    <x v="0"/>
    <x v="0"/>
    <x v="1"/>
    <n v="7997.84"/>
    <n v="4"/>
    <n v="31991.360000000001"/>
    <n v="1.56"/>
  </r>
  <r>
    <x v="90"/>
    <s v="ORD101580"/>
    <x v="0"/>
    <x v="0"/>
    <x v="0"/>
    <x v="0"/>
    <x v="3"/>
    <n v="15393.35"/>
    <n v="2"/>
    <n v="30786.7"/>
    <n v="1.72"/>
  </r>
  <r>
    <x v="90"/>
    <s v="ORD101748"/>
    <x v="0"/>
    <x v="0"/>
    <x v="0"/>
    <x v="0"/>
    <x v="1"/>
    <n v="17312.189999999999"/>
    <n v="2"/>
    <n v="34624.379999999997"/>
    <n v="1.41"/>
  </r>
  <r>
    <x v="90"/>
    <s v="ORD100567"/>
    <x v="1"/>
    <x v="0"/>
    <x v="1"/>
    <x v="1"/>
    <x v="3"/>
    <n v="2323.8200000000002"/>
    <n v="1"/>
    <n v="2323.8200000000002"/>
    <n v="2.87"/>
  </r>
  <r>
    <x v="90"/>
    <s v="ORD101770"/>
    <x v="1"/>
    <x v="0"/>
    <x v="1"/>
    <x v="1"/>
    <x v="5"/>
    <n v="3112.57"/>
    <n v="5"/>
    <n v="15562.85"/>
    <n v="1.2"/>
  </r>
  <r>
    <x v="91"/>
    <s v="ORD100079"/>
    <x v="0"/>
    <x v="0"/>
    <x v="0"/>
    <x v="0"/>
    <x v="5"/>
    <n v="7564.18"/>
    <n v="4"/>
    <n v="30256.720000000001"/>
    <n v="1.79"/>
  </r>
  <r>
    <x v="91"/>
    <s v="ORD101564"/>
    <x v="0"/>
    <x v="0"/>
    <x v="0"/>
    <x v="0"/>
    <x v="5"/>
    <n v="8258.09"/>
    <n v="2"/>
    <n v="16516.18"/>
    <n v="2.29"/>
  </r>
  <r>
    <x v="92"/>
    <s v="ORD100651"/>
    <x v="0"/>
    <x v="0"/>
    <x v="0"/>
    <x v="1"/>
    <x v="4"/>
    <n v="19308.169999999998"/>
    <n v="4"/>
    <n v="77232.679999999993"/>
    <n v="1.87"/>
  </r>
  <r>
    <x v="92"/>
    <s v="ORD101340"/>
    <x v="0"/>
    <x v="0"/>
    <x v="0"/>
    <x v="1"/>
    <x v="3"/>
    <n v="16392.32"/>
    <n v="3"/>
    <n v="49176.959999999999"/>
    <n v="4.74"/>
  </r>
  <r>
    <x v="92"/>
    <s v="ORD101787"/>
    <x v="1"/>
    <x v="0"/>
    <x v="1"/>
    <x v="1"/>
    <x v="2"/>
    <n v="18971.36"/>
    <n v="5"/>
    <n v="94856.8"/>
    <n v="2.4500000000000002"/>
  </r>
  <r>
    <x v="93"/>
    <s v="ORD101558"/>
    <x v="0"/>
    <x v="0"/>
    <x v="0"/>
    <x v="2"/>
    <x v="4"/>
    <n v="1275.26"/>
    <n v="4"/>
    <n v="5101.04"/>
    <n v="2.27"/>
  </r>
  <r>
    <x v="94"/>
    <s v="ORD101303"/>
    <x v="1"/>
    <x v="0"/>
    <x v="1"/>
    <x v="2"/>
    <x v="1"/>
    <n v="1401.79"/>
    <n v="2"/>
    <n v="2803.58"/>
    <n v="2.87"/>
  </r>
  <r>
    <x v="95"/>
    <s v="ORD100738"/>
    <x v="0"/>
    <x v="0"/>
    <x v="0"/>
    <x v="0"/>
    <x v="5"/>
    <n v="11515.83"/>
    <n v="3"/>
    <n v="34547.49"/>
    <n v="3.8"/>
  </r>
  <r>
    <x v="96"/>
    <s v="ORD100387"/>
    <x v="0"/>
    <x v="0"/>
    <x v="0"/>
    <x v="1"/>
    <x v="3"/>
    <n v="10992.72"/>
    <n v="1"/>
    <n v="10992.72"/>
    <n v="3.41"/>
  </r>
  <r>
    <x v="96"/>
    <s v="ORD100958"/>
    <x v="0"/>
    <x v="0"/>
    <x v="0"/>
    <x v="1"/>
    <x v="1"/>
    <n v="6765.6"/>
    <n v="3"/>
    <n v="20296.8"/>
    <n v="1.4"/>
  </r>
  <r>
    <x v="97"/>
    <s v="ORD100423"/>
    <x v="1"/>
    <x v="0"/>
    <x v="1"/>
    <x v="2"/>
    <x v="2"/>
    <n v="10408.52"/>
    <n v="1"/>
    <n v="10408.52"/>
    <n v="1.04"/>
  </r>
  <r>
    <x v="98"/>
    <s v="ORD100119"/>
    <x v="1"/>
    <x v="0"/>
    <x v="1"/>
    <x v="1"/>
    <x v="4"/>
    <n v="11119.45"/>
    <n v="5"/>
    <n v="55597.25"/>
    <n v="2.88"/>
  </r>
  <r>
    <x v="98"/>
    <s v="ORD100915"/>
    <x v="1"/>
    <x v="0"/>
    <x v="1"/>
    <x v="0"/>
    <x v="4"/>
    <n v="6682.81"/>
    <n v="3"/>
    <n v="20048.43"/>
    <n v="2.0499999999999998"/>
  </r>
  <r>
    <x v="98"/>
    <s v="ORD100991"/>
    <x v="1"/>
    <x v="0"/>
    <x v="1"/>
    <x v="2"/>
    <x v="2"/>
    <n v="9964.41"/>
    <n v="3"/>
    <n v="29893.23"/>
    <n v="4.95"/>
  </r>
  <r>
    <x v="98"/>
    <s v="ORD101149"/>
    <x v="1"/>
    <x v="0"/>
    <x v="1"/>
    <x v="1"/>
    <x v="4"/>
    <n v="7124.55"/>
    <n v="5"/>
    <n v="35622.75"/>
    <n v="2.61"/>
  </r>
  <r>
    <x v="99"/>
    <s v="ORD101786"/>
    <x v="0"/>
    <x v="0"/>
    <x v="0"/>
    <x v="1"/>
    <x v="1"/>
    <n v="7956.37"/>
    <n v="1"/>
    <n v="7956.37"/>
    <n v="1.28"/>
  </r>
  <r>
    <x v="100"/>
    <s v="ORD101475"/>
    <x v="0"/>
    <x v="0"/>
    <x v="0"/>
    <x v="0"/>
    <x v="3"/>
    <n v="9011.1299999999992"/>
    <n v="4"/>
    <n v="36044.519999999997"/>
    <n v="1.6"/>
  </r>
  <r>
    <x v="101"/>
    <s v="ORD100309"/>
    <x v="1"/>
    <x v="0"/>
    <x v="1"/>
    <x v="2"/>
    <x v="4"/>
    <n v="7448.45"/>
    <n v="5"/>
    <n v="37242.25"/>
    <n v="4.4400000000000004"/>
  </r>
  <r>
    <x v="102"/>
    <s v="ORD100199"/>
    <x v="0"/>
    <x v="0"/>
    <x v="0"/>
    <x v="2"/>
    <x v="1"/>
    <n v="12591.67"/>
    <n v="2"/>
    <n v="25183.34"/>
    <n v="1.32"/>
  </r>
  <r>
    <x v="102"/>
    <s v="ORD101630"/>
    <x v="1"/>
    <x v="0"/>
    <x v="1"/>
    <x v="1"/>
    <x v="0"/>
    <n v="8248.33"/>
    <n v="4"/>
    <n v="32993.32"/>
    <n v="2.99"/>
  </r>
  <r>
    <x v="103"/>
    <s v="ORD101011"/>
    <x v="1"/>
    <x v="0"/>
    <x v="1"/>
    <x v="2"/>
    <x v="0"/>
    <n v="6071.1"/>
    <n v="3"/>
    <n v="18213.3"/>
    <n v="1.04"/>
  </r>
  <r>
    <x v="104"/>
    <s v="ORD100002"/>
    <x v="0"/>
    <x v="0"/>
    <x v="0"/>
    <x v="1"/>
    <x v="4"/>
    <n v="8882.92"/>
    <n v="3"/>
    <n v="26648.76"/>
    <n v="4.9800000000000004"/>
  </r>
  <r>
    <x v="105"/>
    <s v="ORD101054"/>
    <x v="0"/>
    <x v="0"/>
    <x v="0"/>
    <x v="1"/>
    <x v="3"/>
    <n v="10194.32"/>
    <n v="2"/>
    <n v="20388.64"/>
    <n v="1.1599999999999999"/>
  </r>
  <r>
    <x v="105"/>
    <s v="ORD101308"/>
    <x v="1"/>
    <x v="0"/>
    <x v="1"/>
    <x v="2"/>
    <x v="1"/>
    <n v="16790.96"/>
    <n v="4"/>
    <n v="67163.839999999997"/>
    <n v="3.17"/>
  </r>
  <r>
    <x v="106"/>
    <s v="ORD100862"/>
    <x v="0"/>
    <x v="0"/>
    <x v="0"/>
    <x v="0"/>
    <x v="1"/>
    <n v="3051.64"/>
    <n v="5"/>
    <n v="15258.2"/>
    <n v="1.1100000000000001"/>
  </r>
  <r>
    <x v="107"/>
    <s v="ORD100810"/>
    <x v="0"/>
    <x v="0"/>
    <x v="0"/>
    <x v="2"/>
    <x v="2"/>
    <n v="821.62"/>
    <n v="2"/>
    <n v="1643.24"/>
    <n v="4.33"/>
  </r>
  <r>
    <x v="107"/>
    <s v="ORD101929"/>
    <x v="0"/>
    <x v="0"/>
    <x v="0"/>
    <x v="2"/>
    <x v="3"/>
    <n v="7820.92"/>
    <n v="2"/>
    <n v="15641.84"/>
    <n v="2.73"/>
  </r>
  <r>
    <x v="107"/>
    <s v="ORD100384"/>
    <x v="1"/>
    <x v="0"/>
    <x v="1"/>
    <x v="2"/>
    <x v="4"/>
    <n v="15743.97"/>
    <n v="2"/>
    <n v="31487.94"/>
    <n v="3.11"/>
  </r>
  <r>
    <x v="108"/>
    <s v="ORD101000"/>
    <x v="1"/>
    <x v="0"/>
    <x v="1"/>
    <x v="2"/>
    <x v="4"/>
    <n v="17983.27"/>
    <n v="2"/>
    <n v="35966.54"/>
    <n v="3.78"/>
  </r>
  <r>
    <x v="109"/>
    <s v="ORD100568"/>
    <x v="1"/>
    <x v="0"/>
    <x v="1"/>
    <x v="2"/>
    <x v="1"/>
    <n v="14106.05"/>
    <n v="2"/>
    <n v="28212.1"/>
    <n v="2.3199999999999998"/>
  </r>
  <r>
    <x v="110"/>
    <s v="ORD100697"/>
    <x v="0"/>
    <x v="0"/>
    <x v="0"/>
    <x v="2"/>
    <x v="4"/>
    <n v="9949.0499999999993"/>
    <n v="1"/>
    <n v="9949.0499999999993"/>
    <n v="1.02"/>
  </r>
  <r>
    <x v="110"/>
    <s v="ORD101969"/>
    <x v="1"/>
    <x v="0"/>
    <x v="1"/>
    <x v="1"/>
    <x v="1"/>
    <n v="13938.68"/>
    <n v="3"/>
    <n v="41816.04"/>
    <n v="2.5099999999999998"/>
  </r>
  <r>
    <x v="111"/>
    <s v="ORD101998"/>
    <x v="0"/>
    <x v="0"/>
    <x v="0"/>
    <x v="0"/>
    <x v="0"/>
    <n v="8312.75"/>
    <n v="5"/>
    <n v="41563.75"/>
    <n v="4.79"/>
  </r>
  <r>
    <x v="111"/>
    <s v="ORD101673"/>
    <x v="1"/>
    <x v="0"/>
    <x v="1"/>
    <x v="1"/>
    <x v="4"/>
    <n v="19566.79"/>
    <n v="3"/>
    <n v="58700.37"/>
    <n v="3.23"/>
  </r>
  <r>
    <x v="111"/>
    <s v="ORD101888"/>
    <x v="1"/>
    <x v="0"/>
    <x v="1"/>
    <x v="0"/>
    <x v="5"/>
    <n v="19514.04"/>
    <n v="1"/>
    <n v="19514.04"/>
    <n v="2"/>
  </r>
  <r>
    <x v="112"/>
    <s v="ORD100535"/>
    <x v="1"/>
    <x v="0"/>
    <x v="1"/>
    <x v="1"/>
    <x v="2"/>
    <n v="17358.28"/>
    <n v="5"/>
    <n v="86791.4"/>
    <n v="4.34"/>
  </r>
  <r>
    <x v="113"/>
    <s v="ORD100682"/>
    <x v="1"/>
    <x v="0"/>
    <x v="1"/>
    <x v="0"/>
    <x v="4"/>
    <n v="18692.47"/>
    <n v="5"/>
    <n v="93462.35"/>
    <n v="3.79"/>
  </r>
  <r>
    <x v="114"/>
    <s v="ORD101459"/>
    <x v="0"/>
    <x v="0"/>
    <x v="0"/>
    <x v="1"/>
    <x v="5"/>
    <n v="19797.96"/>
    <n v="1"/>
    <n v="19797.96"/>
    <n v="2.5"/>
  </r>
  <r>
    <x v="114"/>
    <s v="ORD101410"/>
    <x v="1"/>
    <x v="0"/>
    <x v="1"/>
    <x v="1"/>
    <x v="2"/>
    <n v="12151.44"/>
    <n v="5"/>
    <n v="60757.2"/>
    <n v="4.62"/>
  </r>
  <r>
    <x v="115"/>
    <s v="ORD101299"/>
    <x v="0"/>
    <x v="0"/>
    <x v="0"/>
    <x v="2"/>
    <x v="1"/>
    <n v="3915.6"/>
    <n v="1"/>
    <n v="3915.6"/>
    <n v="4"/>
  </r>
  <r>
    <x v="115"/>
    <s v="ORD101208"/>
    <x v="1"/>
    <x v="0"/>
    <x v="1"/>
    <x v="1"/>
    <x v="3"/>
    <n v="2090.15"/>
    <n v="5"/>
    <n v="10450.75"/>
    <n v="3.03"/>
  </r>
  <r>
    <x v="116"/>
    <s v="ORD101571"/>
    <x v="0"/>
    <x v="0"/>
    <x v="0"/>
    <x v="2"/>
    <x v="4"/>
    <n v="10296.36"/>
    <n v="4"/>
    <n v="41185.440000000002"/>
    <n v="3.5"/>
  </r>
  <r>
    <x v="117"/>
    <s v="ORD101158"/>
    <x v="1"/>
    <x v="0"/>
    <x v="1"/>
    <x v="2"/>
    <x v="1"/>
    <n v="19908.849999999999"/>
    <n v="4"/>
    <n v="79635.399999999994"/>
    <n v="4.41"/>
  </r>
  <r>
    <x v="118"/>
    <s v="ORD100390"/>
    <x v="1"/>
    <x v="0"/>
    <x v="1"/>
    <x v="0"/>
    <x v="4"/>
    <n v="15515.07"/>
    <n v="3"/>
    <n v="46545.21"/>
    <n v="2.69"/>
  </r>
  <r>
    <x v="119"/>
    <s v="ORD100485"/>
    <x v="1"/>
    <x v="0"/>
    <x v="1"/>
    <x v="0"/>
    <x v="0"/>
    <n v="1535.57"/>
    <n v="3"/>
    <n v="4606.71"/>
    <n v="4.12"/>
  </r>
  <r>
    <x v="120"/>
    <s v="ORD100661"/>
    <x v="1"/>
    <x v="0"/>
    <x v="1"/>
    <x v="1"/>
    <x v="2"/>
    <n v="8135.84"/>
    <n v="2"/>
    <n v="16271.68"/>
    <n v="2.5499999999999998"/>
  </r>
  <r>
    <x v="120"/>
    <s v="ORD101171"/>
    <x v="1"/>
    <x v="0"/>
    <x v="1"/>
    <x v="1"/>
    <x v="2"/>
    <n v="17735.009999999998"/>
    <n v="5"/>
    <n v="88675.05"/>
    <n v="4.93"/>
  </r>
  <r>
    <x v="121"/>
    <s v="ORD101916"/>
    <x v="1"/>
    <x v="0"/>
    <x v="1"/>
    <x v="1"/>
    <x v="3"/>
    <n v="19371.23"/>
    <n v="2"/>
    <n v="38742.46"/>
    <n v="4.1500000000000004"/>
  </r>
  <r>
    <x v="122"/>
    <s v="ORD101704"/>
    <x v="0"/>
    <x v="0"/>
    <x v="0"/>
    <x v="2"/>
    <x v="1"/>
    <n v="19022.580000000002"/>
    <n v="3"/>
    <n v="57067.74"/>
    <n v="4.1900000000000004"/>
  </r>
  <r>
    <x v="122"/>
    <s v="ORD100324"/>
    <x v="1"/>
    <x v="0"/>
    <x v="1"/>
    <x v="2"/>
    <x v="5"/>
    <n v="10137.11"/>
    <n v="1"/>
    <n v="10137.11"/>
    <n v="1.81"/>
  </r>
  <r>
    <x v="122"/>
    <s v="ORD101418"/>
    <x v="1"/>
    <x v="0"/>
    <x v="1"/>
    <x v="2"/>
    <x v="1"/>
    <n v="12060.67"/>
    <n v="5"/>
    <n v="60303.35"/>
    <n v="2.88"/>
  </r>
  <r>
    <x v="123"/>
    <s v="ORD101259"/>
    <x v="0"/>
    <x v="0"/>
    <x v="0"/>
    <x v="0"/>
    <x v="0"/>
    <n v="18205.89"/>
    <n v="4"/>
    <n v="72823.56"/>
    <n v="2.56"/>
  </r>
  <r>
    <x v="123"/>
    <s v="ORD101760"/>
    <x v="0"/>
    <x v="0"/>
    <x v="0"/>
    <x v="1"/>
    <x v="2"/>
    <n v="3545.32"/>
    <n v="2"/>
    <n v="7090.64"/>
    <n v="4.58"/>
  </r>
  <r>
    <x v="123"/>
    <s v="ORD101048"/>
    <x v="1"/>
    <x v="0"/>
    <x v="1"/>
    <x v="0"/>
    <x v="5"/>
    <n v="12478.88"/>
    <n v="5"/>
    <n v="62394.400000000001"/>
    <n v="2.57"/>
  </r>
  <r>
    <x v="124"/>
    <s v="ORD100302"/>
    <x v="0"/>
    <x v="0"/>
    <x v="0"/>
    <x v="2"/>
    <x v="1"/>
    <n v="11879.15"/>
    <n v="3"/>
    <n v="35637.449999999997"/>
    <n v="2.97"/>
  </r>
  <r>
    <x v="125"/>
    <s v="ORD101311"/>
    <x v="1"/>
    <x v="0"/>
    <x v="1"/>
    <x v="1"/>
    <x v="3"/>
    <n v="1843.19"/>
    <n v="5"/>
    <n v="9215.9500000000007"/>
    <n v="4.6399999999999997"/>
  </r>
  <r>
    <x v="126"/>
    <s v="ORD101746"/>
    <x v="0"/>
    <x v="0"/>
    <x v="0"/>
    <x v="1"/>
    <x v="1"/>
    <n v="1032.3900000000001"/>
    <n v="2"/>
    <n v="2064.7800000000002"/>
    <n v="1.01"/>
  </r>
  <r>
    <x v="127"/>
    <s v="ORD100829"/>
    <x v="0"/>
    <x v="0"/>
    <x v="0"/>
    <x v="0"/>
    <x v="3"/>
    <n v="12273.83"/>
    <n v="1"/>
    <n v="12273.83"/>
    <n v="4.37"/>
  </r>
  <r>
    <x v="127"/>
    <s v="ORD100851"/>
    <x v="0"/>
    <x v="0"/>
    <x v="0"/>
    <x v="0"/>
    <x v="0"/>
    <n v="2618.6799999999998"/>
    <n v="1"/>
    <n v="2618.6799999999998"/>
    <n v="2.89"/>
  </r>
  <r>
    <x v="128"/>
    <s v="ORD100767"/>
    <x v="0"/>
    <x v="0"/>
    <x v="0"/>
    <x v="0"/>
    <x v="0"/>
    <n v="18354.43"/>
    <n v="4"/>
    <n v="73417.72"/>
    <n v="4.4000000000000004"/>
  </r>
  <r>
    <x v="129"/>
    <s v="ORD101213"/>
    <x v="0"/>
    <x v="0"/>
    <x v="0"/>
    <x v="2"/>
    <x v="3"/>
    <n v="13351.69"/>
    <n v="1"/>
    <n v="13351.69"/>
    <n v="4.1100000000000003"/>
  </r>
  <r>
    <x v="130"/>
    <s v="ORD100220"/>
    <x v="1"/>
    <x v="0"/>
    <x v="1"/>
    <x v="2"/>
    <x v="0"/>
    <n v="15325.33"/>
    <n v="4"/>
    <n v="61301.32"/>
    <n v="4.4800000000000004"/>
  </r>
  <r>
    <x v="130"/>
    <s v="ORD101508"/>
    <x v="1"/>
    <x v="0"/>
    <x v="1"/>
    <x v="0"/>
    <x v="4"/>
    <n v="12812.02"/>
    <n v="1"/>
    <n v="12812.02"/>
    <n v="5"/>
  </r>
  <r>
    <x v="131"/>
    <s v="ORD101111"/>
    <x v="0"/>
    <x v="0"/>
    <x v="0"/>
    <x v="1"/>
    <x v="0"/>
    <n v="8093.44"/>
    <n v="2"/>
    <n v="16186.88"/>
    <n v="1.47"/>
  </r>
  <r>
    <x v="131"/>
    <s v="ORD101115"/>
    <x v="1"/>
    <x v="0"/>
    <x v="1"/>
    <x v="2"/>
    <x v="4"/>
    <n v="17758.330000000002"/>
    <n v="5"/>
    <n v="88791.65"/>
    <n v="1.88"/>
  </r>
  <r>
    <x v="132"/>
    <s v="ORD100931"/>
    <x v="0"/>
    <x v="0"/>
    <x v="0"/>
    <x v="0"/>
    <x v="3"/>
    <n v="933.67"/>
    <n v="5"/>
    <n v="4668.3500000000004"/>
    <n v="2.29"/>
  </r>
  <r>
    <x v="133"/>
    <s v="ORD101495"/>
    <x v="0"/>
    <x v="0"/>
    <x v="0"/>
    <x v="2"/>
    <x v="3"/>
    <n v="4744.8500000000004"/>
    <n v="1"/>
    <n v="4744.8500000000004"/>
    <n v="3.96"/>
  </r>
  <r>
    <x v="133"/>
    <s v="ORD101883"/>
    <x v="0"/>
    <x v="0"/>
    <x v="0"/>
    <x v="2"/>
    <x v="0"/>
    <n v="19706.82"/>
    <n v="1"/>
    <n v="19706.82"/>
    <n v="2.16"/>
  </r>
  <r>
    <x v="134"/>
    <s v="ORD101409"/>
    <x v="0"/>
    <x v="0"/>
    <x v="0"/>
    <x v="0"/>
    <x v="2"/>
    <n v="2778.57"/>
    <n v="3"/>
    <n v="8335.7099999999991"/>
    <n v="2.2599999999999998"/>
  </r>
  <r>
    <x v="134"/>
    <s v="ORD100077"/>
    <x v="1"/>
    <x v="0"/>
    <x v="1"/>
    <x v="2"/>
    <x v="4"/>
    <n v="15288.47"/>
    <n v="2"/>
    <n v="30576.94"/>
    <n v="4.57"/>
  </r>
  <r>
    <x v="135"/>
    <s v="ORD100144"/>
    <x v="0"/>
    <x v="0"/>
    <x v="0"/>
    <x v="1"/>
    <x v="4"/>
    <n v="15434.38"/>
    <n v="4"/>
    <n v="61737.52"/>
    <n v="4.47"/>
  </r>
  <r>
    <x v="136"/>
    <s v="ORD101838"/>
    <x v="0"/>
    <x v="0"/>
    <x v="0"/>
    <x v="1"/>
    <x v="0"/>
    <n v="19318.37"/>
    <n v="4"/>
    <n v="77273.48"/>
    <n v="4.18"/>
  </r>
  <r>
    <x v="136"/>
    <s v="ORD100219"/>
    <x v="1"/>
    <x v="0"/>
    <x v="1"/>
    <x v="2"/>
    <x v="2"/>
    <n v="3373.56"/>
    <n v="3"/>
    <n v="10120.68"/>
    <n v="1.64"/>
  </r>
  <r>
    <x v="136"/>
    <s v="ORD101358"/>
    <x v="1"/>
    <x v="0"/>
    <x v="1"/>
    <x v="1"/>
    <x v="3"/>
    <n v="11026.39"/>
    <n v="3"/>
    <n v="33079.17"/>
    <n v="3.39"/>
  </r>
  <r>
    <x v="137"/>
    <s v="ORD101154"/>
    <x v="1"/>
    <x v="0"/>
    <x v="1"/>
    <x v="2"/>
    <x v="3"/>
    <n v="15875.19"/>
    <n v="1"/>
    <n v="15875.19"/>
    <n v="2.66"/>
  </r>
  <r>
    <x v="137"/>
    <s v="ORD101272"/>
    <x v="1"/>
    <x v="0"/>
    <x v="1"/>
    <x v="0"/>
    <x v="1"/>
    <n v="18864.13"/>
    <n v="5"/>
    <n v="94320.65"/>
    <n v="4.1500000000000004"/>
  </r>
  <r>
    <x v="137"/>
    <s v="ORD101612"/>
    <x v="1"/>
    <x v="0"/>
    <x v="1"/>
    <x v="1"/>
    <x v="0"/>
    <n v="13623.47"/>
    <n v="3"/>
    <n v="40870.410000000003"/>
    <n v="1.38"/>
  </r>
  <r>
    <x v="138"/>
    <s v="ORD100656"/>
    <x v="0"/>
    <x v="0"/>
    <x v="0"/>
    <x v="1"/>
    <x v="1"/>
    <n v="6179.05"/>
    <n v="5"/>
    <n v="30895.25"/>
    <n v="3.79"/>
  </r>
  <r>
    <x v="138"/>
    <s v="ORD100093"/>
    <x v="1"/>
    <x v="0"/>
    <x v="1"/>
    <x v="1"/>
    <x v="3"/>
    <n v="8923.17"/>
    <n v="3"/>
    <n v="26769.51"/>
    <n v="1.63"/>
  </r>
  <r>
    <x v="139"/>
    <s v="ORD100522"/>
    <x v="0"/>
    <x v="0"/>
    <x v="0"/>
    <x v="2"/>
    <x v="4"/>
    <n v="18343.28"/>
    <n v="5"/>
    <n v="91716.4"/>
    <n v="4.95"/>
  </r>
  <r>
    <x v="140"/>
    <s v="ORD101474"/>
    <x v="1"/>
    <x v="0"/>
    <x v="1"/>
    <x v="1"/>
    <x v="2"/>
    <n v="7982.59"/>
    <n v="5"/>
    <n v="39912.949999999997"/>
    <n v="1.83"/>
  </r>
  <r>
    <x v="141"/>
    <s v="ORD101875"/>
    <x v="0"/>
    <x v="0"/>
    <x v="0"/>
    <x v="1"/>
    <x v="5"/>
    <n v="11862.9"/>
    <n v="5"/>
    <n v="59314.5"/>
    <n v="3.38"/>
  </r>
  <r>
    <x v="141"/>
    <s v="ORD101193"/>
    <x v="1"/>
    <x v="0"/>
    <x v="1"/>
    <x v="2"/>
    <x v="3"/>
    <n v="19865.14"/>
    <n v="4"/>
    <n v="79460.56"/>
    <n v="2.31"/>
  </r>
  <r>
    <x v="142"/>
    <s v="ORD100643"/>
    <x v="0"/>
    <x v="0"/>
    <x v="0"/>
    <x v="0"/>
    <x v="3"/>
    <n v="3948.49"/>
    <n v="1"/>
    <n v="3948.49"/>
    <n v="4.8499999999999996"/>
  </r>
  <r>
    <x v="142"/>
    <s v="ORD101397"/>
    <x v="0"/>
    <x v="0"/>
    <x v="0"/>
    <x v="1"/>
    <x v="3"/>
    <n v="11420.66"/>
    <n v="5"/>
    <n v="57103.3"/>
    <n v="4.68"/>
  </r>
  <r>
    <x v="143"/>
    <s v="ORD101501"/>
    <x v="1"/>
    <x v="0"/>
    <x v="1"/>
    <x v="2"/>
    <x v="3"/>
    <n v="6084.73"/>
    <n v="2"/>
    <n v="12169.46"/>
    <n v="3.71"/>
  </r>
  <r>
    <x v="143"/>
    <s v="ORD101734"/>
    <x v="1"/>
    <x v="0"/>
    <x v="1"/>
    <x v="2"/>
    <x v="0"/>
    <n v="8596.82"/>
    <n v="1"/>
    <n v="8596.82"/>
    <n v="3.02"/>
  </r>
  <r>
    <x v="144"/>
    <s v="ORD101614"/>
    <x v="0"/>
    <x v="0"/>
    <x v="0"/>
    <x v="1"/>
    <x v="1"/>
    <n v="898.39"/>
    <n v="1"/>
    <n v="898.39"/>
    <n v="2.14"/>
  </r>
  <r>
    <x v="145"/>
    <s v="ORD100431"/>
    <x v="0"/>
    <x v="0"/>
    <x v="0"/>
    <x v="2"/>
    <x v="4"/>
    <n v="3771.94"/>
    <n v="5"/>
    <n v="18859.7"/>
    <n v="4.03"/>
  </r>
  <r>
    <x v="146"/>
    <s v="ORD101428"/>
    <x v="0"/>
    <x v="0"/>
    <x v="0"/>
    <x v="1"/>
    <x v="1"/>
    <n v="1539.96"/>
    <n v="5"/>
    <n v="7699.8"/>
    <n v="4.2"/>
  </r>
  <r>
    <x v="147"/>
    <s v="ORD100646"/>
    <x v="1"/>
    <x v="0"/>
    <x v="1"/>
    <x v="1"/>
    <x v="3"/>
    <n v="13552.27"/>
    <n v="3"/>
    <n v="40656.81"/>
    <n v="3.51"/>
  </r>
  <r>
    <x v="148"/>
    <s v="ORD100370"/>
    <x v="0"/>
    <x v="0"/>
    <x v="0"/>
    <x v="0"/>
    <x v="1"/>
    <n v="10165.120000000001"/>
    <n v="3"/>
    <n v="30495.360000000001"/>
    <n v="3"/>
  </r>
  <r>
    <x v="148"/>
    <s v="ORD101112"/>
    <x v="0"/>
    <x v="0"/>
    <x v="0"/>
    <x v="2"/>
    <x v="0"/>
    <n v="14590.25"/>
    <n v="1"/>
    <n v="14590.25"/>
    <n v="3.29"/>
  </r>
  <r>
    <x v="148"/>
    <s v="ORD100399"/>
    <x v="1"/>
    <x v="0"/>
    <x v="1"/>
    <x v="2"/>
    <x v="1"/>
    <n v="12017.65"/>
    <n v="4"/>
    <n v="48070.6"/>
    <n v="3.79"/>
  </r>
  <r>
    <x v="149"/>
    <s v="ORD100102"/>
    <x v="1"/>
    <x v="0"/>
    <x v="1"/>
    <x v="0"/>
    <x v="0"/>
    <n v="2784.77"/>
    <n v="2"/>
    <n v="5569.54"/>
    <n v="4.92"/>
  </r>
  <r>
    <x v="149"/>
    <s v="ORD101135"/>
    <x v="1"/>
    <x v="0"/>
    <x v="1"/>
    <x v="2"/>
    <x v="5"/>
    <n v="7516.24"/>
    <n v="1"/>
    <n v="7516.24"/>
    <n v="3.56"/>
  </r>
  <r>
    <x v="150"/>
    <s v="ORD101468"/>
    <x v="1"/>
    <x v="0"/>
    <x v="1"/>
    <x v="2"/>
    <x v="4"/>
    <n v="2498.2800000000002"/>
    <n v="5"/>
    <n v="12491.4"/>
    <n v="4.6500000000000004"/>
  </r>
  <r>
    <x v="151"/>
    <s v="ORD100363"/>
    <x v="0"/>
    <x v="0"/>
    <x v="0"/>
    <x v="1"/>
    <x v="5"/>
    <n v="18851.650000000001"/>
    <n v="2"/>
    <n v="37703.300000000003"/>
    <n v="2.81"/>
  </r>
  <r>
    <x v="152"/>
    <s v="ORD100222"/>
    <x v="0"/>
    <x v="0"/>
    <x v="0"/>
    <x v="2"/>
    <x v="5"/>
    <n v="18331.509999999998"/>
    <n v="3"/>
    <n v="54994.53"/>
    <n v="1.1000000000000001"/>
  </r>
  <r>
    <x v="152"/>
    <s v="ORD100283"/>
    <x v="0"/>
    <x v="0"/>
    <x v="0"/>
    <x v="2"/>
    <x v="1"/>
    <n v="18524.830000000002"/>
    <n v="1"/>
    <n v="18524.830000000002"/>
    <n v="3.55"/>
  </r>
  <r>
    <x v="152"/>
    <s v="ORD101119"/>
    <x v="1"/>
    <x v="0"/>
    <x v="1"/>
    <x v="2"/>
    <x v="1"/>
    <n v="18412.560000000001"/>
    <n v="1"/>
    <n v="18412.560000000001"/>
    <n v="3.14"/>
  </r>
  <r>
    <x v="153"/>
    <s v="ORD100141"/>
    <x v="0"/>
    <x v="0"/>
    <x v="0"/>
    <x v="0"/>
    <x v="3"/>
    <n v="425.23"/>
    <n v="5"/>
    <n v="2126.15"/>
    <n v="3.1"/>
  </r>
  <r>
    <x v="153"/>
    <s v="ORD100945"/>
    <x v="1"/>
    <x v="0"/>
    <x v="1"/>
    <x v="0"/>
    <x v="5"/>
    <n v="15772.52"/>
    <n v="1"/>
    <n v="15772.52"/>
    <n v="1.31"/>
  </r>
  <r>
    <x v="153"/>
    <s v="ORD101033"/>
    <x v="1"/>
    <x v="0"/>
    <x v="1"/>
    <x v="1"/>
    <x v="0"/>
    <n v="19244.97"/>
    <n v="4"/>
    <n v="76979.88"/>
    <n v="1.06"/>
  </r>
  <r>
    <x v="154"/>
    <s v="ORD101569"/>
    <x v="1"/>
    <x v="0"/>
    <x v="1"/>
    <x v="1"/>
    <x v="5"/>
    <n v="11212.58"/>
    <n v="3"/>
    <n v="33637.74"/>
    <n v="3.93"/>
  </r>
  <r>
    <x v="155"/>
    <s v="ORD100913"/>
    <x v="0"/>
    <x v="0"/>
    <x v="0"/>
    <x v="0"/>
    <x v="3"/>
    <n v="2937.38"/>
    <n v="2"/>
    <n v="5874.76"/>
    <n v="2.93"/>
  </r>
  <r>
    <x v="155"/>
    <s v="ORD101258"/>
    <x v="1"/>
    <x v="0"/>
    <x v="1"/>
    <x v="0"/>
    <x v="0"/>
    <n v="6125.29"/>
    <n v="1"/>
    <n v="6125.29"/>
    <n v="3.47"/>
  </r>
  <r>
    <x v="156"/>
    <s v="ORD100486"/>
    <x v="0"/>
    <x v="0"/>
    <x v="0"/>
    <x v="0"/>
    <x v="0"/>
    <n v="2365.88"/>
    <n v="2"/>
    <n v="4731.76"/>
    <n v="2.71"/>
  </r>
  <r>
    <x v="156"/>
    <s v="ORD101947"/>
    <x v="1"/>
    <x v="0"/>
    <x v="1"/>
    <x v="2"/>
    <x v="0"/>
    <n v="17461.05"/>
    <n v="3"/>
    <n v="52383.15"/>
    <n v="2.5299999999999998"/>
  </r>
  <r>
    <x v="157"/>
    <s v="ORD100206"/>
    <x v="0"/>
    <x v="0"/>
    <x v="0"/>
    <x v="0"/>
    <x v="5"/>
    <n v="9725.77"/>
    <n v="1"/>
    <n v="9725.77"/>
    <n v="4.9000000000000004"/>
  </r>
  <r>
    <x v="157"/>
    <s v="ORD100718"/>
    <x v="0"/>
    <x v="0"/>
    <x v="0"/>
    <x v="0"/>
    <x v="0"/>
    <n v="16813.54"/>
    <n v="2"/>
    <n v="33627.08"/>
    <n v="1.77"/>
  </r>
  <r>
    <x v="157"/>
    <s v="ORD100828"/>
    <x v="1"/>
    <x v="0"/>
    <x v="1"/>
    <x v="2"/>
    <x v="5"/>
    <n v="10817.44"/>
    <n v="3"/>
    <n v="32452.32"/>
    <n v="3.11"/>
  </r>
  <r>
    <x v="158"/>
    <s v="ORD100677"/>
    <x v="0"/>
    <x v="0"/>
    <x v="0"/>
    <x v="1"/>
    <x v="1"/>
    <n v="11123.71"/>
    <n v="5"/>
    <n v="55618.55"/>
    <n v="2.56"/>
  </r>
  <r>
    <x v="159"/>
    <s v="ORD100028"/>
    <x v="0"/>
    <x v="0"/>
    <x v="0"/>
    <x v="2"/>
    <x v="5"/>
    <n v="12094.71"/>
    <n v="2"/>
    <n v="24189.42"/>
    <n v="3.37"/>
  </r>
  <r>
    <x v="160"/>
    <s v="ORD100506"/>
    <x v="0"/>
    <x v="0"/>
    <x v="0"/>
    <x v="1"/>
    <x v="3"/>
    <n v="128.21"/>
    <n v="5"/>
    <n v="641.04999999999995"/>
    <n v="3.33"/>
  </r>
  <r>
    <x v="161"/>
    <s v="ORD101414"/>
    <x v="0"/>
    <x v="0"/>
    <x v="0"/>
    <x v="1"/>
    <x v="0"/>
    <n v="12257.83"/>
    <n v="4"/>
    <n v="49031.32"/>
    <n v="2.54"/>
  </r>
  <r>
    <x v="162"/>
    <s v="ORD101002"/>
    <x v="0"/>
    <x v="0"/>
    <x v="0"/>
    <x v="2"/>
    <x v="1"/>
    <n v="9860.2900000000009"/>
    <n v="2"/>
    <n v="19720.580000000002"/>
    <n v="4.33"/>
  </r>
  <r>
    <x v="163"/>
    <s v="ORD101878"/>
    <x v="0"/>
    <x v="0"/>
    <x v="0"/>
    <x v="2"/>
    <x v="4"/>
    <n v="1452.38"/>
    <n v="3"/>
    <n v="4357.1400000000003"/>
    <n v="4.5"/>
  </r>
  <r>
    <x v="163"/>
    <s v="ORD100252"/>
    <x v="1"/>
    <x v="0"/>
    <x v="1"/>
    <x v="2"/>
    <x v="5"/>
    <n v="4860.08"/>
    <n v="4"/>
    <n v="19440.32"/>
    <n v="1.19"/>
  </r>
  <r>
    <x v="163"/>
    <s v="ORD100989"/>
    <x v="1"/>
    <x v="0"/>
    <x v="1"/>
    <x v="0"/>
    <x v="2"/>
    <n v="16973.259999999998"/>
    <n v="3"/>
    <n v="50919.78"/>
    <n v="2.06"/>
  </r>
  <r>
    <x v="164"/>
    <s v="ORD101617"/>
    <x v="0"/>
    <x v="0"/>
    <x v="0"/>
    <x v="2"/>
    <x v="0"/>
    <n v="7569.21"/>
    <n v="1"/>
    <n v="7569.21"/>
    <n v="4.3499999999999996"/>
  </r>
  <r>
    <x v="165"/>
    <s v="ORD101168"/>
    <x v="0"/>
    <x v="0"/>
    <x v="0"/>
    <x v="1"/>
    <x v="0"/>
    <n v="18703.400000000001"/>
    <n v="4"/>
    <n v="74813.600000000006"/>
    <n v="3.57"/>
  </r>
  <r>
    <x v="165"/>
    <s v="ORD101456"/>
    <x v="0"/>
    <x v="0"/>
    <x v="0"/>
    <x v="2"/>
    <x v="3"/>
    <n v="12424.66"/>
    <n v="1"/>
    <n v="12424.66"/>
    <n v="1.47"/>
  </r>
  <r>
    <x v="165"/>
    <s v="ORD101994"/>
    <x v="0"/>
    <x v="0"/>
    <x v="0"/>
    <x v="2"/>
    <x v="0"/>
    <n v="18703.34"/>
    <n v="1"/>
    <n v="18703.34"/>
    <n v="3.91"/>
  </r>
  <r>
    <x v="166"/>
    <s v="ORD101442"/>
    <x v="0"/>
    <x v="0"/>
    <x v="0"/>
    <x v="1"/>
    <x v="4"/>
    <n v="19189.740000000002"/>
    <n v="5"/>
    <n v="95948.7"/>
    <n v="3.58"/>
  </r>
  <r>
    <x v="166"/>
    <s v="ORD101654"/>
    <x v="0"/>
    <x v="0"/>
    <x v="0"/>
    <x v="2"/>
    <x v="3"/>
    <n v="12000.92"/>
    <n v="1"/>
    <n v="12000.92"/>
    <n v="2.02"/>
  </r>
  <r>
    <x v="166"/>
    <s v="ORD101989"/>
    <x v="0"/>
    <x v="0"/>
    <x v="0"/>
    <x v="0"/>
    <x v="4"/>
    <n v="9334.57"/>
    <n v="5"/>
    <n v="46672.85"/>
    <n v="2.57"/>
  </r>
  <r>
    <x v="167"/>
    <s v="ORD101457"/>
    <x v="1"/>
    <x v="0"/>
    <x v="1"/>
    <x v="0"/>
    <x v="1"/>
    <n v="8329.39"/>
    <n v="5"/>
    <n v="41646.949999999997"/>
    <n v="4.9000000000000004"/>
  </r>
  <r>
    <x v="167"/>
    <s v="ORD101997"/>
    <x v="1"/>
    <x v="0"/>
    <x v="1"/>
    <x v="0"/>
    <x v="3"/>
    <n v="3279.46"/>
    <n v="4"/>
    <n v="13117.84"/>
    <n v="4.8499999999999996"/>
  </r>
  <r>
    <x v="168"/>
    <s v="ORD100477"/>
    <x v="1"/>
    <x v="0"/>
    <x v="1"/>
    <x v="2"/>
    <x v="5"/>
    <n v="11383.86"/>
    <n v="3"/>
    <n v="34151.58"/>
    <n v="2.79"/>
  </r>
  <r>
    <x v="169"/>
    <s v="ORD100792"/>
    <x v="0"/>
    <x v="0"/>
    <x v="0"/>
    <x v="2"/>
    <x v="3"/>
    <n v="1161.23"/>
    <n v="3"/>
    <n v="3483.69"/>
    <n v="3.87"/>
  </r>
  <r>
    <x v="170"/>
    <s v="ORD100926"/>
    <x v="0"/>
    <x v="0"/>
    <x v="0"/>
    <x v="0"/>
    <x v="5"/>
    <n v="17084.169999999998"/>
    <n v="4"/>
    <n v="68336.679999999993"/>
    <n v="3.62"/>
  </r>
  <r>
    <x v="171"/>
    <s v="ORD100238"/>
    <x v="0"/>
    <x v="0"/>
    <x v="0"/>
    <x v="1"/>
    <x v="5"/>
    <n v="11996.17"/>
    <n v="3"/>
    <n v="35988.51"/>
    <n v="3.75"/>
  </r>
  <r>
    <x v="171"/>
    <s v="ORD101784"/>
    <x v="0"/>
    <x v="0"/>
    <x v="0"/>
    <x v="1"/>
    <x v="2"/>
    <n v="2788.87"/>
    <n v="1"/>
    <n v="2788.87"/>
    <n v="4.2300000000000004"/>
  </r>
  <r>
    <x v="172"/>
    <s v="ORD100371"/>
    <x v="0"/>
    <x v="0"/>
    <x v="0"/>
    <x v="2"/>
    <x v="1"/>
    <n v="6436.71"/>
    <n v="1"/>
    <n v="6436.71"/>
    <n v="4.6500000000000004"/>
  </r>
  <r>
    <x v="172"/>
    <s v="ORD101017"/>
    <x v="1"/>
    <x v="0"/>
    <x v="1"/>
    <x v="0"/>
    <x v="0"/>
    <n v="16360.36"/>
    <n v="1"/>
    <n v="16360.36"/>
    <n v="1.81"/>
  </r>
  <r>
    <x v="172"/>
    <s v="ORD101235"/>
    <x v="1"/>
    <x v="0"/>
    <x v="1"/>
    <x v="1"/>
    <x v="4"/>
    <n v="8622.65"/>
    <n v="5"/>
    <n v="43113.25"/>
    <n v="1.37"/>
  </r>
  <r>
    <x v="173"/>
    <s v="ORD101752"/>
    <x v="1"/>
    <x v="0"/>
    <x v="1"/>
    <x v="0"/>
    <x v="0"/>
    <n v="12781.28"/>
    <n v="1"/>
    <n v="12781.28"/>
    <n v="2.98"/>
  </r>
  <r>
    <x v="174"/>
    <s v="ORD100313"/>
    <x v="0"/>
    <x v="0"/>
    <x v="0"/>
    <x v="1"/>
    <x v="1"/>
    <n v="13429.1"/>
    <n v="2"/>
    <n v="26858.2"/>
    <n v="2.86"/>
  </r>
  <r>
    <x v="175"/>
    <s v="ORD100029"/>
    <x v="1"/>
    <x v="0"/>
    <x v="1"/>
    <x v="1"/>
    <x v="2"/>
    <n v="1682.41"/>
    <n v="2"/>
    <n v="3364.82"/>
    <n v="2.35"/>
  </r>
  <r>
    <x v="175"/>
    <s v="ORD100400"/>
    <x v="1"/>
    <x v="0"/>
    <x v="1"/>
    <x v="1"/>
    <x v="0"/>
    <n v="16672.91"/>
    <n v="2"/>
    <n v="33345.82"/>
    <n v="3.62"/>
  </r>
  <r>
    <x v="176"/>
    <s v="ORD101841"/>
    <x v="0"/>
    <x v="0"/>
    <x v="0"/>
    <x v="1"/>
    <x v="4"/>
    <n v="9589.5400000000009"/>
    <n v="3"/>
    <n v="28768.62"/>
    <n v="2.48"/>
  </r>
  <r>
    <x v="177"/>
    <s v="ORD101412"/>
    <x v="1"/>
    <x v="0"/>
    <x v="1"/>
    <x v="1"/>
    <x v="3"/>
    <n v="13095.68"/>
    <n v="5"/>
    <n v="65478.400000000001"/>
    <n v="2.2799999999999998"/>
  </r>
  <r>
    <x v="177"/>
    <s v="ORD101720"/>
    <x v="1"/>
    <x v="0"/>
    <x v="1"/>
    <x v="2"/>
    <x v="3"/>
    <n v="11845.83"/>
    <n v="1"/>
    <n v="11845.83"/>
    <n v="4.2699999999999996"/>
  </r>
  <r>
    <x v="178"/>
    <s v="ORD101622"/>
    <x v="0"/>
    <x v="0"/>
    <x v="0"/>
    <x v="0"/>
    <x v="5"/>
    <n v="4763.49"/>
    <n v="2"/>
    <n v="9526.98"/>
    <n v="3.79"/>
  </r>
  <r>
    <x v="178"/>
    <s v="ORD100532"/>
    <x v="1"/>
    <x v="0"/>
    <x v="1"/>
    <x v="0"/>
    <x v="0"/>
    <n v="1816.87"/>
    <n v="5"/>
    <n v="9084.35"/>
    <n v="1.96"/>
  </r>
  <r>
    <x v="179"/>
    <s v="ORD100091"/>
    <x v="0"/>
    <x v="0"/>
    <x v="0"/>
    <x v="0"/>
    <x v="2"/>
    <n v="1603.38"/>
    <n v="5"/>
    <n v="8016.9"/>
    <n v="3.61"/>
  </r>
  <r>
    <x v="179"/>
    <s v="ORD101891"/>
    <x v="1"/>
    <x v="0"/>
    <x v="1"/>
    <x v="0"/>
    <x v="5"/>
    <n v="6358.07"/>
    <n v="1"/>
    <n v="6358.07"/>
    <n v="1.63"/>
  </r>
  <r>
    <x v="180"/>
    <s v="ORD101281"/>
    <x v="0"/>
    <x v="0"/>
    <x v="0"/>
    <x v="1"/>
    <x v="2"/>
    <n v="4762.38"/>
    <n v="5"/>
    <n v="23811.9"/>
    <n v="2.4"/>
  </r>
  <r>
    <x v="181"/>
    <s v="ORD101148"/>
    <x v="1"/>
    <x v="0"/>
    <x v="1"/>
    <x v="2"/>
    <x v="3"/>
    <n v="12111.5"/>
    <n v="1"/>
    <n v="12111.5"/>
    <n v="2.0499999999999998"/>
  </r>
  <r>
    <x v="182"/>
    <s v="ORD101174"/>
    <x v="0"/>
    <x v="0"/>
    <x v="0"/>
    <x v="2"/>
    <x v="5"/>
    <n v="17946.36"/>
    <n v="4"/>
    <n v="71785.440000000002"/>
    <n v="1.36"/>
  </r>
  <r>
    <x v="183"/>
    <s v="ORD100118"/>
    <x v="0"/>
    <x v="0"/>
    <x v="0"/>
    <x v="0"/>
    <x v="5"/>
    <n v="8397.24"/>
    <n v="3"/>
    <n v="25191.72"/>
    <n v="4.5999999999999996"/>
  </r>
  <r>
    <x v="184"/>
    <s v="ORD101567"/>
    <x v="1"/>
    <x v="0"/>
    <x v="1"/>
    <x v="1"/>
    <x v="1"/>
    <n v="15128.97"/>
    <n v="5"/>
    <n v="75644.850000000006"/>
    <n v="3.53"/>
  </r>
  <r>
    <x v="184"/>
    <s v="ORD101769"/>
    <x v="1"/>
    <x v="0"/>
    <x v="1"/>
    <x v="2"/>
    <x v="0"/>
    <n v="19246.400000000001"/>
    <n v="2"/>
    <n v="38492.800000000003"/>
    <n v="1.83"/>
  </r>
  <r>
    <x v="185"/>
    <s v="ORD100534"/>
    <x v="0"/>
    <x v="0"/>
    <x v="0"/>
    <x v="2"/>
    <x v="0"/>
    <n v="13426.18"/>
    <n v="3"/>
    <n v="40278.54"/>
    <n v="4.75"/>
  </r>
  <r>
    <x v="186"/>
    <s v="ORD100484"/>
    <x v="1"/>
    <x v="0"/>
    <x v="1"/>
    <x v="2"/>
    <x v="3"/>
    <n v="12211.13"/>
    <n v="4"/>
    <n v="48844.52"/>
    <n v="4.45"/>
  </r>
  <r>
    <x v="187"/>
    <s v="ORD101809"/>
    <x v="0"/>
    <x v="0"/>
    <x v="0"/>
    <x v="1"/>
    <x v="2"/>
    <n v="4078.96"/>
    <n v="2"/>
    <n v="8157.92"/>
    <n v="2.11"/>
  </r>
  <r>
    <x v="188"/>
    <s v="ORD100223"/>
    <x v="0"/>
    <x v="0"/>
    <x v="0"/>
    <x v="1"/>
    <x v="4"/>
    <n v="8611.48"/>
    <n v="5"/>
    <n v="43057.4"/>
    <n v="2.35"/>
  </r>
  <r>
    <x v="188"/>
    <s v="ORD101065"/>
    <x v="1"/>
    <x v="0"/>
    <x v="1"/>
    <x v="0"/>
    <x v="5"/>
    <n v="12103.59"/>
    <n v="4"/>
    <n v="48414.36"/>
    <n v="1.69"/>
  </r>
  <r>
    <x v="189"/>
    <s v="ORD100037"/>
    <x v="0"/>
    <x v="0"/>
    <x v="0"/>
    <x v="2"/>
    <x v="3"/>
    <n v="7460.49"/>
    <n v="5"/>
    <n v="37302.449999999997"/>
    <n v="1.76"/>
  </r>
  <r>
    <x v="190"/>
    <s v="ORD100493"/>
    <x v="1"/>
    <x v="0"/>
    <x v="1"/>
    <x v="1"/>
    <x v="3"/>
    <n v="3637.41"/>
    <n v="4"/>
    <n v="14549.64"/>
    <n v="2.4300000000000002"/>
  </r>
  <r>
    <x v="190"/>
    <s v="ORD101080"/>
    <x v="1"/>
    <x v="0"/>
    <x v="1"/>
    <x v="1"/>
    <x v="3"/>
    <n v="14044.12"/>
    <n v="1"/>
    <n v="14044.12"/>
    <n v="2.57"/>
  </r>
  <r>
    <x v="191"/>
    <s v="ORD101486"/>
    <x v="0"/>
    <x v="0"/>
    <x v="0"/>
    <x v="2"/>
    <x v="0"/>
    <n v="876.67"/>
    <n v="4"/>
    <n v="3506.68"/>
    <n v="3.23"/>
  </r>
  <r>
    <x v="191"/>
    <s v="ORD101954"/>
    <x v="0"/>
    <x v="0"/>
    <x v="0"/>
    <x v="0"/>
    <x v="2"/>
    <n v="3897.31"/>
    <n v="5"/>
    <n v="19486.55"/>
    <n v="4"/>
  </r>
  <r>
    <x v="191"/>
    <s v="ORD100460"/>
    <x v="1"/>
    <x v="0"/>
    <x v="1"/>
    <x v="0"/>
    <x v="1"/>
    <n v="16422.82"/>
    <n v="1"/>
    <n v="16422.82"/>
    <n v="1.1200000000000001"/>
  </r>
  <r>
    <x v="192"/>
    <s v="ORD101667"/>
    <x v="1"/>
    <x v="0"/>
    <x v="1"/>
    <x v="1"/>
    <x v="0"/>
    <n v="12678.7"/>
    <n v="3"/>
    <n v="38036.1"/>
    <n v="1.83"/>
  </r>
  <r>
    <x v="193"/>
    <s v="ORD100730"/>
    <x v="1"/>
    <x v="0"/>
    <x v="1"/>
    <x v="1"/>
    <x v="5"/>
    <n v="5337.89"/>
    <n v="3"/>
    <n v="16013.67"/>
    <n v="2.77"/>
  </r>
  <r>
    <x v="194"/>
    <s v="ORD101030"/>
    <x v="1"/>
    <x v="0"/>
    <x v="1"/>
    <x v="2"/>
    <x v="1"/>
    <n v="16961.03"/>
    <n v="3"/>
    <n v="50883.09"/>
    <n v="2.58"/>
  </r>
  <r>
    <x v="195"/>
    <s v="ORD100098"/>
    <x v="1"/>
    <x v="0"/>
    <x v="1"/>
    <x v="0"/>
    <x v="2"/>
    <n v="6558.5"/>
    <n v="2"/>
    <n v="13117"/>
    <n v="1.01"/>
  </r>
  <r>
    <x v="196"/>
    <s v="ORD100470"/>
    <x v="0"/>
    <x v="0"/>
    <x v="0"/>
    <x v="0"/>
    <x v="5"/>
    <n v="2431.37"/>
    <n v="1"/>
    <n v="2431.37"/>
    <n v="2.69"/>
  </r>
  <r>
    <x v="196"/>
    <s v="ORD100162"/>
    <x v="1"/>
    <x v="0"/>
    <x v="1"/>
    <x v="1"/>
    <x v="1"/>
    <n v="3815.32"/>
    <n v="3"/>
    <n v="11445.96"/>
    <n v="3.34"/>
  </r>
  <r>
    <x v="197"/>
    <s v="ORD100380"/>
    <x v="0"/>
    <x v="0"/>
    <x v="0"/>
    <x v="2"/>
    <x v="1"/>
    <n v="11868.86"/>
    <n v="4"/>
    <n v="47475.44"/>
    <n v="3.25"/>
  </r>
  <r>
    <x v="197"/>
    <s v="ORD100580"/>
    <x v="1"/>
    <x v="0"/>
    <x v="1"/>
    <x v="0"/>
    <x v="1"/>
    <n v="19679.759999999998"/>
    <n v="1"/>
    <n v="19679.759999999998"/>
    <n v="3.33"/>
  </r>
  <r>
    <x v="198"/>
    <s v="ORD101843"/>
    <x v="1"/>
    <x v="0"/>
    <x v="1"/>
    <x v="0"/>
    <x v="0"/>
    <n v="10733.71"/>
    <n v="1"/>
    <n v="10733.71"/>
    <n v="1.37"/>
  </r>
  <r>
    <x v="199"/>
    <s v="ORD100705"/>
    <x v="1"/>
    <x v="0"/>
    <x v="1"/>
    <x v="2"/>
    <x v="5"/>
    <n v="19717.25"/>
    <n v="4"/>
    <n v="78869"/>
    <n v="4.42"/>
  </r>
  <r>
    <x v="200"/>
    <s v="ORD100545"/>
    <x v="1"/>
    <x v="0"/>
    <x v="1"/>
    <x v="0"/>
    <x v="1"/>
    <n v="15260.63"/>
    <n v="4"/>
    <n v="61042.52"/>
    <n v="1.68"/>
  </r>
  <r>
    <x v="200"/>
    <s v="ORD100603"/>
    <x v="1"/>
    <x v="0"/>
    <x v="1"/>
    <x v="1"/>
    <x v="4"/>
    <n v="8656.98"/>
    <n v="5"/>
    <n v="43284.9"/>
    <n v="4.57"/>
  </r>
  <r>
    <x v="201"/>
    <s v="ORD101445"/>
    <x v="1"/>
    <x v="0"/>
    <x v="1"/>
    <x v="2"/>
    <x v="3"/>
    <n v="6348.91"/>
    <n v="4"/>
    <n v="25395.64"/>
    <n v="4.71"/>
  </r>
  <r>
    <x v="202"/>
    <s v="ORD101498"/>
    <x v="0"/>
    <x v="0"/>
    <x v="0"/>
    <x v="2"/>
    <x v="1"/>
    <n v="15837.93"/>
    <n v="2"/>
    <n v="31675.86"/>
    <n v="3.12"/>
  </r>
  <r>
    <x v="202"/>
    <s v="ORD101634"/>
    <x v="1"/>
    <x v="0"/>
    <x v="1"/>
    <x v="0"/>
    <x v="1"/>
    <n v="15054.59"/>
    <n v="5"/>
    <n v="75272.95"/>
    <n v="4.12"/>
  </r>
  <r>
    <x v="203"/>
    <s v="ORD100986"/>
    <x v="0"/>
    <x v="0"/>
    <x v="0"/>
    <x v="0"/>
    <x v="3"/>
    <n v="15859.94"/>
    <n v="3"/>
    <n v="47579.82"/>
    <n v="3.72"/>
  </r>
  <r>
    <x v="203"/>
    <s v="ORD100088"/>
    <x v="1"/>
    <x v="0"/>
    <x v="1"/>
    <x v="1"/>
    <x v="1"/>
    <n v="14714.58"/>
    <n v="4"/>
    <n v="58858.32"/>
    <n v="4.21"/>
  </r>
  <r>
    <x v="203"/>
    <s v="ORD101645"/>
    <x v="1"/>
    <x v="0"/>
    <x v="1"/>
    <x v="0"/>
    <x v="1"/>
    <n v="11466.04"/>
    <n v="5"/>
    <n v="57330.2"/>
    <n v="4.58"/>
  </r>
  <r>
    <x v="204"/>
    <s v="ORD101923"/>
    <x v="0"/>
    <x v="0"/>
    <x v="0"/>
    <x v="0"/>
    <x v="0"/>
    <n v="11993.07"/>
    <n v="5"/>
    <n v="59965.35"/>
    <n v="2.97"/>
  </r>
  <r>
    <x v="205"/>
    <s v="ORD100875"/>
    <x v="0"/>
    <x v="0"/>
    <x v="0"/>
    <x v="2"/>
    <x v="1"/>
    <n v="3504.61"/>
    <n v="5"/>
    <n v="17523.05"/>
    <n v="3.15"/>
  </r>
  <r>
    <x v="206"/>
    <s v="ORD100824"/>
    <x v="0"/>
    <x v="0"/>
    <x v="0"/>
    <x v="0"/>
    <x v="2"/>
    <n v="12651.4"/>
    <n v="5"/>
    <n v="63257"/>
    <n v="2.96"/>
  </r>
  <r>
    <x v="206"/>
    <s v="ORD101109"/>
    <x v="0"/>
    <x v="0"/>
    <x v="0"/>
    <x v="1"/>
    <x v="1"/>
    <n v="2806.58"/>
    <n v="4"/>
    <n v="11226.32"/>
    <n v="4.75"/>
  </r>
  <r>
    <x v="207"/>
    <s v="ORD101862"/>
    <x v="0"/>
    <x v="0"/>
    <x v="0"/>
    <x v="0"/>
    <x v="5"/>
    <n v="12015.86"/>
    <n v="3"/>
    <n v="36047.58"/>
    <n v="3.71"/>
  </r>
  <r>
    <x v="207"/>
    <s v="ORD101821"/>
    <x v="1"/>
    <x v="0"/>
    <x v="1"/>
    <x v="1"/>
    <x v="0"/>
    <n v="2608.0700000000002"/>
    <n v="4"/>
    <n v="10432.280000000001"/>
    <n v="4.2"/>
  </r>
  <r>
    <x v="208"/>
    <s v="ORD101960"/>
    <x v="1"/>
    <x v="0"/>
    <x v="1"/>
    <x v="0"/>
    <x v="0"/>
    <n v="4037.34"/>
    <n v="1"/>
    <n v="4037.34"/>
    <n v="4.05"/>
  </r>
  <r>
    <x v="209"/>
    <s v="ORD100356"/>
    <x v="0"/>
    <x v="0"/>
    <x v="0"/>
    <x v="1"/>
    <x v="0"/>
    <n v="11857.65"/>
    <n v="2"/>
    <n v="23715.3"/>
    <n v="1.19"/>
  </r>
  <r>
    <x v="210"/>
    <s v="ORD101116"/>
    <x v="1"/>
    <x v="0"/>
    <x v="1"/>
    <x v="2"/>
    <x v="5"/>
    <n v="9420.7999999999993"/>
    <n v="1"/>
    <n v="9420.7999999999993"/>
    <n v="4.4800000000000004"/>
  </r>
  <r>
    <x v="210"/>
    <s v="ORD101226"/>
    <x v="1"/>
    <x v="0"/>
    <x v="1"/>
    <x v="1"/>
    <x v="4"/>
    <n v="6325.38"/>
    <n v="3"/>
    <n v="18976.14"/>
    <n v="2.89"/>
  </r>
  <r>
    <x v="211"/>
    <s v="ORD100171"/>
    <x v="1"/>
    <x v="0"/>
    <x v="1"/>
    <x v="2"/>
    <x v="3"/>
    <n v="9065.42"/>
    <n v="5"/>
    <n v="45327.1"/>
    <n v="3.98"/>
  </r>
  <r>
    <x v="212"/>
    <s v="ORD101121"/>
    <x v="1"/>
    <x v="0"/>
    <x v="1"/>
    <x v="1"/>
    <x v="3"/>
    <n v="15456.58"/>
    <n v="3"/>
    <n v="46369.74"/>
    <n v="4.66"/>
  </r>
  <r>
    <x v="213"/>
    <s v="ORD101078"/>
    <x v="1"/>
    <x v="0"/>
    <x v="1"/>
    <x v="0"/>
    <x v="4"/>
    <n v="16827.23"/>
    <n v="5"/>
    <n v="84136.15"/>
    <n v="2"/>
  </r>
  <r>
    <x v="214"/>
    <s v="ORD101718"/>
    <x v="1"/>
    <x v="0"/>
    <x v="1"/>
    <x v="1"/>
    <x v="5"/>
    <n v="9668.7000000000007"/>
    <n v="5"/>
    <n v="48343.5"/>
    <n v="2.5"/>
  </r>
  <r>
    <x v="215"/>
    <s v="ORD100254"/>
    <x v="0"/>
    <x v="0"/>
    <x v="0"/>
    <x v="1"/>
    <x v="3"/>
    <n v="10531.86"/>
    <n v="5"/>
    <n v="52659.3"/>
    <n v="2.0299999999999998"/>
  </r>
  <r>
    <x v="215"/>
    <s v="ORD100735"/>
    <x v="1"/>
    <x v="0"/>
    <x v="1"/>
    <x v="0"/>
    <x v="3"/>
    <n v="2183.06"/>
    <n v="3"/>
    <n v="6549.18"/>
    <n v="1.96"/>
  </r>
  <r>
    <x v="216"/>
    <s v="ORD101900"/>
    <x v="1"/>
    <x v="0"/>
    <x v="1"/>
    <x v="2"/>
    <x v="4"/>
    <n v="8169.49"/>
    <n v="3"/>
    <n v="24508.47"/>
    <n v="2.4300000000000002"/>
  </r>
  <r>
    <x v="217"/>
    <s v="ORD101251"/>
    <x v="0"/>
    <x v="0"/>
    <x v="0"/>
    <x v="1"/>
    <x v="1"/>
    <n v="16241.19"/>
    <n v="3"/>
    <n v="48723.57"/>
    <n v="2.4"/>
  </r>
  <r>
    <x v="218"/>
    <s v="ORD101846"/>
    <x v="1"/>
    <x v="0"/>
    <x v="1"/>
    <x v="1"/>
    <x v="1"/>
    <n v="2484.98"/>
    <n v="4"/>
    <n v="9939.92"/>
    <n v="3.99"/>
  </r>
  <r>
    <x v="219"/>
    <s v="ORD100196"/>
    <x v="1"/>
    <x v="0"/>
    <x v="1"/>
    <x v="1"/>
    <x v="1"/>
    <n v="19852.759999999998"/>
    <n v="5"/>
    <n v="99263.8"/>
    <n v="2.21"/>
  </r>
  <r>
    <x v="219"/>
    <s v="ORD100510"/>
    <x v="1"/>
    <x v="0"/>
    <x v="1"/>
    <x v="2"/>
    <x v="2"/>
    <n v="17439.8"/>
    <n v="2"/>
    <n v="34879.599999999999"/>
    <n v="4.8899999999999997"/>
  </r>
  <r>
    <x v="219"/>
    <s v="ORD101322"/>
    <x v="1"/>
    <x v="0"/>
    <x v="1"/>
    <x v="0"/>
    <x v="0"/>
    <n v="2357.5500000000002"/>
    <n v="2"/>
    <n v="4715.1000000000004"/>
    <n v="2.7"/>
  </r>
  <r>
    <x v="220"/>
    <s v="ORD100437"/>
    <x v="0"/>
    <x v="0"/>
    <x v="0"/>
    <x v="1"/>
    <x v="2"/>
    <n v="1453.21"/>
    <n v="3"/>
    <n v="4359.63"/>
    <n v="4.2300000000000004"/>
  </r>
  <r>
    <x v="220"/>
    <s v="ORD100251"/>
    <x v="1"/>
    <x v="0"/>
    <x v="1"/>
    <x v="1"/>
    <x v="1"/>
    <n v="10842.37"/>
    <n v="5"/>
    <n v="54211.85"/>
    <n v="1.28"/>
  </r>
  <r>
    <x v="221"/>
    <s v="ORD100785"/>
    <x v="0"/>
    <x v="0"/>
    <x v="0"/>
    <x v="2"/>
    <x v="1"/>
    <n v="18258.79"/>
    <n v="3"/>
    <n v="54776.37"/>
    <n v="3.05"/>
  </r>
  <r>
    <x v="222"/>
    <s v="ORD101018"/>
    <x v="1"/>
    <x v="0"/>
    <x v="1"/>
    <x v="2"/>
    <x v="2"/>
    <n v="18216.72"/>
    <n v="2"/>
    <n v="36433.440000000002"/>
    <n v="1.26"/>
  </r>
  <r>
    <x v="222"/>
    <s v="ORD101934"/>
    <x v="1"/>
    <x v="0"/>
    <x v="1"/>
    <x v="1"/>
    <x v="2"/>
    <n v="13485.53"/>
    <n v="3"/>
    <n v="40456.589999999997"/>
    <n v="3.41"/>
  </r>
  <r>
    <x v="223"/>
    <s v="ORD101306"/>
    <x v="1"/>
    <x v="0"/>
    <x v="1"/>
    <x v="0"/>
    <x v="1"/>
    <n v="13368.83"/>
    <n v="5"/>
    <n v="66844.149999999994"/>
    <n v="4.17"/>
  </r>
  <r>
    <x v="224"/>
    <s v="ORD101964"/>
    <x v="0"/>
    <x v="0"/>
    <x v="0"/>
    <x v="0"/>
    <x v="4"/>
    <n v="12713.49"/>
    <n v="3"/>
    <n v="38140.47"/>
    <n v="1.19"/>
  </r>
  <r>
    <x v="224"/>
    <s v="ORD101031"/>
    <x v="1"/>
    <x v="0"/>
    <x v="1"/>
    <x v="1"/>
    <x v="5"/>
    <n v="9660.59"/>
    <n v="5"/>
    <n v="48302.95"/>
    <n v="4.07"/>
  </r>
  <r>
    <x v="225"/>
    <s v="ORD101006"/>
    <x v="0"/>
    <x v="0"/>
    <x v="0"/>
    <x v="1"/>
    <x v="1"/>
    <n v="11866.12"/>
    <n v="2"/>
    <n v="23732.240000000002"/>
    <n v="1.4"/>
  </r>
  <r>
    <x v="225"/>
    <s v="ORD101323"/>
    <x v="1"/>
    <x v="0"/>
    <x v="1"/>
    <x v="1"/>
    <x v="0"/>
    <n v="10246.370000000001"/>
    <n v="3"/>
    <n v="30739.11"/>
    <n v="2.89"/>
  </r>
  <r>
    <x v="226"/>
    <s v="ORD101603"/>
    <x v="0"/>
    <x v="0"/>
    <x v="0"/>
    <x v="1"/>
    <x v="3"/>
    <n v="8240.7000000000007"/>
    <n v="4"/>
    <n v="32962.800000000003"/>
    <n v="2.14"/>
  </r>
  <r>
    <x v="227"/>
    <s v="ORD101229"/>
    <x v="0"/>
    <x v="0"/>
    <x v="0"/>
    <x v="2"/>
    <x v="2"/>
    <n v="9641.56"/>
    <n v="1"/>
    <n v="9641.56"/>
    <n v="4"/>
  </r>
  <r>
    <x v="227"/>
    <s v="ORD100853"/>
    <x v="1"/>
    <x v="0"/>
    <x v="1"/>
    <x v="0"/>
    <x v="5"/>
    <n v="9344.8700000000008"/>
    <n v="5"/>
    <n v="46724.35"/>
    <n v="4.32"/>
  </r>
  <r>
    <x v="228"/>
    <s v="ORD101808"/>
    <x v="0"/>
    <x v="0"/>
    <x v="0"/>
    <x v="1"/>
    <x v="1"/>
    <n v="10180.620000000001"/>
    <n v="5"/>
    <n v="50903.1"/>
    <n v="1.1599999999999999"/>
  </r>
  <r>
    <x v="229"/>
    <s v="ORD101336"/>
    <x v="0"/>
    <x v="0"/>
    <x v="0"/>
    <x v="2"/>
    <x v="5"/>
    <n v="5735.75"/>
    <n v="2"/>
    <n v="11471.5"/>
    <n v="1.92"/>
  </r>
  <r>
    <x v="229"/>
    <s v="ORD100306"/>
    <x v="1"/>
    <x v="0"/>
    <x v="1"/>
    <x v="1"/>
    <x v="3"/>
    <n v="6270.53"/>
    <n v="3"/>
    <n v="18811.59"/>
    <n v="2.36"/>
  </r>
  <r>
    <x v="230"/>
    <s v="ORD100978"/>
    <x v="0"/>
    <x v="0"/>
    <x v="0"/>
    <x v="2"/>
    <x v="0"/>
    <n v="11415.86"/>
    <n v="1"/>
    <n v="11415.86"/>
    <n v="1.26"/>
  </r>
  <r>
    <x v="231"/>
    <s v="ORD100265"/>
    <x v="0"/>
    <x v="0"/>
    <x v="0"/>
    <x v="2"/>
    <x v="3"/>
    <n v="15588.91"/>
    <n v="3"/>
    <n v="46766.73"/>
    <n v="4.37"/>
  </r>
  <r>
    <x v="231"/>
    <s v="ORD100902"/>
    <x v="0"/>
    <x v="0"/>
    <x v="0"/>
    <x v="0"/>
    <x v="2"/>
    <n v="16688.5"/>
    <n v="1"/>
    <n v="16688.5"/>
    <n v="3.43"/>
  </r>
  <r>
    <x v="231"/>
    <s v="ORD101435"/>
    <x v="1"/>
    <x v="0"/>
    <x v="1"/>
    <x v="1"/>
    <x v="5"/>
    <n v="9533.6299999999992"/>
    <n v="3"/>
    <n v="28600.89"/>
    <n v="1.84"/>
  </r>
  <r>
    <x v="232"/>
    <s v="ORD101639"/>
    <x v="0"/>
    <x v="0"/>
    <x v="0"/>
    <x v="1"/>
    <x v="2"/>
    <n v="6629.95"/>
    <n v="2"/>
    <n v="13259.9"/>
    <n v="4.9400000000000004"/>
  </r>
  <r>
    <x v="233"/>
    <s v="ORD101368"/>
    <x v="1"/>
    <x v="0"/>
    <x v="1"/>
    <x v="0"/>
    <x v="2"/>
    <n v="8575.02"/>
    <n v="2"/>
    <n v="17150.04"/>
    <n v="2.09"/>
  </r>
  <r>
    <x v="234"/>
    <s v="ORD100967"/>
    <x v="1"/>
    <x v="0"/>
    <x v="1"/>
    <x v="0"/>
    <x v="0"/>
    <n v="11061.27"/>
    <n v="2"/>
    <n v="22122.54"/>
    <n v="1.37"/>
  </r>
  <r>
    <x v="235"/>
    <s v="ORD100831"/>
    <x v="1"/>
    <x v="0"/>
    <x v="1"/>
    <x v="0"/>
    <x v="0"/>
    <n v="19610.689999999999"/>
    <n v="2"/>
    <n v="39221.379999999997"/>
    <n v="2.67"/>
  </r>
  <r>
    <x v="0"/>
    <s v="ORD100666"/>
    <x v="2"/>
    <x v="1"/>
    <x v="2"/>
    <x v="1"/>
    <x v="1"/>
    <n v="18972.86"/>
    <n v="4"/>
    <n v="75891.44"/>
    <n v="4.2300000000000004"/>
  </r>
  <r>
    <x v="1"/>
    <s v="ORD101815"/>
    <x v="3"/>
    <x v="1"/>
    <x v="3"/>
    <x v="1"/>
    <x v="2"/>
    <n v="13222.32"/>
    <n v="4"/>
    <n v="52889.279999999999"/>
    <n v="4.38"/>
  </r>
  <r>
    <x v="236"/>
    <s v="ORD100951"/>
    <x v="3"/>
    <x v="1"/>
    <x v="3"/>
    <x v="1"/>
    <x v="1"/>
    <n v="10514.03"/>
    <n v="1"/>
    <n v="10514.03"/>
    <n v="1.05"/>
  </r>
  <r>
    <x v="236"/>
    <s v="ORD101160"/>
    <x v="3"/>
    <x v="1"/>
    <x v="3"/>
    <x v="2"/>
    <x v="1"/>
    <n v="18723.07"/>
    <n v="5"/>
    <n v="93615.35"/>
    <n v="4.83"/>
  </r>
  <r>
    <x v="236"/>
    <s v="ORD101290"/>
    <x v="2"/>
    <x v="1"/>
    <x v="2"/>
    <x v="2"/>
    <x v="3"/>
    <n v="12788.86"/>
    <n v="1"/>
    <n v="12788.86"/>
    <n v="3.3"/>
  </r>
  <r>
    <x v="2"/>
    <s v="ORD100023"/>
    <x v="3"/>
    <x v="1"/>
    <x v="3"/>
    <x v="1"/>
    <x v="4"/>
    <n v="17087.439999999999"/>
    <n v="3"/>
    <n v="51262.32"/>
    <n v="4.75"/>
  </r>
  <r>
    <x v="2"/>
    <s v="ORD100670"/>
    <x v="2"/>
    <x v="1"/>
    <x v="2"/>
    <x v="0"/>
    <x v="3"/>
    <n v="17949.63"/>
    <n v="2"/>
    <n v="35899.26"/>
    <n v="4.8899999999999997"/>
  </r>
  <r>
    <x v="2"/>
    <s v="ORD101839"/>
    <x v="2"/>
    <x v="1"/>
    <x v="2"/>
    <x v="2"/>
    <x v="0"/>
    <n v="479.28"/>
    <n v="3"/>
    <n v="1437.84"/>
    <n v="1.82"/>
  </r>
  <r>
    <x v="3"/>
    <s v="ORD100936"/>
    <x v="3"/>
    <x v="1"/>
    <x v="3"/>
    <x v="0"/>
    <x v="0"/>
    <n v="1131.56"/>
    <n v="2"/>
    <n v="2263.12"/>
    <n v="4.9400000000000004"/>
  </r>
  <r>
    <x v="237"/>
    <s v="ORD101152"/>
    <x v="3"/>
    <x v="1"/>
    <x v="3"/>
    <x v="0"/>
    <x v="4"/>
    <n v="4006.65"/>
    <n v="2"/>
    <n v="8013.3"/>
    <n v="4.26"/>
  </r>
  <r>
    <x v="238"/>
    <s v="ORD100538"/>
    <x v="3"/>
    <x v="1"/>
    <x v="3"/>
    <x v="2"/>
    <x v="4"/>
    <n v="6733.77"/>
    <n v="1"/>
    <n v="6733.77"/>
    <n v="3.39"/>
  </r>
  <r>
    <x v="238"/>
    <s v="ORD101338"/>
    <x v="3"/>
    <x v="1"/>
    <x v="3"/>
    <x v="2"/>
    <x v="1"/>
    <n v="15377.76"/>
    <n v="3"/>
    <n v="46133.279999999999"/>
    <n v="5"/>
  </r>
  <r>
    <x v="238"/>
    <s v="ORD101968"/>
    <x v="2"/>
    <x v="1"/>
    <x v="2"/>
    <x v="0"/>
    <x v="3"/>
    <n v="4276.0600000000004"/>
    <n v="1"/>
    <n v="4276.0600000000004"/>
    <n v="4.0199999999999996"/>
  </r>
  <r>
    <x v="4"/>
    <s v="ORD101758"/>
    <x v="2"/>
    <x v="1"/>
    <x v="2"/>
    <x v="1"/>
    <x v="3"/>
    <n v="1543.22"/>
    <n v="2"/>
    <n v="3086.44"/>
    <n v="2.75"/>
  </r>
  <r>
    <x v="5"/>
    <s v="ORD101476"/>
    <x v="2"/>
    <x v="1"/>
    <x v="2"/>
    <x v="1"/>
    <x v="0"/>
    <n v="8510.31"/>
    <n v="4"/>
    <n v="34041.24"/>
    <n v="2.98"/>
  </r>
  <r>
    <x v="6"/>
    <s v="ORD100050"/>
    <x v="2"/>
    <x v="1"/>
    <x v="2"/>
    <x v="1"/>
    <x v="1"/>
    <n v="3124.84"/>
    <n v="5"/>
    <n v="15624.2"/>
    <n v="4.13"/>
  </r>
  <r>
    <x v="239"/>
    <s v="ORD100442"/>
    <x v="2"/>
    <x v="1"/>
    <x v="2"/>
    <x v="1"/>
    <x v="3"/>
    <n v="19973.63"/>
    <n v="5"/>
    <n v="99868.15"/>
    <n v="3.55"/>
  </r>
  <r>
    <x v="8"/>
    <s v="ORD100071"/>
    <x v="3"/>
    <x v="1"/>
    <x v="3"/>
    <x v="2"/>
    <x v="2"/>
    <n v="15596.39"/>
    <n v="2"/>
    <n v="31192.78"/>
    <n v="4.72"/>
  </r>
  <r>
    <x v="240"/>
    <s v="ORD101225"/>
    <x v="3"/>
    <x v="1"/>
    <x v="3"/>
    <x v="2"/>
    <x v="4"/>
    <n v="4813.47"/>
    <n v="3"/>
    <n v="14440.41"/>
    <n v="3.2"/>
  </r>
  <r>
    <x v="240"/>
    <s v="ORD101992"/>
    <x v="3"/>
    <x v="1"/>
    <x v="3"/>
    <x v="2"/>
    <x v="2"/>
    <n v="9112.9599999999991"/>
    <n v="3"/>
    <n v="27338.880000000001"/>
    <n v="3.56"/>
  </r>
  <r>
    <x v="9"/>
    <s v="ORD100345"/>
    <x v="2"/>
    <x v="1"/>
    <x v="2"/>
    <x v="0"/>
    <x v="0"/>
    <n v="4758.87"/>
    <n v="5"/>
    <n v="23794.35"/>
    <n v="4.62"/>
  </r>
  <r>
    <x v="10"/>
    <s v="ORD100847"/>
    <x v="2"/>
    <x v="1"/>
    <x v="2"/>
    <x v="0"/>
    <x v="0"/>
    <n v="18656.8"/>
    <n v="1"/>
    <n v="18656.8"/>
    <n v="3.18"/>
  </r>
  <r>
    <x v="11"/>
    <s v="ORD101582"/>
    <x v="2"/>
    <x v="1"/>
    <x v="2"/>
    <x v="0"/>
    <x v="1"/>
    <n v="13801.26"/>
    <n v="4"/>
    <n v="55205.04"/>
    <n v="4.37"/>
  </r>
  <r>
    <x v="12"/>
    <s v="ORD100164"/>
    <x v="3"/>
    <x v="1"/>
    <x v="3"/>
    <x v="0"/>
    <x v="0"/>
    <n v="5591.69"/>
    <n v="2"/>
    <n v="11183.38"/>
    <n v="2.58"/>
  </r>
  <r>
    <x v="13"/>
    <s v="ORD100130"/>
    <x v="3"/>
    <x v="1"/>
    <x v="3"/>
    <x v="0"/>
    <x v="0"/>
    <n v="15389.49"/>
    <n v="4"/>
    <n v="61557.96"/>
    <n v="4.71"/>
  </r>
  <r>
    <x v="13"/>
    <s v="ORD100864"/>
    <x v="3"/>
    <x v="1"/>
    <x v="3"/>
    <x v="2"/>
    <x v="3"/>
    <n v="2245.23"/>
    <n v="2"/>
    <n v="4490.46"/>
    <n v="1.06"/>
  </r>
  <r>
    <x v="15"/>
    <s v="ORD100743"/>
    <x v="2"/>
    <x v="1"/>
    <x v="2"/>
    <x v="2"/>
    <x v="2"/>
    <n v="6369.35"/>
    <n v="5"/>
    <n v="31846.75"/>
    <n v="2.9"/>
  </r>
  <r>
    <x v="15"/>
    <s v="ORD101434"/>
    <x v="2"/>
    <x v="1"/>
    <x v="2"/>
    <x v="0"/>
    <x v="3"/>
    <n v="10260.879999999999"/>
    <n v="5"/>
    <n v="51304.4"/>
    <n v="1.59"/>
  </r>
  <r>
    <x v="16"/>
    <s v="ORD100247"/>
    <x v="3"/>
    <x v="1"/>
    <x v="3"/>
    <x v="0"/>
    <x v="4"/>
    <n v="7200.36"/>
    <n v="1"/>
    <n v="7200.36"/>
    <n v="2.56"/>
  </r>
  <r>
    <x v="16"/>
    <s v="ORD100491"/>
    <x v="2"/>
    <x v="1"/>
    <x v="2"/>
    <x v="1"/>
    <x v="0"/>
    <n v="14430.19"/>
    <n v="4"/>
    <n v="57720.76"/>
    <n v="1.22"/>
  </r>
  <r>
    <x v="16"/>
    <s v="ORD101360"/>
    <x v="3"/>
    <x v="1"/>
    <x v="3"/>
    <x v="0"/>
    <x v="0"/>
    <n v="4878.5200000000004"/>
    <n v="5"/>
    <n v="24392.6"/>
    <n v="2.89"/>
  </r>
  <r>
    <x v="17"/>
    <s v="ORD101530"/>
    <x v="3"/>
    <x v="1"/>
    <x v="3"/>
    <x v="0"/>
    <x v="4"/>
    <n v="7704.53"/>
    <n v="5"/>
    <n v="38522.65"/>
    <n v="1.88"/>
  </r>
  <r>
    <x v="18"/>
    <s v="ORD100392"/>
    <x v="2"/>
    <x v="1"/>
    <x v="2"/>
    <x v="1"/>
    <x v="5"/>
    <n v="7052.52"/>
    <n v="1"/>
    <n v="7052.52"/>
    <n v="1.81"/>
  </r>
  <r>
    <x v="19"/>
    <s v="ORD100205"/>
    <x v="3"/>
    <x v="1"/>
    <x v="3"/>
    <x v="1"/>
    <x v="4"/>
    <n v="5920.8"/>
    <n v="3"/>
    <n v="17762.400000000001"/>
    <n v="4.1399999999999997"/>
  </r>
  <r>
    <x v="19"/>
    <s v="ORD101238"/>
    <x v="3"/>
    <x v="1"/>
    <x v="3"/>
    <x v="2"/>
    <x v="5"/>
    <n v="15027.9"/>
    <n v="4"/>
    <n v="60111.6"/>
    <n v="1.37"/>
  </r>
  <r>
    <x v="21"/>
    <s v="ORD100208"/>
    <x v="3"/>
    <x v="1"/>
    <x v="3"/>
    <x v="1"/>
    <x v="2"/>
    <n v="4760.8599999999997"/>
    <n v="1"/>
    <n v="4760.8599999999997"/>
    <n v="1.01"/>
  </r>
  <r>
    <x v="241"/>
    <s v="ORD100492"/>
    <x v="2"/>
    <x v="1"/>
    <x v="2"/>
    <x v="1"/>
    <x v="3"/>
    <n v="18868"/>
    <n v="4"/>
    <n v="75472"/>
    <n v="2.2000000000000002"/>
  </r>
  <r>
    <x v="242"/>
    <s v="ORD100671"/>
    <x v="3"/>
    <x v="1"/>
    <x v="3"/>
    <x v="2"/>
    <x v="2"/>
    <n v="9865.99"/>
    <n v="5"/>
    <n v="49329.95"/>
    <n v="4.8899999999999997"/>
  </r>
  <r>
    <x v="242"/>
    <s v="ORD101004"/>
    <x v="3"/>
    <x v="1"/>
    <x v="3"/>
    <x v="1"/>
    <x v="0"/>
    <n v="16580.48"/>
    <n v="3"/>
    <n v="49741.440000000002"/>
    <n v="3.92"/>
  </r>
  <r>
    <x v="22"/>
    <s v="ORD101288"/>
    <x v="3"/>
    <x v="1"/>
    <x v="3"/>
    <x v="2"/>
    <x v="3"/>
    <n v="14778.78"/>
    <n v="4"/>
    <n v="59115.12"/>
    <n v="3.09"/>
  </r>
  <r>
    <x v="22"/>
    <s v="ORD101522"/>
    <x v="3"/>
    <x v="1"/>
    <x v="3"/>
    <x v="0"/>
    <x v="1"/>
    <n v="16852.73"/>
    <n v="1"/>
    <n v="16852.73"/>
    <n v="4.07"/>
  </r>
  <r>
    <x v="23"/>
    <s v="ORD101509"/>
    <x v="2"/>
    <x v="1"/>
    <x v="2"/>
    <x v="2"/>
    <x v="3"/>
    <n v="6714.48"/>
    <n v="4"/>
    <n v="26857.919999999998"/>
    <n v="1.54"/>
  </r>
  <r>
    <x v="24"/>
    <s v="ORD100572"/>
    <x v="2"/>
    <x v="1"/>
    <x v="2"/>
    <x v="2"/>
    <x v="5"/>
    <n v="11946.98"/>
    <n v="3"/>
    <n v="35840.94"/>
    <n v="1.76"/>
  </r>
  <r>
    <x v="27"/>
    <s v="ORD101650"/>
    <x v="2"/>
    <x v="1"/>
    <x v="2"/>
    <x v="1"/>
    <x v="3"/>
    <n v="3334.26"/>
    <n v="5"/>
    <n v="16671.3"/>
    <n v="1.52"/>
  </r>
  <r>
    <x v="243"/>
    <s v="ORD100161"/>
    <x v="3"/>
    <x v="1"/>
    <x v="3"/>
    <x v="2"/>
    <x v="3"/>
    <n v="18763.55"/>
    <n v="4"/>
    <n v="75054.2"/>
    <n v="3.58"/>
  </r>
  <r>
    <x v="244"/>
    <s v="ORD100765"/>
    <x v="3"/>
    <x v="1"/>
    <x v="3"/>
    <x v="0"/>
    <x v="5"/>
    <n v="8520.09"/>
    <n v="3"/>
    <n v="25560.27"/>
    <n v="3.84"/>
  </r>
  <r>
    <x v="244"/>
    <s v="ORD100850"/>
    <x v="3"/>
    <x v="1"/>
    <x v="3"/>
    <x v="2"/>
    <x v="3"/>
    <n v="6074.45"/>
    <n v="5"/>
    <n v="30372.25"/>
    <n v="1.08"/>
  </r>
  <r>
    <x v="29"/>
    <s v="ORD100502"/>
    <x v="2"/>
    <x v="1"/>
    <x v="2"/>
    <x v="2"/>
    <x v="3"/>
    <n v="5512.01"/>
    <n v="5"/>
    <n v="27560.05"/>
    <n v="2.7"/>
  </r>
  <r>
    <x v="29"/>
    <s v="ORD101253"/>
    <x v="2"/>
    <x v="1"/>
    <x v="2"/>
    <x v="1"/>
    <x v="4"/>
    <n v="17380.87"/>
    <n v="3"/>
    <n v="52142.61"/>
    <n v="1.47"/>
  </r>
  <r>
    <x v="29"/>
    <s v="ORD101963"/>
    <x v="2"/>
    <x v="1"/>
    <x v="2"/>
    <x v="1"/>
    <x v="0"/>
    <n v="3219.44"/>
    <n v="2"/>
    <n v="6438.88"/>
    <n v="1.2"/>
  </r>
  <r>
    <x v="31"/>
    <s v="ORD101907"/>
    <x v="3"/>
    <x v="1"/>
    <x v="3"/>
    <x v="2"/>
    <x v="1"/>
    <n v="1567.87"/>
    <n v="5"/>
    <n v="7839.35"/>
    <n v="4.1900000000000004"/>
  </r>
  <r>
    <x v="32"/>
    <s v="ORD100608"/>
    <x v="3"/>
    <x v="1"/>
    <x v="3"/>
    <x v="0"/>
    <x v="4"/>
    <n v="6145.6"/>
    <n v="5"/>
    <n v="30728"/>
    <n v="2.27"/>
  </r>
  <r>
    <x v="32"/>
    <s v="ORD100893"/>
    <x v="3"/>
    <x v="1"/>
    <x v="3"/>
    <x v="2"/>
    <x v="3"/>
    <n v="4032.84"/>
    <n v="2"/>
    <n v="8065.68"/>
    <n v="4.79"/>
  </r>
  <r>
    <x v="32"/>
    <s v="ORD101944"/>
    <x v="2"/>
    <x v="1"/>
    <x v="2"/>
    <x v="2"/>
    <x v="1"/>
    <n v="5961.91"/>
    <n v="2"/>
    <n v="11923.82"/>
    <n v="4.25"/>
  </r>
  <r>
    <x v="33"/>
    <s v="ORD100040"/>
    <x v="2"/>
    <x v="1"/>
    <x v="2"/>
    <x v="0"/>
    <x v="5"/>
    <n v="14053.17"/>
    <n v="5"/>
    <n v="70265.850000000006"/>
    <n v="2.92"/>
  </r>
  <r>
    <x v="33"/>
    <s v="ORD101270"/>
    <x v="2"/>
    <x v="1"/>
    <x v="2"/>
    <x v="1"/>
    <x v="2"/>
    <n v="5465.94"/>
    <n v="5"/>
    <n v="27329.7"/>
    <n v="3.21"/>
  </r>
  <r>
    <x v="245"/>
    <s v="ORD100357"/>
    <x v="3"/>
    <x v="1"/>
    <x v="3"/>
    <x v="1"/>
    <x v="2"/>
    <n v="16708.48"/>
    <n v="1"/>
    <n v="16708.48"/>
    <n v="2.16"/>
  </r>
  <r>
    <x v="245"/>
    <s v="ORD101899"/>
    <x v="3"/>
    <x v="1"/>
    <x v="3"/>
    <x v="1"/>
    <x v="0"/>
    <n v="11195.11"/>
    <n v="5"/>
    <n v="55975.55"/>
    <n v="2.09"/>
  </r>
  <r>
    <x v="34"/>
    <s v="ORD101404"/>
    <x v="3"/>
    <x v="1"/>
    <x v="3"/>
    <x v="0"/>
    <x v="2"/>
    <n v="18987.62"/>
    <n v="4"/>
    <n v="75950.48"/>
    <n v="2.9"/>
  </r>
  <r>
    <x v="34"/>
    <s v="ORD101709"/>
    <x v="2"/>
    <x v="1"/>
    <x v="2"/>
    <x v="1"/>
    <x v="5"/>
    <n v="6241.44"/>
    <n v="5"/>
    <n v="31207.200000000001"/>
    <n v="1.83"/>
  </r>
  <r>
    <x v="36"/>
    <s v="ORD100467"/>
    <x v="2"/>
    <x v="1"/>
    <x v="2"/>
    <x v="2"/>
    <x v="1"/>
    <n v="364.77"/>
    <n v="5"/>
    <n v="1823.85"/>
    <n v="4.76"/>
  </r>
  <r>
    <x v="36"/>
    <s v="ORD100706"/>
    <x v="2"/>
    <x v="1"/>
    <x v="2"/>
    <x v="1"/>
    <x v="1"/>
    <n v="1561.3"/>
    <n v="2"/>
    <n v="3122.6"/>
    <n v="2.5099999999999998"/>
  </r>
  <r>
    <x v="36"/>
    <s v="ORD101310"/>
    <x v="2"/>
    <x v="1"/>
    <x v="2"/>
    <x v="1"/>
    <x v="4"/>
    <n v="13379.47"/>
    <n v="2"/>
    <n v="26758.94"/>
    <n v="2.78"/>
  </r>
  <r>
    <x v="246"/>
    <s v="ORD100065"/>
    <x v="3"/>
    <x v="1"/>
    <x v="3"/>
    <x v="0"/>
    <x v="0"/>
    <n v="10538.13"/>
    <n v="2"/>
    <n v="21076.26"/>
    <n v="4.28"/>
  </r>
  <r>
    <x v="247"/>
    <s v="ORD100411"/>
    <x v="3"/>
    <x v="1"/>
    <x v="3"/>
    <x v="2"/>
    <x v="3"/>
    <n v="14396.56"/>
    <n v="2"/>
    <n v="28793.119999999999"/>
    <n v="1.88"/>
  </r>
  <r>
    <x v="39"/>
    <s v="ORD101448"/>
    <x v="3"/>
    <x v="1"/>
    <x v="3"/>
    <x v="2"/>
    <x v="5"/>
    <n v="3772.89"/>
    <n v="4"/>
    <n v="15091.56"/>
    <n v="1.51"/>
  </r>
  <r>
    <x v="40"/>
    <s v="ORD100838"/>
    <x v="2"/>
    <x v="1"/>
    <x v="2"/>
    <x v="2"/>
    <x v="0"/>
    <n v="12926.37"/>
    <n v="4"/>
    <n v="51705.48"/>
    <n v="3.44"/>
  </r>
  <r>
    <x v="40"/>
    <s v="ORD101750"/>
    <x v="3"/>
    <x v="1"/>
    <x v="3"/>
    <x v="1"/>
    <x v="4"/>
    <n v="14807.25"/>
    <n v="1"/>
    <n v="14807.25"/>
    <n v="1.59"/>
  </r>
  <r>
    <x v="42"/>
    <s v="ORD100338"/>
    <x v="2"/>
    <x v="1"/>
    <x v="2"/>
    <x v="0"/>
    <x v="3"/>
    <n v="1621.88"/>
    <n v="2"/>
    <n v="3243.76"/>
    <n v="4.76"/>
  </r>
  <r>
    <x v="45"/>
    <s v="ORD100830"/>
    <x v="2"/>
    <x v="1"/>
    <x v="2"/>
    <x v="2"/>
    <x v="4"/>
    <n v="5437.17"/>
    <n v="3"/>
    <n v="16311.51"/>
    <n v="3.85"/>
  </r>
  <r>
    <x v="46"/>
    <s v="ORD101927"/>
    <x v="2"/>
    <x v="1"/>
    <x v="2"/>
    <x v="1"/>
    <x v="5"/>
    <n v="16663.14"/>
    <n v="5"/>
    <n v="83315.7"/>
    <n v="4.25"/>
  </r>
  <r>
    <x v="48"/>
    <s v="ORD100866"/>
    <x v="2"/>
    <x v="1"/>
    <x v="2"/>
    <x v="1"/>
    <x v="4"/>
    <n v="19701.27"/>
    <n v="1"/>
    <n v="19701.27"/>
    <n v="4.4000000000000004"/>
  </r>
  <r>
    <x v="48"/>
    <s v="ORD101898"/>
    <x v="3"/>
    <x v="1"/>
    <x v="3"/>
    <x v="0"/>
    <x v="3"/>
    <n v="9127.8700000000008"/>
    <n v="4"/>
    <n v="36511.480000000003"/>
    <n v="2.29"/>
  </r>
  <r>
    <x v="248"/>
    <s v="ORD100462"/>
    <x v="2"/>
    <x v="1"/>
    <x v="2"/>
    <x v="1"/>
    <x v="2"/>
    <n v="6021.64"/>
    <n v="2"/>
    <n v="12043.28"/>
    <n v="4.42"/>
  </r>
  <r>
    <x v="248"/>
    <s v="ORD100766"/>
    <x v="3"/>
    <x v="1"/>
    <x v="3"/>
    <x v="0"/>
    <x v="0"/>
    <n v="3138.25"/>
    <n v="5"/>
    <n v="15691.25"/>
    <n v="4.38"/>
  </r>
  <r>
    <x v="249"/>
    <s v="ORD101606"/>
    <x v="3"/>
    <x v="1"/>
    <x v="3"/>
    <x v="1"/>
    <x v="2"/>
    <n v="12569.75"/>
    <n v="4"/>
    <n v="50279"/>
    <n v="2.4300000000000002"/>
  </r>
  <r>
    <x v="50"/>
    <s v="ORD100430"/>
    <x v="2"/>
    <x v="1"/>
    <x v="2"/>
    <x v="0"/>
    <x v="4"/>
    <n v="3801.85"/>
    <n v="3"/>
    <n v="11405.55"/>
    <n v="1.87"/>
  </r>
  <r>
    <x v="50"/>
    <s v="ORD101370"/>
    <x v="3"/>
    <x v="1"/>
    <x v="3"/>
    <x v="1"/>
    <x v="4"/>
    <n v="9418.4699999999993"/>
    <n v="5"/>
    <n v="47092.35"/>
    <n v="1.1499999999999999"/>
  </r>
  <r>
    <x v="50"/>
    <s v="ORD101548"/>
    <x v="2"/>
    <x v="1"/>
    <x v="2"/>
    <x v="1"/>
    <x v="3"/>
    <n v="8323.8799999999992"/>
    <n v="1"/>
    <n v="8323.8799999999992"/>
    <n v="4.95"/>
  </r>
  <r>
    <x v="51"/>
    <s v="ORD100501"/>
    <x v="2"/>
    <x v="1"/>
    <x v="2"/>
    <x v="1"/>
    <x v="0"/>
    <n v="15939.42"/>
    <n v="2"/>
    <n v="31878.84"/>
    <n v="4.3899999999999997"/>
  </r>
  <r>
    <x v="51"/>
    <s v="ORD100751"/>
    <x v="2"/>
    <x v="1"/>
    <x v="2"/>
    <x v="2"/>
    <x v="2"/>
    <n v="4678.96"/>
    <n v="4"/>
    <n v="18715.84"/>
    <n v="2.67"/>
  </r>
  <r>
    <x v="53"/>
    <s v="ORD100704"/>
    <x v="2"/>
    <x v="1"/>
    <x v="2"/>
    <x v="0"/>
    <x v="3"/>
    <n v="13982.62"/>
    <n v="1"/>
    <n v="13982.62"/>
    <n v="2.52"/>
  </r>
  <r>
    <x v="53"/>
    <s v="ORD101291"/>
    <x v="2"/>
    <x v="1"/>
    <x v="2"/>
    <x v="0"/>
    <x v="0"/>
    <n v="2200.87"/>
    <n v="5"/>
    <n v="11004.35"/>
    <n v="4.16"/>
  </r>
  <r>
    <x v="55"/>
    <s v="ORD100236"/>
    <x v="2"/>
    <x v="1"/>
    <x v="2"/>
    <x v="2"/>
    <x v="3"/>
    <n v="9309.31"/>
    <n v="5"/>
    <n v="46546.55"/>
    <n v="4.97"/>
  </r>
  <r>
    <x v="55"/>
    <s v="ORD100541"/>
    <x v="3"/>
    <x v="1"/>
    <x v="3"/>
    <x v="1"/>
    <x v="5"/>
    <n v="19483.71"/>
    <n v="4"/>
    <n v="77934.84"/>
    <n v="1.19"/>
  </r>
  <r>
    <x v="56"/>
    <s v="ORD100410"/>
    <x v="2"/>
    <x v="1"/>
    <x v="2"/>
    <x v="0"/>
    <x v="5"/>
    <n v="19944.849999999999"/>
    <n v="3"/>
    <n v="59834.55"/>
    <n v="2.66"/>
  </r>
  <r>
    <x v="56"/>
    <s v="ORD101332"/>
    <x v="2"/>
    <x v="1"/>
    <x v="2"/>
    <x v="1"/>
    <x v="4"/>
    <n v="16674.64"/>
    <n v="1"/>
    <n v="16674.64"/>
    <n v="3.84"/>
  </r>
  <r>
    <x v="56"/>
    <s v="ORD101533"/>
    <x v="2"/>
    <x v="1"/>
    <x v="2"/>
    <x v="1"/>
    <x v="3"/>
    <n v="10220.77"/>
    <n v="2"/>
    <n v="20441.54"/>
    <n v="1.68"/>
  </r>
  <r>
    <x v="59"/>
    <s v="ORD100839"/>
    <x v="2"/>
    <x v="1"/>
    <x v="2"/>
    <x v="0"/>
    <x v="3"/>
    <n v="2551.1799999999998"/>
    <n v="2"/>
    <n v="5102.3599999999997"/>
    <n v="2.08"/>
  </r>
  <r>
    <x v="59"/>
    <s v="ORD100885"/>
    <x v="2"/>
    <x v="1"/>
    <x v="2"/>
    <x v="2"/>
    <x v="2"/>
    <n v="12309.01"/>
    <n v="1"/>
    <n v="12309.01"/>
    <n v="4.09"/>
  </r>
  <r>
    <x v="60"/>
    <s v="ORD101552"/>
    <x v="3"/>
    <x v="1"/>
    <x v="3"/>
    <x v="2"/>
    <x v="0"/>
    <n v="9603.16"/>
    <n v="3"/>
    <n v="28809.48"/>
    <n v="1.0900000000000001"/>
  </r>
  <r>
    <x v="62"/>
    <s v="ORD100407"/>
    <x v="2"/>
    <x v="1"/>
    <x v="2"/>
    <x v="1"/>
    <x v="2"/>
    <n v="17988.62"/>
    <n v="4"/>
    <n v="71954.48"/>
    <n v="1.62"/>
  </r>
  <r>
    <x v="62"/>
    <s v="ORD101277"/>
    <x v="3"/>
    <x v="1"/>
    <x v="3"/>
    <x v="0"/>
    <x v="0"/>
    <n v="6043.62"/>
    <n v="5"/>
    <n v="30218.1"/>
    <n v="2.0299999999999998"/>
  </r>
  <r>
    <x v="63"/>
    <s v="ORD101845"/>
    <x v="2"/>
    <x v="1"/>
    <x v="2"/>
    <x v="0"/>
    <x v="1"/>
    <n v="2693.03"/>
    <n v="4"/>
    <n v="10772.12"/>
    <n v="1.1299999999999999"/>
  </r>
  <r>
    <x v="65"/>
    <s v="ORD100013"/>
    <x v="2"/>
    <x v="1"/>
    <x v="2"/>
    <x v="1"/>
    <x v="2"/>
    <n v="19853.189999999999"/>
    <n v="4"/>
    <n v="79412.759999999995"/>
    <n v="3.46"/>
  </r>
  <r>
    <x v="65"/>
    <s v="ORD101343"/>
    <x v="3"/>
    <x v="1"/>
    <x v="3"/>
    <x v="0"/>
    <x v="2"/>
    <n v="1155.72"/>
    <n v="5"/>
    <n v="5778.6"/>
    <n v="1.49"/>
  </r>
  <r>
    <x v="66"/>
    <s v="ORD100930"/>
    <x v="3"/>
    <x v="1"/>
    <x v="3"/>
    <x v="2"/>
    <x v="3"/>
    <n v="4478.51"/>
    <n v="1"/>
    <n v="4478.51"/>
    <n v="2.15"/>
  </r>
  <r>
    <x v="250"/>
    <s v="ORD100571"/>
    <x v="3"/>
    <x v="1"/>
    <x v="3"/>
    <x v="0"/>
    <x v="5"/>
    <n v="7007.89"/>
    <n v="4"/>
    <n v="28031.56"/>
    <n v="4.01"/>
  </r>
  <r>
    <x v="251"/>
    <s v="ORD100053"/>
    <x v="3"/>
    <x v="1"/>
    <x v="3"/>
    <x v="1"/>
    <x v="2"/>
    <n v="18273.23"/>
    <n v="1"/>
    <n v="18273.23"/>
    <n v="1.46"/>
  </r>
  <r>
    <x v="67"/>
    <s v="ORD100897"/>
    <x v="2"/>
    <x v="1"/>
    <x v="2"/>
    <x v="2"/>
    <x v="2"/>
    <n v="4273.58"/>
    <n v="5"/>
    <n v="21367.9"/>
    <n v="2.4500000000000002"/>
  </r>
  <r>
    <x v="68"/>
    <s v="ORD100537"/>
    <x v="2"/>
    <x v="1"/>
    <x v="2"/>
    <x v="1"/>
    <x v="2"/>
    <n v="2279.25"/>
    <n v="3"/>
    <n v="6837.75"/>
    <n v="3.79"/>
  </r>
  <r>
    <x v="68"/>
    <s v="ORD100769"/>
    <x v="2"/>
    <x v="1"/>
    <x v="2"/>
    <x v="2"/>
    <x v="1"/>
    <n v="16655.669999999998"/>
    <n v="2"/>
    <n v="33311.339999999997"/>
    <n v="3.96"/>
  </r>
  <r>
    <x v="252"/>
    <s v="ORD100664"/>
    <x v="2"/>
    <x v="1"/>
    <x v="2"/>
    <x v="1"/>
    <x v="5"/>
    <n v="5743.85"/>
    <n v="5"/>
    <n v="28719.25"/>
    <n v="2.65"/>
  </r>
  <r>
    <x v="69"/>
    <s v="ORD100145"/>
    <x v="3"/>
    <x v="1"/>
    <x v="3"/>
    <x v="2"/>
    <x v="5"/>
    <n v="6983.31"/>
    <n v="3"/>
    <n v="20949.93"/>
    <n v="1.23"/>
  </r>
  <r>
    <x v="69"/>
    <s v="ORD101145"/>
    <x v="2"/>
    <x v="1"/>
    <x v="2"/>
    <x v="1"/>
    <x v="5"/>
    <n v="10211.44"/>
    <n v="4"/>
    <n v="40845.760000000002"/>
    <n v="1.23"/>
  </r>
  <r>
    <x v="69"/>
    <s v="ORD101844"/>
    <x v="3"/>
    <x v="1"/>
    <x v="3"/>
    <x v="1"/>
    <x v="5"/>
    <n v="12233.81"/>
    <n v="5"/>
    <n v="61169.05"/>
    <n v="2.58"/>
  </r>
  <r>
    <x v="253"/>
    <s v="ORD100624"/>
    <x v="3"/>
    <x v="1"/>
    <x v="3"/>
    <x v="1"/>
    <x v="2"/>
    <n v="14246"/>
    <n v="3"/>
    <n v="42738"/>
    <n v="1.55"/>
  </r>
  <r>
    <x v="72"/>
    <s v="ORD100490"/>
    <x v="3"/>
    <x v="1"/>
    <x v="3"/>
    <x v="0"/>
    <x v="0"/>
    <n v="2811.81"/>
    <n v="1"/>
    <n v="2811.81"/>
    <n v="4.17"/>
  </r>
  <r>
    <x v="72"/>
    <s v="ORD100565"/>
    <x v="3"/>
    <x v="1"/>
    <x v="3"/>
    <x v="0"/>
    <x v="4"/>
    <n v="12371.37"/>
    <n v="5"/>
    <n v="61856.85"/>
    <n v="1.18"/>
  </r>
  <r>
    <x v="254"/>
    <s v="ORD100135"/>
    <x v="2"/>
    <x v="1"/>
    <x v="2"/>
    <x v="2"/>
    <x v="0"/>
    <n v="18294.37"/>
    <n v="3"/>
    <n v="54883.11"/>
    <n v="4.54"/>
  </r>
  <r>
    <x v="73"/>
    <s v="ORD100278"/>
    <x v="2"/>
    <x v="1"/>
    <x v="2"/>
    <x v="1"/>
    <x v="0"/>
    <n v="3995.12"/>
    <n v="3"/>
    <n v="11985.36"/>
    <n v="4.08"/>
  </r>
  <r>
    <x v="73"/>
    <s v="ORD100879"/>
    <x v="3"/>
    <x v="1"/>
    <x v="3"/>
    <x v="1"/>
    <x v="4"/>
    <n v="14218.88"/>
    <n v="3"/>
    <n v="42656.639999999999"/>
    <n v="2.13"/>
  </r>
  <r>
    <x v="73"/>
    <s v="ORD101440"/>
    <x v="3"/>
    <x v="1"/>
    <x v="3"/>
    <x v="2"/>
    <x v="1"/>
    <n v="9724.77"/>
    <n v="3"/>
    <n v="29174.31"/>
    <n v="2.81"/>
  </r>
  <r>
    <x v="75"/>
    <s v="ORD100728"/>
    <x v="3"/>
    <x v="1"/>
    <x v="3"/>
    <x v="1"/>
    <x v="2"/>
    <n v="10132.82"/>
    <n v="5"/>
    <n v="50664.1"/>
    <n v="2.5"/>
  </r>
  <r>
    <x v="76"/>
    <s v="ORD101604"/>
    <x v="3"/>
    <x v="1"/>
    <x v="3"/>
    <x v="1"/>
    <x v="5"/>
    <n v="7864.3"/>
    <n v="3"/>
    <n v="23592.9"/>
    <n v="1.88"/>
  </r>
  <r>
    <x v="76"/>
    <s v="ORD101837"/>
    <x v="3"/>
    <x v="1"/>
    <x v="3"/>
    <x v="0"/>
    <x v="3"/>
    <n v="18371.36"/>
    <n v="3"/>
    <n v="55114.080000000002"/>
    <n v="1.99"/>
  </r>
  <r>
    <x v="77"/>
    <s v="ORD101699"/>
    <x v="3"/>
    <x v="1"/>
    <x v="3"/>
    <x v="1"/>
    <x v="4"/>
    <n v="3848.17"/>
    <n v="5"/>
    <n v="19240.849999999999"/>
    <n v="4.37"/>
  </r>
  <r>
    <x v="81"/>
    <s v="ORD101079"/>
    <x v="3"/>
    <x v="1"/>
    <x v="3"/>
    <x v="2"/>
    <x v="5"/>
    <n v="16140.94"/>
    <n v="3"/>
    <n v="48422.82"/>
    <n v="1.24"/>
  </r>
  <r>
    <x v="82"/>
    <s v="ORD100441"/>
    <x v="2"/>
    <x v="1"/>
    <x v="2"/>
    <x v="2"/>
    <x v="3"/>
    <n v="19638.28"/>
    <n v="3"/>
    <n v="58914.84"/>
    <n v="1.1299999999999999"/>
  </r>
  <r>
    <x v="82"/>
    <s v="ORD100527"/>
    <x v="3"/>
    <x v="1"/>
    <x v="3"/>
    <x v="2"/>
    <x v="5"/>
    <n v="13931.67"/>
    <n v="3"/>
    <n v="41795.01"/>
    <n v="2.09"/>
  </r>
  <r>
    <x v="83"/>
    <s v="ORD100327"/>
    <x v="2"/>
    <x v="1"/>
    <x v="2"/>
    <x v="0"/>
    <x v="1"/>
    <n v="9412.4500000000007"/>
    <n v="5"/>
    <n v="47062.25"/>
    <n v="2.54"/>
  </r>
  <r>
    <x v="83"/>
    <s v="ORD100401"/>
    <x v="2"/>
    <x v="1"/>
    <x v="2"/>
    <x v="2"/>
    <x v="5"/>
    <n v="3050.01"/>
    <n v="5"/>
    <n v="15250.05"/>
    <n v="1.01"/>
  </r>
  <r>
    <x v="83"/>
    <s v="ORD100708"/>
    <x v="2"/>
    <x v="1"/>
    <x v="2"/>
    <x v="2"/>
    <x v="3"/>
    <n v="16806.64"/>
    <n v="2"/>
    <n v="33613.279999999999"/>
    <n v="2.61"/>
  </r>
  <r>
    <x v="84"/>
    <s v="ORD100668"/>
    <x v="2"/>
    <x v="1"/>
    <x v="2"/>
    <x v="1"/>
    <x v="0"/>
    <n v="15612.39"/>
    <n v="4"/>
    <n v="62449.56"/>
    <n v="4.5"/>
  </r>
  <r>
    <x v="85"/>
    <s v="ORD101240"/>
    <x v="3"/>
    <x v="1"/>
    <x v="3"/>
    <x v="1"/>
    <x v="3"/>
    <n v="11357.49"/>
    <n v="2"/>
    <n v="22714.98"/>
    <n v="2.08"/>
  </r>
  <r>
    <x v="86"/>
    <s v="ORD100303"/>
    <x v="3"/>
    <x v="1"/>
    <x v="3"/>
    <x v="1"/>
    <x v="0"/>
    <n v="10134.299999999999"/>
    <n v="1"/>
    <n v="10134.299999999999"/>
    <n v="2.52"/>
  </r>
  <r>
    <x v="87"/>
    <s v="ORD100031"/>
    <x v="2"/>
    <x v="1"/>
    <x v="2"/>
    <x v="0"/>
    <x v="5"/>
    <n v="3760.61"/>
    <n v="2"/>
    <n v="7521.22"/>
    <n v="3.05"/>
  </r>
  <r>
    <x v="87"/>
    <s v="ORD100176"/>
    <x v="2"/>
    <x v="1"/>
    <x v="2"/>
    <x v="1"/>
    <x v="5"/>
    <n v="17068.37"/>
    <n v="3"/>
    <n v="51205.11"/>
    <n v="4.4000000000000004"/>
  </r>
  <r>
    <x v="87"/>
    <s v="ORD101098"/>
    <x v="2"/>
    <x v="1"/>
    <x v="2"/>
    <x v="1"/>
    <x v="2"/>
    <n v="10353.5"/>
    <n v="3"/>
    <n v="31060.5"/>
    <n v="1.55"/>
  </r>
  <r>
    <x v="88"/>
    <s v="ORD100615"/>
    <x v="3"/>
    <x v="1"/>
    <x v="3"/>
    <x v="2"/>
    <x v="1"/>
    <n v="19097.05"/>
    <n v="1"/>
    <n v="19097.05"/>
    <n v="3.55"/>
  </r>
  <r>
    <x v="89"/>
    <s v="ORD100560"/>
    <x v="2"/>
    <x v="1"/>
    <x v="2"/>
    <x v="0"/>
    <x v="5"/>
    <n v="16327.43"/>
    <n v="3"/>
    <n v="48982.29"/>
    <n v="4.68"/>
  </r>
  <r>
    <x v="255"/>
    <s v="ORD101961"/>
    <x v="2"/>
    <x v="1"/>
    <x v="2"/>
    <x v="0"/>
    <x v="5"/>
    <n v="12996.48"/>
    <n v="5"/>
    <n v="64982.400000000001"/>
    <n v="1.38"/>
  </r>
  <r>
    <x v="256"/>
    <s v="ORD100852"/>
    <x v="2"/>
    <x v="1"/>
    <x v="2"/>
    <x v="2"/>
    <x v="1"/>
    <n v="19229.36"/>
    <n v="1"/>
    <n v="19229.36"/>
    <n v="1.34"/>
  </r>
  <r>
    <x v="90"/>
    <s v="ORD100451"/>
    <x v="2"/>
    <x v="1"/>
    <x v="2"/>
    <x v="1"/>
    <x v="2"/>
    <n v="2253.75"/>
    <n v="5"/>
    <n v="11268.75"/>
    <n v="3.77"/>
  </r>
  <r>
    <x v="91"/>
    <s v="ORD100559"/>
    <x v="2"/>
    <x v="1"/>
    <x v="2"/>
    <x v="0"/>
    <x v="1"/>
    <n v="4753.45"/>
    <n v="4"/>
    <n v="19013.8"/>
    <n v="4.7"/>
  </r>
  <r>
    <x v="92"/>
    <s v="ORD100692"/>
    <x v="3"/>
    <x v="1"/>
    <x v="3"/>
    <x v="2"/>
    <x v="0"/>
    <n v="7146.74"/>
    <n v="5"/>
    <n v="35733.699999999997"/>
    <n v="1.1399999999999999"/>
  </r>
  <r>
    <x v="93"/>
    <s v="ORD100366"/>
    <x v="3"/>
    <x v="1"/>
    <x v="3"/>
    <x v="0"/>
    <x v="1"/>
    <n v="6225.82"/>
    <n v="4"/>
    <n v="24903.279999999999"/>
    <n v="2.27"/>
  </r>
  <r>
    <x v="93"/>
    <s v="ORD101335"/>
    <x v="3"/>
    <x v="1"/>
    <x v="3"/>
    <x v="0"/>
    <x v="5"/>
    <n v="7670.95"/>
    <n v="5"/>
    <n v="38354.75"/>
    <n v="4.3600000000000003"/>
  </r>
  <r>
    <x v="257"/>
    <s v="ORD100940"/>
    <x v="3"/>
    <x v="1"/>
    <x v="3"/>
    <x v="2"/>
    <x v="5"/>
    <n v="8805.8700000000008"/>
    <n v="4"/>
    <n v="35223.480000000003"/>
    <n v="1.56"/>
  </r>
  <r>
    <x v="257"/>
    <s v="ORD101605"/>
    <x v="2"/>
    <x v="1"/>
    <x v="2"/>
    <x v="1"/>
    <x v="5"/>
    <n v="7298.69"/>
    <n v="5"/>
    <n v="36493.449999999997"/>
    <n v="1.02"/>
  </r>
  <r>
    <x v="257"/>
    <s v="ORD101657"/>
    <x v="3"/>
    <x v="1"/>
    <x v="3"/>
    <x v="1"/>
    <x v="1"/>
    <n v="12540.54"/>
    <n v="3"/>
    <n v="37621.620000000003"/>
    <n v="4.49"/>
  </r>
  <r>
    <x v="95"/>
    <s v="ORD100519"/>
    <x v="2"/>
    <x v="1"/>
    <x v="2"/>
    <x v="0"/>
    <x v="1"/>
    <n v="5498.55"/>
    <n v="5"/>
    <n v="27492.75"/>
    <n v="1.2"/>
  </r>
  <r>
    <x v="95"/>
    <s v="ORD101333"/>
    <x v="3"/>
    <x v="1"/>
    <x v="3"/>
    <x v="0"/>
    <x v="5"/>
    <n v="4002.78"/>
    <n v="5"/>
    <n v="20013.900000000001"/>
    <n v="4.8"/>
  </r>
  <r>
    <x v="258"/>
    <s v="ORD101696"/>
    <x v="2"/>
    <x v="1"/>
    <x v="2"/>
    <x v="1"/>
    <x v="1"/>
    <n v="8001.4"/>
    <n v="1"/>
    <n v="8001.4"/>
    <n v="4.62"/>
  </r>
  <r>
    <x v="96"/>
    <s v="ORD100333"/>
    <x v="2"/>
    <x v="1"/>
    <x v="2"/>
    <x v="2"/>
    <x v="4"/>
    <n v="10870.25"/>
    <n v="1"/>
    <n v="10870.25"/>
    <n v="4.03"/>
  </r>
  <r>
    <x v="97"/>
    <s v="ORD100011"/>
    <x v="3"/>
    <x v="1"/>
    <x v="3"/>
    <x v="1"/>
    <x v="4"/>
    <n v="451.79"/>
    <n v="2"/>
    <n v="903.58"/>
    <n v="4.28"/>
  </r>
  <r>
    <x v="97"/>
    <s v="ORD100242"/>
    <x v="3"/>
    <x v="1"/>
    <x v="3"/>
    <x v="1"/>
    <x v="1"/>
    <n v="2258.84"/>
    <n v="2"/>
    <n v="4517.68"/>
    <n v="2.2400000000000002"/>
  </r>
  <r>
    <x v="98"/>
    <s v="ORD101214"/>
    <x v="3"/>
    <x v="1"/>
    <x v="3"/>
    <x v="0"/>
    <x v="1"/>
    <n v="7587.95"/>
    <n v="4"/>
    <n v="30351.8"/>
    <n v="4.84"/>
  </r>
  <r>
    <x v="99"/>
    <s v="ORD101802"/>
    <x v="3"/>
    <x v="1"/>
    <x v="3"/>
    <x v="2"/>
    <x v="1"/>
    <n v="4131.42"/>
    <n v="1"/>
    <n v="4131.42"/>
    <n v="3.11"/>
  </r>
  <r>
    <x v="100"/>
    <s v="ORD100726"/>
    <x v="2"/>
    <x v="1"/>
    <x v="2"/>
    <x v="0"/>
    <x v="2"/>
    <n v="322.05"/>
    <n v="2"/>
    <n v="644.1"/>
    <n v="1.1100000000000001"/>
  </r>
  <r>
    <x v="100"/>
    <s v="ORD100919"/>
    <x v="3"/>
    <x v="1"/>
    <x v="3"/>
    <x v="1"/>
    <x v="2"/>
    <n v="9777.9500000000007"/>
    <n v="3"/>
    <n v="29333.85"/>
    <n v="1.58"/>
  </r>
  <r>
    <x v="100"/>
    <s v="ORD100974"/>
    <x v="2"/>
    <x v="1"/>
    <x v="2"/>
    <x v="2"/>
    <x v="1"/>
    <n v="1318.94"/>
    <n v="3"/>
    <n v="3956.82"/>
    <n v="3.18"/>
  </r>
  <r>
    <x v="103"/>
    <s v="ORD100202"/>
    <x v="2"/>
    <x v="1"/>
    <x v="2"/>
    <x v="0"/>
    <x v="2"/>
    <n v="6882.75"/>
    <n v="5"/>
    <n v="34413.75"/>
    <n v="3.7"/>
  </r>
  <r>
    <x v="103"/>
    <s v="ORD101252"/>
    <x v="3"/>
    <x v="1"/>
    <x v="3"/>
    <x v="1"/>
    <x v="4"/>
    <n v="3663.35"/>
    <n v="4"/>
    <n v="14653.4"/>
    <n v="4.28"/>
  </r>
  <r>
    <x v="259"/>
    <s v="ORD100481"/>
    <x v="2"/>
    <x v="1"/>
    <x v="2"/>
    <x v="1"/>
    <x v="3"/>
    <n v="2871.12"/>
    <n v="4"/>
    <n v="11484.48"/>
    <n v="1.71"/>
  </r>
  <r>
    <x v="259"/>
    <s v="ORD100984"/>
    <x v="2"/>
    <x v="1"/>
    <x v="2"/>
    <x v="2"/>
    <x v="0"/>
    <n v="10083.73"/>
    <n v="1"/>
    <n v="10083.73"/>
    <n v="3.74"/>
  </r>
  <r>
    <x v="259"/>
    <s v="ORD101655"/>
    <x v="2"/>
    <x v="1"/>
    <x v="2"/>
    <x v="2"/>
    <x v="3"/>
    <n v="3385.92"/>
    <n v="3"/>
    <n v="10157.76"/>
    <n v="4.25"/>
  </r>
  <r>
    <x v="259"/>
    <s v="ORD101851"/>
    <x v="3"/>
    <x v="1"/>
    <x v="3"/>
    <x v="0"/>
    <x v="3"/>
    <n v="13311.33"/>
    <n v="5"/>
    <n v="66556.649999999994"/>
    <n v="3.19"/>
  </r>
  <r>
    <x v="105"/>
    <s v="ORD100669"/>
    <x v="2"/>
    <x v="1"/>
    <x v="2"/>
    <x v="2"/>
    <x v="1"/>
    <n v="2299.13"/>
    <n v="3"/>
    <n v="6897.39"/>
    <n v="2.79"/>
  </r>
  <r>
    <x v="106"/>
    <s v="ORD101924"/>
    <x v="2"/>
    <x v="1"/>
    <x v="2"/>
    <x v="0"/>
    <x v="4"/>
    <n v="5119.1000000000004"/>
    <n v="2"/>
    <n v="10238.200000000001"/>
    <n v="3.74"/>
  </r>
  <r>
    <x v="108"/>
    <s v="ORD100292"/>
    <x v="2"/>
    <x v="1"/>
    <x v="2"/>
    <x v="1"/>
    <x v="1"/>
    <n v="12267.61"/>
    <n v="4"/>
    <n v="49070.44"/>
    <n v="3.28"/>
  </r>
  <r>
    <x v="108"/>
    <s v="ORD100499"/>
    <x v="3"/>
    <x v="1"/>
    <x v="3"/>
    <x v="1"/>
    <x v="1"/>
    <n v="6246.81"/>
    <n v="2"/>
    <n v="12493.62"/>
    <n v="2.93"/>
  </r>
  <r>
    <x v="108"/>
    <s v="ORD101216"/>
    <x v="2"/>
    <x v="1"/>
    <x v="2"/>
    <x v="1"/>
    <x v="4"/>
    <n v="11071.04"/>
    <n v="5"/>
    <n v="55355.199999999997"/>
    <n v="1.47"/>
  </r>
  <r>
    <x v="260"/>
    <s v="ORD101175"/>
    <x v="3"/>
    <x v="1"/>
    <x v="3"/>
    <x v="0"/>
    <x v="3"/>
    <n v="10920.84"/>
    <n v="3"/>
    <n v="32762.52"/>
    <n v="4.25"/>
  </r>
  <r>
    <x v="260"/>
    <s v="ORD101502"/>
    <x v="3"/>
    <x v="1"/>
    <x v="3"/>
    <x v="1"/>
    <x v="0"/>
    <n v="15347.32"/>
    <n v="2"/>
    <n v="30694.639999999999"/>
    <n v="3.36"/>
  </r>
  <r>
    <x v="261"/>
    <s v="ORD100514"/>
    <x v="3"/>
    <x v="1"/>
    <x v="3"/>
    <x v="2"/>
    <x v="1"/>
    <n v="13841.21"/>
    <n v="4"/>
    <n v="55364.84"/>
    <n v="3.79"/>
  </r>
  <r>
    <x v="262"/>
    <s v="ORD100990"/>
    <x v="2"/>
    <x v="1"/>
    <x v="2"/>
    <x v="1"/>
    <x v="4"/>
    <n v="1849.6"/>
    <n v="2"/>
    <n v="3699.2"/>
    <n v="1.81"/>
  </r>
  <r>
    <x v="112"/>
    <s v="ORD100791"/>
    <x v="2"/>
    <x v="1"/>
    <x v="2"/>
    <x v="1"/>
    <x v="0"/>
    <n v="14075.26"/>
    <n v="2"/>
    <n v="28150.52"/>
    <n v="4.83"/>
  </r>
  <r>
    <x v="112"/>
    <s v="ORD100836"/>
    <x v="2"/>
    <x v="1"/>
    <x v="2"/>
    <x v="2"/>
    <x v="2"/>
    <n v="13856.47"/>
    <n v="2"/>
    <n v="27712.94"/>
    <n v="4.26"/>
  </r>
  <r>
    <x v="263"/>
    <s v="ORD100468"/>
    <x v="3"/>
    <x v="1"/>
    <x v="3"/>
    <x v="0"/>
    <x v="3"/>
    <n v="6664.37"/>
    <n v="5"/>
    <n v="33321.85"/>
    <n v="2.96"/>
  </r>
  <r>
    <x v="263"/>
    <s v="ORD101273"/>
    <x v="3"/>
    <x v="1"/>
    <x v="3"/>
    <x v="2"/>
    <x v="4"/>
    <n v="13180.47"/>
    <n v="3"/>
    <n v="39541.410000000003"/>
    <n v="2.93"/>
  </r>
  <r>
    <x v="264"/>
    <s v="ORD100667"/>
    <x v="3"/>
    <x v="1"/>
    <x v="3"/>
    <x v="1"/>
    <x v="0"/>
    <n v="12914.62"/>
    <n v="3"/>
    <n v="38743.86"/>
    <n v="1.71"/>
  </r>
  <r>
    <x v="114"/>
    <s v="ORD100318"/>
    <x v="2"/>
    <x v="1"/>
    <x v="2"/>
    <x v="2"/>
    <x v="2"/>
    <n v="18693.849999999999"/>
    <n v="1"/>
    <n v="18693.849999999999"/>
    <n v="1.3"/>
  </r>
  <r>
    <x v="265"/>
    <s v="ORD100359"/>
    <x v="3"/>
    <x v="1"/>
    <x v="3"/>
    <x v="0"/>
    <x v="1"/>
    <n v="16702.13"/>
    <n v="1"/>
    <n v="16702.13"/>
    <n v="4.99"/>
  </r>
  <r>
    <x v="265"/>
    <s v="ORD100777"/>
    <x v="2"/>
    <x v="1"/>
    <x v="2"/>
    <x v="0"/>
    <x v="4"/>
    <n v="19199.830000000002"/>
    <n v="1"/>
    <n v="19199.830000000002"/>
    <n v="2.66"/>
  </r>
  <r>
    <x v="115"/>
    <s v="ORD100736"/>
    <x v="2"/>
    <x v="1"/>
    <x v="2"/>
    <x v="1"/>
    <x v="0"/>
    <n v="17782.77"/>
    <n v="2"/>
    <n v="35565.54"/>
    <n v="4.1900000000000004"/>
  </r>
  <r>
    <x v="266"/>
    <s v="ORD101817"/>
    <x v="2"/>
    <x v="1"/>
    <x v="2"/>
    <x v="2"/>
    <x v="1"/>
    <n v="10207.31"/>
    <n v="1"/>
    <n v="10207.31"/>
    <n v="2.9"/>
  </r>
  <r>
    <x v="117"/>
    <s v="ORD100272"/>
    <x v="2"/>
    <x v="1"/>
    <x v="2"/>
    <x v="1"/>
    <x v="4"/>
    <n v="12853.49"/>
    <n v="1"/>
    <n v="12853.49"/>
    <n v="1.25"/>
  </r>
  <r>
    <x v="117"/>
    <s v="ORD101420"/>
    <x v="2"/>
    <x v="1"/>
    <x v="2"/>
    <x v="1"/>
    <x v="4"/>
    <n v="9912.2900000000009"/>
    <n v="4"/>
    <n v="39649.160000000003"/>
    <n v="1.42"/>
  </r>
  <r>
    <x v="267"/>
    <s v="ORD100113"/>
    <x v="2"/>
    <x v="1"/>
    <x v="2"/>
    <x v="1"/>
    <x v="4"/>
    <n v="2071.3200000000002"/>
    <n v="4"/>
    <n v="8285.2800000000007"/>
    <n v="3.9"/>
  </r>
  <r>
    <x v="267"/>
    <s v="ORD101455"/>
    <x v="3"/>
    <x v="1"/>
    <x v="3"/>
    <x v="1"/>
    <x v="5"/>
    <n v="16946.73"/>
    <n v="5"/>
    <n v="84733.65"/>
    <n v="1.1299999999999999"/>
  </r>
  <r>
    <x v="120"/>
    <s v="ORD100041"/>
    <x v="3"/>
    <x v="1"/>
    <x v="3"/>
    <x v="2"/>
    <x v="4"/>
    <n v="5551.93"/>
    <n v="5"/>
    <n v="27759.65"/>
    <n v="3.65"/>
  </r>
  <r>
    <x v="120"/>
    <s v="ORD100416"/>
    <x v="2"/>
    <x v="1"/>
    <x v="2"/>
    <x v="1"/>
    <x v="1"/>
    <n v="9322.42"/>
    <n v="5"/>
    <n v="46612.1"/>
    <n v="1.28"/>
  </r>
  <r>
    <x v="268"/>
    <s v="ORD101187"/>
    <x v="2"/>
    <x v="1"/>
    <x v="2"/>
    <x v="0"/>
    <x v="4"/>
    <n v="14565.63"/>
    <n v="2"/>
    <n v="29131.26"/>
    <n v="4.38"/>
  </r>
  <r>
    <x v="268"/>
    <s v="ORD101366"/>
    <x v="2"/>
    <x v="1"/>
    <x v="2"/>
    <x v="1"/>
    <x v="1"/>
    <n v="8655.5300000000007"/>
    <n v="1"/>
    <n v="8655.5300000000007"/>
    <n v="3.6"/>
  </r>
  <r>
    <x v="268"/>
    <s v="ORD101666"/>
    <x v="2"/>
    <x v="1"/>
    <x v="2"/>
    <x v="0"/>
    <x v="3"/>
    <n v="2819.8"/>
    <n v="4"/>
    <n v="11279.2"/>
    <n v="1.7"/>
  </r>
  <r>
    <x v="268"/>
    <s v="ORD101962"/>
    <x v="2"/>
    <x v="1"/>
    <x v="2"/>
    <x v="0"/>
    <x v="3"/>
    <n v="1797.57"/>
    <n v="2"/>
    <n v="3595.14"/>
    <n v="4.46"/>
  </r>
  <r>
    <x v="121"/>
    <s v="ORD100715"/>
    <x v="2"/>
    <x v="1"/>
    <x v="2"/>
    <x v="1"/>
    <x v="4"/>
    <n v="6475.03"/>
    <n v="4"/>
    <n v="25900.12"/>
    <n v="4.3499999999999996"/>
  </r>
  <r>
    <x v="122"/>
    <s v="ORD100090"/>
    <x v="3"/>
    <x v="1"/>
    <x v="3"/>
    <x v="0"/>
    <x v="1"/>
    <n v="14164.14"/>
    <n v="4"/>
    <n v="56656.56"/>
    <n v="2.0099999999999998"/>
  </r>
  <r>
    <x v="122"/>
    <s v="ORD100564"/>
    <x v="3"/>
    <x v="1"/>
    <x v="3"/>
    <x v="1"/>
    <x v="4"/>
    <n v="4272.93"/>
    <n v="4"/>
    <n v="17091.72"/>
    <n v="3.89"/>
  </r>
  <r>
    <x v="122"/>
    <s v="ORD101049"/>
    <x v="3"/>
    <x v="1"/>
    <x v="3"/>
    <x v="1"/>
    <x v="3"/>
    <n v="4516.6400000000003"/>
    <n v="4"/>
    <n v="18066.560000000001"/>
    <n v="4.17"/>
  </r>
  <r>
    <x v="122"/>
    <s v="ORD101555"/>
    <x v="2"/>
    <x v="1"/>
    <x v="2"/>
    <x v="2"/>
    <x v="4"/>
    <n v="13605.94"/>
    <n v="1"/>
    <n v="13605.94"/>
    <n v="3.93"/>
  </r>
  <r>
    <x v="123"/>
    <s v="ORD101599"/>
    <x v="2"/>
    <x v="1"/>
    <x v="2"/>
    <x v="2"/>
    <x v="5"/>
    <n v="5817.02"/>
    <n v="4"/>
    <n v="23268.080000000002"/>
    <n v="4.2"/>
  </r>
  <r>
    <x v="124"/>
    <s v="ORD100647"/>
    <x v="3"/>
    <x v="1"/>
    <x v="3"/>
    <x v="1"/>
    <x v="3"/>
    <n v="4112.72"/>
    <n v="4"/>
    <n v="16450.88"/>
    <n v="2.15"/>
  </r>
  <r>
    <x v="124"/>
    <s v="ORD101679"/>
    <x v="2"/>
    <x v="1"/>
    <x v="2"/>
    <x v="2"/>
    <x v="0"/>
    <n v="4462.42"/>
    <n v="2"/>
    <n v="8924.84"/>
    <n v="1.18"/>
  </r>
  <r>
    <x v="269"/>
    <s v="ORD101417"/>
    <x v="2"/>
    <x v="1"/>
    <x v="2"/>
    <x v="1"/>
    <x v="1"/>
    <n v="8570.93"/>
    <n v="1"/>
    <n v="8570.93"/>
    <n v="4.34"/>
  </r>
  <r>
    <x v="269"/>
    <s v="ORD101972"/>
    <x v="2"/>
    <x v="1"/>
    <x v="2"/>
    <x v="2"/>
    <x v="1"/>
    <n v="10574.6"/>
    <n v="2"/>
    <n v="21149.200000000001"/>
    <n v="1.96"/>
  </r>
  <r>
    <x v="125"/>
    <s v="ORD100136"/>
    <x v="2"/>
    <x v="1"/>
    <x v="2"/>
    <x v="1"/>
    <x v="0"/>
    <n v="13555.2"/>
    <n v="1"/>
    <n v="13555.2"/>
    <n v="4.33"/>
  </r>
  <r>
    <x v="125"/>
    <s v="ORD100794"/>
    <x v="3"/>
    <x v="1"/>
    <x v="3"/>
    <x v="2"/>
    <x v="1"/>
    <n v="5729.76"/>
    <n v="2"/>
    <n v="11459.52"/>
    <n v="2.27"/>
  </r>
  <r>
    <x v="126"/>
    <s v="ORD100058"/>
    <x v="2"/>
    <x v="1"/>
    <x v="2"/>
    <x v="2"/>
    <x v="5"/>
    <n v="1482.74"/>
    <n v="4"/>
    <n v="5930.96"/>
    <n v="3.64"/>
  </r>
  <r>
    <x v="126"/>
    <s v="ORD100888"/>
    <x v="3"/>
    <x v="1"/>
    <x v="3"/>
    <x v="0"/>
    <x v="5"/>
    <n v="5486.77"/>
    <n v="2"/>
    <n v="10973.54"/>
    <n v="4.18"/>
  </r>
  <r>
    <x v="126"/>
    <s v="ORD101189"/>
    <x v="3"/>
    <x v="1"/>
    <x v="3"/>
    <x v="2"/>
    <x v="0"/>
    <n v="12064.62"/>
    <n v="1"/>
    <n v="12064.62"/>
    <n v="1.05"/>
  </r>
  <r>
    <x v="126"/>
    <s v="ORD101487"/>
    <x v="2"/>
    <x v="1"/>
    <x v="2"/>
    <x v="2"/>
    <x v="5"/>
    <n v="2846.01"/>
    <n v="5"/>
    <n v="14230.05"/>
    <n v="4.18"/>
  </r>
  <r>
    <x v="126"/>
    <s v="ORD101782"/>
    <x v="2"/>
    <x v="1"/>
    <x v="2"/>
    <x v="2"/>
    <x v="0"/>
    <n v="8111.45"/>
    <n v="1"/>
    <n v="8111.45"/>
    <n v="1.26"/>
  </r>
  <r>
    <x v="127"/>
    <s v="ORD100788"/>
    <x v="2"/>
    <x v="1"/>
    <x v="2"/>
    <x v="1"/>
    <x v="0"/>
    <n v="1930.98"/>
    <n v="4"/>
    <n v="7723.92"/>
    <n v="3.34"/>
  </r>
  <r>
    <x v="127"/>
    <s v="ORD101497"/>
    <x v="3"/>
    <x v="1"/>
    <x v="3"/>
    <x v="1"/>
    <x v="5"/>
    <n v="11126.38"/>
    <n v="2"/>
    <n v="22252.76"/>
    <n v="4.6900000000000004"/>
  </r>
  <r>
    <x v="127"/>
    <s v="ORD101739"/>
    <x v="3"/>
    <x v="1"/>
    <x v="3"/>
    <x v="2"/>
    <x v="5"/>
    <n v="6368.84"/>
    <n v="4"/>
    <n v="25475.360000000001"/>
    <n v="3.96"/>
  </r>
  <r>
    <x v="127"/>
    <s v="ORD101955"/>
    <x v="2"/>
    <x v="1"/>
    <x v="2"/>
    <x v="2"/>
    <x v="5"/>
    <n v="13400.52"/>
    <n v="2"/>
    <n v="26801.040000000001"/>
    <n v="4.9800000000000004"/>
  </r>
  <r>
    <x v="270"/>
    <s v="ORD101133"/>
    <x v="2"/>
    <x v="1"/>
    <x v="2"/>
    <x v="1"/>
    <x v="3"/>
    <n v="18211.7"/>
    <n v="2"/>
    <n v="36423.4"/>
    <n v="4.32"/>
  </r>
  <r>
    <x v="271"/>
    <s v="ORD100837"/>
    <x v="3"/>
    <x v="1"/>
    <x v="3"/>
    <x v="1"/>
    <x v="2"/>
    <n v="3373.48"/>
    <n v="4"/>
    <n v="13493.92"/>
    <n v="3.54"/>
  </r>
  <r>
    <x v="128"/>
    <s v="ORD100260"/>
    <x v="3"/>
    <x v="1"/>
    <x v="3"/>
    <x v="2"/>
    <x v="0"/>
    <n v="19923.16"/>
    <n v="3"/>
    <n v="59769.48"/>
    <n v="1.56"/>
  </r>
  <r>
    <x v="272"/>
    <s v="ORD100120"/>
    <x v="3"/>
    <x v="1"/>
    <x v="3"/>
    <x v="0"/>
    <x v="5"/>
    <n v="912.15"/>
    <n v="5"/>
    <n v="4560.75"/>
    <n v="2.42"/>
  </r>
  <r>
    <x v="130"/>
    <s v="ORD100014"/>
    <x v="2"/>
    <x v="1"/>
    <x v="2"/>
    <x v="1"/>
    <x v="3"/>
    <n v="17920.82"/>
    <n v="4"/>
    <n v="71683.28"/>
    <n v="4.84"/>
  </r>
  <r>
    <x v="130"/>
    <s v="ORD101840"/>
    <x v="3"/>
    <x v="1"/>
    <x v="3"/>
    <x v="1"/>
    <x v="0"/>
    <n v="12627.79"/>
    <n v="5"/>
    <n v="63138.95"/>
    <n v="3.18"/>
  </r>
  <r>
    <x v="131"/>
    <s v="ORD100620"/>
    <x v="2"/>
    <x v="1"/>
    <x v="2"/>
    <x v="0"/>
    <x v="0"/>
    <n v="18698.7"/>
    <n v="1"/>
    <n v="18698.7"/>
    <n v="2.75"/>
  </r>
  <r>
    <x v="131"/>
    <s v="ORD101062"/>
    <x v="3"/>
    <x v="1"/>
    <x v="3"/>
    <x v="0"/>
    <x v="4"/>
    <n v="872.56"/>
    <n v="4"/>
    <n v="3490.24"/>
    <n v="4.37"/>
  </r>
  <r>
    <x v="273"/>
    <s v="ORD100690"/>
    <x v="2"/>
    <x v="1"/>
    <x v="2"/>
    <x v="1"/>
    <x v="1"/>
    <n v="16288.79"/>
    <n v="1"/>
    <n v="16288.79"/>
    <n v="4.37"/>
  </r>
  <r>
    <x v="273"/>
    <s v="ORD100819"/>
    <x v="2"/>
    <x v="1"/>
    <x v="2"/>
    <x v="0"/>
    <x v="1"/>
    <n v="13531.7"/>
    <n v="4"/>
    <n v="54126.8"/>
    <n v="4.9400000000000004"/>
  </r>
  <r>
    <x v="273"/>
    <s v="ORD101987"/>
    <x v="3"/>
    <x v="1"/>
    <x v="3"/>
    <x v="2"/>
    <x v="0"/>
    <n v="12211.52"/>
    <n v="4"/>
    <n v="48846.080000000002"/>
    <n v="2.21"/>
  </r>
  <r>
    <x v="132"/>
    <s v="ORD100193"/>
    <x v="3"/>
    <x v="1"/>
    <x v="3"/>
    <x v="0"/>
    <x v="2"/>
    <n v="4941.8100000000004"/>
    <n v="1"/>
    <n v="4941.8100000000004"/>
    <n v="2.88"/>
  </r>
  <r>
    <x v="132"/>
    <s v="ORD100598"/>
    <x v="3"/>
    <x v="1"/>
    <x v="3"/>
    <x v="1"/>
    <x v="5"/>
    <n v="5634.87"/>
    <n v="3"/>
    <n v="16904.61"/>
    <n v="1.34"/>
  </r>
  <r>
    <x v="132"/>
    <s v="ORD100892"/>
    <x v="3"/>
    <x v="1"/>
    <x v="3"/>
    <x v="2"/>
    <x v="4"/>
    <n v="5504.42"/>
    <n v="5"/>
    <n v="27522.1"/>
    <n v="4.97"/>
  </r>
  <r>
    <x v="274"/>
    <s v="ORD101864"/>
    <x v="3"/>
    <x v="1"/>
    <x v="3"/>
    <x v="0"/>
    <x v="0"/>
    <n v="8279.89"/>
    <n v="1"/>
    <n v="8279.89"/>
    <n v="4.79"/>
  </r>
  <r>
    <x v="134"/>
    <s v="ORD100786"/>
    <x v="2"/>
    <x v="1"/>
    <x v="2"/>
    <x v="1"/>
    <x v="0"/>
    <n v="3435.11"/>
    <n v="2"/>
    <n v="6870.22"/>
    <n v="1.54"/>
  </r>
  <r>
    <x v="134"/>
    <s v="ORD101202"/>
    <x v="2"/>
    <x v="1"/>
    <x v="2"/>
    <x v="0"/>
    <x v="0"/>
    <n v="14045.35"/>
    <n v="1"/>
    <n v="14045.35"/>
    <n v="3.5"/>
  </r>
  <r>
    <x v="136"/>
    <s v="ORD100127"/>
    <x v="2"/>
    <x v="1"/>
    <x v="2"/>
    <x v="0"/>
    <x v="0"/>
    <n v="10953.53"/>
    <n v="5"/>
    <n v="54767.65"/>
    <n v="1.78"/>
  </r>
  <r>
    <x v="136"/>
    <s v="ORD100348"/>
    <x v="3"/>
    <x v="1"/>
    <x v="3"/>
    <x v="2"/>
    <x v="0"/>
    <n v="5074.08"/>
    <n v="3"/>
    <n v="15222.24"/>
    <n v="4.2"/>
  </r>
  <r>
    <x v="137"/>
    <s v="ORD101775"/>
    <x v="3"/>
    <x v="1"/>
    <x v="3"/>
    <x v="0"/>
    <x v="4"/>
    <n v="13710.06"/>
    <n v="5"/>
    <n v="68550.3"/>
    <n v="3.85"/>
  </r>
  <r>
    <x v="275"/>
    <s v="ORD100003"/>
    <x v="2"/>
    <x v="1"/>
    <x v="2"/>
    <x v="0"/>
    <x v="2"/>
    <n v="3665.44"/>
    <n v="1"/>
    <n v="3665.44"/>
    <n v="1.44"/>
  </r>
  <r>
    <x v="275"/>
    <s v="ORD101489"/>
    <x v="2"/>
    <x v="1"/>
    <x v="2"/>
    <x v="0"/>
    <x v="2"/>
    <n v="19165.28"/>
    <n v="1"/>
    <n v="19165.28"/>
    <n v="3.98"/>
  </r>
  <r>
    <x v="275"/>
    <s v="ORD101700"/>
    <x v="3"/>
    <x v="1"/>
    <x v="3"/>
    <x v="1"/>
    <x v="3"/>
    <n v="13702.89"/>
    <n v="1"/>
    <n v="13702.89"/>
    <n v="3.8"/>
  </r>
  <r>
    <x v="276"/>
    <s v="ORD100246"/>
    <x v="3"/>
    <x v="1"/>
    <x v="3"/>
    <x v="1"/>
    <x v="2"/>
    <n v="8458.06"/>
    <n v="1"/>
    <n v="8458.06"/>
    <n v="2.34"/>
  </r>
  <r>
    <x v="276"/>
    <s v="ORD100512"/>
    <x v="2"/>
    <x v="1"/>
    <x v="2"/>
    <x v="1"/>
    <x v="5"/>
    <n v="14497.38"/>
    <n v="2"/>
    <n v="28994.76"/>
    <n v="3.65"/>
  </r>
  <r>
    <x v="276"/>
    <s v="ORD101429"/>
    <x v="2"/>
    <x v="1"/>
    <x v="2"/>
    <x v="0"/>
    <x v="3"/>
    <n v="11112.44"/>
    <n v="1"/>
    <n v="11112.44"/>
    <n v="4.25"/>
  </r>
  <r>
    <x v="276"/>
    <s v="ORD101513"/>
    <x v="2"/>
    <x v="1"/>
    <x v="2"/>
    <x v="2"/>
    <x v="0"/>
    <n v="17012.310000000001"/>
    <n v="3"/>
    <n v="51036.93"/>
    <n v="4.7"/>
  </r>
  <r>
    <x v="277"/>
    <s v="ORD100803"/>
    <x v="2"/>
    <x v="1"/>
    <x v="2"/>
    <x v="1"/>
    <x v="4"/>
    <n v="5690.91"/>
    <n v="2"/>
    <n v="11381.82"/>
    <n v="2.0499999999999998"/>
  </r>
  <r>
    <x v="140"/>
    <s v="ORD101354"/>
    <x v="3"/>
    <x v="1"/>
    <x v="3"/>
    <x v="2"/>
    <x v="5"/>
    <n v="10862.93"/>
    <n v="5"/>
    <n v="54314.65"/>
    <n v="3.64"/>
  </r>
  <r>
    <x v="141"/>
    <s v="ORD100256"/>
    <x v="2"/>
    <x v="1"/>
    <x v="2"/>
    <x v="1"/>
    <x v="3"/>
    <n v="3800.17"/>
    <n v="4"/>
    <n v="15200.68"/>
    <n v="4.2300000000000004"/>
  </r>
  <r>
    <x v="141"/>
    <s v="ORD100361"/>
    <x v="3"/>
    <x v="1"/>
    <x v="3"/>
    <x v="0"/>
    <x v="5"/>
    <n v="2853.64"/>
    <n v="1"/>
    <n v="2853.64"/>
    <n v="3.88"/>
  </r>
  <r>
    <x v="278"/>
    <s v="ORD101165"/>
    <x v="3"/>
    <x v="1"/>
    <x v="3"/>
    <x v="1"/>
    <x v="5"/>
    <n v="17458.009999999998"/>
    <n v="3"/>
    <n v="52374.03"/>
    <n v="4.71"/>
  </r>
  <r>
    <x v="278"/>
    <s v="ORD101576"/>
    <x v="2"/>
    <x v="1"/>
    <x v="2"/>
    <x v="0"/>
    <x v="1"/>
    <n v="8609.93"/>
    <n v="1"/>
    <n v="8609.93"/>
    <n v="2.68"/>
  </r>
  <r>
    <x v="278"/>
    <s v="ORD101983"/>
    <x v="2"/>
    <x v="1"/>
    <x v="2"/>
    <x v="0"/>
    <x v="2"/>
    <n v="7647.55"/>
    <n v="4"/>
    <n v="30590.2"/>
    <n v="3.86"/>
  </r>
  <r>
    <x v="142"/>
    <s v="ORD100662"/>
    <x v="3"/>
    <x v="1"/>
    <x v="3"/>
    <x v="2"/>
    <x v="3"/>
    <n v="14509.37"/>
    <n v="5"/>
    <n v="72546.850000000006"/>
    <n v="4.96"/>
  </r>
  <r>
    <x v="142"/>
    <s v="ORD101092"/>
    <x v="2"/>
    <x v="1"/>
    <x v="2"/>
    <x v="2"/>
    <x v="4"/>
    <n v="4853.03"/>
    <n v="5"/>
    <n v="24265.15"/>
    <n v="1.76"/>
  </r>
  <r>
    <x v="142"/>
    <s v="ORD101430"/>
    <x v="2"/>
    <x v="1"/>
    <x v="2"/>
    <x v="0"/>
    <x v="4"/>
    <n v="15996.6"/>
    <n v="4"/>
    <n v="63986.400000000001"/>
    <n v="2.85"/>
  </r>
  <r>
    <x v="144"/>
    <s v="ORD101026"/>
    <x v="3"/>
    <x v="1"/>
    <x v="3"/>
    <x v="0"/>
    <x v="4"/>
    <n v="15737.56"/>
    <n v="1"/>
    <n v="15737.56"/>
    <n v="3.86"/>
  </r>
  <r>
    <x v="279"/>
    <s v="ORD101547"/>
    <x v="2"/>
    <x v="1"/>
    <x v="2"/>
    <x v="2"/>
    <x v="1"/>
    <n v="4907.0200000000004"/>
    <n v="4"/>
    <n v="19628.080000000002"/>
    <n v="3.94"/>
  </r>
  <r>
    <x v="280"/>
    <s v="ORD101631"/>
    <x v="3"/>
    <x v="1"/>
    <x v="3"/>
    <x v="2"/>
    <x v="0"/>
    <n v="16060.65"/>
    <n v="2"/>
    <n v="32121.3"/>
    <n v="3.5"/>
  </r>
  <r>
    <x v="145"/>
    <s v="ORD100032"/>
    <x v="3"/>
    <x v="1"/>
    <x v="3"/>
    <x v="2"/>
    <x v="3"/>
    <n v="15781.15"/>
    <n v="4"/>
    <n v="63124.6"/>
    <n v="2.04"/>
  </r>
  <r>
    <x v="145"/>
    <s v="ORD101384"/>
    <x v="3"/>
    <x v="1"/>
    <x v="3"/>
    <x v="0"/>
    <x v="5"/>
    <n v="19973.830000000002"/>
    <n v="5"/>
    <n v="99869.15"/>
    <n v="4.7"/>
  </r>
  <r>
    <x v="281"/>
    <s v="ORD100012"/>
    <x v="2"/>
    <x v="1"/>
    <x v="2"/>
    <x v="0"/>
    <x v="2"/>
    <n v="5904.49"/>
    <n v="3"/>
    <n v="17713.47"/>
    <n v="2.6"/>
  </r>
  <r>
    <x v="281"/>
    <s v="ORD100055"/>
    <x v="2"/>
    <x v="1"/>
    <x v="2"/>
    <x v="2"/>
    <x v="3"/>
    <n v="4126.25"/>
    <n v="4"/>
    <n v="16505"/>
    <n v="3.27"/>
  </r>
  <r>
    <x v="281"/>
    <s v="ORD100953"/>
    <x v="2"/>
    <x v="1"/>
    <x v="2"/>
    <x v="1"/>
    <x v="5"/>
    <n v="6458.66"/>
    <n v="5"/>
    <n v="32293.3"/>
    <n v="2.57"/>
  </r>
  <r>
    <x v="146"/>
    <s v="ORD100753"/>
    <x v="2"/>
    <x v="1"/>
    <x v="2"/>
    <x v="1"/>
    <x v="5"/>
    <n v="510.72"/>
    <n v="2"/>
    <n v="1021.44"/>
    <n v="1.07"/>
  </r>
  <r>
    <x v="148"/>
    <s v="ORD100906"/>
    <x v="3"/>
    <x v="1"/>
    <x v="3"/>
    <x v="1"/>
    <x v="1"/>
    <n v="12067.86"/>
    <n v="1"/>
    <n v="12067.86"/>
    <n v="2.66"/>
  </r>
  <r>
    <x v="148"/>
    <s v="ORD101830"/>
    <x v="2"/>
    <x v="1"/>
    <x v="2"/>
    <x v="2"/>
    <x v="0"/>
    <n v="12478.32"/>
    <n v="5"/>
    <n v="62391.6"/>
    <n v="3.83"/>
  </r>
  <r>
    <x v="282"/>
    <s v="ORD101443"/>
    <x v="3"/>
    <x v="1"/>
    <x v="3"/>
    <x v="2"/>
    <x v="2"/>
    <n v="19436.36"/>
    <n v="5"/>
    <n v="97181.8"/>
    <n v="2.39"/>
  </r>
  <r>
    <x v="149"/>
    <s v="ORD100970"/>
    <x v="2"/>
    <x v="1"/>
    <x v="2"/>
    <x v="2"/>
    <x v="5"/>
    <n v="18245.5"/>
    <n v="1"/>
    <n v="18245.5"/>
    <n v="4.47"/>
  </r>
  <r>
    <x v="151"/>
    <s v="ORD100495"/>
    <x v="3"/>
    <x v="1"/>
    <x v="3"/>
    <x v="1"/>
    <x v="3"/>
    <n v="2778.7"/>
    <n v="4"/>
    <n v="11114.8"/>
    <n v="2.06"/>
  </r>
  <r>
    <x v="151"/>
    <s v="ORD100509"/>
    <x v="3"/>
    <x v="1"/>
    <x v="3"/>
    <x v="1"/>
    <x v="5"/>
    <n v="2415.96"/>
    <n v="3"/>
    <n v="7247.88"/>
    <n v="3.43"/>
  </r>
  <r>
    <x v="151"/>
    <s v="ORD101363"/>
    <x v="3"/>
    <x v="1"/>
    <x v="3"/>
    <x v="1"/>
    <x v="5"/>
    <n v="12031.89"/>
    <n v="2"/>
    <n v="24063.78"/>
    <n v="1.95"/>
  </r>
  <r>
    <x v="151"/>
    <s v="ORD101855"/>
    <x v="3"/>
    <x v="1"/>
    <x v="3"/>
    <x v="1"/>
    <x v="3"/>
    <n v="311.3"/>
    <n v="2"/>
    <n v="622.6"/>
    <n v="3.29"/>
  </r>
  <r>
    <x v="152"/>
    <s v="ORD100092"/>
    <x v="2"/>
    <x v="1"/>
    <x v="2"/>
    <x v="2"/>
    <x v="4"/>
    <n v="2604.4"/>
    <n v="1"/>
    <n v="2604.4"/>
    <n v="3.07"/>
  </r>
  <r>
    <x v="152"/>
    <s v="ORD100276"/>
    <x v="3"/>
    <x v="1"/>
    <x v="3"/>
    <x v="0"/>
    <x v="4"/>
    <n v="113.55"/>
    <n v="1"/>
    <n v="113.55"/>
    <n v="1.88"/>
  </r>
  <r>
    <x v="152"/>
    <s v="ORD100814"/>
    <x v="3"/>
    <x v="1"/>
    <x v="3"/>
    <x v="0"/>
    <x v="0"/>
    <n v="5560.83"/>
    <n v="1"/>
    <n v="5560.83"/>
    <n v="2.3199999999999998"/>
  </r>
  <r>
    <x v="157"/>
    <s v="ORD101055"/>
    <x v="2"/>
    <x v="1"/>
    <x v="2"/>
    <x v="1"/>
    <x v="3"/>
    <n v="15533.94"/>
    <n v="1"/>
    <n v="15533.94"/>
    <n v="1.66"/>
  </r>
  <r>
    <x v="158"/>
    <s v="ORD101579"/>
    <x v="2"/>
    <x v="1"/>
    <x v="2"/>
    <x v="2"/>
    <x v="0"/>
    <n v="461.05"/>
    <n v="2"/>
    <n v="922.1"/>
    <n v="2.4900000000000002"/>
  </r>
  <r>
    <x v="159"/>
    <s v="ORD100773"/>
    <x v="2"/>
    <x v="1"/>
    <x v="2"/>
    <x v="1"/>
    <x v="5"/>
    <n v="601.70000000000005"/>
    <n v="5"/>
    <n v="3008.5"/>
    <n v="3.88"/>
  </r>
  <r>
    <x v="159"/>
    <s v="ORD101052"/>
    <x v="2"/>
    <x v="1"/>
    <x v="2"/>
    <x v="0"/>
    <x v="4"/>
    <n v="11343.98"/>
    <n v="4"/>
    <n v="45375.92"/>
    <n v="3.5"/>
  </r>
  <r>
    <x v="159"/>
    <s v="ORD101641"/>
    <x v="2"/>
    <x v="1"/>
    <x v="2"/>
    <x v="0"/>
    <x v="0"/>
    <n v="13990.02"/>
    <n v="2"/>
    <n v="27980.04"/>
    <n v="4.01"/>
  </r>
  <r>
    <x v="283"/>
    <s v="ORD100713"/>
    <x v="2"/>
    <x v="1"/>
    <x v="2"/>
    <x v="2"/>
    <x v="3"/>
    <n v="10908.84"/>
    <n v="2"/>
    <n v="21817.68"/>
    <n v="4.63"/>
  </r>
  <r>
    <x v="283"/>
    <s v="ORD101334"/>
    <x v="3"/>
    <x v="1"/>
    <x v="3"/>
    <x v="2"/>
    <x v="5"/>
    <n v="3655.3"/>
    <n v="1"/>
    <n v="3655.3"/>
    <n v="1.32"/>
  </r>
  <r>
    <x v="283"/>
    <s v="ORD101376"/>
    <x v="3"/>
    <x v="1"/>
    <x v="3"/>
    <x v="1"/>
    <x v="0"/>
    <n v="13110.27"/>
    <n v="3"/>
    <n v="39330.81"/>
    <n v="4.78"/>
  </r>
  <r>
    <x v="284"/>
    <s v="ORD100159"/>
    <x v="2"/>
    <x v="1"/>
    <x v="2"/>
    <x v="1"/>
    <x v="2"/>
    <n v="9759.3799999999992"/>
    <n v="5"/>
    <n v="48796.9"/>
    <n v="2.1"/>
  </r>
  <r>
    <x v="161"/>
    <s v="ORD100900"/>
    <x v="3"/>
    <x v="1"/>
    <x v="3"/>
    <x v="0"/>
    <x v="4"/>
    <n v="9807.15"/>
    <n v="2"/>
    <n v="19614.3"/>
    <n v="3.39"/>
  </r>
  <r>
    <x v="161"/>
    <s v="ORD101096"/>
    <x v="3"/>
    <x v="1"/>
    <x v="3"/>
    <x v="2"/>
    <x v="3"/>
    <n v="12797.99"/>
    <n v="4"/>
    <n v="51191.96"/>
    <n v="1.61"/>
  </r>
  <r>
    <x v="161"/>
    <s v="ORD101337"/>
    <x v="2"/>
    <x v="1"/>
    <x v="2"/>
    <x v="1"/>
    <x v="5"/>
    <n v="2770.75"/>
    <n v="2"/>
    <n v="5541.5"/>
    <n v="2.2999999999999998"/>
  </r>
  <r>
    <x v="164"/>
    <s v="ORD100402"/>
    <x v="3"/>
    <x v="1"/>
    <x v="3"/>
    <x v="0"/>
    <x v="4"/>
    <n v="13433.76"/>
    <n v="5"/>
    <n v="67168.800000000003"/>
    <n v="2.84"/>
  </r>
  <r>
    <x v="164"/>
    <s v="ORD100642"/>
    <x v="3"/>
    <x v="1"/>
    <x v="3"/>
    <x v="2"/>
    <x v="2"/>
    <n v="4733.34"/>
    <n v="3"/>
    <n v="14200.02"/>
    <n v="2.44"/>
  </r>
  <r>
    <x v="285"/>
    <s v="ORD101015"/>
    <x v="2"/>
    <x v="1"/>
    <x v="2"/>
    <x v="1"/>
    <x v="3"/>
    <n v="12113.73"/>
    <n v="1"/>
    <n v="12113.73"/>
    <n v="4.6500000000000004"/>
  </r>
  <r>
    <x v="166"/>
    <s v="ORD100185"/>
    <x v="2"/>
    <x v="1"/>
    <x v="2"/>
    <x v="2"/>
    <x v="5"/>
    <n v="10944.66"/>
    <n v="2"/>
    <n v="21889.32"/>
    <n v="3.32"/>
  </r>
  <r>
    <x v="166"/>
    <s v="ORD101318"/>
    <x v="2"/>
    <x v="1"/>
    <x v="2"/>
    <x v="1"/>
    <x v="4"/>
    <n v="19289"/>
    <n v="1"/>
    <n v="19289"/>
    <n v="2.78"/>
  </r>
  <r>
    <x v="286"/>
    <s v="ORD100038"/>
    <x v="3"/>
    <x v="1"/>
    <x v="3"/>
    <x v="1"/>
    <x v="2"/>
    <n v="8959.0499999999993"/>
    <n v="3"/>
    <n v="26877.15"/>
    <n v="3.54"/>
  </r>
  <r>
    <x v="167"/>
    <s v="ORD101453"/>
    <x v="3"/>
    <x v="1"/>
    <x v="3"/>
    <x v="2"/>
    <x v="4"/>
    <n v="18680.11"/>
    <n v="4"/>
    <n v="74720.44"/>
    <n v="2.2400000000000002"/>
  </r>
  <r>
    <x v="168"/>
    <s v="ORD100375"/>
    <x v="2"/>
    <x v="1"/>
    <x v="2"/>
    <x v="2"/>
    <x v="3"/>
    <n v="9015.9699999999993"/>
    <n v="2"/>
    <n v="18031.939999999999"/>
    <n v="1.38"/>
  </r>
  <r>
    <x v="170"/>
    <s v="ORD101586"/>
    <x v="2"/>
    <x v="1"/>
    <x v="2"/>
    <x v="0"/>
    <x v="4"/>
    <n v="14199.58"/>
    <n v="3"/>
    <n v="42598.74"/>
    <n v="4.1500000000000004"/>
  </r>
  <r>
    <x v="287"/>
    <s v="ORD100379"/>
    <x v="2"/>
    <x v="1"/>
    <x v="2"/>
    <x v="0"/>
    <x v="5"/>
    <n v="16654.91"/>
    <n v="4"/>
    <n v="66619.64"/>
    <n v="2.2200000000000002"/>
  </r>
  <r>
    <x v="287"/>
    <s v="ORD100771"/>
    <x v="3"/>
    <x v="1"/>
    <x v="3"/>
    <x v="1"/>
    <x v="3"/>
    <n v="5381.34"/>
    <n v="1"/>
    <n v="5381.34"/>
    <n v="3.88"/>
  </r>
  <r>
    <x v="287"/>
    <s v="ORD101914"/>
    <x v="2"/>
    <x v="1"/>
    <x v="2"/>
    <x v="1"/>
    <x v="5"/>
    <n v="7163.92"/>
    <n v="4"/>
    <n v="28655.68"/>
    <n v="3.22"/>
  </r>
  <r>
    <x v="172"/>
    <s v="ORD101816"/>
    <x v="2"/>
    <x v="1"/>
    <x v="2"/>
    <x v="1"/>
    <x v="0"/>
    <n v="19659.63"/>
    <n v="4"/>
    <n v="78638.52"/>
    <n v="1.38"/>
  </r>
  <r>
    <x v="288"/>
    <s v="ORD101484"/>
    <x v="2"/>
    <x v="1"/>
    <x v="2"/>
    <x v="1"/>
    <x v="0"/>
    <n v="13867.08"/>
    <n v="5"/>
    <n v="69335.399999999994"/>
    <n v="4.37"/>
  </r>
  <r>
    <x v="173"/>
    <s v="ORD100589"/>
    <x v="2"/>
    <x v="1"/>
    <x v="2"/>
    <x v="1"/>
    <x v="1"/>
    <n v="12686.17"/>
    <n v="1"/>
    <n v="12686.17"/>
    <n v="2.38"/>
  </r>
  <r>
    <x v="173"/>
    <s v="ORD100920"/>
    <x v="2"/>
    <x v="1"/>
    <x v="2"/>
    <x v="2"/>
    <x v="4"/>
    <n v="293.19"/>
    <n v="1"/>
    <n v="293.19"/>
    <n v="2.74"/>
  </r>
  <r>
    <x v="173"/>
    <s v="ORD101401"/>
    <x v="2"/>
    <x v="1"/>
    <x v="2"/>
    <x v="1"/>
    <x v="0"/>
    <n v="16444.939999999999"/>
    <n v="1"/>
    <n v="16444.939999999999"/>
    <n v="4.51"/>
  </r>
  <r>
    <x v="174"/>
    <s v="ORD101374"/>
    <x v="2"/>
    <x v="1"/>
    <x v="2"/>
    <x v="0"/>
    <x v="5"/>
    <n v="10976.56"/>
    <n v="2"/>
    <n v="21953.119999999999"/>
    <n v="4.03"/>
  </r>
  <r>
    <x v="289"/>
    <s v="ORD100733"/>
    <x v="3"/>
    <x v="1"/>
    <x v="3"/>
    <x v="0"/>
    <x v="5"/>
    <n v="11829.33"/>
    <n v="5"/>
    <n v="59146.65"/>
    <n v="1.53"/>
  </r>
  <r>
    <x v="175"/>
    <s v="ORD100432"/>
    <x v="3"/>
    <x v="1"/>
    <x v="3"/>
    <x v="2"/>
    <x v="0"/>
    <n v="17698.919999999998"/>
    <n v="3"/>
    <n v="53096.76"/>
    <n v="4.82"/>
  </r>
  <r>
    <x v="290"/>
    <s v="ORD100799"/>
    <x v="3"/>
    <x v="1"/>
    <x v="3"/>
    <x v="2"/>
    <x v="1"/>
    <n v="2332.81"/>
    <n v="3"/>
    <n v="6998.43"/>
    <n v="4.67"/>
  </r>
  <r>
    <x v="290"/>
    <s v="ORD101025"/>
    <x v="3"/>
    <x v="1"/>
    <x v="3"/>
    <x v="1"/>
    <x v="2"/>
    <n v="19592.89"/>
    <n v="3"/>
    <n v="58778.67"/>
    <n v="1.88"/>
  </r>
  <r>
    <x v="291"/>
    <s v="ORD100317"/>
    <x v="2"/>
    <x v="1"/>
    <x v="2"/>
    <x v="1"/>
    <x v="5"/>
    <n v="19158.310000000001"/>
    <n v="1"/>
    <n v="19158.310000000001"/>
    <n v="2.4300000000000002"/>
  </r>
  <r>
    <x v="292"/>
    <s v="ORD100823"/>
    <x v="3"/>
    <x v="1"/>
    <x v="3"/>
    <x v="2"/>
    <x v="4"/>
    <n v="19708.47"/>
    <n v="4"/>
    <n v="78833.88"/>
    <n v="1.96"/>
  </r>
  <r>
    <x v="292"/>
    <s v="ORD100971"/>
    <x v="2"/>
    <x v="1"/>
    <x v="2"/>
    <x v="0"/>
    <x v="4"/>
    <n v="16339.46"/>
    <n v="1"/>
    <n v="16339.46"/>
    <n v="4.74"/>
  </r>
  <r>
    <x v="292"/>
    <s v="ORD101143"/>
    <x v="2"/>
    <x v="1"/>
    <x v="2"/>
    <x v="1"/>
    <x v="5"/>
    <n v="18169.71"/>
    <n v="2"/>
    <n v="36339.42"/>
    <n v="1.29"/>
  </r>
  <r>
    <x v="177"/>
    <s v="ORD101985"/>
    <x v="3"/>
    <x v="1"/>
    <x v="3"/>
    <x v="0"/>
    <x v="4"/>
    <n v="17321.560000000001"/>
    <n v="4"/>
    <n v="69286.240000000005"/>
    <n v="3.15"/>
  </r>
  <r>
    <x v="180"/>
    <s v="ORD100150"/>
    <x v="2"/>
    <x v="1"/>
    <x v="2"/>
    <x v="0"/>
    <x v="4"/>
    <n v="19703.54"/>
    <n v="4"/>
    <n v="78814.16"/>
    <n v="3.27"/>
  </r>
  <r>
    <x v="180"/>
    <s v="ORD100474"/>
    <x v="3"/>
    <x v="1"/>
    <x v="3"/>
    <x v="2"/>
    <x v="5"/>
    <n v="11279.42"/>
    <n v="5"/>
    <n v="56397.1"/>
    <n v="3.91"/>
  </r>
  <r>
    <x v="181"/>
    <s v="ORD100975"/>
    <x v="2"/>
    <x v="1"/>
    <x v="2"/>
    <x v="2"/>
    <x v="4"/>
    <n v="10785.89"/>
    <n v="3"/>
    <n v="32357.67"/>
    <n v="2.5"/>
  </r>
  <r>
    <x v="181"/>
    <s v="ORD101012"/>
    <x v="3"/>
    <x v="1"/>
    <x v="3"/>
    <x v="0"/>
    <x v="2"/>
    <n v="2605.1"/>
    <n v="4"/>
    <n v="10420.4"/>
    <n v="1.21"/>
  </r>
  <r>
    <x v="182"/>
    <s v="ORD100109"/>
    <x v="2"/>
    <x v="1"/>
    <x v="2"/>
    <x v="0"/>
    <x v="5"/>
    <n v="7572.32"/>
    <n v="3"/>
    <n v="22716.959999999999"/>
    <n v="3.62"/>
  </r>
  <r>
    <x v="184"/>
    <s v="ORD100315"/>
    <x v="2"/>
    <x v="1"/>
    <x v="2"/>
    <x v="1"/>
    <x v="5"/>
    <n v="10150.9"/>
    <n v="2"/>
    <n v="20301.8"/>
    <n v="4.45"/>
  </r>
  <r>
    <x v="184"/>
    <s v="ORD100330"/>
    <x v="2"/>
    <x v="1"/>
    <x v="2"/>
    <x v="0"/>
    <x v="2"/>
    <n v="19376.72"/>
    <n v="4"/>
    <n v="77506.880000000005"/>
    <n v="3.81"/>
  </r>
  <r>
    <x v="184"/>
    <s v="ORD101458"/>
    <x v="2"/>
    <x v="1"/>
    <x v="2"/>
    <x v="2"/>
    <x v="2"/>
    <n v="5573.82"/>
    <n v="3"/>
    <n v="16721.46"/>
    <n v="4.96"/>
  </r>
  <r>
    <x v="184"/>
    <s v="ORD101583"/>
    <x v="3"/>
    <x v="1"/>
    <x v="3"/>
    <x v="1"/>
    <x v="4"/>
    <n v="7027.26"/>
    <n v="2"/>
    <n v="14054.52"/>
    <n v="2.16"/>
  </r>
  <r>
    <x v="184"/>
    <s v="ORD101950"/>
    <x v="2"/>
    <x v="1"/>
    <x v="2"/>
    <x v="0"/>
    <x v="5"/>
    <n v="18445.43"/>
    <n v="5"/>
    <n v="92227.15"/>
    <n v="4.2"/>
  </r>
  <r>
    <x v="293"/>
    <s v="ORD100981"/>
    <x v="3"/>
    <x v="1"/>
    <x v="3"/>
    <x v="0"/>
    <x v="3"/>
    <n v="2447.92"/>
    <n v="2"/>
    <n v="4895.84"/>
    <n v="2.0299999999999998"/>
  </r>
  <r>
    <x v="185"/>
    <s v="ORD100513"/>
    <x v="2"/>
    <x v="1"/>
    <x v="2"/>
    <x v="0"/>
    <x v="2"/>
    <n v="979.15"/>
    <n v="4"/>
    <n v="3916.6"/>
    <n v="1.38"/>
  </r>
  <r>
    <x v="186"/>
    <s v="ORD101438"/>
    <x v="2"/>
    <x v="1"/>
    <x v="2"/>
    <x v="1"/>
    <x v="4"/>
    <n v="1549.09"/>
    <n v="4"/>
    <n v="6196.36"/>
    <n v="4.9000000000000004"/>
  </r>
  <r>
    <x v="187"/>
    <s v="ORD100233"/>
    <x v="3"/>
    <x v="1"/>
    <x v="3"/>
    <x v="1"/>
    <x v="0"/>
    <n v="16348.42"/>
    <n v="4"/>
    <n v="65393.68"/>
    <n v="3.96"/>
  </r>
  <r>
    <x v="187"/>
    <s v="ORD101466"/>
    <x v="2"/>
    <x v="1"/>
    <x v="2"/>
    <x v="2"/>
    <x v="3"/>
    <n v="18642.78"/>
    <n v="5"/>
    <n v="93213.9"/>
    <n v="3.85"/>
  </r>
  <r>
    <x v="188"/>
    <s v="ORD100287"/>
    <x v="2"/>
    <x v="1"/>
    <x v="2"/>
    <x v="2"/>
    <x v="1"/>
    <n v="3819.06"/>
    <n v="4"/>
    <n v="15276.24"/>
    <n v="4.41"/>
  </r>
  <r>
    <x v="189"/>
    <s v="ORD100418"/>
    <x v="2"/>
    <x v="1"/>
    <x v="2"/>
    <x v="0"/>
    <x v="3"/>
    <n v="13461.35"/>
    <n v="4"/>
    <n v="53845.4"/>
    <n v="4.72"/>
  </r>
  <r>
    <x v="190"/>
    <s v="ORD100268"/>
    <x v="3"/>
    <x v="1"/>
    <x v="3"/>
    <x v="0"/>
    <x v="5"/>
    <n v="7238.02"/>
    <n v="4"/>
    <n v="28952.080000000002"/>
    <n v="2.56"/>
  </r>
  <r>
    <x v="191"/>
    <s v="ORD100131"/>
    <x v="2"/>
    <x v="1"/>
    <x v="2"/>
    <x v="0"/>
    <x v="5"/>
    <n v="15054.63"/>
    <n v="1"/>
    <n v="15054.63"/>
    <n v="2.29"/>
  </r>
  <r>
    <x v="192"/>
    <s v="ORD100597"/>
    <x v="2"/>
    <x v="1"/>
    <x v="2"/>
    <x v="1"/>
    <x v="2"/>
    <n v="6989.41"/>
    <n v="2"/>
    <n v="13978.82"/>
    <n v="3.66"/>
  </r>
  <r>
    <x v="192"/>
    <s v="ORD101153"/>
    <x v="2"/>
    <x v="1"/>
    <x v="2"/>
    <x v="2"/>
    <x v="1"/>
    <n v="698.91"/>
    <n v="3"/>
    <n v="2096.73"/>
    <n v="3.44"/>
  </r>
  <r>
    <x v="193"/>
    <s v="ORD101087"/>
    <x v="2"/>
    <x v="1"/>
    <x v="2"/>
    <x v="0"/>
    <x v="5"/>
    <n v="6663.18"/>
    <n v="3"/>
    <n v="19989.54"/>
    <n v="1.58"/>
  </r>
  <r>
    <x v="193"/>
    <s v="ORD101223"/>
    <x v="3"/>
    <x v="1"/>
    <x v="3"/>
    <x v="0"/>
    <x v="5"/>
    <n v="10914.14"/>
    <n v="1"/>
    <n v="10914.14"/>
    <n v="2.89"/>
  </r>
  <r>
    <x v="294"/>
    <s v="ORD100884"/>
    <x v="2"/>
    <x v="1"/>
    <x v="2"/>
    <x v="2"/>
    <x v="5"/>
    <n v="4283.2299999999996"/>
    <n v="1"/>
    <n v="4283.2299999999996"/>
    <n v="4.72"/>
  </r>
  <r>
    <x v="294"/>
    <s v="ORD100933"/>
    <x v="2"/>
    <x v="1"/>
    <x v="2"/>
    <x v="1"/>
    <x v="3"/>
    <n v="18579.560000000001"/>
    <n v="2"/>
    <n v="37159.120000000003"/>
    <n v="4.97"/>
  </r>
  <r>
    <x v="294"/>
    <s v="ORD101481"/>
    <x v="3"/>
    <x v="1"/>
    <x v="3"/>
    <x v="2"/>
    <x v="3"/>
    <n v="18262.38"/>
    <n v="4"/>
    <n v="73049.52"/>
    <n v="3.91"/>
  </r>
  <r>
    <x v="295"/>
    <s v="ORD101328"/>
    <x v="3"/>
    <x v="1"/>
    <x v="3"/>
    <x v="0"/>
    <x v="1"/>
    <n v="8187.77"/>
    <n v="3"/>
    <n v="24563.31"/>
    <n v="2.27"/>
  </r>
  <r>
    <x v="296"/>
    <s v="ORD100284"/>
    <x v="2"/>
    <x v="1"/>
    <x v="2"/>
    <x v="1"/>
    <x v="0"/>
    <n v="3214.88"/>
    <n v="1"/>
    <n v="3214.88"/>
    <n v="1.41"/>
  </r>
  <r>
    <x v="296"/>
    <s v="ORD101022"/>
    <x v="3"/>
    <x v="1"/>
    <x v="3"/>
    <x v="2"/>
    <x v="2"/>
    <n v="15500.27"/>
    <n v="3"/>
    <n v="46500.81"/>
    <n v="1.1599999999999999"/>
  </r>
  <r>
    <x v="197"/>
    <s v="ORD101820"/>
    <x v="3"/>
    <x v="1"/>
    <x v="3"/>
    <x v="1"/>
    <x v="0"/>
    <n v="3365.43"/>
    <n v="5"/>
    <n v="16827.150000000001"/>
    <n v="2.54"/>
  </r>
  <r>
    <x v="297"/>
    <s v="ORD101517"/>
    <x v="2"/>
    <x v="1"/>
    <x v="2"/>
    <x v="0"/>
    <x v="2"/>
    <n v="8175.13"/>
    <n v="3"/>
    <n v="24525.39"/>
    <n v="4.72"/>
  </r>
  <r>
    <x v="198"/>
    <s v="ORD100347"/>
    <x v="2"/>
    <x v="1"/>
    <x v="2"/>
    <x v="1"/>
    <x v="0"/>
    <n v="6050.3"/>
    <n v="4"/>
    <n v="24201.200000000001"/>
    <n v="4.3899999999999997"/>
  </r>
  <r>
    <x v="198"/>
    <s v="ORD101616"/>
    <x v="3"/>
    <x v="1"/>
    <x v="3"/>
    <x v="2"/>
    <x v="0"/>
    <n v="3671.05"/>
    <n v="3"/>
    <n v="11013.15"/>
    <n v="1.75"/>
  </r>
  <r>
    <x v="298"/>
    <s v="ORD101105"/>
    <x v="3"/>
    <x v="1"/>
    <x v="3"/>
    <x v="0"/>
    <x v="0"/>
    <n v="5385.51"/>
    <n v="1"/>
    <n v="5385.51"/>
    <n v="4.96"/>
  </r>
  <r>
    <x v="201"/>
    <s v="ORD101355"/>
    <x v="2"/>
    <x v="1"/>
    <x v="2"/>
    <x v="1"/>
    <x v="3"/>
    <n v="19398.03"/>
    <n v="5"/>
    <n v="96990.15"/>
    <n v="2.25"/>
  </r>
  <r>
    <x v="204"/>
    <s v="ORD100739"/>
    <x v="3"/>
    <x v="1"/>
    <x v="3"/>
    <x v="1"/>
    <x v="4"/>
    <n v="3950.83"/>
    <n v="1"/>
    <n v="3950.83"/>
    <n v="4.63"/>
  </r>
  <r>
    <x v="204"/>
    <s v="ORD101081"/>
    <x v="3"/>
    <x v="1"/>
    <x v="3"/>
    <x v="0"/>
    <x v="4"/>
    <n v="19270.5"/>
    <n v="1"/>
    <n v="19270.5"/>
    <n v="3.41"/>
  </r>
  <r>
    <x v="299"/>
    <s v="ORD101951"/>
    <x v="3"/>
    <x v="1"/>
    <x v="3"/>
    <x v="2"/>
    <x v="5"/>
    <n v="4359.1000000000004"/>
    <n v="3"/>
    <n v="13077.3"/>
    <n v="4.71"/>
  </r>
  <r>
    <x v="205"/>
    <s v="ORD100452"/>
    <x v="2"/>
    <x v="1"/>
    <x v="2"/>
    <x v="0"/>
    <x v="3"/>
    <n v="19978.64"/>
    <n v="1"/>
    <n v="19978.64"/>
    <n v="4.54"/>
  </r>
  <r>
    <x v="205"/>
    <s v="ORD100487"/>
    <x v="2"/>
    <x v="1"/>
    <x v="2"/>
    <x v="0"/>
    <x v="4"/>
    <n v="4378.0200000000004"/>
    <n v="2"/>
    <n v="8756.0400000000009"/>
    <n v="1.21"/>
  </r>
  <r>
    <x v="206"/>
    <s v="ORD100413"/>
    <x v="3"/>
    <x v="1"/>
    <x v="3"/>
    <x v="1"/>
    <x v="5"/>
    <n v="4153.08"/>
    <n v="4"/>
    <n v="16612.32"/>
    <n v="2.2999999999999998"/>
  </r>
  <r>
    <x v="207"/>
    <s v="ORD101379"/>
    <x v="3"/>
    <x v="1"/>
    <x v="3"/>
    <x v="2"/>
    <x v="1"/>
    <n v="10994.13"/>
    <n v="3"/>
    <n v="32982.39"/>
    <n v="4.5"/>
  </r>
  <r>
    <x v="208"/>
    <s v="ORD101492"/>
    <x v="2"/>
    <x v="1"/>
    <x v="2"/>
    <x v="2"/>
    <x v="4"/>
    <n v="18083.97"/>
    <n v="5"/>
    <n v="90419.85"/>
    <n v="2.77"/>
  </r>
  <r>
    <x v="300"/>
    <s v="ORD100376"/>
    <x v="2"/>
    <x v="1"/>
    <x v="2"/>
    <x v="0"/>
    <x v="0"/>
    <n v="16066.23"/>
    <n v="4"/>
    <n v="64264.92"/>
    <n v="3.88"/>
  </r>
  <r>
    <x v="301"/>
    <s v="ORD101574"/>
    <x v="2"/>
    <x v="1"/>
    <x v="2"/>
    <x v="1"/>
    <x v="2"/>
    <n v="10345.52"/>
    <n v="5"/>
    <n v="51727.6"/>
    <n v="4.4800000000000004"/>
  </r>
  <r>
    <x v="301"/>
    <s v="ORD101695"/>
    <x v="3"/>
    <x v="1"/>
    <x v="3"/>
    <x v="0"/>
    <x v="0"/>
    <n v="10251.69"/>
    <n v="2"/>
    <n v="20503.38"/>
    <n v="4.32"/>
  </r>
  <r>
    <x v="211"/>
    <s v="ORD100627"/>
    <x v="2"/>
    <x v="1"/>
    <x v="2"/>
    <x v="1"/>
    <x v="1"/>
    <n v="4717.53"/>
    <n v="2"/>
    <n v="9435.06"/>
    <n v="4.6100000000000003"/>
  </r>
  <r>
    <x v="211"/>
    <s v="ORD101146"/>
    <x v="2"/>
    <x v="1"/>
    <x v="2"/>
    <x v="0"/>
    <x v="4"/>
    <n v="3652.01"/>
    <n v="4"/>
    <n v="14608.04"/>
    <n v="4.7"/>
  </r>
  <r>
    <x v="212"/>
    <s v="ORD100103"/>
    <x v="2"/>
    <x v="1"/>
    <x v="2"/>
    <x v="1"/>
    <x v="1"/>
    <n v="19025.43"/>
    <n v="5"/>
    <n v="95127.15"/>
    <n v="1.54"/>
  </r>
  <r>
    <x v="302"/>
    <s v="ORD101790"/>
    <x v="2"/>
    <x v="1"/>
    <x v="2"/>
    <x v="1"/>
    <x v="3"/>
    <n v="624.45000000000005"/>
    <n v="3"/>
    <n v="1873.35"/>
    <n v="2.54"/>
  </r>
  <r>
    <x v="303"/>
    <s v="ORD101086"/>
    <x v="3"/>
    <x v="1"/>
    <x v="3"/>
    <x v="0"/>
    <x v="5"/>
    <n v="17626.84"/>
    <n v="4"/>
    <n v="70507.360000000001"/>
    <n v="4.83"/>
  </r>
  <r>
    <x v="214"/>
    <s v="ORD101233"/>
    <x v="3"/>
    <x v="1"/>
    <x v="3"/>
    <x v="1"/>
    <x v="1"/>
    <n v="17180.36"/>
    <n v="4"/>
    <n v="68721.440000000002"/>
    <n v="2.08"/>
  </r>
  <r>
    <x v="214"/>
    <s v="ORD101320"/>
    <x v="3"/>
    <x v="1"/>
    <x v="3"/>
    <x v="0"/>
    <x v="3"/>
    <n v="11375.41"/>
    <n v="5"/>
    <n v="56877.05"/>
    <n v="2.2000000000000002"/>
  </r>
  <r>
    <x v="214"/>
    <s v="ORD101521"/>
    <x v="3"/>
    <x v="1"/>
    <x v="3"/>
    <x v="2"/>
    <x v="4"/>
    <n v="7272.04"/>
    <n v="4"/>
    <n v="29088.16"/>
    <n v="4.8"/>
  </r>
  <r>
    <x v="215"/>
    <s v="ORD100122"/>
    <x v="2"/>
    <x v="1"/>
    <x v="2"/>
    <x v="0"/>
    <x v="1"/>
    <n v="9574.2099999999991"/>
    <n v="4"/>
    <n v="38296.839999999997"/>
    <n v="4.99"/>
  </r>
  <r>
    <x v="215"/>
    <s v="ORD100218"/>
    <x v="2"/>
    <x v="1"/>
    <x v="2"/>
    <x v="0"/>
    <x v="5"/>
    <n v="9957.25"/>
    <n v="3"/>
    <n v="29871.75"/>
    <n v="3.33"/>
  </r>
  <r>
    <x v="215"/>
    <s v="ORD100754"/>
    <x v="2"/>
    <x v="1"/>
    <x v="2"/>
    <x v="0"/>
    <x v="0"/>
    <n v="19507.259999999998"/>
    <n v="1"/>
    <n v="19507.259999999998"/>
    <n v="2.0299999999999998"/>
  </r>
  <r>
    <x v="215"/>
    <s v="ORD101626"/>
    <x v="3"/>
    <x v="1"/>
    <x v="3"/>
    <x v="0"/>
    <x v="3"/>
    <n v="9040.57"/>
    <n v="2"/>
    <n v="18081.14"/>
    <n v="1.91"/>
  </r>
  <r>
    <x v="304"/>
    <s v="ORD100300"/>
    <x v="3"/>
    <x v="1"/>
    <x v="3"/>
    <x v="0"/>
    <x v="0"/>
    <n v="18013.14"/>
    <n v="1"/>
    <n v="18013.14"/>
    <n v="2.71"/>
  </r>
  <r>
    <x v="304"/>
    <s v="ORD101697"/>
    <x v="2"/>
    <x v="1"/>
    <x v="2"/>
    <x v="0"/>
    <x v="2"/>
    <n v="6623.22"/>
    <n v="1"/>
    <n v="6623.22"/>
    <n v="4.32"/>
  </r>
  <r>
    <x v="216"/>
    <s v="ORD101973"/>
    <x v="2"/>
    <x v="1"/>
    <x v="2"/>
    <x v="2"/>
    <x v="3"/>
    <n v="19054.5"/>
    <n v="2"/>
    <n v="38109"/>
    <n v="1.97"/>
  </r>
  <r>
    <x v="217"/>
    <s v="ORD100798"/>
    <x v="3"/>
    <x v="1"/>
    <x v="3"/>
    <x v="2"/>
    <x v="5"/>
    <n v="9859.99"/>
    <n v="3"/>
    <n v="29579.97"/>
    <n v="2.38"/>
  </r>
  <r>
    <x v="217"/>
    <s v="ORD101016"/>
    <x v="3"/>
    <x v="1"/>
    <x v="3"/>
    <x v="2"/>
    <x v="2"/>
    <n v="2302.66"/>
    <n v="5"/>
    <n v="11513.3"/>
    <n v="4.01"/>
  </r>
  <r>
    <x v="220"/>
    <s v="ORD100117"/>
    <x v="3"/>
    <x v="1"/>
    <x v="3"/>
    <x v="1"/>
    <x v="2"/>
    <n v="12941.86"/>
    <n v="1"/>
    <n v="12941.86"/>
    <n v="2.33"/>
  </r>
  <r>
    <x v="220"/>
    <s v="ORD101910"/>
    <x v="3"/>
    <x v="1"/>
    <x v="3"/>
    <x v="1"/>
    <x v="1"/>
    <n v="9551.73"/>
    <n v="4"/>
    <n v="38206.92"/>
    <n v="4.34"/>
  </r>
  <r>
    <x v="220"/>
    <s v="ORD101991"/>
    <x v="3"/>
    <x v="1"/>
    <x v="3"/>
    <x v="0"/>
    <x v="2"/>
    <n v="15287.67"/>
    <n v="1"/>
    <n v="15287.67"/>
    <n v="1.05"/>
  </r>
  <r>
    <x v="221"/>
    <s v="ORD100320"/>
    <x v="3"/>
    <x v="1"/>
    <x v="3"/>
    <x v="1"/>
    <x v="4"/>
    <n v="8305.08"/>
    <n v="1"/>
    <n v="8305.08"/>
    <n v="4.8"/>
  </r>
  <r>
    <x v="221"/>
    <s v="ORD101717"/>
    <x v="2"/>
    <x v="1"/>
    <x v="2"/>
    <x v="1"/>
    <x v="5"/>
    <n v="15976.94"/>
    <n v="4"/>
    <n v="63907.76"/>
    <n v="3.89"/>
  </r>
  <r>
    <x v="221"/>
    <s v="ORD101901"/>
    <x v="3"/>
    <x v="1"/>
    <x v="3"/>
    <x v="0"/>
    <x v="3"/>
    <n v="10635.4"/>
    <n v="2"/>
    <n v="21270.799999999999"/>
    <n v="3"/>
  </r>
  <r>
    <x v="221"/>
    <s v="ORD101970"/>
    <x v="2"/>
    <x v="1"/>
    <x v="2"/>
    <x v="1"/>
    <x v="5"/>
    <n v="10406.790000000001"/>
    <n v="4"/>
    <n v="41627.160000000003"/>
    <n v="4.58"/>
  </r>
  <r>
    <x v="222"/>
    <s v="ORD101127"/>
    <x v="3"/>
    <x v="1"/>
    <x v="3"/>
    <x v="1"/>
    <x v="2"/>
    <n v="14772.76"/>
    <n v="5"/>
    <n v="73863.8"/>
    <n v="3.83"/>
  </r>
  <r>
    <x v="224"/>
    <s v="ORD101380"/>
    <x v="2"/>
    <x v="1"/>
    <x v="2"/>
    <x v="0"/>
    <x v="4"/>
    <n v="15796.59"/>
    <n v="3"/>
    <n v="47389.77"/>
    <n v="4.59"/>
  </r>
  <r>
    <x v="305"/>
    <s v="ORD100340"/>
    <x v="2"/>
    <x v="1"/>
    <x v="2"/>
    <x v="1"/>
    <x v="4"/>
    <n v="1931.82"/>
    <n v="5"/>
    <n v="9659.1"/>
    <n v="1.01"/>
  </r>
  <r>
    <x v="306"/>
    <s v="ORD100311"/>
    <x v="2"/>
    <x v="1"/>
    <x v="2"/>
    <x v="0"/>
    <x v="2"/>
    <n v="9408.66"/>
    <n v="3"/>
    <n v="28225.98"/>
    <n v="1.91"/>
  </r>
  <r>
    <x v="306"/>
    <s v="ORD101621"/>
    <x v="2"/>
    <x v="1"/>
    <x v="2"/>
    <x v="0"/>
    <x v="5"/>
    <n v="15273"/>
    <n v="2"/>
    <n v="30546"/>
    <n v="2.35"/>
  </r>
  <r>
    <x v="227"/>
    <s v="ORD100237"/>
    <x v="2"/>
    <x v="1"/>
    <x v="2"/>
    <x v="0"/>
    <x v="0"/>
    <n v="7187.55"/>
    <n v="5"/>
    <n v="35937.75"/>
    <n v="2.09"/>
  </r>
  <r>
    <x v="227"/>
    <s v="ORD100448"/>
    <x v="3"/>
    <x v="1"/>
    <x v="3"/>
    <x v="2"/>
    <x v="1"/>
    <n v="10781.66"/>
    <n v="4"/>
    <n v="43126.64"/>
    <n v="2.6"/>
  </r>
  <r>
    <x v="227"/>
    <s v="ORD101757"/>
    <x v="3"/>
    <x v="1"/>
    <x v="3"/>
    <x v="0"/>
    <x v="2"/>
    <n v="19509.04"/>
    <n v="3"/>
    <n v="58527.12"/>
    <n v="1.74"/>
  </r>
  <r>
    <x v="229"/>
    <s v="ORD100017"/>
    <x v="3"/>
    <x v="1"/>
    <x v="3"/>
    <x v="2"/>
    <x v="1"/>
    <n v="13247.77"/>
    <n v="3"/>
    <n v="39743.31"/>
    <n v="3.86"/>
  </r>
  <r>
    <x v="229"/>
    <s v="ORD100240"/>
    <x v="3"/>
    <x v="1"/>
    <x v="3"/>
    <x v="0"/>
    <x v="5"/>
    <n v="2227.34"/>
    <n v="2"/>
    <n v="4454.68"/>
    <n v="4.75"/>
  </r>
  <r>
    <x v="229"/>
    <s v="ORD100749"/>
    <x v="2"/>
    <x v="1"/>
    <x v="2"/>
    <x v="2"/>
    <x v="5"/>
    <n v="10639.4"/>
    <n v="1"/>
    <n v="10639.4"/>
    <n v="1.61"/>
  </r>
  <r>
    <x v="231"/>
    <s v="ORD100027"/>
    <x v="2"/>
    <x v="1"/>
    <x v="2"/>
    <x v="0"/>
    <x v="5"/>
    <n v="19624.3"/>
    <n v="1"/>
    <n v="19624.3"/>
    <n v="4.55"/>
  </r>
  <r>
    <x v="233"/>
    <s v="ORD101199"/>
    <x v="2"/>
    <x v="1"/>
    <x v="2"/>
    <x v="1"/>
    <x v="3"/>
    <n v="6831.86"/>
    <n v="1"/>
    <n v="6831.86"/>
    <n v="1.82"/>
  </r>
  <r>
    <x v="233"/>
    <s v="ORD101402"/>
    <x v="3"/>
    <x v="1"/>
    <x v="3"/>
    <x v="0"/>
    <x v="4"/>
    <n v="3915.32"/>
    <n v="1"/>
    <n v="3915.32"/>
    <n v="1.57"/>
  </r>
  <r>
    <x v="233"/>
    <s v="ORD101804"/>
    <x v="3"/>
    <x v="1"/>
    <x v="3"/>
    <x v="0"/>
    <x v="2"/>
    <n v="19898.32"/>
    <n v="4"/>
    <n v="79593.279999999999"/>
    <n v="1.1100000000000001"/>
  </r>
  <r>
    <x v="234"/>
    <s v="ORD100307"/>
    <x v="3"/>
    <x v="1"/>
    <x v="3"/>
    <x v="2"/>
    <x v="5"/>
    <n v="5446.73"/>
    <n v="3"/>
    <n v="16340.19"/>
    <n v="1.7"/>
  </r>
  <r>
    <x v="234"/>
    <s v="ORD100595"/>
    <x v="3"/>
    <x v="1"/>
    <x v="3"/>
    <x v="2"/>
    <x v="2"/>
    <n v="5444.11"/>
    <n v="2"/>
    <n v="10888.22"/>
    <n v="1.26"/>
  </r>
  <r>
    <x v="234"/>
    <s v="ORD101241"/>
    <x v="3"/>
    <x v="1"/>
    <x v="3"/>
    <x v="1"/>
    <x v="3"/>
    <n v="16356.92"/>
    <n v="3"/>
    <n v="49070.76"/>
    <n v="1.58"/>
  </r>
  <r>
    <x v="234"/>
    <s v="ORD101870"/>
    <x v="2"/>
    <x v="1"/>
    <x v="2"/>
    <x v="1"/>
    <x v="3"/>
    <n v="10584.81"/>
    <n v="1"/>
    <n v="10584.81"/>
    <n v="4.88"/>
  </r>
  <r>
    <x v="0"/>
    <s v="ORD100025"/>
    <x v="4"/>
    <x v="2"/>
    <x v="4"/>
    <x v="0"/>
    <x v="4"/>
    <n v="15915.39"/>
    <n v="5"/>
    <n v="79576.95"/>
    <n v="1.73"/>
  </r>
  <r>
    <x v="0"/>
    <s v="ORD100230"/>
    <x v="5"/>
    <x v="2"/>
    <x v="5"/>
    <x v="2"/>
    <x v="2"/>
    <n v="5782.53"/>
    <n v="1"/>
    <n v="5782.53"/>
    <n v="2.85"/>
  </r>
  <r>
    <x v="0"/>
    <s v="ORD100269"/>
    <x v="4"/>
    <x v="2"/>
    <x v="4"/>
    <x v="2"/>
    <x v="4"/>
    <n v="9267.52"/>
    <n v="3"/>
    <n v="27802.560000000001"/>
    <n v="1.89"/>
  </r>
  <r>
    <x v="0"/>
    <s v="ORD100924"/>
    <x v="5"/>
    <x v="2"/>
    <x v="5"/>
    <x v="0"/>
    <x v="0"/>
    <n v="15620.89"/>
    <n v="4"/>
    <n v="62483.56"/>
    <n v="1.5"/>
  </r>
  <r>
    <x v="0"/>
    <s v="ORD101142"/>
    <x v="5"/>
    <x v="2"/>
    <x v="5"/>
    <x v="0"/>
    <x v="5"/>
    <n v="3325.6"/>
    <n v="1"/>
    <n v="3325.6"/>
    <n v="1.28"/>
  </r>
  <r>
    <x v="1"/>
    <s v="ORD100369"/>
    <x v="6"/>
    <x v="2"/>
    <x v="6"/>
    <x v="0"/>
    <x v="4"/>
    <n v="225.46"/>
    <n v="5"/>
    <n v="1127.3"/>
    <n v="1.98"/>
  </r>
  <r>
    <x v="1"/>
    <s v="ORD100552"/>
    <x v="5"/>
    <x v="2"/>
    <x v="5"/>
    <x v="0"/>
    <x v="0"/>
    <n v="14533.1"/>
    <n v="4"/>
    <n v="58132.4"/>
    <n v="1.41"/>
  </r>
  <r>
    <x v="1"/>
    <s v="ORD100610"/>
    <x v="4"/>
    <x v="2"/>
    <x v="4"/>
    <x v="1"/>
    <x v="1"/>
    <n v="19399.34"/>
    <n v="3"/>
    <n v="58198.02"/>
    <n v="4.79"/>
  </r>
  <r>
    <x v="307"/>
    <s v="ORD101242"/>
    <x v="5"/>
    <x v="2"/>
    <x v="5"/>
    <x v="1"/>
    <x v="0"/>
    <n v="17312.310000000001"/>
    <n v="5"/>
    <n v="86561.55"/>
    <n v="1.75"/>
  </r>
  <r>
    <x v="307"/>
    <s v="ORD101661"/>
    <x v="5"/>
    <x v="2"/>
    <x v="5"/>
    <x v="1"/>
    <x v="4"/>
    <n v="2319.9"/>
    <n v="1"/>
    <n v="2319.9"/>
    <n v="2.81"/>
  </r>
  <r>
    <x v="307"/>
    <s v="ORD101886"/>
    <x v="4"/>
    <x v="2"/>
    <x v="4"/>
    <x v="0"/>
    <x v="3"/>
    <n v="16835.509999999998"/>
    <n v="2"/>
    <n v="33671.019999999997"/>
    <n v="3.33"/>
  </r>
  <r>
    <x v="236"/>
    <s v="ORD100393"/>
    <x v="4"/>
    <x v="2"/>
    <x v="4"/>
    <x v="1"/>
    <x v="1"/>
    <n v="12575.83"/>
    <n v="1"/>
    <n v="12575.83"/>
    <n v="2.72"/>
  </r>
  <r>
    <x v="236"/>
    <s v="ORD101919"/>
    <x v="6"/>
    <x v="2"/>
    <x v="6"/>
    <x v="1"/>
    <x v="1"/>
    <n v="2365.9699999999998"/>
    <n v="5"/>
    <n v="11829.85"/>
    <n v="3.6"/>
  </r>
  <r>
    <x v="308"/>
    <s v="ORD100299"/>
    <x v="6"/>
    <x v="2"/>
    <x v="6"/>
    <x v="0"/>
    <x v="2"/>
    <n v="9791.67"/>
    <n v="2"/>
    <n v="19583.34"/>
    <n v="2.69"/>
  </r>
  <r>
    <x v="308"/>
    <s v="ORD101203"/>
    <x v="5"/>
    <x v="2"/>
    <x v="5"/>
    <x v="1"/>
    <x v="5"/>
    <n v="6270.48"/>
    <n v="4"/>
    <n v="25081.919999999998"/>
    <n v="3.57"/>
  </r>
  <r>
    <x v="2"/>
    <s v="ORD101020"/>
    <x v="4"/>
    <x v="2"/>
    <x v="4"/>
    <x v="1"/>
    <x v="4"/>
    <n v="8492.57"/>
    <n v="2"/>
    <n v="16985.14"/>
    <n v="2.68"/>
  </r>
  <r>
    <x v="2"/>
    <s v="ORD101766"/>
    <x v="4"/>
    <x v="2"/>
    <x v="4"/>
    <x v="0"/>
    <x v="4"/>
    <n v="11890.53"/>
    <n v="2"/>
    <n v="23781.06"/>
    <n v="3.02"/>
  </r>
  <r>
    <x v="3"/>
    <s v="ORD101629"/>
    <x v="4"/>
    <x v="2"/>
    <x v="4"/>
    <x v="0"/>
    <x v="1"/>
    <n v="6443.74"/>
    <n v="5"/>
    <n v="32218.7"/>
    <n v="2.36"/>
  </r>
  <r>
    <x v="237"/>
    <s v="ORD100592"/>
    <x v="6"/>
    <x v="2"/>
    <x v="6"/>
    <x v="0"/>
    <x v="4"/>
    <n v="11401.25"/>
    <n v="3"/>
    <n v="34203.75"/>
    <n v="2.1800000000000002"/>
  </r>
  <r>
    <x v="237"/>
    <s v="ORD101714"/>
    <x v="4"/>
    <x v="2"/>
    <x v="4"/>
    <x v="0"/>
    <x v="3"/>
    <n v="6474.54"/>
    <n v="4"/>
    <n v="25898.16"/>
    <n v="3.41"/>
  </r>
  <r>
    <x v="237"/>
    <s v="ORD101781"/>
    <x v="6"/>
    <x v="2"/>
    <x v="6"/>
    <x v="2"/>
    <x v="2"/>
    <n v="8818.7199999999993"/>
    <n v="5"/>
    <n v="44093.599999999999"/>
    <n v="2.72"/>
  </r>
  <r>
    <x v="238"/>
    <s v="ORD100524"/>
    <x v="5"/>
    <x v="2"/>
    <x v="5"/>
    <x v="1"/>
    <x v="1"/>
    <n v="12201.68"/>
    <n v="2"/>
    <n v="24403.360000000001"/>
    <n v="2.57"/>
  </r>
  <r>
    <x v="238"/>
    <s v="ORD100825"/>
    <x v="6"/>
    <x v="2"/>
    <x v="6"/>
    <x v="2"/>
    <x v="4"/>
    <n v="17095.689999999999"/>
    <n v="5"/>
    <n v="85478.45"/>
    <n v="2.31"/>
  </r>
  <r>
    <x v="238"/>
    <s v="ORD100891"/>
    <x v="4"/>
    <x v="2"/>
    <x v="4"/>
    <x v="0"/>
    <x v="5"/>
    <n v="14630.92"/>
    <n v="4"/>
    <n v="58523.68"/>
    <n v="3.5"/>
  </r>
  <r>
    <x v="238"/>
    <s v="ORD101485"/>
    <x v="4"/>
    <x v="2"/>
    <x v="4"/>
    <x v="0"/>
    <x v="3"/>
    <n v="3547"/>
    <n v="3"/>
    <n v="10641"/>
    <n v="3.42"/>
  </r>
  <r>
    <x v="6"/>
    <s v="ORD100899"/>
    <x v="6"/>
    <x v="2"/>
    <x v="6"/>
    <x v="1"/>
    <x v="1"/>
    <n v="5477.18"/>
    <n v="2"/>
    <n v="10954.36"/>
    <n v="2.73"/>
  </r>
  <r>
    <x v="239"/>
    <s v="ORD100721"/>
    <x v="5"/>
    <x v="2"/>
    <x v="5"/>
    <x v="2"/>
    <x v="2"/>
    <n v="11810.64"/>
    <n v="2"/>
    <n v="23621.279999999999"/>
    <n v="4.62"/>
  </r>
  <r>
    <x v="7"/>
    <s v="ORD100086"/>
    <x v="6"/>
    <x v="2"/>
    <x v="6"/>
    <x v="2"/>
    <x v="5"/>
    <n v="5492.13"/>
    <n v="5"/>
    <n v="27460.65"/>
    <n v="4.13"/>
  </r>
  <r>
    <x v="7"/>
    <s v="ORD101819"/>
    <x v="5"/>
    <x v="2"/>
    <x v="5"/>
    <x v="1"/>
    <x v="4"/>
    <n v="2835.33"/>
    <n v="1"/>
    <n v="2835.33"/>
    <n v="1.75"/>
  </r>
  <r>
    <x v="8"/>
    <s v="ORD100155"/>
    <x v="5"/>
    <x v="2"/>
    <x v="5"/>
    <x v="1"/>
    <x v="1"/>
    <n v="13243.22"/>
    <n v="2"/>
    <n v="26486.44"/>
    <n v="3.4"/>
  </r>
  <r>
    <x v="8"/>
    <s v="ORD101014"/>
    <x v="4"/>
    <x v="2"/>
    <x v="4"/>
    <x v="0"/>
    <x v="1"/>
    <n v="11380.58"/>
    <n v="1"/>
    <n v="11380.58"/>
    <n v="3.44"/>
  </r>
  <r>
    <x v="8"/>
    <s v="ORD101188"/>
    <x v="4"/>
    <x v="2"/>
    <x v="4"/>
    <x v="2"/>
    <x v="1"/>
    <n v="13279.77"/>
    <n v="3"/>
    <n v="39839.31"/>
    <n v="1.42"/>
  </r>
  <r>
    <x v="240"/>
    <s v="ORD101494"/>
    <x v="5"/>
    <x v="2"/>
    <x v="5"/>
    <x v="1"/>
    <x v="0"/>
    <n v="19695.53"/>
    <n v="1"/>
    <n v="19695.53"/>
    <n v="2.19"/>
  </r>
  <r>
    <x v="9"/>
    <s v="ORD100922"/>
    <x v="4"/>
    <x v="2"/>
    <x v="4"/>
    <x v="1"/>
    <x v="0"/>
    <n v="4184.1899999999996"/>
    <n v="5"/>
    <n v="20920.95"/>
    <n v="4.37"/>
  </r>
  <r>
    <x v="9"/>
    <s v="ORD101279"/>
    <x v="4"/>
    <x v="2"/>
    <x v="4"/>
    <x v="0"/>
    <x v="2"/>
    <n v="18335.73"/>
    <n v="3"/>
    <n v="55007.19"/>
    <n v="1.06"/>
  </r>
  <r>
    <x v="9"/>
    <s v="ORD101982"/>
    <x v="4"/>
    <x v="2"/>
    <x v="4"/>
    <x v="2"/>
    <x v="1"/>
    <n v="15906.41"/>
    <n v="1"/>
    <n v="15906.41"/>
    <n v="1.63"/>
  </r>
  <r>
    <x v="11"/>
    <s v="ORD100648"/>
    <x v="5"/>
    <x v="2"/>
    <x v="5"/>
    <x v="0"/>
    <x v="1"/>
    <n v="3115.35"/>
    <n v="4"/>
    <n v="12461.4"/>
    <n v="1.59"/>
  </r>
  <r>
    <x v="12"/>
    <s v="ORD100533"/>
    <x v="6"/>
    <x v="2"/>
    <x v="6"/>
    <x v="1"/>
    <x v="4"/>
    <n v="13484.29"/>
    <n v="4"/>
    <n v="53937.16"/>
    <n v="2.5299999999999998"/>
  </r>
  <r>
    <x v="12"/>
    <s v="ORD100594"/>
    <x v="5"/>
    <x v="2"/>
    <x v="5"/>
    <x v="2"/>
    <x v="4"/>
    <n v="5282.81"/>
    <n v="1"/>
    <n v="5282.81"/>
    <n v="3.86"/>
  </r>
  <r>
    <x v="309"/>
    <s v="ORD100553"/>
    <x v="6"/>
    <x v="2"/>
    <x v="6"/>
    <x v="1"/>
    <x v="3"/>
    <n v="12468.52"/>
    <n v="4"/>
    <n v="49874.080000000002"/>
    <n v="3.45"/>
  </r>
  <r>
    <x v="309"/>
    <s v="ORD101267"/>
    <x v="5"/>
    <x v="2"/>
    <x v="5"/>
    <x v="0"/>
    <x v="1"/>
    <n v="840.93"/>
    <n v="2"/>
    <n v="1681.86"/>
    <n v="3.42"/>
  </r>
  <r>
    <x v="309"/>
    <s v="ORD101615"/>
    <x v="4"/>
    <x v="2"/>
    <x v="4"/>
    <x v="1"/>
    <x v="4"/>
    <n v="165.82"/>
    <n v="3"/>
    <n v="497.46"/>
    <n v="1.29"/>
  </r>
  <r>
    <x v="13"/>
    <s v="ORD101010"/>
    <x v="5"/>
    <x v="2"/>
    <x v="5"/>
    <x v="0"/>
    <x v="3"/>
    <n v="5703.03"/>
    <n v="3"/>
    <n v="17109.09"/>
    <n v="1.85"/>
  </r>
  <r>
    <x v="13"/>
    <s v="ORD101776"/>
    <x v="6"/>
    <x v="2"/>
    <x v="6"/>
    <x v="1"/>
    <x v="2"/>
    <n v="14532.02"/>
    <n v="3"/>
    <n v="43596.06"/>
    <n v="1.71"/>
  </r>
  <r>
    <x v="14"/>
    <s v="ORD100018"/>
    <x v="6"/>
    <x v="2"/>
    <x v="6"/>
    <x v="2"/>
    <x v="5"/>
    <n v="13936.49"/>
    <n v="2"/>
    <n v="27872.98"/>
    <n v="1.42"/>
  </r>
  <r>
    <x v="14"/>
    <s v="ORD101351"/>
    <x v="5"/>
    <x v="2"/>
    <x v="5"/>
    <x v="0"/>
    <x v="2"/>
    <n v="14499.08"/>
    <n v="1"/>
    <n v="14499.08"/>
    <n v="1.98"/>
  </r>
  <r>
    <x v="15"/>
    <s v="ORD100319"/>
    <x v="4"/>
    <x v="2"/>
    <x v="4"/>
    <x v="0"/>
    <x v="4"/>
    <n v="7361.8"/>
    <n v="4"/>
    <n v="29447.200000000001"/>
    <n v="3"/>
  </r>
  <r>
    <x v="15"/>
    <s v="ORD100562"/>
    <x v="4"/>
    <x v="2"/>
    <x v="4"/>
    <x v="2"/>
    <x v="1"/>
    <n v="9978.09"/>
    <n v="2"/>
    <n v="19956.18"/>
    <n v="1.49"/>
  </r>
  <r>
    <x v="16"/>
    <s v="ORD101275"/>
    <x v="6"/>
    <x v="2"/>
    <x v="6"/>
    <x v="1"/>
    <x v="0"/>
    <n v="8924.48"/>
    <n v="2"/>
    <n v="17848.96"/>
    <n v="1.31"/>
  </r>
  <r>
    <x v="16"/>
    <s v="ORD101976"/>
    <x v="5"/>
    <x v="2"/>
    <x v="5"/>
    <x v="2"/>
    <x v="1"/>
    <n v="11910.82"/>
    <n v="2"/>
    <n v="23821.64"/>
    <n v="4.5999999999999996"/>
  </r>
  <r>
    <x v="310"/>
    <s v="ORD100979"/>
    <x v="5"/>
    <x v="2"/>
    <x v="5"/>
    <x v="0"/>
    <x v="0"/>
    <n v="7986.21"/>
    <n v="5"/>
    <n v="39931.050000000003"/>
    <n v="1.49"/>
  </r>
  <r>
    <x v="17"/>
    <s v="ORD100021"/>
    <x v="5"/>
    <x v="2"/>
    <x v="5"/>
    <x v="1"/>
    <x v="4"/>
    <n v="12134.55"/>
    <n v="4"/>
    <n v="48538.2"/>
    <n v="4.6100000000000003"/>
  </r>
  <r>
    <x v="17"/>
    <s v="ORD100280"/>
    <x v="5"/>
    <x v="2"/>
    <x v="5"/>
    <x v="1"/>
    <x v="3"/>
    <n v="9514.76"/>
    <n v="2"/>
    <n v="19029.52"/>
    <n v="1.22"/>
  </r>
  <r>
    <x v="17"/>
    <s v="ORD101482"/>
    <x v="4"/>
    <x v="2"/>
    <x v="4"/>
    <x v="2"/>
    <x v="1"/>
    <n v="5659.1"/>
    <n v="2"/>
    <n v="11318.2"/>
    <n v="2.63"/>
  </r>
  <r>
    <x v="17"/>
    <s v="ORD101668"/>
    <x v="6"/>
    <x v="2"/>
    <x v="6"/>
    <x v="0"/>
    <x v="3"/>
    <n v="11106.2"/>
    <n v="4"/>
    <n v="44424.800000000003"/>
    <n v="4.7300000000000004"/>
  </r>
  <r>
    <x v="18"/>
    <s v="ORD100444"/>
    <x v="5"/>
    <x v="2"/>
    <x v="5"/>
    <x v="1"/>
    <x v="3"/>
    <n v="16640.97"/>
    <n v="3"/>
    <n v="49922.91"/>
    <n v="1.37"/>
  </r>
  <r>
    <x v="20"/>
    <s v="ORD100746"/>
    <x v="5"/>
    <x v="2"/>
    <x v="5"/>
    <x v="0"/>
    <x v="5"/>
    <n v="2452.62"/>
    <n v="2"/>
    <n v="4905.24"/>
    <n v="3.82"/>
  </r>
  <r>
    <x v="21"/>
    <s v="ORD100184"/>
    <x v="4"/>
    <x v="2"/>
    <x v="4"/>
    <x v="0"/>
    <x v="5"/>
    <n v="4520.58"/>
    <n v="1"/>
    <n v="4520.58"/>
    <n v="1.99"/>
  </r>
  <r>
    <x v="241"/>
    <s v="ORD100015"/>
    <x v="4"/>
    <x v="2"/>
    <x v="4"/>
    <x v="2"/>
    <x v="1"/>
    <n v="15802.27"/>
    <n v="5"/>
    <n v="79011.350000000006"/>
    <n v="1.75"/>
  </r>
  <r>
    <x v="241"/>
    <s v="ORD100787"/>
    <x v="4"/>
    <x v="2"/>
    <x v="4"/>
    <x v="2"/>
    <x v="2"/>
    <n v="11437.5"/>
    <n v="3"/>
    <n v="34312.5"/>
    <n v="2.95"/>
  </r>
  <r>
    <x v="241"/>
    <s v="ORD101764"/>
    <x v="4"/>
    <x v="2"/>
    <x v="4"/>
    <x v="1"/>
    <x v="2"/>
    <n v="6803.79"/>
    <n v="5"/>
    <n v="34018.949999999997"/>
    <n v="3.63"/>
  </r>
  <r>
    <x v="242"/>
    <s v="ORD100129"/>
    <x v="4"/>
    <x v="2"/>
    <x v="4"/>
    <x v="0"/>
    <x v="4"/>
    <n v="10082.76"/>
    <n v="4"/>
    <n v="40331.040000000001"/>
    <n v="3.53"/>
  </r>
  <r>
    <x v="242"/>
    <s v="ORD101467"/>
    <x v="4"/>
    <x v="2"/>
    <x v="4"/>
    <x v="0"/>
    <x v="0"/>
    <n v="2552.7399999999998"/>
    <n v="1"/>
    <n v="2552.7399999999998"/>
    <n v="2.71"/>
  </r>
  <r>
    <x v="242"/>
    <s v="ORD101904"/>
    <x v="4"/>
    <x v="2"/>
    <x v="4"/>
    <x v="0"/>
    <x v="2"/>
    <n v="8553.76"/>
    <n v="5"/>
    <n v="42768.800000000003"/>
    <n v="2.48"/>
  </r>
  <r>
    <x v="22"/>
    <s v="ORD101074"/>
    <x v="6"/>
    <x v="2"/>
    <x v="6"/>
    <x v="1"/>
    <x v="1"/>
    <n v="6805.56"/>
    <n v="5"/>
    <n v="34027.800000000003"/>
    <n v="1.1000000000000001"/>
  </r>
  <r>
    <x v="22"/>
    <s v="ORD101677"/>
    <x v="4"/>
    <x v="2"/>
    <x v="4"/>
    <x v="2"/>
    <x v="5"/>
    <n v="8090.15"/>
    <n v="4"/>
    <n v="32360.6"/>
    <n v="4.2300000000000004"/>
  </r>
  <r>
    <x v="23"/>
    <s v="ORD101996"/>
    <x v="4"/>
    <x v="2"/>
    <x v="4"/>
    <x v="0"/>
    <x v="4"/>
    <n v="18916.61"/>
    <n v="2"/>
    <n v="37833.22"/>
    <n v="3.6"/>
  </r>
  <r>
    <x v="311"/>
    <s v="ORD100663"/>
    <x v="6"/>
    <x v="2"/>
    <x v="6"/>
    <x v="0"/>
    <x v="1"/>
    <n v="17798.48"/>
    <n v="3"/>
    <n v="53395.44"/>
    <n v="1.03"/>
  </r>
  <r>
    <x v="311"/>
    <s v="ORD100849"/>
    <x v="6"/>
    <x v="2"/>
    <x v="6"/>
    <x v="2"/>
    <x v="3"/>
    <n v="4442.53"/>
    <n v="4"/>
    <n v="17770.12"/>
    <n v="2.78"/>
  </r>
  <r>
    <x v="311"/>
    <s v="ORD101395"/>
    <x v="4"/>
    <x v="2"/>
    <x v="4"/>
    <x v="1"/>
    <x v="3"/>
    <n v="13941.58"/>
    <n v="5"/>
    <n v="69707.899999999994"/>
    <n v="2.74"/>
  </r>
  <r>
    <x v="311"/>
    <s v="ORD101510"/>
    <x v="6"/>
    <x v="2"/>
    <x v="6"/>
    <x v="0"/>
    <x v="0"/>
    <n v="9584.98"/>
    <n v="1"/>
    <n v="9584.98"/>
    <n v="3.15"/>
  </r>
  <r>
    <x v="311"/>
    <s v="ORD101785"/>
    <x v="4"/>
    <x v="2"/>
    <x v="4"/>
    <x v="2"/>
    <x v="3"/>
    <n v="3697.28"/>
    <n v="5"/>
    <n v="18486.400000000001"/>
    <n v="4.76"/>
  </r>
  <r>
    <x v="24"/>
    <s v="ORD100454"/>
    <x v="4"/>
    <x v="2"/>
    <x v="4"/>
    <x v="1"/>
    <x v="2"/>
    <n v="18992.27"/>
    <n v="4"/>
    <n v="75969.08"/>
    <n v="1.81"/>
  </r>
  <r>
    <x v="25"/>
    <s v="ORD100024"/>
    <x v="5"/>
    <x v="2"/>
    <x v="5"/>
    <x v="0"/>
    <x v="2"/>
    <n v="7396.38"/>
    <n v="2"/>
    <n v="14792.76"/>
    <n v="4.34"/>
  </r>
  <r>
    <x v="25"/>
    <s v="ORD100374"/>
    <x v="4"/>
    <x v="2"/>
    <x v="4"/>
    <x v="0"/>
    <x v="2"/>
    <n v="11911.3"/>
    <n v="5"/>
    <n v="59556.5"/>
    <n v="4.37"/>
  </r>
  <r>
    <x v="25"/>
    <s v="ORD100557"/>
    <x v="6"/>
    <x v="2"/>
    <x v="6"/>
    <x v="1"/>
    <x v="2"/>
    <n v="9171.1200000000008"/>
    <n v="2"/>
    <n v="18342.240000000002"/>
    <n v="1.79"/>
  </r>
  <r>
    <x v="25"/>
    <s v="ORD101278"/>
    <x v="5"/>
    <x v="2"/>
    <x v="5"/>
    <x v="0"/>
    <x v="5"/>
    <n v="5552.36"/>
    <n v="3"/>
    <n v="16657.080000000002"/>
    <n v="4.8499999999999996"/>
  </r>
  <r>
    <x v="25"/>
    <s v="ORD101491"/>
    <x v="4"/>
    <x v="2"/>
    <x v="4"/>
    <x v="0"/>
    <x v="0"/>
    <n v="13783.59"/>
    <n v="4"/>
    <n v="55134.36"/>
    <n v="2.88"/>
  </r>
  <r>
    <x v="25"/>
    <s v="ORD101546"/>
    <x v="6"/>
    <x v="2"/>
    <x v="6"/>
    <x v="2"/>
    <x v="2"/>
    <n v="10943.38"/>
    <n v="2"/>
    <n v="21886.76"/>
    <n v="2.2400000000000002"/>
  </r>
  <r>
    <x v="26"/>
    <s v="ORD100362"/>
    <x v="6"/>
    <x v="2"/>
    <x v="6"/>
    <x v="0"/>
    <x v="1"/>
    <n v="640.66999999999996"/>
    <n v="4"/>
    <n v="2562.6799999999998"/>
    <n v="3.92"/>
  </r>
  <r>
    <x v="26"/>
    <s v="ORD100645"/>
    <x v="5"/>
    <x v="2"/>
    <x v="5"/>
    <x v="1"/>
    <x v="0"/>
    <n v="13006.47"/>
    <n v="3"/>
    <n v="39019.410000000003"/>
    <n v="2.35"/>
  </r>
  <r>
    <x v="26"/>
    <s v="ORD100992"/>
    <x v="6"/>
    <x v="2"/>
    <x v="6"/>
    <x v="1"/>
    <x v="5"/>
    <n v="16668.66"/>
    <n v="4"/>
    <n v="66674.64"/>
    <n v="3.22"/>
  </r>
  <r>
    <x v="26"/>
    <s v="ORD101375"/>
    <x v="5"/>
    <x v="2"/>
    <x v="5"/>
    <x v="0"/>
    <x v="3"/>
    <n v="12393.45"/>
    <n v="3"/>
    <n v="37180.35"/>
    <n v="3.85"/>
  </r>
  <r>
    <x v="26"/>
    <s v="ORD101437"/>
    <x v="6"/>
    <x v="2"/>
    <x v="6"/>
    <x v="0"/>
    <x v="1"/>
    <n v="8686.64"/>
    <n v="2"/>
    <n v="17373.28"/>
    <n v="2.13"/>
  </r>
  <r>
    <x v="27"/>
    <s v="ORD101407"/>
    <x v="5"/>
    <x v="2"/>
    <x v="5"/>
    <x v="0"/>
    <x v="4"/>
    <n v="10227.83"/>
    <n v="3"/>
    <n v="30683.49"/>
    <n v="3.92"/>
  </r>
  <r>
    <x v="27"/>
    <s v="ORD101977"/>
    <x v="4"/>
    <x v="2"/>
    <x v="4"/>
    <x v="1"/>
    <x v="0"/>
    <n v="4044.64"/>
    <n v="2"/>
    <n v="8089.28"/>
    <n v="4.71"/>
  </r>
  <r>
    <x v="28"/>
    <s v="ORD100709"/>
    <x v="5"/>
    <x v="2"/>
    <x v="5"/>
    <x v="1"/>
    <x v="4"/>
    <n v="2876.34"/>
    <n v="4"/>
    <n v="11505.36"/>
    <n v="3.75"/>
  </r>
  <r>
    <x v="243"/>
    <s v="ORD100941"/>
    <x v="4"/>
    <x v="2"/>
    <x v="4"/>
    <x v="2"/>
    <x v="4"/>
    <n v="1960.15"/>
    <n v="5"/>
    <n v="9800.75"/>
    <n v="1.96"/>
  </r>
  <r>
    <x v="244"/>
    <s v="ORD101553"/>
    <x v="4"/>
    <x v="2"/>
    <x v="4"/>
    <x v="2"/>
    <x v="0"/>
    <n v="14843.42"/>
    <n v="5"/>
    <n v="74217.100000000006"/>
    <n v="1.5"/>
  </r>
  <r>
    <x v="30"/>
    <s v="ORD100294"/>
    <x v="6"/>
    <x v="2"/>
    <x v="6"/>
    <x v="1"/>
    <x v="0"/>
    <n v="1473.5"/>
    <n v="3"/>
    <n v="4420.5"/>
    <n v="3.05"/>
  </r>
  <r>
    <x v="30"/>
    <s v="ORD101217"/>
    <x v="6"/>
    <x v="2"/>
    <x v="6"/>
    <x v="2"/>
    <x v="0"/>
    <n v="14032.1"/>
    <n v="3"/>
    <n v="42096.3"/>
    <n v="4.67"/>
  </r>
  <r>
    <x v="31"/>
    <s v="ORD101123"/>
    <x v="4"/>
    <x v="2"/>
    <x v="4"/>
    <x v="1"/>
    <x v="4"/>
    <n v="17598.73"/>
    <n v="5"/>
    <n v="87993.65"/>
    <n v="4.26"/>
  </r>
  <r>
    <x v="31"/>
    <s v="ORD101716"/>
    <x v="5"/>
    <x v="2"/>
    <x v="5"/>
    <x v="2"/>
    <x v="4"/>
    <n v="3039.07"/>
    <n v="1"/>
    <n v="3039.07"/>
    <n v="4"/>
  </r>
  <r>
    <x v="31"/>
    <s v="ORD101763"/>
    <x v="6"/>
    <x v="2"/>
    <x v="6"/>
    <x v="0"/>
    <x v="1"/>
    <n v="8089.6"/>
    <n v="1"/>
    <n v="8089.6"/>
    <n v="2.2999999999999998"/>
  </r>
  <r>
    <x v="32"/>
    <s v="ORD100846"/>
    <x v="4"/>
    <x v="2"/>
    <x v="4"/>
    <x v="2"/>
    <x v="2"/>
    <n v="15839.39"/>
    <n v="5"/>
    <n v="79196.95"/>
    <n v="2.66"/>
  </r>
  <r>
    <x v="32"/>
    <s v="ORD100903"/>
    <x v="5"/>
    <x v="2"/>
    <x v="5"/>
    <x v="0"/>
    <x v="3"/>
    <n v="12344.31"/>
    <n v="2"/>
    <n v="24688.62"/>
    <n v="4.42"/>
  </r>
  <r>
    <x v="32"/>
    <s v="ORD101653"/>
    <x v="4"/>
    <x v="2"/>
    <x v="4"/>
    <x v="0"/>
    <x v="4"/>
    <n v="6857.37"/>
    <n v="2"/>
    <n v="13714.74"/>
    <n v="4.0199999999999996"/>
  </r>
  <r>
    <x v="32"/>
    <s v="ORD101669"/>
    <x v="5"/>
    <x v="2"/>
    <x v="5"/>
    <x v="1"/>
    <x v="3"/>
    <n v="9560.64"/>
    <n v="2"/>
    <n v="19121.28"/>
    <n v="4.42"/>
  </r>
  <r>
    <x v="33"/>
    <s v="ORD100004"/>
    <x v="6"/>
    <x v="2"/>
    <x v="6"/>
    <x v="0"/>
    <x v="4"/>
    <n v="5210.37"/>
    <n v="2"/>
    <n v="10420.74"/>
    <n v="3.73"/>
  </r>
  <r>
    <x v="33"/>
    <s v="ORD101935"/>
    <x v="4"/>
    <x v="2"/>
    <x v="4"/>
    <x v="2"/>
    <x v="4"/>
    <n v="19000.55"/>
    <n v="3"/>
    <n v="57001.65"/>
    <n v="3.93"/>
  </r>
  <r>
    <x v="245"/>
    <s v="ORD100010"/>
    <x v="5"/>
    <x v="2"/>
    <x v="5"/>
    <x v="1"/>
    <x v="0"/>
    <n v="10283.51"/>
    <n v="1"/>
    <n v="10283.51"/>
    <n v="3.05"/>
  </r>
  <r>
    <x v="245"/>
    <s v="ORD100616"/>
    <x v="5"/>
    <x v="2"/>
    <x v="5"/>
    <x v="2"/>
    <x v="0"/>
    <n v="6594.49"/>
    <n v="1"/>
    <n v="6594.49"/>
    <n v="2.46"/>
  </r>
  <r>
    <x v="245"/>
    <s v="ORD101150"/>
    <x v="5"/>
    <x v="2"/>
    <x v="5"/>
    <x v="0"/>
    <x v="1"/>
    <n v="12669.58"/>
    <n v="3"/>
    <n v="38008.74"/>
    <n v="4.45"/>
  </r>
  <r>
    <x v="34"/>
    <s v="ORD101089"/>
    <x v="4"/>
    <x v="2"/>
    <x v="4"/>
    <x v="1"/>
    <x v="1"/>
    <n v="4375.3"/>
    <n v="1"/>
    <n v="4375.3"/>
    <n v="1.0900000000000001"/>
  </r>
  <r>
    <x v="35"/>
    <s v="ORD101198"/>
    <x v="5"/>
    <x v="2"/>
    <x v="5"/>
    <x v="2"/>
    <x v="1"/>
    <n v="3792.32"/>
    <n v="2"/>
    <n v="7584.64"/>
    <n v="3.63"/>
  </r>
  <r>
    <x v="35"/>
    <s v="ORD101975"/>
    <x v="4"/>
    <x v="2"/>
    <x v="4"/>
    <x v="2"/>
    <x v="1"/>
    <n v="821.08"/>
    <n v="3"/>
    <n v="2463.2399999999998"/>
    <n v="3.51"/>
  </r>
  <r>
    <x v="36"/>
    <s v="ORD101108"/>
    <x v="5"/>
    <x v="2"/>
    <x v="5"/>
    <x v="2"/>
    <x v="5"/>
    <n v="11827.04"/>
    <n v="3"/>
    <n v="35481.120000000003"/>
    <n v="3.32"/>
  </r>
  <r>
    <x v="36"/>
    <s v="ORD101967"/>
    <x v="6"/>
    <x v="2"/>
    <x v="6"/>
    <x v="1"/>
    <x v="1"/>
    <n v="350"/>
    <n v="4"/>
    <n v="1400"/>
    <n v="1.74"/>
  </r>
  <r>
    <x v="37"/>
    <s v="ORD101350"/>
    <x v="4"/>
    <x v="2"/>
    <x v="4"/>
    <x v="0"/>
    <x v="3"/>
    <n v="3166.32"/>
    <n v="3"/>
    <n v="9498.9599999999991"/>
    <n v="1.43"/>
  </r>
  <r>
    <x v="246"/>
    <s v="ORD100961"/>
    <x v="5"/>
    <x v="2"/>
    <x v="5"/>
    <x v="2"/>
    <x v="4"/>
    <n v="18975.8"/>
    <n v="3"/>
    <n v="56927.4"/>
    <n v="3.87"/>
  </r>
  <r>
    <x v="247"/>
    <s v="ORD101771"/>
    <x v="5"/>
    <x v="2"/>
    <x v="5"/>
    <x v="0"/>
    <x v="1"/>
    <n v="1844.28"/>
    <n v="1"/>
    <n v="1844.28"/>
    <n v="2.41"/>
  </r>
  <r>
    <x v="38"/>
    <s v="ORD100841"/>
    <x v="4"/>
    <x v="2"/>
    <x v="4"/>
    <x v="1"/>
    <x v="5"/>
    <n v="3295.12"/>
    <n v="4"/>
    <n v="13180.48"/>
    <n v="1.04"/>
  </r>
  <r>
    <x v="39"/>
    <s v="ORD101685"/>
    <x v="5"/>
    <x v="2"/>
    <x v="5"/>
    <x v="2"/>
    <x v="3"/>
    <n v="9308.2199999999993"/>
    <n v="3"/>
    <n v="27924.66"/>
    <n v="4.53"/>
  </r>
  <r>
    <x v="40"/>
    <s v="ORD100128"/>
    <x v="4"/>
    <x v="2"/>
    <x v="4"/>
    <x v="0"/>
    <x v="3"/>
    <n v="9516.2099999999991"/>
    <n v="2"/>
    <n v="19032.419999999998"/>
    <n v="3.89"/>
  </r>
  <r>
    <x v="40"/>
    <s v="ORD100503"/>
    <x v="6"/>
    <x v="2"/>
    <x v="6"/>
    <x v="0"/>
    <x v="1"/>
    <n v="5042.1899999999996"/>
    <n v="4"/>
    <n v="20168.759999999998"/>
    <n v="2.09"/>
  </r>
  <r>
    <x v="40"/>
    <s v="ORD101745"/>
    <x v="5"/>
    <x v="2"/>
    <x v="5"/>
    <x v="2"/>
    <x v="0"/>
    <n v="11380.27"/>
    <n v="5"/>
    <n v="56901.35"/>
    <n v="1.64"/>
  </r>
  <r>
    <x v="312"/>
    <s v="ORD101866"/>
    <x v="6"/>
    <x v="2"/>
    <x v="6"/>
    <x v="1"/>
    <x v="1"/>
    <n v="300.27"/>
    <n v="4"/>
    <n v="1201.08"/>
    <n v="2.33"/>
  </r>
  <r>
    <x v="312"/>
    <s v="ORD101984"/>
    <x v="4"/>
    <x v="2"/>
    <x v="4"/>
    <x v="1"/>
    <x v="4"/>
    <n v="18396.349999999999"/>
    <n v="4"/>
    <n v="73585.399999999994"/>
    <n v="2.06"/>
  </r>
  <r>
    <x v="42"/>
    <s v="ORD101042"/>
    <x v="4"/>
    <x v="2"/>
    <x v="4"/>
    <x v="1"/>
    <x v="1"/>
    <n v="6406.85"/>
    <n v="5"/>
    <n v="32034.25"/>
    <n v="2.0299999999999998"/>
  </r>
  <r>
    <x v="43"/>
    <s v="ORD100227"/>
    <x v="6"/>
    <x v="2"/>
    <x v="6"/>
    <x v="1"/>
    <x v="3"/>
    <n v="17652.060000000001"/>
    <n v="3"/>
    <n v="52956.18"/>
    <n v="1.06"/>
  </r>
  <r>
    <x v="43"/>
    <s v="ORD100876"/>
    <x v="5"/>
    <x v="2"/>
    <x v="5"/>
    <x v="2"/>
    <x v="1"/>
    <n v="5963.07"/>
    <n v="2"/>
    <n v="11926.14"/>
    <n v="3.12"/>
  </r>
  <r>
    <x v="43"/>
    <s v="ORD101490"/>
    <x v="6"/>
    <x v="2"/>
    <x v="6"/>
    <x v="1"/>
    <x v="3"/>
    <n v="1175.0999999999999"/>
    <n v="1"/>
    <n v="1175.0999999999999"/>
    <n v="4.0599999999999996"/>
  </r>
  <r>
    <x v="44"/>
    <s v="ORD100955"/>
    <x v="4"/>
    <x v="2"/>
    <x v="4"/>
    <x v="1"/>
    <x v="4"/>
    <n v="12946.68"/>
    <n v="5"/>
    <n v="64733.4"/>
    <n v="1.08"/>
  </r>
  <r>
    <x v="45"/>
    <s v="ORD100716"/>
    <x v="5"/>
    <x v="2"/>
    <x v="5"/>
    <x v="0"/>
    <x v="1"/>
    <n v="6218.19"/>
    <n v="5"/>
    <n v="31090.95"/>
    <n v="2.08"/>
  </r>
  <r>
    <x v="45"/>
    <s v="ORD100867"/>
    <x v="5"/>
    <x v="2"/>
    <x v="5"/>
    <x v="2"/>
    <x v="5"/>
    <n v="5140.29"/>
    <n v="5"/>
    <n v="25701.45"/>
    <n v="3.85"/>
  </r>
  <r>
    <x v="45"/>
    <s v="ORD101701"/>
    <x v="5"/>
    <x v="2"/>
    <x v="5"/>
    <x v="0"/>
    <x v="0"/>
    <n v="16199.63"/>
    <n v="4"/>
    <n v="64798.52"/>
    <n v="4.8"/>
  </r>
  <r>
    <x v="46"/>
    <s v="ORD100859"/>
    <x v="5"/>
    <x v="2"/>
    <x v="5"/>
    <x v="1"/>
    <x v="1"/>
    <n v="18844.41"/>
    <n v="5"/>
    <n v="94222.05"/>
    <n v="2.94"/>
  </r>
  <r>
    <x v="46"/>
    <s v="ORD101215"/>
    <x v="4"/>
    <x v="2"/>
    <x v="4"/>
    <x v="0"/>
    <x v="1"/>
    <n v="16781.43"/>
    <n v="1"/>
    <n v="16781.43"/>
    <n v="4.74"/>
  </r>
  <r>
    <x v="313"/>
    <s v="ORD100590"/>
    <x v="5"/>
    <x v="2"/>
    <x v="5"/>
    <x v="2"/>
    <x v="5"/>
    <n v="17707.59"/>
    <n v="5"/>
    <n v="88537.95"/>
    <n v="1.1000000000000001"/>
  </r>
  <r>
    <x v="313"/>
    <s v="ORD101274"/>
    <x v="5"/>
    <x v="2"/>
    <x v="5"/>
    <x v="2"/>
    <x v="0"/>
    <n v="131.77000000000001"/>
    <n v="1"/>
    <n v="131.77000000000001"/>
    <n v="1.08"/>
  </r>
  <r>
    <x v="313"/>
    <s v="ORD101447"/>
    <x v="6"/>
    <x v="2"/>
    <x v="6"/>
    <x v="2"/>
    <x v="0"/>
    <n v="5498.55"/>
    <n v="3"/>
    <n v="16495.650000000001"/>
    <n v="2.93"/>
  </r>
  <r>
    <x v="47"/>
    <s v="ORD100997"/>
    <x v="5"/>
    <x v="2"/>
    <x v="5"/>
    <x v="1"/>
    <x v="0"/>
    <n v="16128.14"/>
    <n v="2"/>
    <n v="32256.28"/>
    <n v="1.33"/>
  </r>
  <r>
    <x v="48"/>
    <s v="ORD100717"/>
    <x v="4"/>
    <x v="2"/>
    <x v="4"/>
    <x v="0"/>
    <x v="4"/>
    <n v="11003.05"/>
    <n v="3"/>
    <n v="33009.15"/>
    <n v="3.8"/>
  </r>
  <r>
    <x v="48"/>
    <s v="ORD100821"/>
    <x v="5"/>
    <x v="2"/>
    <x v="5"/>
    <x v="2"/>
    <x v="4"/>
    <n v="15509.13"/>
    <n v="5"/>
    <n v="77545.649999999994"/>
    <n v="1.56"/>
  </r>
  <r>
    <x v="48"/>
    <s v="ORD101478"/>
    <x v="4"/>
    <x v="2"/>
    <x v="4"/>
    <x v="0"/>
    <x v="5"/>
    <n v="17028.53"/>
    <n v="3"/>
    <n v="51085.59"/>
    <n v="3.09"/>
  </r>
  <r>
    <x v="48"/>
    <s v="ORD101783"/>
    <x v="6"/>
    <x v="2"/>
    <x v="6"/>
    <x v="2"/>
    <x v="3"/>
    <n v="7180.12"/>
    <n v="2"/>
    <n v="14360.24"/>
    <n v="4.79"/>
  </r>
  <r>
    <x v="314"/>
    <s v="ORD100344"/>
    <x v="4"/>
    <x v="2"/>
    <x v="4"/>
    <x v="0"/>
    <x v="5"/>
    <n v="12241.4"/>
    <n v="5"/>
    <n v="61207"/>
    <n v="2.86"/>
  </r>
  <r>
    <x v="314"/>
    <s v="ORD101060"/>
    <x v="4"/>
    <x v="2"/>
    <x v="4"/>
    <x v="2"/>
    <x v="5"/>
    <n v="575.97"/>
    <n v="3"/>
    <n v="1727.91"/>
    <n v="1.4"/>
  </r>
  <r>
    <x v="248"/>
    <s v="ORD101543"/>
    <x v="5"/>
    <x v="2"/>
    <x v="5"/>
    <x v="0"/>
    <x v="5"/>
    <n v="6707.79"/>
    <n v="2"/>
    <n v="13415.58"/>
    <n v="2.74"/>
  </r>
  <r>
    <x v="249"/>
    <s v="ORD100061"/>
    <x v="4"/>
    <x v="2"/>
    <x v="4"/>
    <x v="1"/>
    <x v="4"/>
    <n v="12669.24"/>
    <n v="2"/>
    <n v="25338.48"/>
    <n v="1.04"/>
  </r>
  <r>
    <x v="315"/>
    <s v="ORD100351"/>
    <x v="4"/>
    <x v="2"/>
    <x v="4"/>
    <x v="1"/>
    <x v="3"/>
    <n v="10887.28"/>
    <n v="3"/>
    <n v="32661.84"/>
    <n v="1.94"/>
  </r>
  <r>
    <x v="49"/>
    <s v="ORD101027"/>
    <x v="6"/>
    <x v="2"/>
    <x v="6"/>
    <x v="1"/>
    <x v="5"/>
    <n v="7982.06"/>
    <n v="2"/>
    <n v="15964.12"/>
    <n v="3.44"/>
  </r>
  <r>
    <x v="49"/>
    <s v="ORD101575"/>
    <x v="6"/>
    <x v="2"/>
    <x v="6"/>
    <x v="2"/>
    <x v="0"/>
    <n v="17984.86"/>
    <n v="4"/>
    <n v="71939.44"/>
    <n v="3.26"/>
  </r>
  <r>
    <x v="50"/>
    <s v="ORD100762"/>
    <x v="5"/>
    <x v="2"/>
    <x v="5"/>
    <x v="0"/>
    <x v="1"/>
    <n v="17561.73"/>
    <n v="4"/>
    <n v="70246.92"/>
    <n v="1.77"/>
  </r>
  <r>
    <x v="50"/>
    <s v="ORD101151"/>
    <x v="6"/>
    <x v="2"/>
    <x v="6"/>
    <x v="2"/>
    <x v="0"/>
    <n v="19351.11"/>
    <n v="4"/>
    <n v="77404.44"/>
    <n v="2.0499999999999998"/>
  </r>
  <r>
    <x v="51"/>
    <s v="ORD100688"/>
    <x v="5"/>
    <x v="2"/>
    <x v="5"/>
    <x v="1"/>
    <x v="4"/>
    <n v="4144.6899999999996"/>
    <n v="2"/>
    <n v="8289.3799999999992"/>
    <n v="4.32"/>
  </r>
  <r>
    <x v="51"/>
    <s v="ORD101250"/>
    <x v="4"/>
    <x v="2"/>
    <x v="4"/>
    <x v="2"/>
    <x v="5"/>
    <n v="12231.43"/>
    <n v="3"/>
    <n v="36694.29"/>
    <n v="2.88"/>
  </r>
  <r>
    <x v="51"/>
    <s v="ORD101254"/>
    <x v="4"/>
    <x v="2"/>
    <x v="4"/>
    <x v="2"/>
    <x v="2"/>
    <n v="7075.03"/>
    <n v="1"/>
    <n v="7075.03"/>
    <n v="1.49"/>
  </r>
  <r>
    <x v="51"/>
    <s v="ORD101643"/>
    <x v="4"/>
    <x v="2"/>
    <x v="4"/>
    <x v="1"/>
    <x v="0"/>
    <n v="15642.39"/>
    <n v="2"/>
    <n v="31284.78"/>
    <n v="4.74"/>
  </r>
  <r>
    <x v="52"/>
    <s v="ORD100270"/>
    <x v="4"/>
    <x v="2"/>
    <x v="4"/>
    <x v="1"/>
    <x v="3"/>
    <n v="17521.48"/>
    <n v="5"/>
    <n v="87607.4"/>
    <n v="2.68"/>
  </r>
  <r>
    <x v="53"/>
    <s v="ORD100204"/>
    <x v="6"/>
    <x v="2"/>
    <x v="6"/>
    <x v="0"/>
    <x v="3"/>
    <n v="15832.54"/>
    <n v="3"/>
    <n v="47497.62"/>
    <n v="4.91"/>
  </r>
  <r>
    <x v="54"/>
    <s v="ORD100217"/>
    <x v="6"/>
    <x v="2"/>
    <x v="6"/>
    <x v="0"/>
    <x v="1"/>
    <n v="13390.76"/>
    <n v="2"/>
    <n v="26781.52"/>
    <n v="3.15"/>
  </r>
  <r>
    <x v="54"/>
    <s v="ORD100770"/>
    <x v="6"/>
    <x v="2"/>
    <x v="6"/>
    <x v="0"/>
    <x v="5"/>
    <n v="1516.78"/>
    <n v="3"/>
    <n v="4550.34"/>
    <n v="1.45"/>
  </r>
  <r>
    <x v="54"/>
    <s v="ORD100890"/>
    <x v="5"/>
    <x v="2"/>
    <x v="5"/>
    <x v="2"/>
    <x v="4"/>
    <n v="19710.75"/>
    <n v="5"/>
    <n v="98553.75"/>
    <n v="3.47"/>
  </r>
  <r>
    <x v="54"/>
    <s v="ORD101046"/>
    <x v="4"/>
    <x v="2"/>
    <x v="4"/>
    <x v="2"/>
    <x v="5"/>
    <n v="16323.62"/>
    <n v="5"/>
    <n v="81618.100000000006"/>
    <n v="1.82"/>
  </r>
  <r>
    <x v="54"/>
    <s v="ORD101413"/>
    <x v="4"/>
    <x v="2"/>
    <x v="4"/>
    <x v="2"/>
    <x v="1"/>
    <n v="8740.77"/>
    <n v="3"/>
    <n v="26222.31"/>
    <n v="1.91"/>
  </r>
  <r>
    <x v="54"/>
    <s v="ORD101988"/>
    <x v="4"/>
    <x v="2"/>
    <x v="4"/>
    <x v="1"/>
    <x v="3"/>
    <n v="13630.53"/>
    <n v="3"/>
    <n v="40891.589999999997"/>
    <n v="1.5"/>
  </r>
  <r>
    <x v="316"/>
    <s v="ORD100039"/>
    <x v="4"/>
    <x v="2"/>
    <x v="4"/>
    <x v="1"/>
    <x v="2"/>
    <n v="16159.36"/>
    <n v="4"/>
    <n v="64637.440000000002"/>
    <n v="2.66"/>
  </r>
  <r>
    <x v="316"/>
    <s v="ORD100235"/>
    <x v="6"/>
    <x v="2"/>
    <x v="6"/>
    <x v="1"/>
    <x v="1"/>
    <n v="7502.69"/>
    <n v="2"/>
    <n v="15005.38"/>
    <n v="1.06"/>
  </r>
  <r>
    <x v="317"/>
    <s v="ORD101637"/>
    <x v="4"/>
    <x v="2"/>
    <x v="4"/>
    <x v="1"/>
    <x v="0"/>
    <n v="4350.01"/>
    <n v="2"/>
    <n v="8700.02"/>
    <n v="3.79"/>
  </r>
  <r>
    <x v="317"/>
    <s v="ORD101795"/>
    <x v="6"/>
    <x v="2"/>
    <x v="6"/>
    <x v="1"/>
    <x v="3"/>
    <n v="11062.15"/>
    <n v="4"/>
    <n v="44248.6"/>
    <n v="2.77"/>
  </r>
  <r>
    <x v="317"/>
    <s v="ORD101993"/>
    <x v="4"/>
    <x v="2"/>
    <x v="4"/>
    <x v="1"/>
    <x v="3"/>
    <n v="14495.41"/>
    <n v="1"/>
    <n v="14495.41"/>
    <n v="2"/>
  </r>
  <r>
    <x v="318"/>
    <s v="ORD100095"/>
    <x v="4"/>
    <x v="2"/>
    <x v="4"/>
    <x v="0"/>
    <x v="0"/>
    <n v="3129.59"/>
    <n v="4"/>
    <n v="12518.36"/>
    <n v="3.73"/>
  </r>
  <r>
    <x v="318"/>
    <s v="ORD100096"/>
    <x v="5"/>
    <x v="2"/>
    <x v="5"/>
    <x v="2"/>
    <x v="5"/>
    <n v="358.74"/>
    <n v="3"/>
    <n v="1076.22"/>
    <n v="1.97"/>
  </r>
  <r>
    <x v="56"/>
    <s v="ORD101190"/>
    <x v="6"/>
    <x v="2"/>
    <x v="6"/>
    <x v="2"/>
    <x v="4"/>
    <n v="14383.82"/>
    <n v="5"/>
    <n v="71919.100000000006"/>
    <n v="1.22"/>
  </r>
  <r>
    <x v="57"/>
    <s v="ORD100778"/>
    <x v="4"/>
    <x v="2"/>
    <x v="4"/>
    <x v="2"/>
    <x v="2"/>
    <n v="1173.46"/>
    <n v="4"/>
    <n v="4693.84"/>
    <n v="3.42"/>
  </r>
  <r>
    <x v="57"/>
    <s v="ORD101263"/>
    <x v="5"/>
    <x v="2"/>
    <x v="5"/>
    <x v="2"/>
    <x v="5"/>
    <n v="5638.37"/>
    <n v="2"/>
    <n v="11276.74"/>
    <n v="3.34"/>
  </r>
  <r>
    <x v="58"/>
    <s v="ORD100112"/>
    <x v="5"/>
    <x v="2"/>
    <x v="5"/>
    <x v="2"/>
    <x v="5"/>
    <n v="269.18"/>
    <n v="2"/>
    <n v="538.36"/>
    <n v="2.46"/>
  </r>
  <r>
    <x v="58"/>
    <s v="ORD101200"/>
    <x v="4"/>
    <x v="2"/>
    <x v="4"/>
    <x v="2"/>
    <x v="5"/>
    <n v="5770.14"/>
    <n v="1"/>
    <n v="5770.14"/>
    <n v="3.05"/>
  </r>
  <r>
    <x v="60"/>
    <s v="ORD100165"/>
    <x v="6"/>
    <x v="2"/>
    <x v="6"/>
    <x v="0"/>
    <x v="5"/>
    <n v="16855.68"/>
    <n v="1"/>
    <n v="16855.68"/>
    <n v="2.59"/>
  </r>
  <r>
    <x v="62"/>
    <s v="ORD100429"/>
    <x v="4"/>
    <x v="2"/>
    <x v="4"/>
    <x v="0"/>
    <x v="3"/>
    <n v="3830.61"/>
    <n v="5"/>
    <n v="19153.05"/>
    <n v="4.96"/>
  </r>
  <r>
    <x v="62"/>
    <s v="ORD101722"/>
    <x v="4"/>
    <x v="2"/>
    <x v="4"/>
    <x v="2"/>
    <x v="1"/>
    <n v="13469.47"/>
    <n v="4"/>
    <n v="53877.88"/>
    <n v="3.59"/>
  </r>
  <r>
    <x v="63"/>
    <s v="ORD101832"/>
    <x v="4"/>
    <x v="2"/>
    <x v="4"/>
    <x v="2"/>
    <x v="4"/>
    <n v="17342.310000000001"/>
    <n v="2"/>
    <n v="34684.620000000003"/>
    <n v="4.57"/>
  </r>
  <r>
    <x v="64"/>
    <s v="ORD100938"/>
    <x v="4"/>
    <x v="2"/>
    <x v="4"/>
    <x v="2"/>
    <x v="2"/>
    <n v="15342.18"/>
    <n v="5"/>
    <n v="76710.899999999994"/>
    <n v="1.05"/>
  </r>
  <r>
    <x v="65"/>
    <s v="ORD100638"/>
    <x v="5"/>
    <x v="2"/>
    <x v="5"/>
    <x v="2"/>
    <x v="2"/>
    <n v="3520.6"/>
    <n v="4"/>
    <n v="14082.4"/>
    <n v="4.9400000000000004"/>
  </r>
  <r>
    <x v="65"/>
    <s v="ORD101678"/>
    <x v="6"/>
    <x v="2"/>
    <x v="6"/>
    <x v="0"/>
    <x v="1"/>
    <n v="372.19"/>
    <n v="1"/>
    <n v="372.19"/>
    <n v="2.73"/>
  </r>
  <r>
    <x v="66"/>
    <s v="ORD100022"/>
    <x v="6"/>
    <x v="2"/>
    <x v="6"/>
    <x v="1"/>
    <x v="3"/>
    <n v="3597.29"/>
    <n v="1"/>
    <n v="3597.29"/>
    <n v="4.63"/>
  </r>
  <r>
    <x v="66"/>
    <s v="ORD101347"/>
    <x v="6"/>
    <x v="2"/>
    <x v="6"/>
    <x v="2"/>
    <x v="0"/>
    <n v="5233.25"/>
    <n v="2"/>
    <n v="10466.5"/>
    <n v="1.2"/>
  </r>
  <r>
    <x v="250"/>
    <s v="ORD100963"/>
    <x v="6"/>
    <x v="2"/>
    <x v="6"/>
    <x v="1"/>
    <x v="0"/>
    <n v="11875.09"/>
    <n v="4"/>
    <n v="47500.36"/>
    <n v="3.81"/>
  </r>
  <r>
    <x v="67"/>
    <s v="ORD100977"/>
    <x v="4"/>
    <x v="2"/>
    <x v="4"/>
    <x v="2"/>
    <x v="5"/>
    <n v="16756.37"/>
    <n v="4"/>
    <n v="67025.48"/>
    <n v="3.51"/>
  </r>
  <r>
    <x v="67"/>
    <s v="ORD101422"/>
    <x v="5"/>
    <x v="2"/>
    <x v="5"/>
    <x v="2"/>
    <x v="2"/>
    <n v="7520.54"/>
    <n v="4"/>
    <n v="30082.16"/>
    <n v="1.1100000000000001"/>
  </r>
  <r>
    <x v="68"/>
    <s v="ORD100904"/>
    <x v="4"/>
    <x v="2"/>
    <x v="4"/>
    <x v="1"/>
    <x v="0"/>
    <n v="9002.9500000000007"/>
    <n v="3"/>
    <n v="27008.85"/>
    <n v="4.45"/>
  </r>
  <r>
    <x v="68"/>
    <s v="ORD101705"/>
    <x v="6"/>
    <x v="2"/>
    <x v="6"/>
    <x v="1"/>
    <x v="3"/>
    <n v="7989.84"/>
    <n v="2"/>
    <n v="15979.68"/>
    <n v="1.85"/>
  </r>
  <r>
    <x v="68"/>
    <s v="ORD101931"/>
    <x v="4"/>
    <x v="2"/>
    <x v="4"/>
    <x v="1"/>
    <x v="4"/>
    <n v="440.16"/>
    <n v="1"/>
    <n v="440.16"/>
    <n v="3.39"/>
  </r>
  <r>
    <x v="69"/>
    <s v="ORD101037"/>
    <x v="6"/>
    <x v="2"/>
    <x v="6"/>
    <x v="1"/>
    <x v="3"/>
    <n v="8391.33"/>
    <n v="1"/>
    <n v="8391.33"/>
    <n v="1.73"/>
  </r>
  <r>
    <x v="69"/>
    <s v="ORD101147"/>
    <x v="5"/>
    <x v="2"/>
    <x v="5"/>
    <x v="2"/>
    <x v="2"/>
    <n v="4286.0600000000004"/>
    <n v="5"/>
    <n v="21430.3"/>
    <n v="2.98"/>
  </r>
  <r>
    <x v="319"/>
    <s v="ORD100187"/>
    <x v="5"/>
    <x v="2"/>
    <x v="5"/>
    <x v="2"/>
    <x v="2"/>
    <n v="7141.58"/>
    <n v="4"/>
    <n v="28566.32"/>
    <n v="3.64"/>
  </r>
  <r>
    <x v="70"/>
    <s v="ORD101024"/>
    <x v="6"/>
    <x v="2"/>
    <x v="6"/>
    <x v="2"/>
    <x v="0"/>
    <n v="8250.99"/>
    <n v="3"/>
    <n v="24752.97"/>
    <n v="1.85"/>
  </r>
  <r>
    <x v="253"/>
    <s v="ORD101948"/>
    <x v="6"/>
    <x v="2"/>
    <x v="6"/>
    <x v="1"/>
    <x v="2"/>
    <n v="18807.28"/>
    <n v="2"/>
    <n v="37614.559999999998"/>
    <n v="2.81"/>
  </r>
  <r>
    <x v="71"/>
    <s v="ORD101161"/>
    <x v="4"/>
    <x v="2"/>
    <x v="4"/>
    <x v="1"/>
    <x v="4"/>
    <n v="15520.89"/>
    <n v="3"/>
    <n v="46562.67"/>
    <n v="4.1100000000000003"/>
  </r>
  <r>
    <x v="71"/>
    <s v="ORD101283"/>
    <x v="6"/>
    <x v="2"/>
    <x v="6"/>
    <x v="2"/>
    <x v="4"/>
    <n v="13670.74"/>
    <n v="5"/>
    <n v="68353.7"/>
    <n v="3.16"/>
  </r>
  <r>
    <x v="72"/>
    <s v="ORD100097"/>
    <x v="5"/>
    <x v="2"/>
    <x v="5"/>
    <x v="0"/>
    <x v="5"/>
    <n v="18847.29"/>
    <n v="1"/>
    <n v="18847.29"/>
    <n v="2.99"/>
  </r>
  <r>
    <x v="72"/>
    <s v="ORD100419"/>
    <x v="6"/>
    <x v="2"/>
    <x v="6"/>
    <x v="1"/>
    <x v="0"/>
    <n v="18863.57"/>
    <n v="3"/>
    <n v="56590.71"/>
    <n v="2.11"/>
  </r>
  <r>
    <x v="254"/>
    <s v="ORD100198"/>
    <x v="4"/>
    <x v="2"/>
    <x v="4"/>
    <x v="2"/>
    <x v="5"/>
    <n v="11678.62"/>
    <n v="5"/>
    <n v="58393.1"/>
    <n v="2.79"/>
  </r>
  <r>
    <x v="254"/>
    <s v="ORD100293"/>
    <x v="5"/>
    <x v="2"/>
    <x v="5"/>
    <x v="2"/>
    <x v="5"/>
    <n v="11541.02"/>
    <n v="3"/>
    <n v="34623.06"/>
    <n v="3.28"/>
  </r>
  <r>
    <x v="254"/>
    <s v="ORD100807"/>
    <x v="4"/>
    <x v="2"/>
    <x v="4"/>
    <x v="0"/>
    <x v="2"/>
    <n v="10352.969999999999"/>
    <n v="4"/>
    <n v="41411.879999999997"/>
    <n v="1.31"/>
  </r>
  <r>
    <x v="254"/>
    <s v="ORD101918"/>
    <x v="5"/>
    <x v="2"/>
    <x v="5"/>
    <x v="0"/>
    <x v="0"/>
    <n v="2587.77"/>
    <n v="5"/>
    <n v="12938.85"/>
    <n v="3.41"/>
  </r>
  <r>
    <x v="74"/>
    <s v="ORD100106"/>
    <x v="6"/>
    <x v="2"/>
    <x v="6"/>
    <x v="0"/>
    <x v="0"/>
    <n v="8008.52"/>
    <n v="4"/>
    <n v="32034.080000000002"/>
    <n v="2.97"/>
  </r>
  <r>
    <x v="74"/>
    <s v="ORD100740"/>
    <x v="4"/>
    <x v="2"/>
    <x v="4"/>
    <x v="0"/>
    <x v="0"/>
    <n v="3210.3"/>
    <n v="1"/>
    <n v="3210.3"/>
    <n v="3.89"/>
  </r>
  <r>
    <x v="74"/>
    <s v="ORD100808"/>
    <x v="5"/>
    <x v="2"/>
    <x v="5"/>
    <x v="2"/>
    <x v="5"/>
    <n v="19951.93"/>
    <n v="3"/>
    <n v="59855.79"/>
    <n v="2.2400000000000002"/>
  </r>
  <r>
    <x v="75"/>
    <s v="ORD100811"/>
    <x v="6"/>
    <x v="2"/>
    <x v="6"/>
    <x v="2"/>
    <x v="2"/>
    <n v="962.68"/>
    <n v="1"/>
    <n v="962.68"/>
    <n v="3.08"/>
  </r>
  <r>
    <x v="77"/>
    <s v="ORD100149"/>
    <x v="5"/>
    <x v="2"/>
    <x v="5"/>
    <x v="0"/>
    <x v="5"/>
    <n v="1128.05"/>
    <n v="1"/>
    <n v="1128.05"/>
    <n v="4.59"/>
  </r>
  <r>
    <x v="78"/>
    <s v="ORD100561"/>
    <x v="4"/>
    <x v="2"/>
    <x v="4"/>
    <x v="1"/>
    <x v="4"/>
    <n v="7422.19"/>
    <n v="1"/>
    <n v="7422.19"/>
    <n v="4.2"/>
  </r>
  <r>
    <x v="78"/>
    <s v="ORD101493"/>
    <x v="6"/>
    <x v="2"/>
    <x v="6"/>
    <x v="1"/>
    <x v="5"/>
    <n v="16287.06"/>
    <n v="4"/>
    <n v="65148.24"/>
    <n v="1.6"/>
  </r>
  <r>
    <x v="79"/>
    <s v="ORD100996"/>
    <x v="4"/>
    <x v="2"/>
    <x v="4"/>
    <x v="2"/>
    <x v="2"/>
    <n v="8696.99"/>
    <n v="2"/>
    <n v="17393.98"/>
    <n v="1.49"/>
  </r>
  <r>
    <x v="79"/>
    <s v="ORD101317"/>
    <x v="4"/>
    <x v="2"/>
    <x v="4"/>
    <x v="0"/>
    <x v="3"/>
    <n v="674.54"/>
    <n v="4"/>
    <n v="2698.16"/>
    <n v="3.31"/>
  </r>
  <r>
    <x v="79"/>
    <s v="ORD101349"/>
    <x v="4"/>
    <x v="2"/>
    <x v="4"/>
    <x v="0"/>
    <x v="1"/>
    <n v="18658.05"/>
    <n v="4"/>
    <n v="74632.2"/>
    <n v="3.38"/>
  </r>
  <r>
    <x v="79"/>
    <s v="ORD101860"/>
    <x v="4"/>
    <x v="2"/>
    <x v="4"/>
    <x v="1"/>
    <x v="2"/>
    <n v="17398.23"/>
    <n v="5"/>
    <n v="86991.15"/>
    <n v="4.3600000000000003"/>
  </r>
  <r>
    <x v="81"/>
    <s v="ORD100795"/>
    <x v="6"/>
    <x v="2"/>
    <x v="6"/>
    <x v="0"/>
    <x v="4"/>
    <n v="12441.48"/>
    <n v="4"/>
    <n v="49765.919999999998"/>
    <n v="2.31"/>
  </r>
  <r>
    <x v="83"/>
    <s v="ORD100529"/>
    <x v="6"/>
    <x v="2"/>
    <x v="6"/>
    <x v="0"/>
    <x v="5"/>
    <n v="10120.219999999999"/>
    <n v="1"/>
    <n v="10120.219999999999"/>
    <n v="2.2799999999999998"/>
  </r>
  <r>
    <x v="83"/>
    <s v="ORD100983"/>
    <x v="5"/>
    <x v="2"/>
    <x v="5"/>
    <x v="1"/>
    <x v="1"/>
    <n v="2728.79"/>
    <n v="1"/>
    <n v="2728.79"/>
    <n v="2.4"/>
  </r>
  <r>
    <x v="83"/>
    <s v="ORD101503"/>
    <x v="5"/>
    <x v="2"/>
    <x v="5"/>
    <x v="2"/>
    <x v="5"/>
    <n v="5303.08"/>
    <n v="3"/>
    <n v="15909.24"/>
    <n v="4.32"/>
  </r>
  <r>
    <x v="85"/>
    <s v="ORD100189"/>
    <x v="5"/>
    <x v="2"/>
    <x v="5"/>
    <x v="2"/>
    <x v="5"/>
    <n v="2258.04"/>
    <n v="3"/>
    <n v="6774.12"/>
    <n v="4.03"/>
  </r>
  <r>
    <x v="85"/>
    <s v="ORD101539"/>
    <x v="6"/>
    <x v="2"/>
    <x v="6"/>
    <x v="2"/>
    <x v="2"/>
    <n v="15772.15"/>
    <n v="2"/>
    <n v="31544.3"/>
    <n v="3.9"/>
  </r>
  <r>
    <x v="86"/>
    <s v="ORD100110"/>
    <x v="6"/>
    <x v="2"/>
    <x v="6"/>
    <x v="2"/>
    <x v="1"/>
    <n v="8188.88"/>
    <n v="5"/>
    <n v="40944.400000000001"/>
    <n v="3.45"/>
  </r>
  <r>
    <x v="86"/>
    <s v="ORD100658"/>
    <x v="5"/>
    <x v="2"/>
    <x v="5"/>
    <x v="0"/>
    <x v="1"/>
    <n v="1219.83"/>
    <n v="4"/>
    <n v="4879.32"/>
    <n v="4.9000000000000004"/>
  </r>
  <r>
    <x v="87"/>
    <s v="ORD100649"/>
    <x v="4"/>
    <x v="2"/>
    <x v="4"/>
    <x v="2"/>
    <x v="0"/>
    <n v="1834.8"/>
    <n v="1"/>
    <n v="1834.8"/>
    <n v="2.95"/>
  </r>
  <r>
    <x v="87"/>
    <s v="ORD101909"/>
    <x v="5"/>
    <x v="2"/>
    <x v="5"/>
    <x v="1"/>
    <x v="4"/>
    <n v="10483.27"/>
    <n v="2"/>
    <n v="20966.54"/>
    <n v="1.21"/>
  </r>
  <r>
    <x v="88"/>
    <s v="ORD100216"/>
    <x v="4"/>
    <x v="2"/>
    <x v="4"/>
    <x v="2"/>
    <x v="4"/>
    <n v="1741.6"/>
    <n v="5"/>
    <n v="8708"/>
    <n v="4.7300000000000004"/>
  </r>
  <r>
    <x v="88"/>
    <s v="ORD101265"/>
    <x v="4"/>
    <x v="2"/>
    <x v="4"/>
    <x v="0"/>
    <x v="3"/>
    <n v="3341.1"/>
    <n v="1"/>
    <n v="3341.1"/>
    <n v="4.03"/>
  </r>
  <r>
    <x v="88"/>
    <s v="ORD101793"/>
    <x v="5"/>
    <x v="2"/>
    <x v="5"/>
    <x v="0"/>
    <x v="1"/>
    <n v="8232.7999999999993"/>
    <n v="4"/>
    <n v="32931.199999999997"/>
    <n v="4.7300000000000004"/>
  </r>
  <r>
    <x v="255"/>
    <s v="ORD100673"/>
    <x v="5"/>
    <x v="2"/>
    <x v="5"/>
    <x v="2"/>
    <x v="4"/>
    <n v="11283.86"/>
    <n v="4"/>
    <n v="45135.44"/>
    <n v="1.38"/>
  </r>
  <r>
    <x v="255"/>
    <s v="ORD101348"/>
    <x v="4"/>
    <x v="2"/>
    <x v="4"/>
    <x v="1"/>
    <x v="4"/>
    <n v="7621.11"/>
    <n v="3"/>
    <n v="22863.33"/>
    <n v="1.19"/>
  </r>
  <r>
    <x v="256"/>
    <s v="ORD101005"/>
    <x v="6"/>
    <x v="2"/>
    <x v="6"/>
    <x v="2"/>
    <x v="3"/>
    <n v="19124.37"/>
    <n v="2"/>
    <n v="38248.74"/>
    <n v="2.79"/>
  </r>
  <r>
    <x v="256"/>
    <s v="ORD101034"/>
    <x v="6"/>
    <x v="2"/>
    <x v="6"/>
    <x v="0"/>
    <x v="3"/>
    <n v="12024.79"/>
    <n v="4"/>
    <n v="48099.16"/>
    <n v="4.17"/>
  </r>
  <r>
    <x v="90"/>
    <s v="ORD100016"/>
    <x v="5"/>
    <x v="2"/>
    <x v="5"/>
    <x v="0"/>
    <x v="3"/>
    <n v="3529.77"/>
    <n v="5"/>
    <n v="17648.849999999999"/>
    <n v="2.06"/>
  </r>
  <r>
    <x v="90"/>
    <s v="ORD100606"/>
    <x v="6"/>
    <x v="2"/>
    <x v="6"/>
    <x v="2"/>
    <x v="1"/>
    <n v="4147.54"/>
    <n v="1"/>
    <n v="4147.54"/>
    <n v="4.95"/>
  </r>
  <r>
    <x v="91"/>
    <s v="ORD100049"/>
    <x v="4"/>
    <x v="2"/>
    <x v="4"/>
    <x v="0"/>
    <x v="4"/>
    <n v="2211.64"/>
    <n v="4"/>
    <n v="8846.56"/>
    <n v="1.88"/>
  </r>
  <r>
    <x v="91"/>
    <s v="ORD100143"/>
    <x v="4"/>
    <x v="2"/>
    <x v="4"/>
    <x v="1"/>
    <x v="3"/>
    <n v="3092.83"/>
    <n v="4"/>
    <n v="12371.32"/>
    <n v="4.71"/>
  </r>
  <r>
    <x v="91"/>
    <s v="ORD100249"/>
    <x v="6"/>
    <x v="2"/>
    <x v="6"/>
    <x v="2"/>
    <x v="4"/>
    <n v="19134.64"/>
    <n v="1"/>
    <n v="19134.64"/>
    <n v="4.4800000000000004"/>
  </r>
  <r>
    <x v="93"/>
    <s v="ORD100760"/>
    <x v="6"/>
    <x v="2"/>
    <x v="6"/>
    <x v="0"/>
    <x v="3"/>
    <n v="4058.49"/>
    <n v="1"/>
    <n v="4058.49"/>
    <n v="4.26"/>
  </r>
  <r>
    <x v="93"/>
    <s v="ORD100809"/>
    <x v="4"/>
    <x v="2"/>
    <x v="4"/>
    <x v="2"/>
    <x v="2"/>
    <n v="8369.92"/>
    <n v="5"/>
    <n v="41849.599999999999"/>
    <n v="1.82"/>
  </r>
  <r>
    <x v="257"/>
    <s v="ORD100536"/>
    <x v="4"/>
    <x v="2"/>
    <x v="4"/>
    <x v="2"/>
    <x v="0"/>
    <n v="4949.21"/>
    <n v="1"/>
    <n v="4949.21"/>
    <n v="3.47"/>
  </r>
  <r>
    <x v="257"/>
    <s v="ORD101050"/>
    <x v="6"/>
    <x v="2"/>
    <x v="6"/>
    <x v="0"/>
    <x v="1"/>
    <n v="8439.92"/>
    <n v="3"/>
    <n v="25319.759999999998"/>
    <n v="3.73"/>
  </r>
  <r>
    <x v="94"/>
    <s v="ORD100583"/>
    <x v="6"/>
    <x v="2"/>
    <x v="6"/>
    <x v="1"/>
    <x v="4"/>
    <n v="4570.0200000000004"/>
    <n v="2"/>
    <n v="9140.0400000000009"/>
    <n v="1.19"/>
  </r>
  <r>
    <x v="95"/>
    <s v="ORD100905"/>
    <x v="4"/>
    <x v="2"/>
    <x v="4"/>
    <x v="0"/>
    <x v="4"/>
    <n v="17476.099999999999"/>
    <n v="4"/>
    <n v="69904.399999999994"/>
    <n v="2.41"/>
  </r>
  <r>
    <x v="96"/>
    <s v="ORD100896"/>
    <x v="6"/>
    <x v="2"/>
    <x v="6"/>
    <x v="2"/>
    <x v="0"/>
    <n v="11548.93"/>
    <n v="4"/>
    <n v="46195.72"/>
    <n v="4.47"/>
  </r>
  <r>
    <x v="96"/>
    <s v="ORD101124"/>
    <x v="4"/>
    <x v="2"/>
    <x v="4"/>
    <x v="1"/>
    <x v="0"/>
    <n v="7272.44"/>
    <n v="3"/>
    <n v="21817.32"/>
    <n v="2.14"/>
  </r>
  <r>
    <x v="96"/>
    <s v="ORD101676"/>
    <x v="6"/>
    <x v="2"/>
    <x v="6"/>
    <x v="0"/>
    <x v="2"/>
    <n v="5249.17"/>
    <n v="3"/>
    <n v="15747.51"/>
    <n v="3.34"/>
  </r>
  <r>
    <x v="96"/>
    <s v="ORD101713"/>
    <x v="5"/>
    <x v="2"/>
    <x v="5"/>
    <x v="2"/>
    <x v="5"/>
    <n v="12201.77"/>
    <n v="1"/>
    <n v="12201.77"/>
    <n v="3.3"/>
  </r>
  <r>
    <x v="97"/>
    <s v="ORD100360"/>
    <x v="4"/>
    <x v="2"/>
    <x v="4"/>
    <x v="1"/>
    <x v="5"/>
    <n v="15436.65"/>
    <n v="3"/>
    <n v="46309.95"/>
    <n v="4.29"/>
  </r>
  <r>
    <x v="99"/>
    <s v="ORD100689"/>
    <x v="4"/>
    <x v="2"/>
    <x v="4"/>
    <x v="0"/>
    <x v="0"/>
    <n v="15805.57"/>
    <n v="4"/>
    <n v="63222.28"/>
    <n v="2.34"/>
  </r>
  <r>
    <x v="99"/>
    <s v="ORD100957"/>
    <x v="4"/>
    <x v="2"/>
    <x v="4"/>
    <x v="1"/>
    <x v="4"/>
    <n v="13248.42"/>
    <n v="3"/>
    <n v="39745.26"/>
    <n v="2.23"/>
  </r>
  <r>
    <x v="100"/>
    <s v="ORD101069"/>
    <x v="4"/>
    <x v="2"/>
    <x v="4"/>
    <x v="1"/>
    <x v="4"/>
    <n v="7966.29"/>
    <n v="5"/>
    <n v="39831.449999999997"/>
    <n v="1.04"/>
  </r>
  <r>
    <x v="100"/>
    <s v="ORD101073"/>
    <x v="4"/>
    <x v="2"/>
    <x v="4"/>
    <x v="0"/>
    <x v="0"/>
    <n v="19631.330000000002"/>
    <n v="5"/>
    <n v="98156.65"/>
    <n v="2.8"/>
  </r>
  <r>
    <x v="101"/>
    <s v="ORD100759"/>
    <x v="4"/>
    <x v="2"/>
    <x v="4"/>
    <x v="1"/>
    <x v="2"/>
    <n v="18691.8"/>
    <n v="2"/>
    <n v="37383.599999999999"/>
    <n v="3.18"/>
  </r>
  <r>
    <x v="101"/>
    <s v="ORD101753"/>
    <x v="5"/>
    <x v="2"/>
    <x v="5"/>
    <x v="1"/>
    <x v="4"/>
    <n v="16515.88"/>
    <n v="3"/>
    <n v="49547.64"/>
    <n v="2.04"/>
  </r>
  <r>
    <x v="102"/>
    <s v="ORD100336"/>
    <x v="5"/>
    <x v="2"/>
    <x v="5"/>
    <x v="1"/>
    <x v="5"/>
    <n v="19211.38"/>
    <n v="1"/>
    <n v="19211.38"/>
    <n v="1.84"/>
  </r>
  <r>
    <x v="102"/>
    <s v="ORD100587"/>
    <x v="4"/>
    <x v="2"/>
    <x v="4"/>
    <x v="0"/>
    <x v="0"/>
    <n v="15094.86"/>
    <n v="5"/>
    <n v="75474.3"/>
    <n v="3.18"/>
  </r>
  <r>
    <x v="102"/>
    <s v="ORD101876"/>
    <x v="4"/>
    <x v="2"/>
    <x v="4"/>
    <x v="0"/>
    <x v="5"/>
    <n v="12922.46"/>
    <n v="1"/>
    <n v="12922.46"/>
    <n v="3.85"/>
  </r>
  <r>
    <x v="103"/>
    <s v="ORD100654"/>
    <x v="4"/>
    <x v="2"/>
    <x v="4"/>
    <x v="0"/>
    <x v="0"/>
    <n v="13160.09"/>
    <n v="1"/>
    <n v="13160.09"/>
    <n v="3.45"/>
  </r>
  <r>
    <x v="103"/>
    <s v="ORD100727"/>
    <x v="4"/>
    <x v="2"/>
    <x v="4"/>
    <x v="2"/>
    <x v="3"/>
    <n v="18585.259999999998"/>
    <n v="3"/>
    <n v="55755.78"/>
    <n v="4.13"/>
  </r>
  <r>
    <x v="103"/>
    <s v="ORD101248"/>
    <x v="5"/>
    <x v="2"/>
    <x v="5"/>
    <x v="0"/>
    <x v="1"/>
    <n v="12692.75"/>
    <n v="4"/>
    <n v="50771"/>
    <n v="2.2799999999999998"/>
  </r>
  <r>
    <x v="259"/>
    <s v="ORD100026"/>
    <x v="6"/>
    <x v="2"/>
    <x v="6"/>
    <x v="0"/>
    <x v="2"/>
    <n v="14633.56"/>
    <n v="4"/>
    <n v="58534.239999999998"/>
    <n v="3"/>
  </r>
  <r>
    <x v="259"/>
    <s v="ORD100228"/>
    <x v="5"/>
    <x v="2"/>
    <x v="5"/>
    <x v="1"/>
    <x v="0"/>
    <n v="9154"/>
    <n v="4"/>
    <n v="36616"/>
    <n v="4.79"/>
  </r>
  <r>
    <x v="106"/>
    <s v="ORD100707"/>
    <x v="6"/>
    <x v="2"/>
    <x v="6"/>
    <x v="0"/>
    <x v="0"/>
    <n v="17996.61"/>
    <n v="2"/>
    <n v="35993.22"/>
    <n v="4.28"/>
  </r>
  <r>
    <x v="107"/>
    <s v="ORD100137"/>
    <x v="5"/>
    <x v="2"/>
    <x v="5"/>
    <x v="1"/>
    <x v="2"/>
    <n v="10513.34"/>
    <n v="3"/>
    <n v="31540.02"/>
    <n v="3.89"/>
  </r>
  <r>
    <x v="260"/>
    <s v="ORD100289"/>
    <x v="4"/>
    <x v="2"/>
    <x v="4"/>
    <x v="2"/>
    <x v="5"/>
    <n v="14598.17"/>
    <n v="1"/>
    <n v="14598.17"/>
    <n v="2.94"/>
  </r>
  <r>
    <x v="109"/>
    <s v="ORD100406"/>
    <x v="5"/>
    <x v="2"/>
    <x v="5"/>
    <x v="0"/>
    <x v="2"/>
    <n v="18474.849999999999"/>
    <n v="2"/>
    <n v="36949.699999999997"/>
    <n v="4.3499999999999996"/>
  </r>
  <r>
    <x v="109"/>
    <s v="ORD100801"/>
    <x v="5"/>
    <x v="2"/>
    <x v="5"/>
    <x v="0"/>
    <x v="1"/>
    <n v="4157.8900000000003"/>
    <n v="1"/>
    <n v="4157.8900000000003"/>
    <n v="3.43"/>
  </r>
  <r>
    <x v="109"/>
    <s v="ORD101194"/>
    <x v="4"/>
    <x v="2"/>
    <x v="4"/>
    <x v="2"/>
    <x v="5"/>
    <n v="19567.05"/>
    <n v="2"/>
    <n v="39134.1"/>
    <n v="4.8"/>
  </r>
  <r>
    <x v="261"/>
    <s v="ORD101504"/>
    <x v="6"/>
    <x v="2"/>
    <x v="6"/>
    <x v="1"/>
    <x v="0"/>
    <n v="3044.72"/>
    <n v="4"/>
    <n v="12178.88"/>
    <n v="2.59"/>
  </r>
  <r>
    <x v="111"/>
    <s v="ORD100621"/>
    <x v="5"/>
    <x v="2"/>
    <x v="5"/>
    <x v="2"/>
    <x v="3"/>
    <n v="14026.83"/>
    <n v="5"/>
    <n v="70134.149999999994"/>
    <n v="2.66"/>
  </r>
  <r>
    <x v="111"/>
    <s v="ORD100929"/>
    <x v="6"/>
    <x v="2"/>
    <x v="6"/>
    <x v="1"/>
    <x v="5"/>
    <n v="12977.6"/>
    <n v="4"/>
    <n v="51910.400000000001"/>
    <n v="2.73"/>
  </r>
  <r>
    <x v="111"/>
    <s v="ORD101287"/>
    <x v="4"/>
    <x v="2"/>
    <x v="4"/>
    <x v="1"/>
    <x v="0"/>
    <n v="12394.27"/>
    <n v="1"/>
    <n v="12394.27"/>
    <n v="1.45"/>
  </r>
  <r>
    <x v="112"/>
    <s v="ORD100434"/>
    <x v="5"/>
    <x v="2"/>
    <x v="5"/>
    <x v="2"/>
    <x v="0"/>
    <n v="13458.7"/>
    <n v="2"/>
    <n v="26917.4"/>
    <n v="4.63"/>
  </r>
  <r>
    <x v="112"/>
    <s v="ORD101651"/>
    <x v="5"/>
    <x v="2"/>
    <x v="5"/>
    <x v="1"/>
    <x v="4"/>
    <n v="6771.23"/>
    <n v="3"/>
    <n v="20313.689999999999"/>
    <n v="2.5499999999999998"/>
  </r>
  <r>
    <x v="320"/>
    <s v="ORD100295"/>
    <x v="5"/>
    <x v="2"/>
    <x v="5"/>
    <x v="2"/>
    <x v="4"/>
    <n v="3830.2"/>
    <n v="5"/>
    <n v="19151"/>
    <n v="4.51"/>
  </r>
  <r>
    <x v="320"/>
    <s v="ORD100699"/>
    <x v="6"/>
    <x v="2"/>
    <x v="6"/>
    <x v="2"/>
    <x v="5"/>
    <n v="14421.44"/>
    <n v="5"/>
    <n v="72107.199999999997"/>
    <n v="2.61"/>
  </r>
  <r>
    <x v="264"/>
    <s v="ORD100409"/>
    <x v="4"/>
    <x v="2"/>
    <x v="4"/>
    <x v="0"/>
    <x v="0"/>
    <n v="11203.49"/>
    <n v="5"/>
    <n v="56017.45"/>
    <n v="3.26"/>
  </r>
  <r>
    <x v="321"/>
    <s v="ORD100812"/>
    <x v="4"/>
    <x v="2"/>
    <x v="4"/>
    <x v="1"/>
    <x v="3"/>
    <n v="5757.07"/>
    <n v="4"/>
    <n v="23028.28"/>
    <n v="1.88"/>
  </r>
  <r>
    <x v="321"/>
    <s v="ORD101905"/>
    <x v="5"/>
    <x v="2"/>
    <x v="5"/>
    <x v="1"/>
    <x v="4"/>
    <n v="19900.23"/>
    <n v="1"/>
    <n v="19900.23"/>
    <n v="1.32"/>
  </r>
  <r>
    <x v="114"/>
    <s v="ORD101159"/>
    <x v="6"/>
    <x v="2"/>
    <x v="6"/>
    <x v="2"/>
    <x v="3"/>
    <n v="14119.99"/>
    <n v="3"/>
    <n v="42359.97"/>
    <n v="3.64"/>
  </r>
  <r>
    <x v="322"/>
    <s v="ORD100288"/>
    <x v="4"/>
    <x v="2"/>
    <x v="4"/>
    <x v="1"/>
    <x v="2"/>
    <n v="11829.61"/>
    <n v="2"/>
    <n v="23659.22"/>
    <n v="2.85"/>
  </r>
  <r>
    <x v="322"/>
    <s v="ORD101594"/>
    <x v="4"/>
    <x v="2"/>
    <x v="4"/>
    <x v="1"/>
    <x v="2"/>
    <n v="7524.67"/>
    <n v="1"/>
    <n v="7524.67"/>
    <n v="4.22"/>
  </r>
  <r>
    <x v="322"/>
    <s v="ORD101882"/>
    <x v="5"/>
    <x v="2"/>
    <x v="5"/>
    <x v="2"/>
    <x v="0"/>
    <n v="3121.17"/>
    <n v="2"/>
    <n v="6242.34"/>
    <n v="2.88"/>
  </r>
  <r>
    <x v="265"/>
    <s v="ORD100881"/>
    <x v="5"/>
    <x v="2"/>
    <x v="5"/>
    <x v="2"/>
    <x v="2"/>
    <n v="3004.01"/>
    <n v="2"/>
    <n v="6008.02"/>
    <n v="4.6399999999999997"/>
  </r>
  <r>
    <x v="265"/>
    <s v="ORD101276"/>
    <x v="5"/>
    <x v="2"/>
    <x v="5"/>
    <x v="0"/>
    <x v="4"/>
    <n v="12197.55"/>
    <n v="2"/>
    <n v="24395.1"/>
    <n v="1.74"/>
  </r>
  <r>
    <x v="265"/>
    <s v="ORD101506"/>
    <x v="6"/>
    <x v="2"/>
    <x v="6"/>
    <x v="1"/>
    <x v="0"/>
    <n v="1681.45"/>
    <n v="4"/>
    <n v="6725.8"/>
    <n v="2.31"/>
  </r>
  <r>
    <x v="265"/>
    <s v="ORD101608"/>
    <x v="4"/>
    <x v="2"/>
    <x v="4"/>
    <x v="0"/>
    <x v="2"/>
    <n v="16341.68"/>
    <n v="3"/>
    <n v="49025.04"/>
    <n v="4.34"/>
  </r>
  <r>
    <x v="265"/>
    <s v="ORD101877"/>
    <x v="6"/>
    <x v="2"/>
    <x v="6"/>
    <x v="2"/>
    <x v="1"/>
    <n v="5342.51"/>
    <n v="3"/>
    <n v="16027.53"/>
    <n v="2.89"/>
  </r>
  <r>
    <x v="115"/>
    <s v="ORD101625"/>
    <x v="5"/>
    <x v="2"/>
    <x v="5"/>
    <x v="1"/>
    <x v="3"/>
    <n v="6107.21"/>
    <n v="4"/>
    <n v="24428.84"/>
    <n v="3.95"/>
  </r>
  <r>
    <x v="266"/>
    <s v="ORD100422"/>
    <x v="4"/>
    <x v="2"/>
    <x v="4"/>
    <x v="2"/>
    <x v="4"/>
    <n v="9931.1"/>
    <n v="3"/>
    <n v="29793.3"/>
    <n v="3.89"/>
  </r>
  <r>
    <x v="266"/>
    <s v="ORD100987"/>
    <x v="4"/>
    <x v="2"/>
    <x v="4"/>
    <x v="0"/>
    <x v="3"/>
    <n v="3205.83"/>
    <n v="4"/>
    <n v="12823.32"/>
    <n v="2.27"/>
  </r>
  <r>
    <x v="116"/>
    <s v="ORD100910"/>
    <x v="5"/>
    <x v="2"/>
    <x v="5"/>
    <x v="1"/>
    <x v="5"/>
    <n v="5441.7"/>
    <n v="2"/>
    <n v="10883.4"/>
    <n v="2.06"/>
  </r>
  <r>
    <x v="117"/>
    <s v="ORD101044"/>
    <x v="6"/>
    <x v="2"/>
    <x v="6"/>
    <x v="0"/>
    <x v="5"/>
    <n v="13404.85"/>
    <n v="5"/>
    <n v="67024.25"/>
    <n v="3.75"/>
  </r>
  <r>
    <x v="117"/>
    <s v="ORD101186"/>
    <x v="4"/>
    <x v="2"/>
    <x v="4"/>
    <x v="2"/>
    <x v="3"/>
    <n v="1854.77"/>
    <n v="4"/>
    <n v="7419.08"/>
    <n v="2.5299999999999998"/>
  </r>
  <r>
    <x v="117"/>
    <s v="ORD101727"/>
    <x v="5"/>
    <x v="2"/>
    <x v="5"/>
    <x v="2"/>
    <x v="4"/>
    <n v="16371.76"/>
    <n v="2"/>
    <n v="32743.52"/>
    <n v="1.97"/>
  </r>
  <r>
    <x v="118"/>
    <s v="ORD101114"/>
    <x v="5"/>
    <x v="2"/>
    <x v="5"/>
    <x v="2"/>
    <x v="1"/>
    <n v="3096.57"/>
    <n v="2"/>
    <n v="6193.14"/>
    <n v="1.32"/>
  </r>
  <r>
    <x v="118"/>
    <s v="ORD101806"/>
    <x v="4"/>
    <x v="2"/>
    <x v="4"/>
    <x v="1"/>
    <x v="3"/>
    <n v="7407.97"/>
    <n v="2"/>
    <n v="14815.94"/>
    <n v="4.09"/>
  </r>
  <r>
    <x v="323"/>
    <s v="ORD100035"/>
    <x v="6"/>
    <x v="2"/>
    <x v="6"/>
    <x v="0"/>
    <x v="4"/>
    <n v="3698.12"/>
    <n v="4"/>
    <n v="14792.48"/>
    <n v="4"/>
  </r>
  <r>
    <x v="119"/>
    <s v="ORD100398"/>
    <x v="4"/>
    <x v="2"/>
    <x v="4"/>
    <x v="2"/>
    <x v="0"/>
    <n v="2477.75"/>
    <n v="1"/>
    <n v="2477.75"/>
    <n v="2.19"/>
  </r>
  <r>
    <x v="119"/>
    <s v="ORD101470"/>
    <x v="4"/>
    <x v="2"/>
    <x v="4"/>
    <x v="2"/>
    <x v="0"/>
    <n v="1555.91"/>
    <n v="1"/>
    <n v="1555.91"/>
    <n v="3.41"/>
  </r>
  <r>
    <x v="120"/>
    <s v="ORD100521"/>
    <x v="5"/>
    <x v="2"/>
    <x v="5"/>
    <x v="1"/>
    <x v="2"/>
    <n v="14059.71"/>
    <n v="3"/>
    <n v="42179.13"/>
    <n v="2.62"/>
  </r>
  <r>
    <x v="120"/>
    <s v="ORD100679"/>
    <x v="5"/>
    <x v="2"/>
    <x v="5"/>
    <x v="0"/>
    <x v="0"/>
    <n v="8663.7000000000007"/>
    <n v="4"/>
    <n v="34654.800000000003"/>
    <n v="3.13"/>
  </r>
  <r>
    <x v="120"/>
    <s v="ORD100779"/>
    <x v="6"/>
    <x v="2"/>
    <x v="6"/>
    <x v="2"/>
    <x v="3"/>
    <n v="12248.34"/>
    <n v="2"/>
    <n v="24496.68"/>
    <n v="1.43"/>
  </r>
  <r>
    <x v="120"/>
    <s v="ORD101514"/>
    <x v="4"/>
    <x v="2"/>
    <x v="4"/>
    <x v="1"/>
    <x v="0"/>
    <n v="4332.03"/>
    <n v="1"/>
    <n v="4332.03"/>
    <n v="4.5599999999999996"/>
  </r>
  <r>
    <x v="121"/>
    <s v="ORD100515"/>
    <x v="4"/>
    <x v="2"/>
    <x v="4"/>
    <x v="1"/>
    <x v="3"/>
    <n v="14061.75"/>
    <n v="3"/>
    <n v="42185.25"/>
    <n v="4.72"/>
  </r>
  <r>
    <x v="121"/>
    <s v="ORD101593"/>
    <x v="4"/>
    <x v="2"/>
    <x v="4"/>
    <x v="0"/>
    <x v="1"/>
    <n v="3650.8"/>
    <n v="3"/>
    <n v="10952.4"/>
    <n v="4.8"/>
  </r>
  <r>
    <x v="122"/>
    <s v="ORD100960"/>
    <x v="5"/>
    <x v="2"/>
    <x v="5"/>
    <x v="2"/>
    <x v="5"/>
    <n v="5332.57"/>
    <n v="5"/>
    <n v="26662.85"/>
    <n v="2.37"/>
  </r>
  <r>
    <x v="123"/>
    <s v="ORD100160"/>
    <x v="5"/>
    <x v="2"/>
    <x v="5"/>
    <x v="1"/>
    <x v="2"/>
    <n v="11172.49"/>
    <n v="5"/>
    <n v="55862.45"/>
    <n v="4.38"/>
  </r>
  <r>
    <x v="123"/>
    <s v="ORD100585"/>
    <x v="5"/>
    <x v="2"/>
    <x v="5"/>
    <x v="2"/>
    <x v="5"/>
    <n v="845.45"/>
    <n v="3"/>
    <n v="2536.35"/>
    <n v="2.62"/>
  </r>
  <r>
    <x v="124"/>
    <s v="ORD100653"/>
    <x v="6"/>
    <x v="2"/>
    <x v="6"/>
    <x v="2"/>
    <x v="4"/>
    <n v="6221.99"/>
    <n v="1"/>
    <n v="6221.99"/>
    <n v="3.69"/>
  </r>
  <r>
    <x v="124"/>
    <s v="ORD101723"/>
    <x v="6"/>
    <x v="2"/>
    <x v="6"/>
    <x v="0"/>
    <x v="3"/>
    <n v="8490.1200000000008"/>
    <n v="3"/>
    <n v="25470.36"/>
    <n v="3.27"/>
  </r>
  <r>
    <x v="269"/>
    <s v="ORD101515"/>
    <x v="4"/>
    <x v="2"/>
    <x v="4"/>
    <x v="2"/>
    <x v="3"/>
    <n v="9328.59"/>
    <n v="5"/>
    <n v="46642.95"/>
    <n v="2.11"/>
  </r>
  <r>
    <x v="269"/>
    <s v="ORD101884"/>
    <x v="6"/>
    <x v="2"/>
    <x v="6"/>
    <x v="2"/>
    <x v="0"/>
    <n v="19040.63"/>
    <n v="4"/>
    <n v="76162.52"/>
    <n v="3.88"/>
  </r>
  <r>
    <x v="269"/>
    <s v="ORD101943"/>
    <x v="5"/>
    <x v="2"/>
    <x v="5"/>
    <x v="1"/>
    <x v="1"/>
    <n v="13917.97"/>
    <n v="4"/>
    <n v="55671.88"/>
    <n v="2.56"/>
  </r>
  <r>
    <x v="125"/>
    <s v="ORD100275"/>
    <x v="5"/>
    <x v="2"/>
    <x v="5"/>
    <x v="1"/>
    <x v="0"/>
    <n v="8661.86"/>
    <n v="1"/>
    <n v="8661.86"/>
    <n v="3.95"/>
  </r>
  <r>
    <x v="125"/>
    <s v="ORD100488"/>
    <x v="5"/>
    <x v="2"/>
    <x v="5"/>
    <x v="0"/>
    <x v="1"/>
    <n v="2311.7600000000002"/>
    <n v="4"/>
    <n v="9247.0400000000009"/>
    <n v="4.26"/>
  </r>
  <r>
    <x v="126"/>
    <s v="ORD100872"/>
    <x v="4"/>
    <x v="2"/>
    <x v="4"/>
    <x v="1"/>
    <x v="1"/>
    <n v="5020.25"/>
    <n v="2"/>
    <n v="10040.5"/>
    <n v="1.91"/>
  </r>
  <r>
    <x v="127"/>
    <s v="ORD101731"/>
    <x v="5"/>
    <x v="2"/>
    <x v="5"/>
    <x v="0"/>
    <x v="2"/>
    <n v="19076.64"/>
    <n v="2"/>
    <n v="38153.279999999999"/>
    <n v="1.74"/>
  </r>
  <r>
    <x v="127"/>
    <s v="ORD101879"/>
    <x v="5"/>
    <x v="2"/>
    <x v="5"/>
    <x v="1"/>
    <x v="4"/>
    <n v="14416.11"/>
    <n v="5"/>
    <n v="72080.55"/>
    <n v="3.59"/>
  </r>
  <r>
    <x v="270"/>
    <s v="ORD100818"/>
    <x v="5"/>
    <x v="2"/>
    <x v="5"/>
    <x v="0"/>
    <x v="5"/>
    <n v="8997.8799999999992"/>
    <n v="2"/>
    <n v="17995.759999999998"/>
    <n v="4.3899999999999997"/>
  </r>
  <r>
    <x v="271"/>
    <s v="ORD100274"/>
    <x v="4"/>
    <x v="2"/>
    <x v="4"/>
    <x v="2"/>
    <x v="0"/>
    <n v="9607.4500000000007"/>
    <n v="3"/>
    <n v="28822.35"/>
    <n v="1.53"/>
  </r>
  <r>
    <x v="271"/>
    <s v="ORD101740"/>
    <x v="5"/>
    <x v="2"/>
    <x v="5"/>
    <x v="2"/>
    <x v="4"/>
    <n v="15386.85"/>
    <n v="3"/>
    <n v="46160.55"/>
    <n v="1.24"/>
  </r>
  <r>
    <x v="324"/>
    <s v="ORD100994"/>
    <x v="6"/>
    <x v="2"/>
    <x v="6"/>
    <x v="2"/>
    <x v="4"/>
    <n v="7923.45"/>
    <n v="2"/>
    <n v="15846.9"/>
    <n v="1.8"/>
  </r>
  <r>
    <x v="128"/>
    <s v="ORD100139"/>
    <x v="6"/>
    <x v="2"/>
    <x v="6"/>
    <x v="1"/>
    <x v="5"/>
    <n v="4358.05"/>
    <n v="5"/>
    <n v="21790.25"/>
    <n v="1.38"/>
  </r>
  <r>
    <x v="128"/>
    <s v="ORD100455"/>
    <x v="5"/>
    <x v="2"/>
    <x v="5"/>
    <x v="1"/>
    <x v="1"/>
    <n v="8378.99"/>
    <n v="1"/>
    <n v="8378.99"/>
    <n v="1.95"/>
  </r>
  <r>
    <x v="128"/>
    <s v="ORD101036"/>
    <x v="5"/>
    <x v="2"/>
    <x v="5"/>
    <x v="0"/>
    <x v="3"/>
    <n v="2703.85"/>
    <n v="2"/>
    <n v="5407.7"/>
    <n v="2.13"/>
  </r>
  <r>
    <x v="129"/>
    <s v="ORD100140"/>
    <x v="4"/>
    <x v="2"/>
    <x v="4"/>
    <x v="1"/>
    <x v="3"/>
    <n v="10373.700000000001"/>
    <n v="4"/>
    <n v="41494.800000000003"/>
    <n v="4.74"/>
  </r>
  <r>
    <x v="129"/>
    <s v="ORD101623"/>
    <x v="6"/>
    <x v="2"/>
    <x v="6"/>
    <x v="0"/>
    <x v="2"/>
    <n v="8815.9"/>
    <n v="1"/>
    <n v="8815.9"/>
    <n v="2.5099999999999998"/>
  </r>
  <r>
    <x v="325"/>
    <s v="ORD100341"/>
    <x v="6"/>
    <x v="2"/>
    <x v="6"/>
    <x v="2"/>
    <x v="5"/>
    <n v="14010.82"/>
    <n v="3"/>
    <n v="42032.46"/>
    <n v="3.11"/>
  </r>
  <r>
    <x v="272"/>
    <s v="ORD100511"/>
    <x v="5"/>
    <x v="2"/>
    <x v="5"/>
    <x v="2"/>
    <x v="1"/>
    <n v="16648.599999999999"/>
    <n v="3"/>
    <n v="49945.8"/>
    <n v="4.29"/>
  </r>
  <r>
    <x v="130"/>
    <s v="ORD100576"/>
    <x v="4"/>
    <x v="2"/>
    <x v="4"/>
    <x v="2"/>
    <x v="3"/>
    <n v="4244.3900000000003"/>
    <n v="4"/>
    <n v="16977.560000000001"/>
    <n v="1.91"/>
  </r>
  <r>
    <x v="130"/>
    <s v="ORD101204"/>
    <x v="4"/>
    <x v="2"/>
    <x v="4"/>
    <x v="0"/>
    <x v="3"/>
    <n v="5696.75"/>
    <n v="2"/>
    <n v="11393.5"/>
    <n v="2.2200000000000002"/>
  </r>
  <r>
    <x v="131"/>
    <s v="ORD100804"/>
    <x v="6"/>
    <x v="2"/>
    <x v="6"/>
    <x v="0"/>
    <x v="5"/>
    <n v="7550.17"/>
    <n v="5"/>
    <n v="37750.85"/>
    <n v="1.82"/>
  </r>
  <r>
    <x v="131"/>
    <s v="ORD101293"/>
    <x v="4"/>
    <x v="2"/>
    <x v="4"/>
    <x v="2"/>
    <x v="3"/>
    <n v="19138.54"/>
    <n v="2"/>
    <n v="38277.08"/>
    <n v="3.06"/>
  </r>
  <r>
    <x v="273"/>
    <s v="ORD100464"/>
    <x v="4"/>
    <x v="2"/>
    <x v="4"/>
    <x v="2"/>
    <x v="4"/>
    <n v="1674.8"/>
    <n v="4"/>
    <n v="6699.2"/>
    <n v="4.74"/>
  </r>
  <r>
    <x v="132"/>
    <s v="ORD100255"/>
    <x v="4"/>
    <x v="2"/>
    <x v="4"/>
    <x v="0"/>
    <x v="0"/>
    <n v="18234.36"/>
    <n v="2"/>
    <n v="36468.720000000001"/>
    <n v="4.8600000000000003"/>
  </r>
  <r>
    <x v="132"/>
    <s v="ORD100314"/>
    <x v="6"/>
    <x v="2"/>
    <x v="6"/>
    <x v="1"/>
    <x v="4"/>
    <n v="4688.59"/>
    <n v="1"/>
    <n v="4688.59"/>
    <n v="3.67"/>
  </r>
  <r>
    <x v="132"/>
    <s v="ORD101842"/>
    <x v="5"/>
    <x v="2"/>
    <x v="5"/>
    <x v="2"/>
    <x v="5"/>
    <n v="1312.51"/>
    <n v="2"/>
    <n v="2625.02"/>
    <n v="4.4800000000000004"/>
  </r>
  <r>
    <x v="274"/>
    <s v="ORD100600"/>
    <x v="4"/>
    <x v="2"/>
    <x v="4"/>
    <x v="1"/>
    <x v="5"/>
    <n v="16971.07"/>
    <n v="3"/>
    <n v="50913.21"/>
    <n v="3.38"/>
  </r>
  <r>
    <x v="274"/>
    <s v="ORD101400"/>
    <x v="4"/>
    <x v="2"/>
    <x v="4"/>
    <x v="2"/>
    <x v="2"/>
    <n v="11510.82"/>
    <n v="1"/>
    <n v="11510.82"/>
    <n v="3.79"/>
  </r>
  <r>
    <x v="326"/>
    <s v="ORD100497"/>
    <x v="6"/>
    <x v="2"/>
    <x v="6"/>
    <x v="0"/>
    <x v="0"/>
    <n v="6577.75"/>
    <n v="3"/>
    <n v="19733.25"/>
    <n v="2.02"/>
  </r>
  <r>
    <x v="326"/>
    <s v="ORD101172"/>
    <x v="6"/>
    <x v="2"/>
    <x v="6"/>
    <x v="2"/>
    <x v="3"/>
    <n v="9152.57"/>
    <n v="4"/>
    <n v="36610.28"/>
    <n v="3.38"/>
  </r>
  <r>
    <x v="133"/>
    <s v="ORD100768"/>
    <x v="5"/>
    <x v="2"/>
    <x v="5"/>
    <x v="2"/>
    <x v="2"/>
    <n v="15173.24"/>
    <n v="4"/>
    <n v="60692.959999999999"/>
    <n v="4.32"/>
  </r>
  <r>
    <x v="134"/>
    <s v="ORD100691"/>
    <x v="6"/>
    <x v="2"/>
    <x v="6"/>
    <x v="2"/>
    <x v="1"/>
    <n v="14579.15"/>
    <n v="1"/>
    <n v="14579.15"/>
    <n v="2.3199999999999998"/>
  </r>
  <r>
    <x v="135"/>
    <s v="ORD100581"/>
    <x v="5"/>
    <x v="2"/>
    <x v="5"/>
    <x v="0"/>
    <x v="0"/>
    <n v="9841.01"/>
    <n v="4"/>
    <n v="39364.04"/>
    <n v="2.64"/>
  </r>
  <r>
    <x v="327"/>
    <s v="ORD101040"/>
    <x v="5"/>
    <x v="2"/>
    <x v="5"/>
    <x v="0"/>
    <x v="3"/>
    <n v="3247.92"/>
    <n v="1"/>
    <n v="3247.92"/>
    <n v="2.0699999999999998"/>
  </r>
  <r>
    <x v="328"/>
    <s v="ORD101021"/>
    <x v="5"/>
    <x v="2"/>
    <x v="5"/>
    <x v="2"/>
    <x v="0"/>
    <n v="3913.77"/>
    <n v="1"/>
    <n v="3913.77"/>
    <n v="4.88"/>
  </r>
  <r>
    <x v="136"/>
    <s v="ORD101243"/>
    <x v="6"/>
    <x v="2"/>
    <x v="6"/>
    <x v="2"/>
    <x v="4"/>
    <n v="16364.88"/>
    <n v="5"/>
    <n v="81824.399999999994"/>
    <n v="4.74"/>
  </r>
  <r>
    <x v="137"/>
    <s v="ORD101912"/>
    <x v="4"/>
    <x v="2"/>
    <x v="4"/>
    <x v="2"/>
    <x v="1"/>
    <n v="5862.4"/>
    <n v="2"/>
    <n v="11724.8"/>
    <n v="1.69"/>
  </r>
  <r>
    <x v="138"/>
    <s v="ORD100675"/>
    <x v="5"/>
    <x v="2"/>
    <x v="5"/>
    <x v="2"/>
    <x v="3"/>
    <n v="1693.88"/>
    <n v="5"/>
    <n v="8469.4"/>
    <n v="1.33"/>
  </r>
  <r>
    <x v="138"/>
    <s v="ORD101796"/>
    <x v="5"/>
    <x v="2"/>
    <x v="5"/>
    <x v="0"/>
    <x v="1"/>
    <n v="4528.5600000000004"/>
    <n v="1"/>
    <n v="4528.5600000000004"/>
    <n v="4.49"/>
  </r>
  <r>
    <x v="138"/>
    <s v="ORD101978"/>
    <x v="5"/>
    <x v="2"/>
    <x v="5"/>
    <x v="0"/>
    <x v="5"/>
    <n v="10631.57"/>
    <n v="5"/>
    <n v="53157.85"/>
    <n v="2.4500000000000002"/>
  </r>
  <r>
    <x v="276"/>
    <s v="ORD100290"/>
    <x v="6"/>
    <x v="2"/>
    <x v="6"/>
    <x v="2"/>
    <x v="4"/>
    <n v="13950.41"/>
    <n v="5"/>
    <n v="69752.05"/>
    <n v="2.98"/>
  </r>
  <r>
    <x v="276"/>
    <s v="ORD100650"/>
    <x v="6"/>
    <x v="2"/>
    <x v="6"/>
    <x v="1"/>
    <x v="4"/>
    <n v="18132.09"/>
    <n v="4"/>
    <n v="72528.36"/>
    <n v="3.73"/>
  </r>
  <r>
    <x v="329"/>
    <s v="ORD101371"/>
    <x v="4"/>
    <x v="2"/>
    <x v="4"/>
    <x v="1"/>
    <x v="2"/>
    <n v="11651.81"/>
    <n v="5"/>
    <n v="58259.05"/>
    <n v="3.4"/>
  </r>
  <r>
    <x v="139"/>
    <s v="ORD101423"/>
    <x v="5"/>
    <x v="2"/>
    <x v="5"/>
    <x v="2"/>
    <x v="0"/>
    <n v="16583.7"/>
    <n v="3"/>
    <n v="49751.1"/>
    <n v="3.66"/>
  </r>
  <r>
    <x v="277"/>
    <s v="ORD100224"/>
    <x v="6"/>
    <x v="2"/>
    <x v="6"/>
    <x v="0"/>
    <x v="4"/>
    <n v="9120.2800000000007"/>
    <n v="5"/>
    <n v="45601.4"/>
    <n v="3.49"/>
  </r>
  <r>
    <x v="140"/>
    <s v="ORD100489"/>
    <x v="6"/>
    <x v="2"/>
    <x v="6"/>
    <x v="1"/>
    <x v="4"/>
    <n v="19952.41"/>
    <n v="3"/>
    <n v="59857.23"/>
    <n v="2.34"/>
  </r>
  <r>
    <x v="141"/>
    <s v="ORD100156"/>
    <x v="5"/>
    <x v="2"/>
    <x v="5"/>
    <x v="1"/>
    <x v="0"/>
    <n v="5594.32"/>
    <n v="1"/>
    <n v="5594.32"/>
    <n v="2.3199999999999998"/>
  </r>
  <r>
    <x v="141"/>
    <s v="ORD101588"/>
    <x v="6"/>
    <x v="2"/>
    <x v="6"/>
    <x v="2"/>
    <x v="4"/>
    <n v="13158.4"/>
    <n v="1"/>
    <n v="13158.4"/>
    <n v="4.3099999999999996"/>
  </r>
  <r>
    <x v="141"/>
    <s v="ORD101675"/>
    <x v="4"/>
    <x v="2"/>
    <x v="4"/>
    <x v="0"/>
    <x v="1"/>
    <n v="1310.99"/>
    <n v="2"/>
    <n v="2621.98"/>
    <n v="2.4700000000000002"/>
  </r>
  <r>
    <x v="141"/>
    <s v="ORD101852"/>
    <x v="6"/>
    <x v="2"/>
    <x v="6"/>
    <x v="1"/>
    <x v="2"/>
    <n v="8231.73"/>
    <n v="2"/>
    <n v="16463.46"/>
    <n v="4.49"/>
  </r>
  <r>
    <x v="141"/>
    <s v="ORD101938"/>
    <x v="4"/>
    <x v="2"/>
    <x v="4"/>
    <x v="1"/>
    <x v="3"/>
    <n v="6527.21"/>
    <n v="1"/>
    <n v="6527.21"/>
    <n v="4.3600000000000003"/>
  </r>
  <r>
    <x v="142"/>
    <s v="ORD101070"/>
    <x v="5"/>
    <x v="2"/>
    <x v="5"/>
    <x v="2"/>
    <x v="0"/>
    <n v="17249.37"/>
    <n v="1"/>
    <n v="17249.37"/>
    <n v="3.37"/>
  </r>
  <r>
    <x v="143"/>
    <s v="ORD101264"/>
    <x v="6"/>
    <x v="2"/>
    <x v="6"/>
    <x v="1"/>
    <x v="3"/>
    <n v="12386.34"/>
    <n v="2"/>
    <n v="24772.68"/>
    <n v="1.76"/>
  </r>
  <r>
    <x v="144"/>
    <s v="ORD100183"/>
    <x v="4"/>
    <x v="2"/>
    <x v="4"/>
    <x v="1"/>
    <x v="3"/>
    <n v="3667.22"/>
    <n v="1"/>
    <n v="3667.22"/>
    <n v="1.95"/>
  </r>
  <r>
    <x v="144"/>
    <s v="ORD101128"/>
    <x v="5"/>
    <x v="2"/>
    <x v="5"/>
    <x v="1"/>
    <x v="0"/>
    <n v="12425.73"/>
    <n v="1"/>
    <n v="12425.73"/>
    <n v="3.45"/>
  </r>
  <r>
    <x v="144"/>
    <s v="ORD101207"/>
    <x v="4"/>
    <x v="2"/>
    <x v="4"/>
    <x v="0"/>
    <x v="0"/>
    <n v="19907.650000000001"/>
    <n v="3"/>
    <n v="59722.95"/>
    <n v="4.47"/>
  </r>
  <r>
    <x v="279"/>
    <s v="ORD101392"/>
    <x v="6"/>
    <x v="2"/>
    <x v="6"/>
    <x v="1"/>
    <x v="0"/>
    <n v="303.7"/>
    <n v="3"/>
    <n v="911.1"/>
    <n v="2.83"/>
  </r>
  <r>
    <x v="280"/>
    <s v="ORD100328"/>
    <x v="4"/>
    <x v="2"/>
    <x v="4"/>
    <x v="1"/>
    <x v="5"/>
    <n v="17969.12"/>
    <n v="5"/>
    <n v="89845.6"/>
    <n v="2.46"/>
  </r>
  <r>
    <x v="280"/>
    <s v="ORD100826"/>
    <x v="6"/>
    <x v="2"/>
    <x v="6"/>
    <x v="2"/>
    <x v="2"/>
    <n v="9293.92"/>
    <n v="3"/>
    <n v="27881.759999999998"/>
    <n v="3.21"/>
  </r>
  <r>
    <x v="280"/>
    <s v="ORD101066"/>
    <x v="4"/>
    <x v="2"/>
    <x v="4"/>
    <x v="2"/>
    <x v="5"/>
    <n v="11093.95"/>
    <n v="3"/>
    <n v="33281.85"/>
    <n v="3.53"/>
  </r>
  <r>
    <x v="280"/>
    <s v="ORD101706"/>
    <x v="4"/>
    <x v="2"/>
    <x v="4"/>
    <x v="0"/>
    <x v="2"/>
    <n v="2938.5"/>
    <n v="4"/>
    <n v="11754"/>
    <n v="3.72"/>
  </r>
  <r>
    <x v="145"/>
    <s v="ORD101091"/>
    <x v="5"/>
    <x v="2"/>
    <x v="5"/>
    <x v="2"/>
    <x v="5"/>
    <n v="2559.91"/>
    <n v="2"/>
    <n v="5119.82"/>
    <n v="2.1"/>
  </r>
  <r>
    <x v="145"/>
    <s v="ORD101177"/>
    <x v="4"/>
    <x v="2"/>
    <x v="4"/>
    <x v="2"/>
    <x v="2"/>
    <n v="3530.51"/>
    <n v="5"/>
    <n v="17652.55"/>
    <n v="3.61"/>
  </r>
  <r>
    <x v="281"/>
    <s v="ORD101314"/>
    <x v="5"/>
    <x v="2"/>
    <x v="5"/>
    <x v="1"/>
    <x v="4"/>
    <n v="15753.99"/>
    <n v="5"/>
    <n v="78769.95"/>
    <n v="2.29"/>
  </r>
  <r>
    <x v="281"/>
    <s v="ORD101390"/>
    <x v="6"/>
    <x v="2"/>
    <x v="6"/>
    <x v="2"/>
    <x v="0"/>
    <n v="10519.64"/>
    <n v="2"/>
    <n v="21039.279999999999"/>
    <n v="3.45"/>
  </r>
  <r>
    <x v="146"/>
    <s v="ORD100108"/>
    <x v="5"/>
    <x v="2"/>
    <x v="5"/>
    <x v="0"/>
    <x v="1"/>
    <n v="8125.12"/>
    <n v="1"/>
    <n v="8125.12"/>
    <n v="1.71"/>
  </r>
  <r>
    <x v="147"/>
    <s v="ORD101382"/>
    <x v="6"/>
    <x v="2"/>
    <x v="6"/>
    <x v="0"/>
    <x v="3"/>
    <n v="10624.55"/>
    <n v="2"/>
    <n v="21249.1"/>
    <n v="1.29"/>
  </r>
  <r>
    <x v="147"/>
    <s v="ORD101949"/>
    <x v="4"/>
    <x v="2"/>
    <x v="4"/>
    <x v="0"/>
    <x v="0"/>
    <n v="18691.43"/>
    <n v="3"/>
    <n v="56074.29"/>
    <n v="2.19"/>
  </r>
  <r>
    <x v="148"/>
    <s v="ORD100258"/>
    <x v="5"/>
    <x v="2"/>
    <x v="5"/>
    <x v="0"/>
    <x v="0"/>
    <n v="9011.19"/>
    <n v="5"/>
    <n v="45055.95"/>
    <n v="1.99"/>
  </r>
  <r>
    <x v="148"/>
    <s v="ORD101137"/>
    <x v="5"/>
    <x v="2"/>
    <x v="5"/>
    <x v="1"/>
    <x v="5"/>
    <n v="15695.77"/>
    <n v="2"/>
    <n v="31391.54"/>
    <n v="2.83"/>
  </r>
  <r>
    <x v="330"/>
    <s v="ORD100845"/>
    <x v="4"/>
    <x v="2"/>
    <x v="4"/>
    <x v="0"/>
    <x v="5"/>
    <n v="4792.21"/>
    <n v="3"/>
    <n v="14376.63"/>
    <n v="3.71"/>
  </r>
  <r>
    <x v="282"/>
    <s v="ORD100498"/>
    <x v="4"/>
    <x v="2"/>
    <x v="4"/>
    <x v="1"/>
    <x v="0"/>
    <n v="4605.92"/>
    <n v="3"/>
    <n v="13817.76"/>
    <n v="3.55"/>
  </r>
  <r>
    <x v="331"/>
    <s v="ORD101818"/>
    <x v="5"/>
    <x v="2"/>
    <x v="5"/>
    <x v="0"/>
    <x v="3"/>
    <n v="9184.44"/>
    <n v="4"/>
    <n v="36737.760000000002"/>
    <n v="2.14"/>
  </r>
  <r>
    <x v="152"/>
    <s v="ORD100332"/>
    <x v="6"/>
    <x v="2"/>
    <x v="6"/>
    <x v="0"/>
    <x v="5"/>
    <n v="6392.7"/>
    <n v="3"/>
    <n v="19178.099999999999"/>
    <n v="1.1599999999999999"/>
  </r>
  <r>
    <x v="153"/>
    <s v="ORD100163"/>
    <x v="5"/>
    <x v="2"/>
    <x v="5"/>
    <x v="2"/>
    <x v="2"/>
    <n v="4144.58"/>
    <n v="1"/>
    <n v="4144.58"/>
    <n v="3.97"/>
  </r>
  <r>
    <x v="153"/>
    <s v="ORD101507"/>
    <x v="4"/>
    <x v="2"/>
    <x v="4"/>
    <x v="1"/>
    <x v="3"/>
    <n v="12167.55"/>
    <n v="4"/>
    <n v="48670.2"/>
    <n v="1.41"/>
  </r>
  <r>
    <x v="153"/>
    <s v="ORD101545"/>
    <x v="4"/>
    <x v="2"/>
    <x v="4"/>
    <x v="0"/>
    <x v="4"/>
    <n v="5535.59"/>
    <n v="5"/>
    <n v="27677.95"/>
    <n v="4.24"/>
  </r>
  <r>
    <x v="154"/>
    <s v="ORD100388"/>
    <x v="4"/>
    <x v="2"/>
    <x v="4"/>
    <x v="0"/>
    <x v="0"/>
    <n v="15133.89"/>
    <n v="2"/>
    <n v="30267.78"/>
    <n v="1.62"/>
  </r>
  <r>
    <x v="154"/>
    <s v="ORD100758"/>
    <x v="5"/>
    <x v="2"/>
    <x v="5"/>
    <x v="1"/>
    <x v="5"/>
    <n v="18419.73"/>
    <n v="3"/>
    <n v="55259.19"/>
    <n v="3.13"/>
  </r>
  <r>
    <x v="154"/>
    <s v="ORD100868"/>
    <x v="4"/>
    <x v="2"/>
    <x v="4"/>
    <x v="1"/>
    <x v="4"/>
    <n v="18330.990000000002"/>
    <n v="4"/>
    <n v="73323.960000000006"/>
    <n v="2.34"/>
  </r>
  <r>
    <x v="154"/>
    <s v="ORD101141"/>
    <x v="4"/>
    <x v="2"/>
    <x v="4"/>
    <x v="1"/>
    <x v="2"/>
    <n v="338.91"/>
    <n v="5"/>
    <n v="1694.55"/>
    <n v="3.62"/>
  </r>
  <r>
    <x v="332"/>
    <s v="ORD100148"/>
    <x v="4"/>
    <x v="2"/>
    <x v="4"/>
    <x v="0"/>
    <x v="1"/>
    <n v="15019.37"/>
    <n v="1"/>
    <n v="15019.37"/>
    <n v="4.7"/>
  </r>
  <r>
    <x v="332"/>
    <s v="ORD100543"/>
    <x v="6"/>
    <x v="2"/>
    <x v="6"/>
    <x v="0"/>
    <x v="5"/>
    <n v="4444.1499999999996"/>
    <n v="2"/>
    <n v="8888.2999999999993"/>
    <n v="3.36"/>
  </r>
  <r>
    <x v="332"/>
    <s v="ORD101399"/>
    <x v="5"/>
    <x v="2"/>
    <x v="5"/>
    <x v="0"/>
    <x v="1"/>
    <n v="14460.59"/>
    <n v="5"/>
    <n v="72302.95"/>
    <n v="2.5499999999999998"/>
  </r>
  <r>
    <x v="333"/>
    <s v="ORD100213"/>
    <x v="6"/>
    <x v="2"/>
    <x v="6"/>
    <x v="0"/>
    <x v="3"/>
    <n v="15258.29"/>
    <n v="1"/>
    <n v="15258.29"/>
    <n v="3.74"/>
  </r>
  <r>
    <x v="333"/>
    <s v="ORD100549"/>
    <x v="4"/>
    <x v="2"/>
    <x v="4"/>
    <x v="0"/>
    <x v="1"/>
    <n v="13880.93"/>
    <n v="3"/>
    <n v="41642.79"/>
    <n v="2.21"/>
  </r>
  <r>
    <x v="333"/>
    <s v="ORD100856"/>
    <x v="5"/>
    <x v="2"/>
    <x v="5"/>
    <x v="0"/>
    <x v="1"/>
    <n v="14694.79"/>
    <n v="2"/>
    <n v="29389.58"/>
    <n v="3.38"/>
  </r>
  <r>
    <x v="155"/>
    <s v="ORD100959"/>
    <x v="6"/>
    <x v="2"/>
    <x v="6"/>
    <x v="0"/>
    <x v="3"/>
    <n v="13779.67"/>
    <n v="2"/>
    <n v="27559.34"/>
    <n v="3.51"/>
  </r>
  <r>
    <x v="157"/>
    <s v="ORD101529"/>
    <x v="6"/>
    <x v="2"/>
    <x v="6"/>
    <x v="0"/>
    <x v="3"/>
    <n v="8052.27"/>
    <n v="2"/>
    <n v="16104.54"/>
    <n v="1.63"/>
  </r>
  <r>
    <x v="157"/>
    <s v="ORD101684"/>
    <x v="5"/>
    <x v="2"/>
    <x v="5"/>
    <x v="0"/>
    <x v="5"/>
    <n v="15507.93"/>
    <n v="5"/>
    <n v="77539.649999999994"/>
    <n v="1.39"/>
  </r>
  <r>
    <x v="158"/>
    <s v="ORD100291"/>
    <x v="6"/>
    <x v="2"/>
    <x v="6"/>
    <x v="0"/>
    <x v="0"/>
    <n v="16949.919999999998"/>
    <n v="5"/>
    <n v="84749.6"/>
    <n v="4.6100000000000003"/>
  </r>
  <r>
    <x v="159"/>
    <s v="ORD100611"/>
    <x v="6"/>
    <x v="2"/>
    <x v="6"/>
    <x v="1"/>
    <x v="3"/>
    <n v="1757.45"/>
    <n v="4"/>
    <n v="7029.8"/>
    <n v="3.29"/>
  </r>
  <r>
    <x v="159"/>
    <s v="ORD101556"/>
    <x v="6"/>
    <x v="2"/>
    <x v="6"/>
    <x v="2"/>
    <x v="1"/>
    <n v="5777.57"/>
    <n v="1"/>
    <n v="5777.57"/>
    <n v="2.13"/>
  </r>
  <r>
    <x v="159"/>
    <s v="ORD101811"/>
    <x v="6"/>
    <x v="2"/>
    <x v="6"/>
    <x v="2"/>
    <x v="1"/>
    <n v="13821.66"/>
    <n v="5"/>
    <n v="69108.3"/>
    <n v="4.24"/>
  </r>
  <r>
    <x v="284"/>
    <s v="ORD100070"/>
    <x v="4"/>
    <x v="2"/>
    <x v="4"/>
    <x v="0"/>
    <x v="5"/>
    <n v="5338.3"/>
    <n v="5"/>
    <n v="26691.5"/>
    <n v="2.98"/>
  </r>
  <r>
    <x v="284"/>
    <s v="ORD100574"/>
    <x v="4"/>
    <x v="2"/>
    <x v="4"/>
    <x v="0"/>
    <x v="0"/>
    <n v="4543.82"/>
    <n v="4"/>
    <n v="18175.28"/>
    <n v="2.15"/>
  </r>
  <r>
    <x v="161"/>
    <s v="ORD100880"/>
    <x v="5"/>
    <x v="2"/>
    <x v="5"/>
    <x v="2"/>
    <x v="1"/>
    <n v="17078.68"/>
    <n v="2"/>
    <n v="34157.360000000001"/>
    <n v="3.8"/>
  </r>
  <r>
    <x v="161"/>
    <s v="ORD101249"/>
    <x v="5"/>
    <x v="2"/>
    <x v="5"/>
    <x v="1"/>
    <x v="4"/>
    <n v="7950.16"/>
    <n v="4"/>
    <n v="31800.639999999999"/>
    <n v="1.53"/>
  </r>
  <r>
    <x v="162"/>
    <s v="ORD100312"/>
    <x v="6"/>
    <x v="2"/>
    <x v="6"/>
    <x v="2"/>
    <x v="3"/>
    <n v="3529.62"/>
    <n v="1"/>
    <n v="3529.62"/>
    <n v="3.73"/>
  </r>
  <r>
    <x v="162"/>
    <s v="ORD101767"/>
    <x v="4"/>
    <x v="2"/>
    <x v="4"/>
    <x v="0"/>
    <x v="4"/>
    <n v="14268.9"/>
    <n v="3"/>
    <n v="42806.7"/>
    <n v="4.59"/>
  </r>
  <r>
    <x v="163"/>
    <s v="ORD101075"/>
    <x v="4"/>
    <x v="2"/>
    <x v="4"/>
    <x v="0"/>
    <x v="4"/>
    <n v="19963.439999999999"/>
    <n v="1"/>
    <n v="19963.439999999999"/>
    <n v="1.96"/>
  </r>
  <r>
    <x v="163"/>
    <s v="ORD101956"/>
    <x v="5"/>
    <x v="2"/>
    <x v="5"/>
    <x v="0"/>
    <x v="3"/>
    <n v="9401.11"/>
    <n v="4"/>
    <n v="37604.44"/>
    <n v="1.1599999999999999"/>
  </r>
  <r>
    <x v="164"/>
    <s v="ORD100285"/>
    <x v="6"/>
    <x v="2"/>
    <x v="6"/>
    <x v="0"/>
    <x v="1"/>
    <n v="12262.74"/>
    <n v="3"/>
    <n v="36788.22"/>
    <n v="4.03"/>
  </r>
  <r>
    <x v="164"/>
    <s v="ORD100465"/>
    <x v="5"/>
    <x v="2"/>
    <x v="5"/>
    <x v="2"/>
    <x v="2"/>
    <n v="10671.95"/>
    <n v="2"/>
    <n v="21343.9"/>
    <n v="4.97"/>
  </r>
  <r>
    <x v="164"/>
    <s v="ORD101865"/>
    <x v="4"/>
    <x v="2"/>
    <x v="4"/>
    <x v="1"/>
    <x v="0"/>
    <n v="10980.91"/>
    <n v="4"/>
    <n v="43923.64"/>
    <n v="1.7"/>
  </r>
  <r>
    <x v="164"/>
    <s v="ORD101933"/>
    <x v="4"/>
    <x v="2"/>
    <x v="4"/>
    <x v="1"/>
    <x v="4"/>
    <n v="13650.47"/>
    <n v="1"/>
    <n v="13650.47"/>
    <n v="1.79"/>
  </r>
  <r>
    <x v="285"/>
    <s v="ORD100036"/>
    <x v="6"/>
    <x v="2"/>
    <x v="6"/>
    <x v="0"/>
    <x v="1"/>
    <n v="19025.22"/>
    <n v="2"/>
    <n v="38050.44"/>
    <n v="1.07"/>
  </r>
  <r>
    <x v="285"/>
    <s v="ORD100415"/>
    <x v="4"/>
    <x v="2"/>
    <x v="4"/>
    <x v="1"/>
    <x v="3"/>
    <n v="4908"/>
    <n v="5"/>
    <n v="24540"/>
    <n v="2.5499999999999998"/>
  </r>
  <r>
    <x v="165"/>
    <s v="ORD100382"/>
    <x v="4"/>
    <x v="2"/>
    <x v="4"/>
    <x v="0"/>
    <x v="2"/>
    <n v="9957.56"/>
    <n v="1"/>
    <n v="9957.56"/>
    <n v="1.6"/>
  </r>
  <r>
    <x v="165"/>
    <s v="ORD101383"/>
    <x v="6"/>
    <x v="2"/>
    <x v="6"/>
    <x v="1"/>
    <x v="1"/>
    <n v="8295.5"/>
    <n v="4"/>
    <n v="33182"/>
    <n v="2.0299999999999998"/>
  </r>
  <r>
    <x v="166"/>
    <s v="ORD100030"/>
    <x v="5"/>
    <x v="2"/>
    <x v="5"/>
    <x v="1"/>
    <x v="5"/>
    <n v="6584.51"/>
    <n v="3"/>
    <n v="19753.53"/>
    <n v="1.02"/>
  </r>
  <r>
    <x v="166"/>
    <s v="ORD100334"/>
    <x v="4"/>
    <x v="2"/>
    <x v="4"/>
    <x v="0"/>
    <x v="5"/>
    <n v="719.86"/>
    <n v="3"/>
    <n v="2159.58"/>
    <n v="2.7"/>
  </r>
  <r>
    <x v="166"/>
    <s v="ORD101295"/>
    <x v="5"/>
    <x v="2"/>
    <x v="5"/>
    <x v="1"/>
    <x v="0"/>
    <n v="1912.41"/>
    <n v="5"/>
    <n v="9562.0499999999993"/>
    <n v="4.63"/>
  </r>
  <r>
    <x v="286"/>
    <s v="ORD101084"/>
    <x v="6"/>
    <x v="2"/>
    <x v="6"/>
    <x v="2"/>
    <x v="5"/>
    <n v="18055.38"/>
    <n v="1"/>
    <n v="18055.38"/>
    <n v="2.2999999999999998"/>
  </r>
  <r>
    <x v="286"/>
    <s v="ORD101789"/>
    <x v="5"/>
    <x v="2"/>
    <x v="5"/>
    <x v="1"/>
    <x v="2"/>
    <n v="13403.85"/>
    <n v="2"/>
    <n v="26807.7"/>
    <n v="1.43"/>
  </r>
  <r>
    <x v="167"/>
    <s v="ORD100215"/>
    <x v="4"/>
    <x v="2"/>
    <x v="4"/>
    <x v="0"/>
    <x v="4"/>
    <n v="3720.33"/>
    <n v="3"/>
    <n v="11160.99"/>
    <n v="3.96"/>
  </r>
  <r>
    <x v="167"/>
    <s v="ORD100456"/>
    <x v="5"/>
    <x v="2"/>
    <x v="5"/>
    <x v="0"/>
    <x v="4"/>
    <n v="12270.86"/>
    <n v="3"/>
    <n v="36812.58"/>
    <n v="2.0699999999999998"/>
  </r>
  <r>
    <x v="167"/>
    <s v="ORD101640"/>
    <x v="5"/>
    <x v="2"/>
    <x v="5"/>
    <x v="0"/>
    <x v="0"/>
    <n v="11262.2"/>
    <n v="4"/>
    <n v="45048.800000000003"/>
    <n v="3.57"/>
  </r>
  <r>
    <x v="167"/>
    <s v="ORD101768"/>
    <x v="6"/>
    <x v="2"/>
    <x v="6"/>
    <x v="0"/>
    <x v="3"/>
    <n v="7507.56"/>
    <n v="5"/>
    <n v="37537.800000000003"/>
    <n v="2.8"/>
  </r>
  <r>
    <x v="334"/>
    <s v="ORD100060"/>
    <x v="6"/>
    <x v="2"/>
    <x v="6"/>
    <x v="0"/>
    <x v="0"/>
    <n v="12970.41"/>
    <n v="3"/>
    <n v="38911.230000000003"/>
    <n v="4.71"/>
  </r>
  <r>
    <x v="334"/>
    <s v="ORD100414"/>
    <x v="6"/>
    <x v="2"/>
    <x v="6"/>
    <x v="0"/>
    <x v="3"/>
    <n v="11087.98"/>
    <n v="4"/>
    <n v="44351.92"/>
    <n v="2.94"/>
  </r>
  <r>
    <x v="334"/>
    <s v="ORD100947"/>
    <x v="4"/>
    <x v="2"/>
    <x v="4"/>
    <x v="2"/>
    <x v="0"/>
    <n v="10893.12"/>
    <n v="1"/>
    <n v="10893.12"/>
    <n v="4.1399999999999997"/>
  </r>
  <r>
    <x v="168"/>
    <s v="ORD100655"/>
    <x v="6"/>
    <x v="2"/>
    <x v="6"/>
    <x v="0"/>
    <x v="2"/>
    <n v="8709.64"/>
    <n v="1"/>
    <n v="8709.64"/>
    <n v="1.79"/>
  </r>
  <r>
    <x v="169"/>
    <s v="ORD100496"/>
    <x v="6"/>
    <x v="2"/>
    <x v="6"/>
    <x v="0"/>
    <x v="1"/>
    <n v="12683.17"/>
    <n v="2"/>
    <n v="25366.34"/>
    <n v="1.38"/>
  </r>
  <r>
    <x v="169"/>
    <s v="ORD101386"/>
    <x v="6"/>
    <x v="2"/>
    <x v="6"/>
    <x v="2"/>
    <x v="1"/>
    <n v="10310.6"/>
    <n v="3"/>
    <n v="30931.8"/>
    <n v="3.43"/>
  </r>
  <r>
    <x v="170"/>
    <s v="ORD101101"/>
    <x v="6"/>
    <x v="2"/>
    <x v="6"/>
    <x v="1"/>
    <x v="1"/>
    <n v="19395.59"/>
    <n v="5"/>
    <n v="96977.95"/>
    <n v="1.49"/>
  </r>
  <r>
    <x v="170"/>
    <s v="ORD101321"/>
    <x v="6"/>
    <x v="2"/>
    <x v="6"/>
    <x v="1"/>
    <x v="2"/>
    <n v="5381.18"/>
    <n v="3"/>
    <n v="16143.54"/>
    <n v="1.1299999999999999"/>
  </r>
  <r>
    <x v="170"/>
    <s v="ORD101367"/>
    <x v="5"/>
    <x v="2"/>
    <x v="5"/>
    <x v="2"/>
    <x v="3"/>
    <n v="8159.27"/>
    <n v="4"/>
    <n v="32637.08"/>
    <n v="1.9"/>
  </r>
  <r>
    <x v="170"/>
    <s v="ORD101600"/>
    <x v="5"/>
    <x v="2"/>
    <x v="5"/>
    <x v="0"/>
    <x v="4"/>
    <n v="11073.85"/>
    <n v="3"/>
    <n v="33221.550000000003"/>
    <n v="2.0299999999999998"/>
  </r>
  <r>
    <x v="170"/>
    <s v="ORD101807"/>
    <x v="6"/>
    <x v="2"/>
    <x v="6"/>
    <x v="2"/>
    <x v="1"/>
    <n v="16386.400000000001"/>
    <n v="3"/>
    <n v="49159.199999999997"/>
    <n v="2.8"/>
  </r>
  <r>
    <x v="335"/>
    <s v="ORD100934"/>
    <x v="6"/>
    <x v="2"/>
    <x v="6"/>
    <x v="2"/>
    <x v="1"/>
    <n v="14968.02"/>
    <n v="3"/>
    <n v="44904.06"/>
    <n v="1.93"/>
  </r>
  <r>
    <x v="171"/>
    <s v="ORD100337"/>
    <x v="4"/>
    <x v="2"/>
    <x v="4"/>
    <x v="0"/>
    <x v="2"/>
    <n v="17880.400000000001"/>
    <n v="3"/>
    <n v="53641.2"/>
    <n v="3.91"/>
  </r>
  <r>
    <x v="171"/>
    <s v="ORD100554"/>
    <x v="6"/>
    <x v="2"/>
    <x v="6"/>
    <x v="1"/>
    <x v="0"/>
    <n v="16730.86"/>
    <n v="3"/>
    <n v="50192.58"/>
    <n v="2.33"/>
  </r>
  <r>
    <x v="287"/>
    <s v="ORD100100"/>
    <x v="4"/>
    <x v="2"/>
    <x v="4"/>
    <x v="1"/>
    <x v="1"/>
    <n v="9543.5300000000007"/>
    <n v="1"/>
    <n v="9543.5300000000007"/>
    <n v="1.8"/>
  </r>
  <r>
    <x v="287"/>
    <s v="ORD100200"/>
    <x v="5"/>
    <x v="2"/>
    <x v="5"/>
    <x v="1"/>
    <x v="0"/>
    <n v="16574.13"/>
    <n v="2"/>
    <n v="33148.26"/>
    <n v="1.26"/>
  </r>
  <r>
    <x v="287"/>
    <s v="ORD101797"/>
    <x v="6"/>
    <x v="2"/>
    <x v="6"/>
    <x v="1"/>
    <x v="0"/>
    <n v="11974.36"/>
    <n v="3"/>
    <n v="35923.08"/>
    <n v="2.96"/>
  </r>
  <r>
    <x v="336"/>
    <s v="ORD100173"/>
    <x v="6"/>
    <x v="2"/>
    <x v="6"/>
    <x v="0"/>
    <x v="0"/>
    <n v="2903.55"/>
    <n v="3"/>
    <n v="8710.65"/>
    <n v="1.03"/>
  </r>
  <r>
    <x v="336"/>
    <s v="ORD100604"/>
    <x v="5"/>
    <x v="2"/>
    <x v="5"/>
    <x v="2"/>
    <x v="1"/>
    <n v="5388.11"/>
    <n v="3"/>
    <n v="16164.33"/>
    <n v="2.2000000000000002"/>
  </r>
  <r>
    <x v="336"/>
    <s v="ORD101406"/>
    <x v="4"/>
    <x v="2"/>
    <x v="4"/>
    <x v="1"/>
    <x v="5"/>
    <n v="9431.17"/>
    <n v="1"/>
    <n v="9431.17"/>
    <n v="1.07"/>
  </r>
  <r>
    <x v="336"/>
    <s v="ORD101647"/>
    <x v="4"/>
    <x v="2"/>
    <x v="4"/>
    <x v="1"/>
    <x v="5"/>
    <n v="17259.52"/>
    <n v="5"/>
    <n v="86297.600000000006"/>
    <n v="2.77"/>
  </r>
  <r>
    <x v="173"/>
    <s v="ORD101526"/>
    <x v="6"/>
    <x v="2"/>
    <x v="6"/>
    <x v="2"/>
    <x v="4"/>
    <n v="15614.03"/>
    <n v="5"/>
    <n v="78070.149999999994"/>
    <n v="3.92"/>
  </r>
  <r>
    <x v="173"/>
    <s v="ORD101726"/>
    <x v="6"/>
    <x v="2"/>
    <x v="6"/>
    <x v="1"/>
    <x v="3"/>
    <n v="4544.47"/>
    <n v="1"/>
    <n v="4544.47"/>
    <n v="2.5099999999999998"/>
  </r>
  <r>
    <x v="174"/>
    <s v="ORD100878"/>
    <x v="4"/>
    <x v="2"/>
    <x v="4"/>
    <x v="1"/>
    <x v="0"/>
    <n v="18635.03"/>
    <n v="1"/>
    <n v="18635.03"/>
    <n v="1.22"/>
  </r>
  <r>
    <x v="289"/>
    <s v="ORD100923"/>
    <x v="4"/>
    <x v="2"/>
    <x v="4"/>
    <x v="1"/>
    <x v="5"/>
    <n v="3001.58"/>
    <n v="5"/>
    <n v="15007.9"/>
    <n v="2.2599999999999998"/>
  </r>
  <r>
    <x v="289"/>
    <s v="ORD101029"/>
    <x v="5"/>
    <x v="2"/>
    <x v="5"/>
    <x v="1"/>
    <x v="5"/>
    <n v="19068.53"/>
    <n v="3"/>
    <n v="57205.59"/>
    <n v="2.94"/>
  </r>
  <r>
    <x v="289"/>
    <s v="ORD101986"/>
    <x v="5"/>
    <x v="2"/>
    <x v="5"/>
    <x v="1"/>
    <x v="5"/>
    <n v="16294.61"/>
    <n v="4"/>
    <n v="65178.44"/>
    <n v="1.61"/>
  </r>
  <r>
    <x v="175"/>
    <s v="ORD100239"/>
    <x v="5"/>
    <x v="2"/>
    <x v="5"/>
    <x v="2"/>
    <x v="1"/>
    <n v="12041.72"/>
    <n v="2"/>
    <n v="24083.439999999999"/>
    <n v="4.45"/>
  </r>
  <r>
    <x v="175"/>
    <s v="ORD101463"/>
    <x v="5"/>
    <x v="2"/>
    <x v="5"/>
    <x v="0"/>
    <x v="0"/>
    <n v="6214.04"/>
    <n v="5"/>
    <n v="31070.2"/>
    <n v="4.6100000000000003"/>
  </r>
  <r>
    <x v="290"/>
    <s v="ORD100952"/>
    <x v="5"/>
    <x v="2"/>
    <x v="5"/>
    <x v="2"/>
    <x v="0"/>
    <n v="19978.169999999998"/>
    <n v="3"/>
    <n v="59934.51"/>
    <n v="4.74"/>
  </r>
  <r>
    <x v="290"/>
    <s v="ORD101298"/>
    <x v="5"/>
    <x v="2"/>
    <x v="5"/>
    <x v="2"/>
    <x v="0"/>
    <n v="9710.34"/>
    <n v="1"/>
    <n v="9710.34"/>
    <n v="2.34"/>
  </r>
  <r>
    <x v="290"/>
    <s v="ORD101309"/>
    <x v="6"/>
    <x v="2"/>
    <x v="6"/>
    <x v="2"/>
    <x v="3"/>
    <n v="14192.73"/>
    <n v="5"/>
    <n v="70963.649999999994"/>
    <n v="2.62"/>
  </r>
  <r>
    <x v="291"/>
    <s v="ORD100703"/>
    <x v="4"/>
    <x v="2"/>
    <x v="4"/>
    <x v="2"/>
    <x v="4"/>
    <n v="17793.66"/>
    <n v="5"/>
    <n v="88968.3"/>
    <n v="2.66"/>
  </r>
  <r>
    <x v="291"/>
    <s v="ORD100916"/>
    <x v="6"/>
    <x v="2"/>
    <x v="6"/>
    <x v="0"/>
    <x v="2"/>
    <n v="2503.38"/>
    <n v="1"/>
    <n v="2503.38"/>
    <n v="1.43"/>
  </r>
  <r>
    <x v="291"/>
    <s v="ORD101922"/>
    <x v="5"/>
    <x v="2"/>
    <x v="5"/>
    <x v="2"/>
    <x v="5"/>
    <n v="1377.6"/>
    <n v="2"/>
    <n v="2755.2"/>
    <n v="2.67"/>
  </r>
  <r>
    <x v="337"/>
    <s v="ORD100009"/>
    <x v="4"/>
    <x v="2"/>
    <x v="4"/>
    <x v="1"/>
    <x v="0"/>
    <n v="6326.57"/>
    <n v="3"/>
    <n v="18979.71"/>
    <n v="2.0499999999999998"/>
  </r>
  <r>
    <x v="292"/>
    <s v="ORD101391"/>
    <x v="4"/>
    <x v="2"/>
    <x v="4"/>
    <x v="2"/>
    <x v="3"/>
    <n v="15369.35"/>
    <n v="4"/>
    <n v="61477.4"/>
    <n v="1.39"/>
  </r>
  <r>
    <x v="176"/>
    <s v="ORD100286"/>
    <x v="5"/>
    <x v="2"/>
    <x v="5"/>
    <x v="0"/>
    <x v="1"/>
    <n v="17175.560000000001"/>
    <n v="4"/>
    <n v="68702.240000000005"/>
    <n v="2.04"/>
  </r>
  <r>
    <x v="176"/>
    <s v="ORD100914"/>
    <x v="5"/>
    <x v="2"/>
    <x v="5"/>
    <x v="2"/>
    <x v="0"/>
    <n v="17303.509999999998"/>
    <n v="5"/>
    <n v="86517.55"/>
    <n v="2.93"/>
  </r>
  <r>
    <x v="177"/>
    <s v="ORD100719"/>
    <x v="6"/>
    <x v="2"/>
    <x v="6"/>
    <x v="1"/>
    <x v="0"/>
    <n v="11921.63"/>
    <n v="5"/>
    <n v="59608.15"/>
    <n v="2.99"/>
  </r>
  <r>
    <x v="177"/>
    <s v="ORD101053"/>
    <x v="6"/>
    <x v="2"/>
    <x v="6"/>
    <x v="0"/>
    <x v="2"/>
    <n v="4260.68"/>
    <n v="3"/>
    <n v="12782.04"/>
    <n v="3.44"/>
  </r>
  <r>
    <x v="177"/>
    <s v="ORD101099"/>
    <x v="6"/>
    <x v="2"/>
    <x v="6"/>
    <x v="1"/>
    <x v="2"/>
    <n v="16997.22"/>
    <n v="3"/>
    <n v="50991.66"/>
    <n v="4.88"/>
  </r>
  <r>
    <x v="178"/>
    <s v="ORD101051"/>
    <x v="4"/>
    <x v="2"/>
    <x v="4"/>
    <x v="1"/>
    <x v="4"/>
    <n v="2508.6"/>
    <n v="3"/>
    <n v="7525.8"/>
    <n v="4.1900000000000004"/>
  </r>
  <r>
    <x v="178"/>
    <s v="ORD101554"/>
    <x v="6"/>
    <x v="2"/>
    <x v="6"/>
    <x v="0"/>
    <x v="2"/>
    <n v="12054.16"/>
    <n v="3"/>
    <n v="36162.480000000003"/>
    <n v="2.31"/>
  </r>
  <r>
    <x v="178"/>
    <s v="ORD101565"/>
    <x v="6"/>
    <x v="2"/>
    <x v="6"/>
    <x v="0"/>
    <x v="0"/>
    <n v="4004.93"/>
    <n v="4"/>
    <n v="16019.72"/>
    <n v="3.27"/>
  </r>
  <r>
    <x v="338"/>
    <s v="ORD100052"/>
    <x v="6"/>
    <x v="2"/>
    <x v="6"/>
    <x v="0"/>
    <x v="0"/>
    <n v="14895.57"/>
    <n v="1"/>
    <n v="14895.57"/>
    <n v="3.73"/>
  </r>
  <r>
    <x v="338"/>
    <s v="ORD100949"/>
    <x v="6"/>
    <x v="2"/>
    <x v="6"/>
    <x v="2"/>
    <x v="5"/>
    <n v="16235.27"/>
    <n v="4"/>
    <n v="64941.08"/>
    <n v="1.02"/>
  </r>
  <r>
    <x v="338"/>
    <s v="ORD101236"/>
    <x v="4"/>
    <x v="2"/>
    <x v="4"/>
    <x v="0"/>
    <x v="1"/>
    <n v="14069.44"/>
    <n v="4"/>
    <n v="56277.760000000002"/>
    <n v="4.75"/>
  </r>
  <r>
    <x v="179"/>
    <s v="ORD100466"/>
    <x v="5"/>
    <x v="2"/>
    <x v="5"/>
    <x v="1"/>
    <x v="1"/>
    <n v="16185.45"/>
    <n v="3"/>
    <n v="48556.35"/>
    <n v="1.8"/>
  </r>
  <r>
    <x v="179"/>
    <s v="ORD100844"/>
    <x v="4"/>
    <x v="2"/>
    <x v="4"/>
    <x v="0"/>
    <x v="0"/>
    <n v="1216.48"/>
    <n v="4"/>
    <n v="4865.92"/>
    <n v="3.16"/>
  </r>
  <r>
    <x v="179"/>
    <s v="ORD101635"/>
    <x v="5"/>
    <x v="2"/>
    <x v="5"/>
    <x v="1"/>
    <x v="3"/>
    <n v="5860.1"/>
    <n v="4"/>
    <n v="23440.400000000001"/>
    <n v="1.44"/>
  </r>
  <r>
    <x v="180"/>
    <s v="ORD100883"/>
    <x v="6"/>
    <x v="2"/>
    <x v="6"/>
    <x v="2"/>
    <x v="0"/>
    <n v="17913.88"/>
    <n v="4"/>
    <n v="71655.520000000004"/>
    <n v="4.3099999999999996"/>
  </r>
  <r>
    <x v="180"/>
    <s v="ORD101059"/>
    <x v="5"/>
    <x v="2"/>
    <x v="5"/>
    <x v="0"/>
    <x v="0"/>
    <n v="16746.25"/>
    <n v="4"/>
    <n v="66985"/>
    <n v="4.7"/>
  </r>
  <r>
    <x v="180"/>
    <s v="ORD101117"/>
    <x v="5"/>
    <x v="2"/>
    <x v="5"/>
    <x v="2"/>
    <x v="1"/>
    <n v="3725.83"/>
    <n v="2"/>
    <n v="7451.66"/>
    <n v="4.8099999999999996"/>
  </r>
  <r>
    <x v="180"/>
    <s v="ORD101120"/>
    <x v="5"/>
    <x v="2"/>
    <x v="5"/>
    <x v="1"/>
    <x v="2"/>
    <n v="1710.05"/>
    <n v="5"/>
    <n v="8550.25"/>
    <n v="2.19"/>
  </r>
  <r>
    <x v="180"/>
    <s v="ORD101324"/>
    <x v="5"/>
    <x v="2"/>
    <x v="5"/>
    <x v="2"/>
    <x v="0"/>
    <n v="7364.04"/>
    <n v="2"/>
    <n v="14728.08"/>
    <n v="4.43"/>
  </r>
  <r>
    <x v="180"/>
    <s v="ORD101868"/>
    <x v="5"/>
    <x v="2"/>
    <x v="5"/>
    <x v="0"/>
    <x v="3"/>
    <n v="13809.48"/>
    <n v="4"/>
    <n v="55237.919999999998"/>
    <n v="4.7300000000000004"/>
  </r>
  <r>
    <x v="180"/>
    <s v="ORD101871"/>
    <x v="4"/>
    <x v="2"/>
    <x v="4"/>
    <x v="1"/>
    <x v="4"/>
    <n v="14739.88"/>
    <n v="1"/>
    <n v="14739.88"/>
    <n v="2.04"/>
  </r>
  <r>
    <x v="181"/>
    <s v="ORD100078"/>
    <x v="4"/>
    <x v="2"/>
    <x v="4"/>
    <x v="0"/>
    <x v="1"/>
    <n v="19086.5"/>
    <n v="5"/>
    <n v="95432.5"/>
    <n v="3.75"/>
  </r>
  <r>
    <x v="181"/>
    <s v="ORD100723"/>
    <x v="5"/>
    <x v="2"/>
    <x v="5"/>
    <x v="1"/>
    <x v="4"/>
    <n v="19845.78"/>
    <n v="1"/>
    <n v="19845.78"/>
    <n v="4.26"/>
  </r>
  <r>
    <x v="181"/>
    <s v="ORD101415"/>
    <x v="4"/>
    <x v="2"/>
    <x v="4"/>
    <x v="2"/>
    <x v="0"/>
    <n v="1943.08"/>
    <n v="3"/>
    <n v="5829.24"/>
    <n v="1.94"/>
  </r>
  <r>
    <x v="339"/>
    <s v="ORD101712"/>
    <x v="5"/>
    <x v="2"/>
    <x v="5"/>
    <x v="1"/>
    <x v="3"/>
    <n v="2372.85"/>
    <n v="5"/>
    <n v="11864.25"/>
    <n v="1.96"/>
  </r>
  <r>
    <x v="182"/>
    <s v="ORD100943"/>
    <x v="6"/>
    <x v="2"/>
    <x v="6"/>
    <x v="0"/>
    <x v="4"/>
    <n v="16501.8"/>
    <n v="3"/>
    <n v="49505.4"/>
    <n v="2.69"/>
  </r>
  <r>
    <x v="183"/>
    <s v="ORD100696"/>
    <x v="6"/>
    <x v="2"/>
    <x v="6"/>
    <x v="2"/>
    <x v="3"/>
    <n v="6871.93"/>
    <n v="3"/>
    <n v="20615.79"/>
    <n v="4.3600000000000003"/>
  </r>
  <r>
    <x v="183"/>
    <s v="ORD100985"/>
    <x v="4"/>
    <x v="2"/>
    <x v="4"/>
    <x v="1"/>
    <x v="4"/>
    <n v="3622.46"/>
    <n v="3"/>
    <n v="10867.38"/>
    <n v="2.1800000000000002"/>
  </r>
  <r>
    <x v="183"/>
    <s v="ORD101780"/>
    <x v="5"/>
    <x v="2"/>
    <x v="5"/>
    <x v="2"/>
    <x v="0"/>
    <n v="10175.61"/>
    <n v="2"/>
    <n v="20351.22"/>
    <n v="4.22"/>
  </r>
  <r>
    <x v="184"/>
    <s v="ORD100911"/>
    <x v="6"/>
    <x v="2"/>
    <x v="6"/>
    <x v="0"/>
    <x v="3"/>
    <n v="6032.72"/>
    <n v="2"/>
    <n v="12065.44"/>
    <n v="4.1500000000000004"/>
  </r>
  <r>
    <x v="184"/>
    <s v="ORD101483"/>
    <x v="4"/>
    <x v="2"/>
    <x v="4"/>
    <x v="2"/>
    <x v="4"/>
    <n v="3098.74"/>
    <n v="2"/>
    <n v="6197.48"/>
    <n v="2.59"/>
  </r>
  <r>
    <x v="293"/>
    <s v="ORD101518"/>
    <x v="6"/>
    <x v="2"/>
    <x v="6"/>
    <x v="1"/>
    <x v="1"/>
    <n v="18439.29"/>
    <n v="4"/>
    <n v="73757.16"/>
    <n v="1.24"/>
  </r>
  <r>
    <x v="340"/>
    <s v="ORD100531"/>
    <x v="6"/>
    <x v="2"/>
    <x v="6"/>
    <x v="2"/>
    <x v="2"/>
    <n v="13365.14"/>
    <n v="5"/>
    <n v="66825.7"/>
    <n v="1.69"/>
  </r>
  <r>
    <x v="340"/>
    <s v="ORD101058"/>
    <x v="5"/>
    <x v="2"/>
    <x v="5"/>
    <x v="0"/>
    <x v="4"/>
    <n v="7499.83"/>
    <n v="4"/>
    <n v="29999.32"/>
    <n v="3.64"/>
  </r>
  <r>
    <x v="340"/>
    <s v="ORD101144"/>
    <x v="6"/>
    <x v="2"/>
    <x v="6"/>
    <x v="2"/>
    <x v="1"/>
    <n v="9795.94"/>
    <n v="1"/>
    <n v="9795.94"/>
    <n v="2.4300000000000002"/>
  </r>
  <r>
    <x v="340"/>
    <s v="ORD101642"/>
    <x v="6"/>
    <x v="2"/>
    <x v="6"/>
    <x v="2"/>
    <x v="1"/>
    <n v="3150.89"/>
    <n v="3"/>
    <n v="9452.67"/>
    <n v="4.8899999999999997"/>
  </r>
  <r>
    <x v="186"/>
    <s v="ORD101173"/>
    <x v="5"/>
    <x v="2"/>
    <x v="5"/>
    <x v="1"/>
    <x v="0"/>
    <n v="3514.93"/>
    <n v="3"/>
    <n v="10544.79"/>
    <n v="3.52"/>
  </r>
  <r>
    <x v="188"/>
    <s v="ORD100044"/>
    <x v="6"/>
    <x v="2"/>
    <x v="6"/>
    <x v="1"/>
    <x v="4"/>
    <n v="8545.16"/>
    <n v="2"/>
    <n v="17090.32"/>
    <n v="1.57"/>
  </r>
  <r>
    <x v="189"/>
    <s v="ORD100186"/>
    <x v="6"/>
    <x v="2"/>
    <x v="6"/>
    <x v="1"/>
    <x v="0"/>
    <n v="7164.15"/>
    <n v="1"/>
    <n v="7164.15"/>
    <n v="3.64"/>
  </r>
  <r>
    <x v="189"/>
    <s v="ORD100405"/>
    <x v="5"/>
    <x v="2"/>
    <x v="5"/>
    <x v="2"/>
    <x v="3"/>
    <n v="510.03"/>
    <n v="3"/>
    <n v="1530.09"/>
    <n v="3.99"/>
  </r>
  <r>
    <x v="189"/>
    <s v="ORD100428"/>
    <x v="5"/>
    <x v="2"/>
    <x v="5"/>
    <x v="1"/>
    <x v="2"/>
    <n v="3572.43"/>
    <n v="3"/>
    <n v="10717.29"/>
    <n v="4.8099999999999996"/>
  </r>
  <r>
    <x v="189"/>
    <s v="ORD100734"/>
    <x v="4"/>
    <x v="2"/>
    <x v="4"/>
    <x v="0"/>
    <x v="4"/>
    <n v="17310.57"/>
    <n v="4"/>
    <n v="69242.28"/>
    <n v="4.42"/>
  </r>
  <r>
    <x v="189"/>
    <s v="ORD100764"/>
    <x v="4"/>
    <x v="2"/>
    <x v="4"/>
    <x v="2"/>
    <x v="2"/>
    <n v="17594.5"/>
    <n v="3"/>
    <n v="52783.5"/>
    <n v="1.18"/>
  </r>
  <r>
    <x v="189"/>
    <s v="ORD101454"/>
    <x v="5"/>
    <x v="2"/>
    <x v="5"/>
    <x v="1"/>
    <x v="3"/>
    <n v="19435.88"/>
    <n v="1"/>
    <n v="19435.88"/>
    <n v="1.1100000000000001"/>
  </r>
  <r>
    <x v="189"/>
    <s v="ORD101542"/>
    <x v="4"/>
    <x v="2"/>
    <x v="4"/>
    <x v="0"/>
    <x v="5"/>
    <n v="14866.42"/>
    <n v="3"/>
    <n v="44599.26"/>
    <n v="3.35"/>
  </r>
  <r>
    <x v="190"/>
    <s v="ORD100747"/>
    <x v="6"/>
    <x v="2"/>
    <x v="6"/>
    <x v="1"/>
    <x v="1"/>
    <n v="8106.78"/>
    <n v="2"/>
    <n v="16213.56"/>
    <n v="3.37"/>
  </r>
  <r>
    <x v="190"/>
    <s v="ORD100988"/>
    <x v="6"/>
    <x v="2"/>
    <x v="6"/>
    <x v="0"/>
    <x v="3"/>
    <n v="2465.58"/>
    <n v="3"/>
    <n v="7396.74"/>
    <n v="2.54"/>
  </r>
  <r>
    <x v="190"/>
    <s v="ORD101316"/>
    <x v="5"/>
    <x v="2"/>
    <x v="5"/>
    <x v="0"/>
    <x v="4"/>
    <n v="16957.46"/>
    <n v="3"/>
    <n v="50872.38"/>
    <n v="4.22"/>
  </r>
  <r>
    <x v="192"/>
    <s v="ORD100089"/>
    <x v="5"/>
    <x v="2"/>
    <x v="5"/>
    <x v="0"/>
    <x v="4"/>
    <n v="5026.21"/>
    <n v="1"/>
    <n v="5026.21"/>
    <n v="3.36"/>
  </r>
  <r>
    <x v="193"/>
    <s v="ORD100353"/>
    <x v="4"/>
    <x v="2"/>
    <x v="4"/>
    <x v="0"/>
    <x v="2"/>
    <n v="3578.64"/>
    <n v="1"/>
    <n v="3578.64"/>
    <n v="3.79"/>
  </r>
  <r>
    <x v="193"/>
    <s v="ORD101362"/>
    <x v="6"/>
    <x v="2"/>
    <x v="6"/>
    <x v="0"/>
    <x v="2"/>
    <n v="13495.32"/>
    <n v="5"/>
    <n v="67476.600000000006"/>
    <n v="1.3"/>
  </r>
  <r>
    <x v="193"/>
    <s v="ORD101665"/>
    <x v="6"/>
    <x v="2"/>
    <x v="6"/>
    <x v="2"/>
    <x v="0"/>
    <n v="9438.1200000000008"/>
    <n v="2"/>
    <n v="18876.240000000002"/>
    <n v="2.21"/>
  </r>
  <r>
    <x v="193"/>
    <s v="ORD101893"/>
    <x v="4"/>
    <x v="2"/>
    <x v="4"/>
    <x v="0"/>
    <x v="4"/>
    <n v="15848.15"/>
    <n v="3"/>
    <n v="47544.45"/>
    <n v="3.15"/>
  </r>
  <r>
    <x v="294"/>
    <s v="ORD100695"/>
    <x v="5"/>
    <x v="2"/>
    <x v="5"/>
    <x v="2"/>
    <x v="1"/>
    <n v="16683.04"/>
    <n v="3"/>
    <n v="50049.120000000003"/>
    <n v="1.45"/>
  </r>
  <r>
    <x v="294"/>
    <s v="ORD100999"/>
    <x v="5"/>
    <x v="2"/>
    <x v="5"/>
    <x v="0"/>
    <x v="4"/>
    <n v="12653.34"/>
    <n v="2"/>
    <n v="25306.68"/>
    <n v="3.26"/>
  </r>
  <r>
    <x v="194"/>
    <s v="ORD100277"/>
    <x v="6"/>
    <x v="2"/>
    <x v="6"/>
    <x v="1"/>
    <x v="1"/>
    <n v="806.86"/>
    <n v="3"/>
    <n v="2420.58"/>
    <n v="1.97"/>
  </r>
  <r>
    <x v="194"/>
    <s v="ORD100640"/>
    <x v="5"/>
    <x v="2"/>
    <x v="5"/>
    <x v="1"/>
    <x v="4"/>
    <n v="17554.95"/>
    <n v="3"/>
    <n v="52664.85"/>
    <n v="2.0299999999999998"/>
  </r>
  <r>
    <x v="195"/>
    <s v="ORD100473"/>
    <x v="6"/>
    <x v="2"/>
    <x v="6"/>
    <x v="0"/>
    <x v="1"/>
    <n v="1225.08"/>
    <n v="3"/>
    <n v="3675.24"/>
    <n v="4.8600000000000003"/>
  </r>
  <r>
    <x v="195"/>
    <s v="ORD101744"/>
    <x v="5"/>
    <x v="2"/>
    <x v="5"/>
    <x v="2"/>
    <x v="5"/>
    <n v="13262.29"/>
    <n v="3"/>
    <n v="39786.870000000003"/>
    <n v="4.7300000000000004"/>
  </r>
  <r>
    <x v="195"/>
    <s v="ORD101930"/>
    <x v="6"/>
    <x v="2"/>
    <x v="6"/>
    <x v="0"/>
    <x v="1"/>
    <n v="13604.7"/>
    <n v="1"/>
    <n v="13604.7"/>
    <n v="3.31"/>
  </r>
  <r>
    <x v="341"/>
    <s v="ORD101559"/>
    <x v="6"/>
    <x v="2"/>
    <x v="6"/>
    <x v="0"/>
    <x v="5"/>
    <n v="14731.57"/>
    <n v="1"/>
    <n v="14731.57"/>
    <n v="2.11"/>
  </r>
  <r>
    <x v="296"/>
    <s v="ORD100848"/>
    <x v="6"/>
    <x v="2"/>
    <x v="6"/>
    <x v="2"/>
    <x v="4"/>
    <n v="11389.67"/>
    <n v="4"/>
    <n v="45558.68"/>
    <n v="2.35"/>
  </r>
  <r>
    <x v="296"/>
    <s v="ORD101388"/>
    <x v="4"/>
    <x v="2"/>
    <x v="4"/>
    <x v="2"/>
    <x v="0"/>
    <n v="17591.52"/>
    <n v="3"/>
    <n v="52774.559999999998"/>
    <n v="1.42"/>
  </r>
  <r>
    <x v="196"/>
    <s v="ORD100631"/>
    <x v="4"/>
    <x v="2"/>
    <x v="4"/>
    <x v="2"/>
    <x v="2"/>
    <n v="9180.7999999999993"/>
    <n v="2"/>
    <n v="18361.599999999999"/>
    <n v="2.93"/>
  </r>
  <r>
    <x v="197"/>
    <s v="ORD100073"/>
    <x v="5"/>
    <x v="2"/>
    <x v="5"/>
    <x v="2"/>
    <x v="2"/>
    <n v="7881.58"/>
    <n v="4"/>
    <n v="31526.32"/>
    <n v="3.73"/>
  </r>
  <r>
    <x v="297"/>
    <s v="ORD100563"/>
    <x v="6"/>
    <x v="2"/>
    <x v="6"/>
    <x v="2"/>
    <x v="0"/>
    <n v="11466.7"/>
    <n v="5"/>
    <n v="57333.5"/>
    <n v="3.42"/>
  </r>
  <r>
    <x v="297"/>
    <s v="ORD100573"/>
    <x v="6"/>
    <x v="2"/>
    <x v="6"/>
    <x v="0"/>
    <x v="2"/>
    <n v="3807.48"/>
    <n v="3"/>
    <n v="11422.44"/>
    <n v="3.34"/>
  </r>
  <r>
    <x v="297"/>
    <s v="ORD100602"/>
    <x v="5"/>
    <x v="2"/>
    <x v="5"/>
    <x v="0"/>
    <x v="2"/>
    <n v="4256.37"/>
    <n v="5"/>
    <n v="21281.85"/>
    <n v="1.55"/>
  </r>
  <r>
    <x v="297"/>
    <s v="ORD101064"/>
    <x v="5"/>
    <x v="2"/>
    <x v="5"/>
    <x v="0"/>
    <x v="1"/>
    <n v="18510.22"/>
    <n v="1"/>
    <n v="18510.22"/>
    <n v="3.73"/>
  </r>
  <r>
    <x v="198"/>
    <s v="ORD100674"/>
    <x v="6"/>
    <x v="2"/>
    <x v="6"/>
    <x v="2"/>
    <x v="1"/>
    <n v="13255.83"/>
    <n v="1"/>
    <n v="13255.83"/>
    <n v="2.73"/>
  </r>
  <r>
    <x v="198"/>
    <s v="ORD100909"/>
    <x v="6"/>
    <x v="2"/>
    <x v="6"/>
    <x v="2"/>
    <x v="0"/>
    <n v="4292.37"/>
    <n v="1"/>
    <n v="4292.37"/>
    <n v="2.5299999999999998"/>
  </r>
  <r>
    <x v="198"/>
    <s v="ORD101206"/>
    <x v="6"/>
    <x v="2"/>
    <x v="6"/>
    <x v="2"/>
    <x v="4"/>
    <n v="5219.28"/>
    <n v="3"/>
    <n v="15657.84"/>
    <n v="3.11"/>
  </r>
  <r>
    <x v="198"/>
    <s v="ORD101966"/>
    <x v="5"/>
    <x v="2"/>
    <x v="5"/>
    <x v="1"/>
    <x v="4"/>
    <n v="8763.31"/>
    <n v="5"/>
    <n v="43816.55"/>
    <n v="2.5499999999999998"/>
  </r>
  <r>
    <x v="199"/>
    <s v="ORD100114"/>
    <x v="5"/>
    <x v="2"/>
    <x v="5"/>
    <x v="0"/>
    <x v="1"/>
    <n v="5317.74"/>
    <n v="2"/>
    <n v="10635.48"/>
    <n v="1.87"/>
  </r>
  <r>
    <x v="199"/>
    <s v="ORD101897"/>
    <x v="5"/>
    <x v="2"/>
    <x v="5"/>
    <x v="0"/>
    <x v="3"/>
    <n v="10060.620000000001"/>
    <n v="2"/>
    <n v="20121.240000000002"/>
    <n v="2.62"/>
  </r>
  <r>
    <x v="200"/>
    <s v="ORD100271"/>
    <x v="5"/>
    <x v="2"/>
    <x v="5"/>
    <x v="1"/>
    <x v="3"/>
    <n v="17023.759999999998"/>
    <n v="4"/>
    <n v="68095.039999999994"/>
    <n v="3.65"/>
  </r>
  <r>
    <x v="200"/>
    <s v="ORD101632"/>
    <x v="4"/>
    <x v="2"/>
    <x v="4"/>
    <x v="0"/>
    <x v="5"/>
    <n v="10131.49"/>
    <n v="2"/>
    <n v="20262.98"/>
    <n v="2.52"/>
  </r>
  <r>
    <x v="342"/>
    <s v="ORD100075"/>
    <x v="6"/>
    <x v="2"/>
    <x v="6"/>
    <x v="0"/>
    <x v="3"/>
    <n v="13558.27"/>
    <n v="1"/>
    <n v="13558.27"/>
    <n v="2.5299999999999998"/>
  </r>
  <r>
    <x v="342"/>
    <s v="ORD101090"/>
    <x v="6"/>
    <x v="2"/>
    <x v="6"/>
    <x v="0"/>
    <x v="4"/>
    <n v="9139.01"/>
    <n v="1"/>
    <n v="9139.01"/>
    <n v="2.96"/>
  </r>
  <r>
    <x v="342"/>
    <s v="ORD101721"/>
    <x v="6"/>
    <x v="2"/>
    <x v="6"/>
    <x v="1"/>
    <x v="4"/>
    <n v="2883.65"/>
    <n v="1"/>
    <n v="2883.65"/>
    <n v="3.23"/>
  </r>
  <r>
    <x v="343"/>
    <s v="ORD100908"/>
    <x v="4"/>
    <x v="2"/>
    <x v="4"/>
    <x v="1"/>
    <x v="0"/>
    <n v="6942.68"/>
    <n v="5"/>
    <n v="34713.4"/>
    <n v="2.56"/>
  </r>
  <r>
    <x v="343"/>
    <s v="ORD101163"/>
    <x v="5"/>
    <x v="2"/>
    <x v="5"/>
    <x v="1"/>
    <x v="2"/>
    <n v="18376.52"/>
    <n v="3"/>
    <n v="55129.56"/>
    <n v="3.37"/>
  </r>
  <r>
    <x v="343"/>
    <s v="ORD101611"/>
    <x v="5"/>
    <x v="2"/>
    <x v="5"/>
    <x v="2"/>
    <x v="4"/>
    <n v="16339.04"/>
    <n v="2"/>
    <n v="32678.080000000002"/>
    <n v="3.7"/>
  </r>
  <r>
    <x v="344"/>
    <s v="ORD100659"/>
    <x v="6"/>
    <x v="2"/>
    <x v="6"/>
    <x v="0"/>
    <x v="5"/>
    <n v="4361.9399999999996"/>
    <n v="1"/>
    <n v="4361.9399999999996"/>
    <n v="2.19"/>
  </r>
  <r>
    <x v="344"/>
    <s v="ORD101500"/>
    <x v="5"/>
    <x v="2"/>
    <x v="5"/>
    <x v="2"/>
    <x v="5"/>
    <n v="3940.7"/>
    <n v="2"/>
    <n v="7881.4"/>
    <n v="4.4000000000000004"/>
  </r>
  <r>
    <x v="201"/>
    <s v="ORD100644"/>
    <x v="5"/>
    <x v="2"/>
    <x v="5"/>
    <x v="0"/>
    <x v="3"/>
    <n v="9332.07"/>
    <n v="5"/>
    <n v="46660.35"/>
    <n v="3.53"/>
  </r>
  <r>
    <x v="201"/>
    <s v="ORD100921"/>
    <x v="6"/>
    <x v="2"/>
    <x v="6"/>
    <x v="2"/>
    <x v="4"/>
    <n v="6609.86"/>
    <n v="2"/>
    <n v="13219.72"/>
    <n v="3.94"/>
  </r>
  <r>
    <x v="201"/>
    <s v="ORD101729"/>
    <x v="6"/>
    <x v="2"/>
    <x v="6"/>
    <x v="1"/>
    <x v="2"/>
    <n v="5700.46"/>
    <n v="4"/>
    <n v="22801.84"/>
    <n v="1.58"/>
  </r>
  <r>
    <x v="202"/>
    <s v="ORD100449"/>
    <x v="6"/>
    <x v="2"/>
    <x v="6"/>
    <x v="0"/>
    <x v="0"/>
    <n v="4042.91"/>
    <n v="1"/>
    <n v="4042.91"/>
    <n v="1.47"/>
  </r>
  <r>
    <x v="203"/>
    <s v="ORD101444"/>
    <x v="6"/>
    <x v="2"/>
    <x v="6"/>
    <x v="0"/>
    <x v="1"/>
    <n v="5844.32"/>
    <n v="3"/>
    <n v="17532.96"/>
    <n v="2.7"/>
  </r>
  <r>
    <x v="203"/>
    <s v="ORD101618"/>
    <x v="5"/>
    <x v="2"/>
    <x v="5"/>
    <x v="2"/>
    <x v="3"/>
    <n v="6520.31"/>
    <n v="5"/>
    <n v="32601.55"/>
    <n v="4.95"/>
  </r>
  <r>
    <x v="203"/>
    <s v="ORD101736"/>
    <x v="4"/>
    <x v="2"/>
    <x v="4"/>
    <x v="1"/>
    <x v="5"/>
    <n v="13788.47"/>
    <n v="1"/>
    <n v="13788.47"/>
    <n v="2.66"/>
  </r>
  <r>
    <x v="345"/>
    <s v="ORD100326"/>
    <x v="5"/>
    <x v="2"/>
    <x v="5"/>
    <x v="2"/>
    <x v="3"/>
    <n v="2032.29"/>
    <n v="4"/>
    <n v="8129.16"/>
    <n v="2.94"/>
  </r>
  <r>
    <x v="204"/>
    <s v="ORD100000"/>
    <x v="5"/>
    <x v="2"/>
    <x v="5"/>
    <x v="0"/>
    <x v="1"/>
    <n v="16284.02"/>
    <n v="1"/>
    <n v="16284.02"/>
    <n v="1.39"/>
  </r>
  <r>
    <x v="299"/>
    <s v="ORD100907"/>
    <x v="6"/>
    <x v="2"/>
    <x v="6"/>
    <x v="1"/>
    <x v="0"/>
    <n v="3208.88"/>
    <n v="2"/>
    <n v="6417.76"/>
    <n v="4.92"/>
  </r>
  <r>
    <x v="299"/>
    <s v="ORD101686"/>
    <x v="6"/>
    <x v="2"/>
    <x v="6"/>
    <x v="0"/>
    <x v="2"/>
    <n v="7901.04"/>
    <n v="1"/>
    <n v="7901.04"/>
    <n v="1.1000000000000001"/>
  </r>
  <r>
    <x v="299"/>
    <s v="ORD101890"/>
    <x v="5"/>
    <x v="2"/>
    <x v="5"/>
    <x v="2"/>
    <x v="1"/>
    <n v="18175.13"/>
    <n v="5"/>
    <n v="90875.65"/>
    <n v="3.96"/>
  </r>
  <r>
    <x v="205"/>
    <s v="ORD100177"/>
    <x v="6"/>
    <x v="2"/>
    <x v="6"/>
    <x v="0"/>
    <x v="1"/>
    <n v="15494.89"/>
    <n v="5"/>
    <n v="77474.45"/>
    <n v="3.92"/>
  </r>
  <r>
    <x v="205"/>
    <s v="ORD100619"/>
    <x v="4"/>
    <x v="2"/>
    <x v="4"/>
    <x v="0"/>
    <x v="4"/>
    <n v="10779.44"/>
    <n v="2"/>
    <n v="21558.880000000001"/>
    <n v="3.52"/>
  </r>
  <r>
    <x v="205"/>
    <s v="ORD100757"/>
    <x v="4"/>
    <x v="2"/>
    <x v="4"/>
    <x v="1"/>
    <x v="0"/>
    <n v="19304.580000000002"/>
    <n v="4"/>
    <n v="77218.320000000007"/>
    <n v="4.16"/>
  </r>
  <r>
    <x v="206"/>
    <s v="ORD101301"/>
    <x v="4"/>
    <x v="2"/>
    <x v="4"/>
    <x v="2"/>
    <x v="4"/>
    <n v="7595.25"/>
    <n v="3"/>
    <n v="22785.75"/>
    <n v="1.87"/>
  </r>
  <r>
    <x v="207"/>
    <s v="ORD100241"/>
    <x v="5"/>
    <x v="2"/>
    <x v="5"/>
    <x v="1"/>
    <x v="5"/>
    <n v="13692.53"/>
    <n v="1"/>
    <n v="13692.53"/>
    <n v="4.45"/>
  </r>
  <r>
    <x v="207"/>
    <s v="ORD101345"/>
    <x v="5"/>
    <x v="2"/>
    <x v="5"/>
    <x v="2"/>
    <x v="2"/>
    <n v="17726.47"/>
    <n v="3"/>
    <n v="53179.41"/>
    <n v="1.05"/>
  </r>
  <r>
    <x v="207"/>
    <s v="ORD101662"/>
    <x v="4"/>
    <x v="2"/>
    <x v="4"/>
    <x v="2"/>
    <x v="5"/>
    <n v="15633.75"/>
    <n v="5"/>
    <n v="78168.75"/>
    <n v="4.37"/>
  </r>
  <r>
    <x v="208"/>
    <s v="ORD101170"/>
    <x v="6"/>
    <x v="2"/>
    <x v="6"/>
    <x v="0"/>
    <x v="0"/>
    <n v="4120.7299999999996"/>
    <n v="5"/>
    <n v="20603.650000000001"/>
    <n v="1.34"/>
  </r>
  <r>
    <x v="300"/>
    <s v="ORD100221"/>
    <x v="6"/>
    <x v="2"/>
    <x v="6"/>
    <x v="2"/>
    <x v="3"/>
    <n v="14632.09"/>
    <n v="5"/>
    <n v="73160.45"/>
    <n v="3.65"/>
  </r>
  <r>
    <x v="300"/>
    <s v="ORD101246"/>
    <x v="5"/>
    <x v="2"/>
    <x v="5"/>
    <x v="2"/>
    <x v="2"/>
    <n v="18426.509999999998"/>
    <n v="4"/>
    <n v="73706.039999999994"/>
    <n v="4.46"/>
  </r>
  <r>
    <x v="301"/>
    <s v="ORD100886"/>
    <x v="6"/>
    <x v="2"/>
    <x v="6"/>
    <x v="0"/>
    <x v="1"/>
    <n v="13648.26"/>
    <n v="4"/>
    <n v="54593.04"/>
    <n v="3.87"/>
  </r>
  <r>
    <x v="301"/>
    <s v="ORD101184"/>
    <x v="5"/>
    <x v="2"/>
    <x v="5"/>
    <x v="0"/>
    <x v="4"/>
    <n v="11145.37"/>
    <n v="5"/>
    <n v="55726.85"/>
    <n v="1.28"/>
  </r>
  <r>
    <x v="301"/>
    <s v="ORD101735"/>
    <x v="5"/>
    <x v="2"/>
    <x v="5"/>
    <x v="1"/>
    <x v="0"/>
    <n v="10173.94"/>
    <n v="2"/>
    <n v="20347.88"/>
    <n v="3.74"/>
  </r>
  <r>
    <x v="210"/>
    <s v="ORD100229"/>
    <x v="4"/>
    <x v="2"/>
    <x v="4"/>
    <x v="0"/>
    <x v="5"/>
    <n v="1408.94"/>
    <n v="2"/>
    <n v="2817.88"/>
    <n v="3.65"/>
  </r>
  <r>
    <x v="210"/>
    <s v="ORD100301"/>
    <x v="6"/>
    <x v="2"/>
    <x v="6"/>
    <x v="1"/>
    <x v="2"/>
    <n v="4411.57"/>
    <n v="5"/>
    <n v="22057.85"/>
    <n v="3.83"/>
  </r>
  <r>
    <x v="210"/>
    <s v="ORD100781"/>
    <x v="5"/>
    <x v="2"/>
    <x v="5"/>
    <x v="1"/>
    <x v="3"/>
    <n v="19600.650000000001"/>
    <n v="3"/>
    <n v="58801.95"/>
    <n v="4.84"/>
  </r>
  <r>
    <x v="210"/>
    <s v="ORD101573"/>
    <x v="5"/>
    <x v="2"/>
    <x v="5"/>
    <x v="2"/>
    <x v="0"/>
    <n v="9142.9699999999993"/>
    <n v="5"/>
    <n v="45714.85"/>
    <n v="3.3"/>
  </r>
  <r>
    <x v="211"/>
    <s v="ORD100248"/>
    <x v="6"/>
    <x v="2"/>
    <x v="6"/>
    <x v="1"/>
    <x v="1"/>
    <n v="9932.89"/>
    <n v="2"/>
    <n v="19865.78"/>
    <n v="1.97"/>
  </r>
  <r>
    <x v="211"/>
    <s v="ORD100555"/>
    <x v="6"/>
    <x v="2"/>
    <x v="6"/>
    <x v="1"/>
    <x v="0"/>
    <n v="18972.32"/>
    <n v="5"/>
    <n v="94861.6"/>
    <n v="2.67"/>
  </r>
  <r>
    <x v="211"/>
    <s v="ORD101560"/>
    <x v="5"/>
    <x v="2"/>
    <x v="5"/>
    <x v="0"/>
    <x v="5"/>
    <n v="6755.52"/>
    <n v="4"/>
    <n v="27022.080000000002"/>
    <n v="3.06"/>
  </r>
  <r>
    <x v="211"/>
    <s v="ORD101800"/>
    <x v="5"/>
    <x v="2"/>
    <x v="5"/>
    <x v="0"/>
    <x v="2"/>
    <n v="13834.7"/>
    <n v="5"/>
    <n v="69173.5"/>
    <n v="1.23"/>
  </r>
  <r>
    <x v="212"/>
    <s v="ORD101072"/>
    <x v="4"/>
    <x v="2"/>
    <x v="4"/>
    <x v="2"/>
    <x v="5"/>
    <n v="8402.33"/>
    <n v="1"/>
    <n v="8402.33"/>
    <n v="4.12"/>
  </r>
  <r>
    <x v="302"/>
    <s v="ORD100998"/>
    <x v="5"/>
    <x v="2"/>
    <x v="5"/>
    <x v="1"/>
    <x v="3"/>
    <n v="17199.07"/>
    <n v="5"/>
    <n v="85995.35"/>
    <n v="2.8"/>
  </r>
  <r>
    <x v="302"/>
    <s v="ORD101461"/>
    <x v="4"/>
    <x v="2"/>
    <x v="4"/>
    <x v="1"/>
    <x v="5"/>
    <n v="8638.59"/>
    <n v="4"/>
    <n v="34554.36"/>
    <n v="2.5"/>
  </r>
  <r>
    <x v="213"/>
    <s v="ORD101664"/>
    <x v="4"/>
    <x v="2"/>
    <x v="4"/>
    <x v="2"/>
    <x v="2"/>
    <n v="2327.0700000000002"/>
    <n v="1"/>
    <n v="2327.0700000000002"/>
    <n v="1.2"/>
  </r>
  <r>
    <x v="303"/>
    <s v="ORD101353"/>
    <x v="5"/>
    <x v="2"/>
    <x v="5"/>
    <x v="1"/>
    <x v="5"/>
    <n v="9121.43"/>
    <n v="4"/>
    <n v="36485.72"/>
    <n v="4.43"/>
  </r>
  <r>
    <x v="214"/>
    <s v="ORD100550"/>
    <x v="6"/>
    <x v="2"/>
    <x v="6"/>
    <x v="2"/>
    <x v="0"/>
    <n v="1989.96"/>
    <n v="2"/>
    <n v="3979.92"/>
    <n v="3.31"/>
  </r>
  <r>
    <x v="214"/>
    <s v="ORD101129"/>
    <x v="4"/>
    <x v="2"/>
    <x v="4"/>
    <x v="0"/>
    <x v="5"/>
    <n v="11165.91"/>
    <n v="4"/>
    <n v="44663.64"/>
    <n v="3.4"/>
  </r>
  <r>
    <x v="214"/>
    <s v="ORD101389"/>
    <x v="4"/>
    <x v="2"/>
    <x v="4"/>
    <x v="1"/>
    <x v="5"/>
    <n v="11130.49"/>
    <n v="2"/>
    <n v="22260.98"/>
    <n v="4.93"/>
  </r>
  <r>
    <x v="215"/>
    <s v="ORD100776"/>
    <x v="5"/>
    <x v="2"/>
    <x v="5"/>
    <x v="0"/>
    <x v="5"/>
    <n v="14025.27"/>
    <n v="4"/>
    <n v="56101.08"/>
    <n v="3.88"/>
  </r>
  <r>
    <x v="304"/>
    <s v="ORD100042"/>
    <x v="4"/>
    <x v="2"/>
    <x v="4"/>
    <x v="0"/>
    <x v="2"/>
    <n v="12852.91"/>
    <n v="4"/>
    <n v="51411.64"/>
    <n v="1.38"/>
  </r>
  <r>
    <x v="304"/>
    <s v="ORD100281"/>
    <x v="5"/>
    <x v="2"/>
    <x v="5"/>
    <x v="1"/>
    <x v="3"/>
    <n v="2334.8000000000002"/>
    <n v="3"/>
    <n v="7004.4"/>
    <n v="2.0099999999999998"/>
  </r>
  <r>
    <x v="304"/>
    <s v="ORD101083"/>
    <x v="6"/>
    <x v="2"/>
    <x v="6"/>
    <x v="0"/>
    <x v="0"/>
    <n v="16627.900000000001"/>
    <n v="4"/>
    <n v="66511.600000000006"/>
    <n v="1.26"/>
  </r>
  <r>
    <x v="346"/>
    <s v="ORD100048"/>
    <x v="4"/>
    <x v="2"/>
    <x v="4"/>
    <x v="1"/>
    <x v="4"/>
    <n v="12112.14"/>
    <n v="3"/>
    <n v="36336.42"/>
    <n v="3.7"/>
  </r>
  <r>
    <x v="216"/>
    <s v="ORD100059"/>
    <x v="6"/>
    <x v="2"/>
    <x v="6"/>
    <x v="0"/>
    <x v="3"/>
    <n v="7877.19"/>
    <n v="1"/>
    <n v="7877.19"/>
    <n v="4.33"/>
  </r>
  <r>
    <x v="216"/>
    <s v="ORD100111"/>
    <x v="4"/>
    <x v="2"/>
    <x v="4"/>
    <x v="0"/>
    <x v="1"/>
    <n v="459.64"/>
    <n v="3"/>
    <n v="1378.92"/>
    <n v="3.74"/>
  </r>
  <r>
    <x v="216"/>
    <s v="ORD100540"/>
    <x v="4"/>
    <x v="2"/>
    <x v="4"/>
    <x v="1"/>
    <x v="0"/>
    <n v="909.41"/>
    <n v="5"/>
    <n v="4547.05"/>
    <n v="1.78"/>
  </r>
  <r>
    <x v="216"/>
    <s v="ORD101680"/>
    <x v="5"/>
    <x v="2"/>
    <x v="5"/>
    <x v="2"/>
    <x v="0"/>
    <n v="1176.58"/>
    <n v="2"/>
    <n v="2353.16"/>
    <n v="3.89"/>
  </r>
  <r>
    <x v="216"/>
    <s v="ORD101799"/>
    <x v="4"/>
    <x v="2"/>
    <x v="4"/>
    <x v="2"/>
    <x v="2"/>
    <n v="18980.16"/>
    <n v="5"/>
    <n v="94900.800000000003"/>
    <n v="1.25"/>
  </r>
  <r>
    <x v="217"/>
    <s v="ORD101649"/>
    <x v="6"/>
    <x v="2"/>
    <x v="6"/>
    <x v="2"/>
    <x v="1"/>
    <n v="1635.81"/>
    <n v="1"/>
    <n v="1635.81"/>
    <n v="2.67"/>
  </r>
  <r>
    <x v="218"/>
    <s v="ORD100069"/>
    <x v="6"/>
    <x v="2"/>
    <x v="6"/>
    <x v="0"/>
    <x v="2"/>
    <n v="5639.27"/>
    <n v="1"/>
    <n v="5639.27"/>
    <n v="3.45"/>
  </r>
  <r>
    <x v="218"/>
    <s v="ORD100158"/>
    <x v="4"/>
    <x v="2"/>
    <x v="4"/>
    <x v="0"/>
    <x v="4"/>
    <n v="18802.41"/>
    <n v="5"/>
    <n v="94012.05"/>
    <n v="4.49"/>
  </r>
  <r>
    <x v="218"/>
    <s v="ORD100445"/>
    <x v="4"/>
    <x v="2"/>
    <x v="4"/>
    <x v="0"/>
    <x v="2"/>
    <n v="4049.44"/>
    <n v="3"/>
    <n v="12148.32"/>
    <n v="1.1499999999999999"/>
  </r>
  <r>
    <x v="218"/>
    <s v="ORD101719"/>
    <x v="5"/>
    <x v="2"/>
    <x v="5"/>
    <x v="1"/>
    <x v="5"/>
    <n v="14199.37"/>
    <n v="5"/>
    <n v="70996.850000000006"/>
    <n v="3.72"/>
  </r>
  <r>
    <x v="219"/>
    <s v="ORD100167"/>
    <x v="5"/>
    <x v="2"/>
    <x v="5"/>
    <x v="1"/>
    <x v="2"/>
    <n v="13646.15"/>
    <n v="2"/>
    <n v="27292.3"/>
    <n v="4.24"/>
  </r>
  <r>
    <x v="219"/>
    <s v="ORD100214"/>
    <x v="5"/>
    <x v="2"/>
    <x v="5"/>
    <x v="1"/>
    <x v="2"/>
    <n v="12359.28"/>
    <n v="3"/>
    <n v="37077.839999999997"/>
    <n v="3.74"/>
  </r>
  <r>
    <x v="220"/>
    <s v="ORD101045"/>
    <x v="6"/>
    <x v="2"/>
    <x v="6"/>
    <x v="2"/>
    <x v="4"/>
    <n v="19586.150000000001"/>
    <n v="3"/>
    <n v="58758.45"/>
    <n v="4.22"/>
  </r>
  <r>
    <x v="347"/>
    <s v="ORD100928"/>
    <x v="5"/>
    <x v="2"/>
    <x v="5"/>
    <x v="1"/>
    <x v="5"/>
    <n v="9329.19"/>
    <n v="3"/>
    <n v="27987.57"/>
    <n v="4.6100000000000003"/>
  </r>
  <r>
    <x v="223"/>
    <s v="ORD101352"/>
    <x v="5"/>
    <x v="2"/>
    <x v="5"/>
    <x v="2"/>
    <x v="2"/>
    <n v="13225.14"/>
    <n v="1"/>
    <n v="13225.14"/>
    <n v="3.08"/>
  </r>
  <r>
    <x v="348"/>
    <s v="ORD101210"/>
    <x v="4"/>
    <x v="2"/>
    <x v="4"/>
    <x v="2"/>
    <x v="0"/>
    <n v="1797.55"/>
    <n v="5"/>
    <n v="8987.75"/>
    <n v="3.21"/>
  </r>
  <r>
    <x v="348"/>
    <s v="ORD101426"/>
    <x v="6"/>
    <x v="2"/>
    <x v="6"/>
    <x v="0"/>
    <x v="2"/>
    <n v="7353.75"/>
    <n v="1"/>
    <n v="7353.75"/>
    <n v="3.3"/>
  </r>
  <r>
    <x v="348"/>
    <s v="ORD101708"/>
    <x v="5"/>
    <x v="2"/>
    <x v="5"/>
    <x v="0"/>
    <x v="4"/>
    <n v="18671.82"/>
    <n v="2"/>
    <n v="37343.64"/>
    <n v="4.18"/>
  </r>
  <r>
    <x v="224"/>
    <s v="ORD100523"/>
    <x v="5"/>
    <x v="2"/>
    <x v="5"/>
    <x v="0"/>
    <x v="3"/>
    <n v="13318.98"/>
    <n v="3"/>
    <n v="39956.94"/>
    <n v="2.57"/>
  </r>
  <r>
    <x v="224"/>
    <s v="ORD101255"/>
    <x v="5"/>
    <x v="2"/>
    <x v="5"/>
    <x v="0"/>
    <x v="0"/>
    <n v="6694.92"/>
    <n v="3"/>
    <n v="20084.759999999998"/>
    <n v="2.39"/>
  </r>
  <r>
    <x v="224"/>
    <s v="ORD101304"/>
    <x v="5"/>
    <x v="2"/>
    <x v="5"/>
    <x v="0"/>
    <x v="3"/>
    <n v="13547.51"/>
    <n v="4"/>
    <n v="54190.04"/>
    <n v="2.88"/>
  </r>
  <r>
    <x v="305"/>
    <s v="ORD100711"/>
    <x v="4"/>
    <x v="2"/>
    <x v="4"/>
    <x v="1"/>
    <x v="3"/>
    <n v="6059.8"/>
    <n v="2"/>
    <n v="12119.6"/>
    <n v="4.33"/>
  </r>
  <r>
    <x v="306"/>
    <s v="ORD100450"/>
    <x v="5"/>
    <x v="2"/>
    <x v="5"/>
    <x v="0"/>
    <x v="4"/>
    <n v="2218.9"/>
    <n v="5"/>
    <n v="11094.5"/>
    <n v="2.35"/>
  </r>
  <r>
    <x v="226"/>
    <s v="ORD100516"/>
    <x v="6"/>
    <x v="2"/>
    <x v="6"/>
    <x v="1"/>
    <x v="5"/>
    <n v="4656.88"/>
    <n v="5"/>
    <n v="23284.400000000001"/>
    <n v="2.19"/>
  </r>
  <r>
    <x v="227"/>
    <s v="ORD100575"/>
    <x v="4"/>
    <x v="2"/>
    <x v="4"/>
    <x v="1"/>
    <x v="3"/>
    <n v="17311.810000000001"/>
    <n v="3"/>
    <n v="51935.43"/>
    <n v="3.02"/>
  </r>
  <r>
    <x v="228"/>
    <s v="ORD101932"/>
    <x v="5"/>
    <x v="2"/>
    <x v="5"/>
    <x v="0"/>
    <x v="5"/>
    <n v="18458.12"/>
    <n v="5"/>
    <n v="92290.6"/>
    <n v="4.51"/>
  </r>
  <r>
    <x v="229"/>
    <s v="ORD100408"/>
    <x v="4"/>
    <x v="2"/>
    <x v="4"/>
    <x v="2"/>
    <x v="1"/>
    <n v="16680.82"/>
    <n v="5"/>
    <n v="83404.100000000006"/>
    <n v="1.33"/>
  </r>
  <r>
    <x v="229"/>
    <s v="ORD100954"/>
    <x v="6"/>
    <x v="2"/>
    <x v="6"/>
    <x v="0"/>
    <x v="2"/>
    <n v="14853.26"/>
    <n v="4"/>
    <n v="59413.04"/>
    <n v="3.55"/>
  </r>
  <r>
    <x v="229"/>
    <s v="ORD101009"/>
    <x v="5"/>
    <x v="2"/>
    <x v="5"/>
    <x v="2"/>
    <x v="4"/>
    <n v="7850.83"/>
    <n v="4"/>
    <n v="31403.32"/>
    <n v="1.24"/>
  </r>
  <r>
    <x v="229"/>
    <s v="ORD101772"/>
    <x v="4"/>
    <x v="2"/>
    <x v="4"/>
    <x v="2"/>
    <x v="2"/>
    <n v="10288.34"/>
    <n v="2"/>
    <n v="20576.68"/>
    <n v="1.92"/>
  </r>
  <r>
    <x v="349"/>
    <s v="ORD100752"/>
    <x v="5"/>
    <x v="2"/>
    <x v="5"/>
    <x v="1"/>
    <x v="5"/>
    <n v="13072.25"/>
    <n v="2"/>
    <n v="26144.5"/>
    <n v="1.51"/>
  </r>
  <r>
    <x v="349"/>
    <s v="ORD101432"/>
    <x v="6"/>
    <x v="2"/>
    <x v="6"/>
    <x v="0"/>
    <x v="1"/>
    <n v="12541.86"/>
    <n v="2"/>
    <n v="25083.72"/>
    <n v="3.53"/>
  </r>
  <r>
    <x v="350"/>
    <s v="ORD101693"/>
    <x v="5"/>
    <x v="2"/>
    <x v="5"/>
    <x v="0"/>
    <x v="4"/>
    <n v="12904.86"/>
    <n v="3"/>
    <n v="38714.58"/>
    <n v="3.67"/>
  </r>
  <r>
    <x v="351"/>
    <s v="ORD101076"/>
    <x v="6"/>
    <x v="2"/>
    <x v="6"/>
    <x v="2"/>
    <x v="1"/>
    <n v="9410.4"/>
    <n v="3"/>
    <n v="28231.200000000001"/>
    <n v="1.72"/>
  </r>
  <r>
    <x v="351"/>
    <s v="ORD101537"/>
    <x v="4"/>
    <x v="2"/>
    <x v="4"/>
    <x v="1"/>
    <x v="5"/>
    <n v="19092.82"/>
    <n v="4"/>
    <n v="76371.28"/>
    <n v="3.45"/>
  </r>
  <r>
    <x v="230"/>
    <s v="ORD100308"/>
    <x v="5"/>
    <x v="2"/>
    <x v="5"/>
    <x v="1"/>
    <x v="4"/>
    <n v="16012.01"/>
    <n v="4"/>
    <n v="64048.04"/>
    <n v="3.26"/>
  </r>
  <r>
    <x v="230"/>
    <s v="ORD100687"/>
    <x v="5"/>
    <x v="2"/>
    <x v="5"/>
    <x v="0"/>
    <x v="2"/>
    <n v="2724.48"/>
    <n v="3"/>
    <n v="8173.44"/>
    <n v="4.8600000000000003"/>
  </r>
  <r>
    <x v="231"/>
    <s v="ORD100544"/>
    <x v="5"/>
    <x v="2"/>
    <x v="5"/>
    <x v="2"/>
    <x v="3"/>
    <n v="18289.3"/>
    <n v="2"/>
    <n v="36578.6"/>
    <n v="1.77"/>
  </r>
  <r>
    <x v="231"/>
    <s v="ORD100558"/>
    <x v="5"/>
    <x v="2"/>
    <x v="5"/>
    <x v="2"/>
    <x v="2"/>
    <n v="7562.47"/>
    <n v="3"/>
    <n v="22687.41"/>
    <n v="2.08"/>
  </r>
  <r>
    <x v="231"/>
    <s v="ORD101100"/>
    <x v="4"/>
    <x v="2"/>
    <x v="4"/>
    <x v="2"/>
    <x v="0"/>
    <n v="17180.330000000002"/>
    <n v="5"/>
    <n v="85901.65"/>
    <n v="4.7300000000000004"/>
  </r>
  <r>
    <x v="231"/>
    <s v="ORD101220"/>
    <x v="4"/>
    <x v="2"/>
    <x v="4"/>
    <x v="1"/>
    <x v="1"/>
    <n v="13461.03"/>
    <n v="2"/>
    <n v="26922.06"/>
    <n v="3.21"/>
  </r>
  <r>
    <x v="231"/>
    <s v="ORD101741"/>
    <x v="5"/>
    <x v="2"/>
    <x v="5"/>
    <x v="1"/>
    <x v="0"/>
    <n v="938.8"/>
    <n v="4"/>
    <n v="3755.2"/>
    <n v="4.9000000000000004"/>
  </r>
  <r>
    <x v="232"/>
    <s v="ORD100051"/>
    <x v="6"/>
    <x v="2"/>
    <x v="6"/>
    <x v="2"/>
    <x v="0"/>
    <n v="756.73"/>
    <n v="2"/>
    <n v="1513.46"/>
    <n v="4.57"/>
  </r>
  <r>
    <x v="232"/>
    <s v="ORD100676"/>
    <x v="5"/>
    <x v="2"/>
    <x v="5"/>
    <x v="1"/>
    <x v="0"/>
    <n v="6416.12"/>
    <n v="4"/>
    <n v="25664.48"/>
    <n v="4.49"/>
  </r>
  <r>
    <x v="232"/>
    <s v="ORD101499"/>
    <x v="4"/>
    <x v="2"/>
    <x v="4"/>
    <x v="0"/>
    <x v="0"/>
    <n v="6282.26"/>
    <n v="4"/>
    <n v="25129.040000000001"/>
    <n v="3.82"/>
  </r>
  <r>
    <x v="234"/>
    <s v="ORD101134"/>
    <x v="6"/>
    <x v="2"/>
    <x v="6"/>
    <x v="2"/>
    <x v="1"/>
    <n v="16232.46"/>
    <n v="4"/>
    <n v="64929.84"/>
    <n v="4.9000000000000004"/>
  </r>
  <r>
    <x v="234"/>
    <s v="ORD101155"/>
    <x v="5"/>
    <x v="2"/>
    <x v="5"/>
    <x v="0"/>
    <x v="5"/>
    <n v="19256.57"/>
    <n v="4"/>
    <n v="77026.28"/>
    <n v="1.48"/>
  </r>
  <r>
    <x v="235"/>
    <s v="ORD100087"/>
    <x v="4"/>
    <x v="2"/>
    <x v="4"/>
    <x v="2"/>
    <x v="1"/>
    <n v="1052.6300000000001"/>
    <n v="2"/>
    <n v="2105.2600000000002"/>
    <n v="4.3600000000000003"/>
  </r>
  <r>
    <x v="352"/>
    <s v="ORD100517"/>
    <x v="7"/>
    <x v="3"/>
    <x v="7"/>
    <x v="2"/>
    <x v="4"/>
    <n v="7533"/>
    <n v="5"/>
    <n v="37665"/>
    <n v="4.9800000000000004"/>
  </r>
  <r>
    <x v="352"/>
    <s v="ORD100857"/>
    <x v="8"/>
    <x v="3"/>
    <x v="8"/>
    <x v="1"/>
    <x v="3"/>
    <n v="15851.24"/>
    <n v="3"/>
    <n v="47553.72"/>
    <n v="4.3499999999999996"/>
  </r>
  <r>
    <x v="0"/>
    <s v="ORD100231"/>
    <x v="9"/>
    <x v="3"/>
    <x v="9"/>
    <x v="1"/>
    <x v="0"/>
    <n v="17208.740000000002"/>
    <n v="2"/>
    <n v="34417.480000000003"/>
    <n v="1.29"/>
  </r>
  <r>
    <x v="1"/>
    <s v="ORD100045"/>
    <x v="7"/>
    <x v="3"/>
    <x v="7"/>
    <x v="1"/>
    <x v="2"/>
    <n v="12387.97"/>
    <n v="4"/>
    <n v="49551.88"/>
    <n v="2.3199999999999998"/>
  </r>
  <r>
    <x v="1"/>
    <s v="ORD101104"/>
    <x v="8"/>
    <x v="3"/>
    <x v="8"/>
    <x v="1"/>
    <x v="1"/>
    <n v="1323.56"/>
    <n v="1"/>
    <n v="1323.56"/>
    <n v="4.18"/>
  </r>
  <r>
    <x v="1"/>
    <s v="ORD101385"/>
    <x v="9"/>
    <x v="3"/>
    <x v="9"/>
    <x v="0"/>
    <x v="3"/>
    <n v="7576.3"/>
    <n v="2"/>
    <n v="15152.6"/>
    <n v="2.25"/>
  </r>
  <r>
    <x v="1"/>
    <s v="ORD101613"/>
    <x v="7"/>
    <x v="3"/>
    <x v="7"/>
    <x v="2"/>
    <x v="5"/>
    <n v="3660.3"/>
    <n v="1"/>
    <n v="3660.3"/>
    <n v="1.7"/>
  </r>
  <r>
    <x v="307"/>
    <s v="ORD100064"/>
    <x v="8"/>
    <x v="3"/>
    <x v="8"/>
    <x v="1"/>
    <x v="2"/>
    <n v="12309.76"/>
    <n v="3"/>
    <n v="36929.279999999999"/>
    <n v="3.85"/>
  </r>
  <r>
    <x v="307"/>
    <s v="ORD101007"/>
    <x v="8"/>
    <x v="3"/>
    <x v="8"/>
    <x v="2"/>
    <x v="0"/>
    <n v="19011.560000000001"/>
    <n v="4"/>
    <n v="76046.240000000005"/>
    <n v="4.96"/>
  </r>
  <r>
    <x v="236"/>
    <s v="ORD100190"/>
    <x v="9"/>
    <x v="3"/>
    <x v="9"/>
    <x v="0"/>
    <x v="3"/>
    <n v="1018"/>
    <n v="2"/>
    <n v="2036"/>
    <n v="2.69"/>
  </r>
  <r>
    <x v="236"/>
    <s v="ORD101294"/>
    <x v="9"/>
    <x v="3"/>
    <x v="9"/>
    <x v="0"/>
    <x v="1"/>
    <n v="16093.89"/>
    <n v="3"/>
    <n v="48281.67"/>
    <n v="2.46"/>
  </r>
  <r>
    <x v="236"/>
    <s v="ORD101974"/>
    <x v="7"/>
    <x v="3"/>
    <x v="7"/>
    <x v="0"/>
    <x v="3"/>
    <n v="7842.35"/>
    <n v="3"/>
    <n v="23527.05"/>
    <n v="2.5499999999999998"/>
  </r>
  <r>
    <x v="308"/>
    <s v="ORD100133"/>
    <x v="9"/>
    <x v="3"/>
    <x v="9"/>
    <x v="0"/>
    <x v="3"/>
    <n v="3563.05"/>
    <n v="2"/>
    <n v="7126.1"/>
    <n v="4.6399999999999997"/>
  </r>
  <r>
    <x v="308"/>
    <s v="ORD100322"/>
    <x v="9"/>
    <x v="3"/>
    <x v="9"/>
    <x v="2"/>
    <x v="3"/>
    <n v="10229.26"/>
    <n v="5"/>
    <n v="51146.3"/>
    <n v="4.25"/>
  </r>
  <r>
    <x v="308"/>
    <s v="ORD100397"/>
    <x v="9"/>
    <x v="3"/>
    <x v="9"/>
    <x v="0"/>
    <x v="5"/>
    <n v="5681.05"/>
    <n v="4"/>
    <n v="22724.2"/>
    <n v="1.23"/>
  </r>
  <r>
    <x v="308"/>
    <s v="ORD101019"/>
    <x v="7"/>
    <x v="3"/>
    <x v="7"/>
    <x v="0"/>
    <x v="3"/>
    <n v="9007.4599999999991"/>
    <n v="5"/>
    <n v="45037.3"/>
    <n v="4.38"/>
  </r>
  <r>
    <x v="2"/>
    <s v="ORD100577"/>
    <x v="8"/>
    <x v="3"/>
    <x v="8"/>
    <x v="0"/>
    <x v="3"/>
    <n v="7346.62"/>
    <n v="3"/>
    <n v="22039.86"/>
    <n v="3.41"/>
  </r>
  <r>
    <x v="2"/>
    <s v="ORD100756"/>
    <x v="9"/>
    <x v="3"/>
    <x v="9"/>
    <x v="1"/>
    <x v="1"/>
    <n v="7724.8"/>
    <n v="4"/>
    <n v="30899.200000000001"/>
    <n v="4.6399999999999997"/>
  </r>
  <r>
    <x v="2"/>
    <s v="ORD101285"/>
    <x v="8"/>
    <x v="3"/>
    <x v="8"/>
    <x v="0"/>
    <x v="3"/>
    <n v="14755.64"/>
    <n v="4"/>
    <n v="59022.559999999998"/>
    <n v="2.2200000000000002"/>
  </r>
  <r>
    <x v="2"/>
    <s v="ORD101557"/>
    <x v="8"/>
    <x v="3"/>
    <x v="8"/>
    <x v="1"/>
    <x v="0"/>
    <n v="18245.05"/>
    <n v="5"/>
    <n v="91225.25"/>
    <n v="2.19"/>
  </r>
  <r>
    <x v="2"/>
    <s v="ORD101828"/>
    <x v="7"/>
    <x v="3"/>
    <x v="7"/>
    <x v="1"/>
    <x v="5"/>
    <n v="7333.57"/>
    <n v="5"/>
    <n v="36667.85"/>
    <n v="2.23"/>
  </r>
  <r>
    <x v="3"/>
    <s v="ORD100262"/>
    <x v="7"/>
    <x v="3"/>
    <x v="7"/>
    <x v="1"/>
    <x v="5"/>
    <n v="14313.63"/>
    <n v="5"/>
    <n v="71568.149999999994"/>
    <n v="4.75"/>
  </r>
  <r>
    <x v="238"/>
    <s v="ORD101823"/>
    <x v="7"/>
    <x v="3"/>
    <x v="7"/>
    <x v="0"/>
    <x v="5"/>
    <n v="5089.6000000000004"/>
    <n v="3"/>
    <n v="15268.8"/>
    <n v="3.92"/>
  </r>
  <r>
    <x v="4"/>
    <s v="ORD100822"/>
    <x v="8"/>
    <x v="3"/>
    <x v="8"/>
    <x v="1"/>
    <x v="4"/>
    <n v="7795.74"/>
    <n v="1"/>
    <n v="7795.74"/>
    <n v="1.4"/>
  </r>
  <r>
    <x v="4"/>
    <s v="ORD100865"/>
    <x v="7"/>
    <x v="3"/>
    <x v="7"/>
    <x v="1"/>
    <x v="5"/>
    <n v="14137.81"/>
    <n v="5"/>
    <n v="70689.05"/>
    <n v="2.81"/>
  </r>
  <r>
    <x v="4"/>
    <s v="ORD101222"/>
    <x v="8"/>
    <x v="3"/>
    <x v="8"/>
    <x v="1"/>
    <x v="1"/>
    <n v="4959.8500000000004"/>
    <n v="4"/>
    <n v="19839.400000000001"/>
    <n v="1.04"/>
  </r>
  <r>
    <x v="239"/>
    <s v="ORD101756"/>
    <x v="9"/>
    <x v="3"/>
    <x v="9"/>
    <x v="0"/>
    <x v="5"/>
    <n v="11864.66"/>
    <n v="5"/>
    <n v="59323.3"/>
    <n v="3.37"/>
  </r>
  <r>
    <x v="7"/>
    <s v="ORD101393"/>
    <x v="9"/>
    <x v="3"/>
    <x v="9"/>
    <x v="0"/>
    <x v="1"/>
    <n v="18085.349999999999"/>
    <n v="5"/>
    <n v="90426.75"/>
    <n v="1.34"/>
  </r>
  <r>
    <x v="8"/>
    <s v="ORD100426"/>
    <x v="7"/>
    <x v="3"/>
    <x v="7"/>
    <x v="1"/>
    <x v="1"/>
    <n v="3260.31"/>
    <n v="1"/>
    <n v="3260.31"/>
    <n v="3.11"/>
  </r>
  <r>
    <x v="8"/>
    <s v="ORD101176"/>
    <x v="7"/>
    <x v="3"/>
    <x v="7"/>
    <x v="0"/>
    <x v="4"/>
    <n v="883.53"/>
    <n v="2"/>
    <n v="1767.06"/>
    <n v="3.67"/>
  </r>
  <r>
    <x v="9"/>
    <s v="ORD101227"/>
    <x v="7"/>
    <x v="3"/>
    <x v="7"/>
    <x v="1"/>
    <x v="4"/>
    <n v="9087.44"/>
    <n v="4"/>
    <n v="36349.760000000002"/>
    <n v="2.31"/>
  </r>
  <r>
    <x v="9"/>
    <s v="ORD101421"/>
    <x v="9"/>
    <x v="3"/>
    <x v="9"/>
    <x v="2"/>
    <x v="4"/>
    <n v="16866.95"/>
    <n v="4"/>
    <n v="67467.8"/>
    <n v="3.64"/>
  </r>
  <r>
    <x v="11"/>
    <s v="ORD100483"/>
    <x v="8"/>
    <x v="3"/>
    <x v="8"/>
    <x v="2"/>
    <x v="1"/>
    <n v="105.59"/>
    <n v="2"/>
    <n v="211.18"/>
    <n v="1.41"/>
  </r>
  <r>
    <x v="12"/>
    <s v="ORD100665"/>
    <x v="7"/>
    <x v="3"/>
    <x v="7"/>
    <x v="0"/>
    <x v="1"/>
    <n v="17601.150000000001"/>
    <n v="2"/>
    <n v="35202.300000000003"/>
    <n v="1.72"/>
  </r>
  <r>
    <x v="12"/>
    <s v="ORD100693"/>
    <x v="8"/>
    <x v="3"/>
    <x v="8"/>
    <x v="2"/>
    <x v="2"/>
    <n v="3100.46"/>
    <n v="1"/>
    <n v="3100.46"/>
    <n v="3.31"/>
  </r>
  <r>
    <x v="12"/>
    <s v="ORD101192"/>
    <x v="9"/>
    <x v="3"/>
    <x v="9"/>
    <x v="0"/>
    <x v="4"/>
    <n v="18719.07"/>
    <n v="4"/>
    <n v="74876.28"/>
    <n v="4.93"/>
  </r>
  <r>
    <x v="309"/>
    <s v="ORD101561"/>
    <x v="7"/>
    <x v="3"/>
    <x v="7"/>
    <x v="2"/>
    <x v="4"/>
    <n v="11152.51"/>
    <n v="3"/>
    <n v="33457.53"/>
    <n v="1.27"/>
  </r>
  <r>
    <x v="309"/>
    <s v="ORD101607"/>
    <x v="9"/>
    <x v="3"/>
    <x v="9"/>
    <x v="0"/>
    <x v="3"/>
    <n v="12187.77"/>
    <n v="3"/>
    <n v="36563.31"/>
    <n v="1.1599999999999999"/>
  </r>
  <r>
    <x v="13"/>
    <s v="ORD100043"/>
    <x v="7"/>
    <x v="3"/>
    <x v="7"/>
    <x v="0"/>
    <x v="1"/>
    <n v="8129.36"/>
    <n v="5"/>
    <n v="40646.800000000003"/>
    <n v="4.28"/>
  </r>
  <r>
    <x v="13"/>
    <s v="ORD100194"/>
    <x v="8"/>
    <x v="3"/>
    <x v="8"/>
    <x v="0"/>
    <x v="4"/>
    <n v="11811.63"/>
    <n v="3"/>
    <n v="35434.89"/>
    <n v="4.88"/>
  </r>
  <r>
    <x v="13"/>
    <s v="ORD100367"/>
    <x v="7"/>
    <x v="3"/>
    <x v="7"/>
    <x v="1"/>
    <x v="1"/>
    <n v="6370.33"/>
    <n v="3"/>
    <n v="19110.990000000002"/>
    <n v="1.85"/>
  </r>
  <r>
    <x v="13"/>
    <s v="ORD100618"/>
    <x v="7"/>
    <x v="3"/>
    <x v="7"/>
    <x v="1"/>
    <x v="2"/>
    <n v="15216.87"/>
    <n v="4"/>
    <n v="60867.48"/>
    <n v="2.39"/>
  </r>
  <r>
    <x v="13"/>
    <s v="ORD101822"/>
    <x v="7"/>
    <x v="3"/>
    <x v="7"/>
    <x v="2"/>
    <x v="2"/>
    <n v="15257.16"/>
    <n v="5"/>
    <n v="76285.8"/>
    <n v="1.85"/>
  </r>
  <r>
    <x v="14"/>
    <s v="ORD101067"/>
    <x v="8"/>
    <x v="3"/>
    <x v="8"/>
    <x v="0"/>
    <x v="4"/>
    <n v="17577.759999999998"/>
    <n v="2"/>
    <n v="35155.519999999997"/>
    <n v="3.73"/>
  </r>
  <r>
    <x v="15"/>
    <s v="ORD100842"/>
    <x v="9"/>
    <x v="3"/>
    <x v="9"/>
    <x v="0"/>
    <x v="5"/>
    <n v="19126.009999999998"/>
    <n v="1"/>
    <n v="19126.009999999998"/>
    <n v="3.68"/>
  </r>
  <r>
    <x v="17"/>
    <s v="ORD101156"/>
    <x v="7"/>
    <x v="3"/>
    <x v="7"/>
    <x v="0"/>
    <x v="5"/>
    <n v="19551.46"/>
    <n v="1"/>
    <n v="19551.46"/>
    <n v="1.87"/>
  </r>
  <r>
    <x v="17"/>
    <s v="ORD101965"/>
    <x v="8"/>
    <x v="3"/>
    <x v="8"/>
    <x v="0"/>
    <x v="4"/>
    <n v="12751.54"/>
    <n v="2"/>
    <n v="25503.08"/>
    <n v="3.07"/>
  </r>
  <r>
    <x v="18"/>
    <s v="ORD101541"/>
    <x v="9"/>
    <x v="3"/>
    <x v="9"/>
    <x v="0"/>
    <x v="1"/>
    <n v="533.54"/>
    <n v="4"/>
    <n v="2134.16"/>
    <n v="1.91"/>
  </r>
  <r>
    <x v="19"/>
    <s v="ORD100982"/>
    <x v="9"/>
    <x v="3"/>
    <x v="9"/>
    <x v="0"/>
    <x v="3"/>
    <n v="3300.36"/>
    <n v="4"/>
    <n v="13201.44"/>
    <n v="4.12"/>
  </r>
  <r>
    <x v="20"/>
    <s v="ORD100898"/>
    <x v="9"/>
    <x v="3"/>
    <x v="9"/>
    <x v="0"/>
    <x v="5"/>
    <n v="15312.38"/>
    <n v="5"/>
    <n v="76561.899999999994"/>
    <n v="2.4700000000000002"/>
  </r>
  <r>
    <x v="20"/>
    <s v="ORD101880"/>
    <x v="8"/>
    <x v="3"/>
    <x v="8"/>
    <x v="1"/>
    <x v="5"/>
    <n v="2382.73"/>
    <n v="3"/>
    <n v="7148.19"/>
    <n v="1.03"/>
  </r>
  <r>
    <x v="21"/>
    <s v="ORD100525"/>
    <x v="7"/>
    <x v="3"/>
    <x v="7"/>
    <x v="1"/>
    <x v="5"/>
    <n v="2547.54"/>
    <n v="3"/>
    <n v="7642.62"/>
    <n v="2.12"/>
  </r>
  <r>
    <x v="241"/>
    <s v="ORD100556"/>
    <x v="9"/>
    <x v="3"/>
    <x v="9"/>
    <x v="0"/>
    <x v="0"/>
    <n v="4595.83"/>
    <n v="4"/>
    <n v="18383.32"/>
    <n v="2.71"/>
  </r>
  <r>
    <x v="22"/>
    <s v="ORD100858"/>
    <x v="7"/>
    <x v="3"/>
    <x v="7"/>
    <x v="0"/>
    <x v="2"/>
    <n v="1072.01"/>
    <n v="2"/>
    <n v="2144.02"/>
    <n v="3.15"/>
  </r>
  <r>
    <x v="22"/>
    <s v="ORD101211"/>
    <x v="8"/>
    <x v="3"/>
    <x v="8"/>
    <x v="2"/>
    <x v="1"/>
    <n v="7312.13"/>
    <n v="5"/>
    <n v="36560.65"/>
    <n v="3.05"/>
  </r>
  <r>
    <x v="22"/>
    <s v="ORD101688"/>
    <x v="8"/>
    <x v="3"/>
    <x v="8"/>
    <x v="2"/>
    <x v="1"/>
    <n v="18604.57"/>
    <n v="4"/>
    <n v="74418.28"/>
    <n v="2.35"/>
  </r>
  <r>
    <x v="22"/>
    <s v="ORD101733"/>
    <x v="7"/>
    <x v="3"/>
    <x v="7"/>
    <x v="1"/>
    <x v="4"/>
    <n v="3064.77"/>
    <n v="2"/>
    <n v="6129.54"/>
    <n v="1.29"/>
  </r>
  <r>
    <x v="22"/>
    <s v="ORD101887"/>
    <x v="7"/>
    <x v="3"/>
    <x v="7"/>
    <x v="1"/>
    <x v="2"/>
    <n v="7699.21"/>
    <n v="5"/>
    <n v="38496.050000000003"/>
    <n v="1.52"/>
  </r>
  <r>
    <x v="23"/>
    <s v="ORD100056"/>
    <x v="9"/>
    <x v="3"/>
    <x v="9"/>
    <x v="2"/>
    <x v="5"/>
    <n v="19815.580000000002"/>
    <n v="5"/>
    <n v="99077.9"/>
    <n v="3.93"/>
  </r>
  <r>
    <x v="23"/>
    <s v="ORD100935"/>
    <x v="8"/>
    <x v="3"/>
    <x v="8"/>
    <x v="1"/>
    <x v="5"/>
    <n v="3703.01"/>
    <n v="2"/>
    <n v="7406.02"/>
    <n v="3.84"/>
  </r>
  <r>
    <x v="24"/>
    <s v="ORD100421"/>
    <x v="9"/>
    <x v="3"/>
    <x v="9"/>
    <x v="0"/>
    <x v="2"/>
    <n v="12143.84"/>
    <n v="3"/>
    <n v="36431.519999999997"/>
    <n v="2.58"/>
  </r>
  <r>
    <x v="24"/>
    <s v="ORD101496"/>
    <x v="7"/>
    <x v="3"/>
    <x v="7"/>
    <x v="2"/>
    <x v="1"/>
    <n v="14492.93"/>
    <n v="4"/>
    <n v="57971.72"/>
    <n v="3.39"/>
  </r>
  <r>
    <x v="24"/>
    <s v="ORD101774"/>
    <x v="8"/>
    <x v="3"/>
    <x v="8"/>
    <x v="2"/>
    <x v="3"/>
    <n v="18598.580000000002"/>
    <n v="3"/>
    <n v="55795.74"/>
    <n v="3.73"/>
  </r>
  <r>
    <x v="26"/>
    <s v="ORD101043"/>
    <x v="7"/>
    <x v="3"/>
    <x v="7"/>
    <x v="2"/>
    <x v="1"/>
    <n v="9907.2199999999993"/>
    <n v="3"/>
    <n v="29721.66"/>
    <n v="3.31"/>
  </r>
  <r>
    <x v="27"/>
    <s v="ORD101001"/>
    <x v="8"/>
    <x v="3"/>
    <x v="8"/>
    <x v="0"/>
    <x v="5"/>
    <n v="5171.71"/>
    <n v="5"/>
    <n v="25858.55"/>
    <n v="4.74"/>
  </r>
  <r>
    <x v="27"/>
    <s v="ORD101365"/>
    <x v="8"/>
    <x v="3"/>
    <x v="8"/>
    <x v="2"/>
    <x v="5"/>
    <n v="13883.57"/>
    <n v="1"/>
    <n v="13883.57"/>
    <n v="2.0099999999999998"/>
  </r>
  <r>
    <x v="28"/>
    <s v="ORD100080"/>
    <x v="7"/>
    <x v="3"/>
    <x v="7"/>
    <x v="0"/>
    <x v="3"/>
    <n v="7919.88"/>
    <n v="2"/>
    <n v="15839.76"/>
    <n v="3.03"/>
  </r>
  <r>
    <x v="28"/>
    <s v="ORD100342"/>
    <x v="9"/>
    <x v="3"/>
    <x v="9"/>
    <x v="0"/>
    <x v="5"/>
    <n v="17861.400000000001"/>
    <n v="1"/>
    <n v="17861.400000000001"/>
    <n v="3.27"/>
  </r>
  <r>
    <x v="28"/>
    <s v="ORD100539"/>
    <x v="9"/>
    <x v="3"/>
    <x v="9"/>
    <x v="0"/>
    <x v="1"/>
    <n v="15093.32"/>
    <n v="2"/>
    <n v="30186.639999999999"/>
    <n v="1.59"/>
  </r>
  <r>
    <x v="243"/>
    <s v="ORD100479"/>
    <x v="8"/>
    <x v="3"/>
    <x v="8"/>
    <x v="1"/>
    <x v="2"/>
    <n v="9069.5"/>
    <n v="2"/>
    <n v="18139"/>
    <n v="4.54"/>
  </r>
  <r>
    <x v="243"/>
    <s v="ORD100882"/>
    <x v="8"/>
    <x v="3"/>
    <x v="8"/>
    <x v="0"/>
    <x v="4"/>
    <n v="16457.04"/>
    <n v="5"/>
    <n v="82285.2"/>
    <n v="4.16"/>
  </r>
  <r>
    <x v="244"/>
    <s v="ORD101180"/>
    <x v="9"/>
    <x v="3"/>
    <x v="9"/>
    <x v="2"/>
    <x v="4"/>
    <n v="15628.75"/>
    <n v="1"/>
    <n v="15628.75"/>
    <n v="2.06"/>
  </r>
  <r>
    <x v="31"/>
    <s v="ORD101995"/>
    <x v="7"/>
    <x v="3"/>
    <x v="7"/>
    <x v="1"/>
    <x v="1"/>
    <n v="5004.43"/>
    <n v="3"/>
    <n v="15013.29"/>
    <n v="1.75"/>
  </r>
  <r>
    <x v="32"/>
    <s v="ORD100593"/>
    <x v="7"/>
    <x v="3"/>
    <x v="7"/>
    <x v="0"/>
    <x v="3"/>
    <n v="2905.23"/>
    <n v="1"/>
    <n v="2905.23"/>
    <n v="3.33"/>
  </r>
  <r>
    <x v="32"/>
    <s v="ORD101751"/>
    <x v="7"/>
    <x v="3"/>
    <x v="7"/>
    <x v="2"/>
    <x v="2"/>
    <n v="7201.2"/>
    <n v="5"/>
    <n v="36006"/>
    <n v="2.65"/>
  </r>
  <r>
    <x v="33"/>
    <s v="ORD100566"/>
    <x v="7"/>
    <x v="3"/>
    <x v="7"/>
    <x v="2"/>
    <x v="0"/>
    <n v="2346.7600000000002"/>
    <n v="4"/>
    <n v="9387.0400000000009"/>
    <n v="2.0099999999999998"/>
  </r>
  <r>
    <x v="33"/>
    <s v="ORD100948"/>
    <x v="9"/>
    <x v="3"/>
    <x v="9"/>
    <x v="2"/>
    <x v="0"/>
    <n v="18256.61"/>
    <n v="5"/>
    <n v="91283.05"/>
    <n v="2.4"/>
  </r>
  <r>
    <x v="34"/>
    <s v="ORD101247"/>
    <x v="8"/>
    <x v="3"/>
    <x v="8"/>
    <x v="2"/>
    <x v="3"/>
    <n v="12269.24"/>
    <n v="5"/>
    <n v="61346.2"/>
    <n v="2.74"/>
  </r>
  <r>
    <x v="34"/>
    <s v="ORD101469"/>
    <x v="8"/>
    <x v="3"/>
    <x v="8"/>
    <x v="0"/>
    <x v="1"/>
    <n v="18484.93"/>
    <n v="4"/>
    <n v="73939.72"/>
    <n v="3.7"/>
  </r>
  <r>
    <x v="35"/>
    <s v="ORD100505"/>
    <x v="7"/>
    <x v="3"/>
    <x v="7"/>
    <x v="1"/>
    <x v="3"/>
    <n v="14364.98"/>
    <n v="2"/>
    <n v="28729.96"/>
    <n v="4.71"/>
  </r>
  <r>
    <x v="35"/>
    <s v="ORD100528"/>
    <x v="8"/>
    <x v="3"/>
    <x v="8"/>
    <x v="2"/>
    <x v="3"/>
    <n v="378.51"/>
    <n v="5"/>
    <n v="1892.55"/>
    <n v="4.6500000000000004"/>
  </r>
  <r>
    <x v="36"/>
    <s v="ORD100686"/>
    <x v="9"/>
    <x v="3"/>
    <x v="9"/>
    <x v="1"/>
    <x v="1"/>
    <n v="18579.93"/>
    <n v="2"/>
    <n v="37159.86"/>
    <n v="3.34"/>
  </r>
  <r>
    <x v="37"/>
    <s v="ORD100373"/>
    <x v="8"/>
    <x v="3"/>
    <x v="8"/>
    <x v="1"/>
    <x v="1"/>
    <n v="10811.37"/>
    <n v="2"/>
    <n v="21622.74"/>
    <n v="4.0599999999999996"/>
  </r>
  <r>
    <x v="246"/>
    <s v="ORD101373"/>
    <x v="8"/>
    <x v="3"/>
    <x v="8"/>
    <x v="2"/>
    <x v="4"/>
    <n v="1750.94"/>
    <n v="5"/>
    <n v="8754.7000000000007"/>
    <n v="4.4800000000000004"/>
  </r>
  <r>
    <x v="246"/>
    <s v="ORD101812"/>
    <x v="7"/>
    <x v="3"/>
    <x v="7"/>
    <x v="2"/>
    <x v="3"/>
    <n v="16858.47"/>
    <n v="4"/>
    <n v="67433.88"/>
    <n v="1.92"/>
  </r>
  <r>
    <x v="247"/>
    <s v="ORD100894"/>
    <x v="7"/>
    <x v="3"/>
    <x v="7"/>
    <x v="0"/>
    <x v="0"/>
    <n v="8329.85"/>
    <n v="1"/>
    <n v="8329.85"/>
    <n v="4.08"/>
  </r>
  <r>
    <x v="39"/>
    <s v="ORD100701"/>
    <x v="8"/>
    <x v="3"/>
    <x v="8"/>
    <x v="0"/>
    <x v="4"/>
    <n v="9335.49"/>
    <n v="1"/>
    <n v="9335.49"/>
    <n v="3.11"/>
  </r>
  <r>
    <x v="39"/>
    <s v="ORD101698"/>
    <x v="7"/>
    <x v="3"/>
    <x v="7"/>
    <x v="2"/>
    <x v="0"/>
    <n v="15148.84"/>
    <n v="2"/>
    <n v="30297.68"/>
    <n v="2.99"/>
  </r>
  <r>
    <x v="40"/>
    <s v="ORD101307"/>
    <x v="8"/>
    <x v="3"/>
    <x v="8"/>
    <x v="1"/>
    <x v="2"/>
    <n v="8726.9599999999991"/>
    <n v="2"/>
    <n v="17453.919999999998"/>
    <n v="2.79"/>
  </r>
  <r>
    <x v="40"/>
    <s v="ORD101824"/>
    <x v="8"/>
    <x v="3"/>
    <x v="8"/>
    <x v="1"/>
    <x v="4"/>
    <n v="9038.9500000000007"/>
    <n v="1"/>
    <n v="9038.9500000000007"/>
    <n v="4.2300000000000004"/>
  </r>
  <r>
    <x v="41"/>
    <s v="ORD101658"/>
    <x v="8"/>
    <x v="3"/>
    <x v="8"/>
    <x v="1"/>
    <x v="4"/>
    <n v="1911.07"/>
    <n v="2"/>
    <n v="3822.14"/>
    <n v="4.4000000000000004"/>
  </r>
  <r>
    <x v="312"/>
    <s v="ORD100518"/>
    <x v="9"/>
    <x v="3"/>
    <x v="9"/>
    <x v="2"/>
    <x v="5"/>
    <n v="1501.58"/>
    <n v="3"/>
    <n v="4504.74"/>
    <n v="3.79"/>
  </r>
  <r>
    <x v="312"/>
    <s v="ORD100796"/>
    <x v="7"/>
    <x v="3"/>
    <x v="7"/>
    <x v="1"/>
    <x v="5"/>
    <n v="3392.63"/>
    <n v="4"/>
    <n v="13570.52"/>
    <n v="2.83"/>
  </r>
  <r>
    <x v="42"/>
    <s v="ORD100635"/>
    <x v="8"/>
    <x v="3"/>
    <x v="8"/>
    <x v="2"/>
    <x v="0"/>
    <n v="18090.509999999998"/>
    <n v="5"/>
    <n v="90452.55"/>
    <n v="2.75"/>
  </r>
  <r>
    <x v="42"/>
    <s v="ORD101436"/>
    <x v="8"/>
    <x v="3"/>
    <x v="8"/>
    <x v="0"/>
    <x v="5"/>
    <n v="16204.04"/>
    <n v="2"/>
    <n v="32408.080000000002"/>
    <n v="2.4700000000000002"/>
  </r>
  <r>
    <x v="43"/>
    <s v="ORD101958"/>
    <x v="8"/>
    <x v="3"/>
    <x v="8"/>
    <x v="0"/>
    <x v="3"/>
    <n v="11798.19"/>
    <n v="4"/>
    <n v="47192.76"/>
    <n v="2.42"/>
  </r>
  <r>
    <x v="44"/>
    <s v="ORD101408"/>
    <x v="9"/>
    <x v="3"/>
    <x v="9"/>
    <x v="2"/>
    <x v="3"/>
    <n v="1471.8"/>
    <n v="3"/>
    <n v="4415.3999999999996"/>
    <n v="4.33"/>
  </r>
  <r>
    <x v="45"/>
    <s v="ORD100263"/>
    <x v="7"/>
    <x v="3"/>
    <x v="7"/>
    <x v="1"/>
    <x v="4"/>
    <n v="14809.18"/>
    <n v="3"/>
    <n v="44427.54"/>
    <n v="3.18"/>
  </r>
  <r>
    <x v="45"/>
    <s v="ORD100395"/>
    <x v="9"/>
    <x v="3"/>
    <x v="9"/>
    <x v="0"/>
    <x v="0"/>
    <n v="19232.259999999998"/>
    <n v="2"/>
    <n v="38464.519999999997"/>
    <n v="2.97"/>
  </r>
  <r>
    <x v="45"/>
    <s v="ORD100912"/>
    <x v="9"/>
    <x v="3"/>
    <x v="9"/>
    <x v="0"/>
    <x v="2"/>
    <n v="1966.76"/>
    <n v="5"/>
    <n v="9833.7999999999993"/>
    <n v="3.92"/>
  </r>
  <r>
    <x v="45"/>
    <s v="ORD101861"/>
    <x v="8"/>
    <x v="3"/>
    <x v="8"/>
    <x v="0"/>
    <x v="0"/>
    <n v="8447.7800000000007"/>
    <n v="5"/>
    <n v="42238.9"/>
    <n v="1.29"/>
  </r>
  <r>
    <x v="313"/>
    <s v="ORD100453"/>
    <x v="7"/>
    <x v="3"/>
    <x v="7"/>
    <x v="0"/>
    <x v="2"/>
    <n v="10845.38"/>
    <n v="4"/>
    <n v="43381.52"/>
    <n v="2.38"/>
  </r>
  <r>
    <x v="313"/>
    <s v="ORD101041"/>
    <x v="7"/>
    <x v="3"/>
    <x v="7"/>
    <x v="2"/>
    <x v="3"/>
    <n v="3537.24"/>
    <n v="4"/>
    <n v="14148.96"/>
    <n v="3.31"/>
  </r>
  <r>
    <x v="313"/>
    <s v="ORD101405"/>
    <x v="9"/>
    <x v="3"/>
    <x v="9"/>
    <x v="0"/>
    <x v="3"/>
    <n v="12916.02"/>
    <n v="1"/>
    <n v="12916.02"/>
    <n v="1.0900000000000001"/>
  </r>
  <r>
    <x v="353"/>
    <s v="ORD100742"/>
    <x v="8"/>
    <x v="3"/>
    <x v="8"/>
    <x v="2"/>
    <x v="3"/>
    <n v="5272.9"/>
    <n v="3"/>
    <n v="15818.7"/>
    <n v="1.9"/>
  </r>
  <r>
    <x v="47"/>
    <s v="ORD100680"/>
    <x v="9"/>
    <x v="3"/>
    <x v="9"/>
    <x v="2"/>
    <x v="5"/>
    <n v="12351.81"/>
    <n v="2"/>
    <n v="24703.62"/>
    <n v="2.16"/>
  </r>
  <r>
    <x v="47"/>
    <s v="ORD101296"/>
    <x v="8"/>
    <x v="3"/>
    <x v="8"/>
    <x v="2"/>
    <x v="1"/>
    <n v="15529.93"/>
    <n v="2"/>
    <n v="31059.86"/>
    <n v="3.13"/>
  </r>
  <r>
    <x v="47"/>
    <s v="ORD101803"/>
    <x v="9"/>
    <x v="3"/>
    <x v="9"/>
    <x v="1"/>
    <x v="5"/>
    <n v="1935.46"/>
    <n v="1"/>
    <n v="1935.46"/>
    <n v="2.41"/>
  </r>
  <r>
    <x v="48"/>
    <s v="ORD100019"/>
    <x v="8"/>
    <x v="3"/>
    <x v="8"/>
    <x v="0"/>
    <x v="1"/>
    <n v="5953.25"/>
    <n v="3"/>
    <n v="17859.75"/>
    <n v="1.99"/>
  </r>
  <r>
    <x v="48"/>
    <s v="ORD100355"/>
    <x v="7"/>
    <x v="3"/>
    <x v="7"/>
    <x v="1"/>
    <x v="5"/>
    <n v="14637.57"/>
    <n v="2"/>
    <n v="29275.14"/>
    <n v="2.87"/>
  </r>
  <r>
    <x v="48"/>
    <s v="ORD101113"/>
    <x v="7"/>
    <x v="3"/>
    <x v="7"/>
    <x v="0"/>
    <x v="4"/>
    <n v="10795.66"/>
    <n v="1"/>
    <n v="10795.66"/>
    <n v="1.53"/>
  </r>
  <r>
    <x v="314"/>
    <s v="ORD100761"/>
    <x v="9"/>
    <x v="3"/>
    <x v="9"/>
    <x v="1"/>
    <x v="4"/>
    <n v="6422.64"/>
    <n v="4"/>
    <n v="25690.560000000001"/>
    <n v="4.76"/>
  </r>
  <r>
    <x v="248"/>
    <s v="ORD100678"/>
    <x v="8"/>
    <x v="3"/>
    <x v="8"/>
    <x v="1"/>
    <x v="3"/>
    <n v="5038.78"/>
    <n v="2"/>
    <n v="10077.56"/>
    <n v="2.67"/>
  </r>
  <r>
    <x v="248"/>
    <s v="ORD101609"/>
    <x v="9"/>
    <x v="3"/>
    <x v="9"/>
    <x v="0"/>
    <x v="4"/>
    <n v="19392.89"/>
    <n v="1"/>
    <n v="19392.89"/>
    <n v="2.2999999999999998"/>
  </r>
  <r>
    <x v="315"/>
    <s v="ORD100712"/>
    <x v="8"/>
    <x v="3"/>
    <x v="8"/>
    <x v="2"/>
    <x v="2"/>
    <n v="10375.81"/>
    <n v="1"/>
    <n v="10375.81"/>
    <n v="2.02"/>
  </r>
  <r>
    <x v="49"/>
    <s v="ORD100121"/>
    <x v="8"/>
    <x v="3"/>
    <x v="8"/>
    <x v="1"/>
    <x v="5"/>
    <n v="3352.72"/>
    <n v="3"/>
    <n v="10058.16"/>
    <n v="1.47"/>
  </r>
  <r>
    <x v="50"/>
    <s v="ORD100391"/>
    <x v="9"/>
    <x v="3"/>
    <x v="9"/>
    <x v="1"/>
    <x v="0"/>
    <n v="13957.88"/>
    <n v="2"/>
    <n v="27915.759999999998"/>
    <n v="4.7699999999999996"/>
  </r>
  <r>
    <x v="51"/>
    <s v="ORD100895"/>
    <x v="8"/>
    <x v="3"/>
    <x v="8"/>
    <x v="0"/>
    <x v="1"/>
    <n v="5126.92"/>
    <n v="5"/>
    <n v="25634.6"/>
    <n v="3.69"/>
  </r>
  <r>
    <x v="52"/>
    <s v="ORD101095"/>
    <x v="8"/>
    <x v="3"/>
    <x v="8"/>
    <x v="1"/>
    <x v="1"/>
    <n v="1518.88"/>
    <n v="1"/>
    <n v="1518.88"/>
    <n v="3.02"/>
  </r>
  <r>
    <x v="53"/>
    <s v="ORD100480"/>
    <x v="9"/>
    <x v="3"/>
    <x v="9"/>
    <x v="1"/>
    <x v="0"/>
    <n v="14927.88"/>
    <n v="3"/>
    <n v="44783.64"/>
    <n v="1.08"/>
  </r>
  <r>
    <x v="53"/>
    <s v="ORD100737"/>
    <x v="9"/>
    <x v="3"/>
    <x v="9"/>
    <x v="0"/>
    <x v="1"/>
    <n v="10456.030000000001"/>
    <n v="3"/>
    <n v="31368.09"/>
    <n v="2.2000000000000002"/>
  </r>
  <r>
    <x v="54"/>
    <s v="ORD101813"/>
    <x v="8"/>
    <x v="3"/>
    <x v="8"/>
    <x v="1"/>
    <x v="2"/>
    <n v="1220.55"/>
    <n v="2"/>
    <n v="2441.1"/>
    <n v="3.95"/>
  </r>
  <r>
    <x v="55"/>
    <s v="ORD101377"/>
    <x v="9"/>
    <x v="3"/>
    <x v="9"/>
    <x v="1"/>
    <x v="2"/>
    <n v="6212.62"/>
    <n v="5"/>
    <n v="31063.1"/>
    <n v="2.78"/>
  </r>
  <r>
    <x v="317"/>
    <s v="ORD100744"/>
    <x v="7"/>
    <x v="3"/>
    <x v="7"/>
    <x v="1"/>
    <x v="2"/>
    <n v="18147.71"/>
    <n v="5"/>
    <n v="90738.55"/>
    <n v="1.61"/>
  </r>
  <r>
    <x v="317"/>
    <s v="ORD101525"/>
    <x v="8"/>
    <x v="3"/>
    <x v="8"/>
    <x v="1"/>
    <x v="2"/>
    <n v="17708.990000000002"/>
    <n v="1"/>
    <n v="17708.990000000002"/>
    <n v="2.0299999999999998"/>
  </r>
  <r>
    <x v="318"/>
    <s v="ORD100099"/>
    <x v="8"/>
    <x v="3"/>
    <x v="8"/>
    <x v="0"/>
    <x v="4"/>
    <n v="17649.86"/>
    <n v="5"/>
    <n v="88249.3"/>
    <n v="3.88"/>
  </r>
  <r>
    <x v="318"/>
    <s v="ORD100980"/>
    <x v="7"/>
    <x v="3"/>
    <x v="7"/>
    <x v="1"/>
    <x v="3"/>
    <n v="15638.44"/>
    <n v="2"/>
    <n v="31276.880000000001"/>
    <n v="4.9800000000000004"/>
  </r>
  <r>
    <x v="318"/>
    <s v="ORD101178"/>
    <x v="7"/>
    <x v="3"/>
    <x v="7"/>
    <x v="2"/>
    <x v="5"/>
    <n v="18229.71"/>
    <n v="2"/>
    <n v="36459.42"/>
    <n v="2.2000000000000002"/>
  </r>
  <r>
    <x v="56"/>
    <s v="ORD100072"/>
    <x v="7"/>
    <x v="3"/>
    <x v="7"/>
    <x v="1"/>
    <x v="1"/>
    <n v="3963.43"/>
    <n v="4"/>
    <n v="15853.72"/>
    <n v="1.22"/>
  </r>
  <r>
    <x v="56"/>
    <s v="ORD100386"/>
    <x v="8"/>
    <x v="3"/>
    <x v="8"/>
    <x v="0"/>
    <x v="4"/>
    <n v="3343.36"/>
    <n v="4"/>
    <n v="13373.44"/>
    <n v="2.87"/>
  </r>
  <r>
    <x v="56"/>
    <s v="ORD100869"/>
    <x v="8"/>
    <x v="3"/>
    <x v="8"/>
    <x v="1"/>
    <x v="2"/>
    <n v="8525.44"/>
    <n v="5"/>
    <n v="42627.199999999997"/>
    <n v="2.97"/>
  </r>
  <r>
    <x v="56"/>
    <s v="ORD101715"/>
    <x v="7"/>
    <x v="3"/>
    <x v="7"/>
    <x v="0"/>
    <x v="0"/>
    <n v="15533.33"/>
    <n v="3"/>
    <n v="46599.99"/>
    <n v="4.8499999999999996"/>
  </r>
  <r>
    <x v="57"/>
    <s v="ORD100816"/>
    <x v="7"/>
    <x v="3"/>
    <x v="7"/>
    <x v="0"/>
    <x v="5"/>
    <n v="4288.49"/>
    <n v="1"/>
    <n v="4288.49"/>
    <n v="3.43"/>
  </r>
  <r>
    <x v="61"/>
    <s v="ORD101061"/>
    <x v="7"/>
    <x v="3"/>
    <x v="7"/>
    <x v="1"/>
    <x v="0"/>
    <n v="17842.740000000002"/>
    <n v="1"/>
    <n v="17842.740000000002"/>
    <n v="3.91"/>
  </r>
  <r>
    <x v="61"/>
    <s v="ORD101591"/>
    <x v="9"/>
    <x v="3"/>
    <x v="9"/>
    <x v="1"/>
    <x v="3"/>
    <n v="6344.63"/>
    <n v="5"/>
    <n v="31723.15"/>
    <n v="1.82"/>
  </r>
  <r>
    <x v="61"/>
    <s v="ORD101867"/>
    <x v="7"/>
    <x v="3"/>
    <x v="7"/>
    <x v="1"/>
    <x v="0"/>
    <n v="3671.54"/>
    <n v="4"/>
    <n v="14686.16"/>
    <n v="1.1599999999999999"/>
  </r>
  <r>
    <x v="62"/>
    <s v="ORD100191"/>
    <x v="9"/>
    <x v="3"/>
    <x v="9"/>
    <x v="1"/>
    <x v="3"/>
    <n v="16575.349999999999"/>
    <n v="5"/>
    <n v="82876.75"/>
    <n v="4.4800000000000004"/>
  </r>
  <r>
    <x v="62"/>
    <s v="ORD101452"/>
    <x v="7"/>
    <x v="3"/>
    <x v="7"/>
    <x v="1"/>
    <x v="5"/>
    <n v="1283.45"/>
    <n v="5"/>
    <n v="6417.25"/>
    <n v="1.56"/>
  </r>
  <r>
    <x v="62"/>
    <s v="ORD101572"/>
    <x v="9"/>
    <x v="3"/>
    <x v="9"/>
    <x v="1"/>
    <x v="3"/>
    <n v="19431.66"/>
    <n v="2"/>
    <n v="38863.32"/>
    <n v="3"/>
  </r>
  <r>
    <x v="354"/>
    <s v="ORD101692"/>
    <x v="7"/>
    <x v="3"/>
    <x v="7"/>
    <x v="0"/>
    <x v="3"/>
    <n v="1692.36"/>
    <n v="4"/>
    <n v="6769.44"/>
    <n v="4.93"/>
  </r>
  <r>
    <x v="65"/>
    <s v="ORD101703"/>
    <x v="7"/>
    <x v="3"/>
    <x v="7"/>
    <x v="0"/>
    <x v="0"/>
    <n v="19596.099999999999"/>
    <n v="4"/>
    <n v="78384.399999999994"/>
    <n v="2.46"/>
  </r>
  <r>
    <x v="250"/>
    <s v="ORD101441"/>
    <x v="8"/>
    <x v="3"/>
    <x v="8"/>
    <x v="2"/>
    <x v="3"/>
    <n v="1930.42"/>
    <n v="4"/>
    <n v="7721.68"/>
    <n v="3.84"/>
  </r>
  <r>
    <x v="67"/>
    <s v="ORD101671"/>
    <x v="7"/>
    <x v="3"/>
    <x v="7"/>
    <x v="1"/>
    <x v="2"/>
    <n v="1262.72"/>
    <n v="2"/>
    <n v="2525.44"/>
    <n v="2.1800000000000002"/>
  </r>
  <r>
    <x v="68"/>
    <s v="ORD100412"/>
    <x v="7"/>
    <x v="3"/>
    <x v="7"/>
    <x v="2"/>
    <x v="3"/>
    <n v="6688.64"/>
    <n v="4"/>
    <n v="26754.560000000001"/>
    <n v="1.05"/>
  </r>
  <r>
    <x v="68"/>
    <s v="ORD101325"/>
    <x v="7"/>
    <x v="3"/>
    <x v="7"/>
    <x v="0"/>
    <x v="2"/>
    <n v="10889.77"/>
    <n v="5"/>
    <n v="54448.85"/>
    <n v="2.3199999999999998"/>
  </r>
  <r>
    <x v="252"/>
    <s v="ORD101361"/>
    <x v="7"/>
    <x v="3"/>
    <x v="7"/>
    <x v="2"/>
    <x v="4"/>
    <n v="6158.51"/>
    <n v="2"/>
    <n v="12317.02"/>
    <n v="3.8"/>
  </r>
  <r>
    <x v="319"/>
    <s v="ORD100179"/>
    <x v="8"/>
    <x v="3"/>
    <x v="8"/>
    <x v="1"/>
    <x v="1"/>
    <n v="11422.05"/>
    <n v="3"/>
    <n v="34266.15"/>
    <n v="2.29"/>
  </r>
  <r>
    <x v="319"/>
    <s v="ORD100447"/>
    <x v="7"/>
    <x v="3"/>
    <x v="7"/>
    <x v="1"/>
    <x v="0"/>
    <n v="1852.45"/>
    <n v="2"/>
    <n v="3704.9"/>
    <n v="2.91"/>
  </r>
  <r>
    <x v="319"/>
    <s v="ORD101183"/>
    <x v="9"/>
    <x v="3"/>
    <x v="9"/>
    <x v="2"/>
    <x v="3"/>
    <n v="7795.95"/>
    <n v="1"/>
    <n v="7795.95"/>
    <n v="1.0900000000000001"/>
  </r>
  <r>
    <x v="70"/>
    <s v="ORD100436"/>
    <x v="7"/>
    <x v="3"/>
    <x v="7"/>
    <x v="1"/>
    <x v="4"/>
    <n v="3664.91"/>
    <n v="4"/>
    <n v="14659.64"/>
    <n v="4.5999999999999996"/>
  </r>
  <r>
    <x v="70"/>
    <s v="ORD100586"/>
    <x v="9"/>
    <x v="3"/>
    <x v="9"/>
    <x v="2"/>
    <x v="5"/>
    <n v="11900.56"/>
    <n v="1"/>
    <n v="11900.56"/>
    <n v="3.36"/>
  </r>
  <r>
    <x v="70"/>
    <s v="ORD101801"/>
    <x v="9"/>
    <x v="3"/>
    <x v="9"/>
    <x v="2"/>
    <x v="1"/>
    <n v="9970.17"/>
    <n v="3"/>
    <n v="29910.51"/>
    <n v="4.55"/>
  </r>
  <r>
    <x v="70"/>
    <s v="ORD101885"/>
    <x v="9"/>
    <x v="3"/>
    <x v="9"/>
    <x v="1"/>
    <x v="2"/>
    <n v="16240.84"/>
    <n v="2"/>
    <n v="32481.68"/>
    <n v="2.71"/>
  </r>
  <r>
    <x v="71"/>
    <s v="ORD100084"/>
    <x v="8"/>
    <x v="3"/>
    <x v="8"/>
    <x v="0"/>
    <x v="2"/>
    <n v="11226.5"/>
    <n v="4"/>
    <n v="44906"/>
    <n v="3.09"/>
  </r>
  <r>
    <x v="71"/>
    <s v="ORD101505"/>
    <x v="8"/>
    <x v="3"/>
    <x v="8"/>
    <x v="0"/>
    <x v="1"/>
    <n v="17689.71"/>
    <n v="1"/>
    <n v="17689.71"/>
    <n v="1.91"/>
  </r>
  <r>
    <x v="72"/>
    <s v="ORD100741"/>
    <x v="9"/>
    <x v="3"/>
    <x v="9"/>
    <x v="2"/>
    <x v="3"/>
    <n v="2915.65"/>
    <n v="3"/>
    <n v="8746.9500000000007"/>
    <n v="4.91"/>
  </r>
  <r>
    <x v="72"/>
    <s v="ORD101424"/>
    <x v="9"/>
    <x v="3"/>
    <x v="9"/>
    <x v="2"/>
    <x v="0"/>
    <n v="10660.65"/>
    <n v="3"/>
    <n v="31981.95"/>
    <n v="3.31"/>
  </r>
  <r>
    <x v="254"/>
    <s v="ORD100197"/>
    <x v="8"/>
    <x v="3"/>
    <x v="8"/>
    <x v="1"/>
    <x v="4"/>
    <n v="11547.96"/>
    <n v="4"/>
    <n v="46191.839999999997"/>
    <n v="2.2400000000000002"/>
  </r>
  <r>
    <x v="254"/>
    <s v="ORD101269"/>
    <x v="7"/>
    <x v="3"/>
    <x v="7"/>
    <x v="0"/>
    <x v="0"/>
    <n v="16136.42"/>
    <n v="1"/>
    <n v="16136.42"/>
    <n v="2.63"/>
  </r>
  <r>
    <x v="73"/>
    <s v="ORD100132"/>
    <x v="9"/>
    <x v="3"/>
    <x v="9"/>
    <x v="0"/>
    <x v="3"/>
    <n v="17344.22"/>
    <n v="2"/>
    <n v="34688.44"/>
    <n v="4.5"/>
  </r>
  <r>
    <x v="73"/>
    <s v="ORD100146"/>
    <x v="8"/>
    <x v="3"/>
    <x v="8"/>
    <x v="1"/>
    <x v="5"/>
    <n v="3964.13"/>
    <n v="5"/>
    <n v="19820.650000000001"/>
    <n v="2.95"/>
  </r>
  <r>
    <x v="73"/>
    <s v="ORD100273"/>
    <x v="7"/>
    <x v="3"/>
    <x v="7"/>
    <x v="2"/>
    <x v="5"/>
    <n v="17660.77"/>
    <n v="5"/>
    <n v="88303.85"/>
    <n v="4.04"/>
  </r>
  <r>
    <x v="73"/>
    <s v="ORD101674"/>
    <x v="9"/>
    <x v="3"/>
    <x v="9"/>
    <x v="0"/>
    <x v="3"/>
    <n v="14494.53"/>
    <n v="2"/>
    <n v="28989.06"/>
    <n v="3.01"/>
  </r>
  <r>
    <x v="74"/>
    <s v="ORD100613"/>
    <x v="9"/>
    <x v="3"/>
    <x v="9"/>
    <x v="0"/>
    <x v="0"/>
    <n v="5592.38"/>
    <n v="3"/>
    <n v="16777.14"/>
    <n v="1.22"/>
  </r>
  <r>
    <x v="74"/>
    <s v="ORD100625"/>
    <x v="8"/>
    <x v="3"/>
    <x v="8"/>
    <x v="2"/>
    <x v="1"/>
    <n v="4581.84"/>
    <n v="5"/>
    <n v="22909.200000000001"/>
    <n v="2.29"/>
  </r>
  <r>
    <x v="75"/>
    <s v="ORD100832"/>
    <x v="7"/>
    <x v="3"/>
    <x v="7"/>
    <x v="2"/>
    <x v="5"/>
    <n v="17317.2"/>
    <n v="4"/>
    <n v="69268.800000000003"/>
    <n v="4.3099999999999996"/>
  </r>
  <r>
    <x v="75"/>
    <s v="ORD100937"/>
    <x v="8"/>
    <x v="3"/>
    <x v="8"/>
    <x v="2"/>
    <x v="3"/>
    <n v="17039.650000000001"/>
    <n v="1"/>
    <n v="17039.650000000001"/>
    <n v="3.92"/>
  </r>
  <r>
    <x v="76"/>
    <s v="ORD100115"/>
    <x v="9"/>
    <x v="3"/>
    <x v="9"/>
    <x v="2"/>
    <x v="2"/>
    <n v="17786.64"/>
    <n v="2"/>
    <n v="35573.279999999999"/>
    <n v="1.94"/>
  </r>
  <r>
    <x v="77"/>
    <s v="ORD100304"/>
    <x v="7"/>
    <x v="3"/>
    <x v="7"/>
    <x v="0"/>
    <x v="5"/>
    <n v="11319.16"/>
    <n v="5"/>
    <n v="56595.8"/>
    <n v="1.74"/>
  </r>
  <r>
    <x v="78"/>
    <s v="ORD100636"/>
    <x v="9"/>
    <x v="3"/>
    <x v="9"/>
    <x v="2"/>
    <x v="5"/>
    <n v="5006.17"/>
    <n v="4"/>
    <n v="20024.68"/>
    <n v="3.16"/>
  </r>
  <r>
    <x v="78"/>
    <s v="ORD101131"/>
    <x v="9"/>
    <x v="3"/>
    <x v="9"/>
    <x v="2"/>
    <x v="0"/>
    <n v="9765.69"/>
    <n v="2"/>
    <n v="19531.38"/>
    <n v="1.51"/>
  </r>
  <r>
    <x v="78"/>
    <s v="ORD101792"/>
    <x v="9"/>
    <x v="3"/>
    <x v="9"/>
    <x v="1"/>
    <x v="5"/>
    <n v="8564.58"/>
    <n v="2"/>
    <n v="17129.16"/>
    <n v="3.24"/>
  </r>
  <r>
    <x v="78"/>
    <s v="ORD101836"/>
    <x v="8"/>
    <x v="3"/>
    <x v="8"/>
    <x v="1"/>
    <x v="3"/>
    <n v="16583.43"/>
    <n v="5"/>
    <n v="82917.149999999994"/>
    <n v="1.93"/>
  </r>
  <r>
    <x v="79"/>
    <s v="ORD100034"/>
    <x v="9"/>
    <x v="3"/>
    <x v="9"/>
    <x v="0"/>
    <x v="0"/>
    <n v="8827.9599999999991"/>
    <n v="5"/>
    <n v="44139.8"/>
    <n v="2.2200000000000002"/>
  </r>
  <r>
    <x v="79"/>
    <s v="ORD100772"/>
    <x v="9"/>
    <x v="3"/>
    <x v="9"/>
    <x v="1"/>
    <x v="1"/>
    <n v="8685.6"/>
    <n v="1"/>
    <n v="8685.6"/>
    <n v="1.94"/>
  </r>
  <r>
    <x v="79"/>
    <s v="ORD101082"/>
    <x v="9"/>
    <x v="3"/>
    <x v="9"/>
    <x v="1"/>
    <x v="1"/>
    <n v="4401.1000000000004"/>
    <n v="3"/>
    <n v="13203.3"/>
    <n v="1.1200000000000001"/>
  </r>
  <r>
    <x v="80"/>
    <s v="ORD100870"/>
    <x v="7"/>
    <x v="3"/>
    <x v="7"/>
    <x v="0"/>
    <x v="1"/>
    <n v="2888.14"/>
    <n v="2"/>
    <n v="5776.28"/>
    <n v="2.19"/>
  </r>
  <r>
    <x v="80"/>
    <s v="ORD101284"/>
    <x v="9"/>
    <x v="3"/>
    <x v="9"/>
    <x v="0"/>
    <x v="0"/>
    <n v="15616.82"/>
    <n v="2"/>
    <n v="31233.64"/>
    <n v="4.74"/>
  </r>
  <r>
    <x v="80"/>
    <s v="ORD101570"/>
    <x v="7"/>
    <x v="3"/>
    <x v="7"/>
    <x v="1"/>
    <x v="4"/>
    <n v="15562.52"/>
    <n v="2"/>
    <n v="31125.040000000001"/>
    <n v="1.34"/>
  </r>
  <r>
    <x v="81"/>
    <s v="ORD100476"/>
    <x v="8"/>
    <x v="3"/>
    <x v="8"/>
    <x v="1"/>
    <x v="2"/>
    <n v="11522.44"/>
    <n v="1"/>
    <n v="11522.44"/>
    <n v="4.9800000000000004"/>
  </r>
  <r>
    <x v="81"/>
    <s v="ORD101939"/>
    <x v="8"/>
    <x v="3"/>
    <x v="8"/>
    <x v="0"/>
    <x v="3"/>
    <n v="17978.53"/>
    <n v="1"/>
    <n v="17978.53"/>
    <n v="3.79"/>
  </r>
  <r>
    <x v="82"/>
    <s v="ORD100614"/>
    <x v="9"/>
    <x v="3"/>
    <x v="9"/>
    <x v="2"/>
    <x v="5"/>
    <n v="18157.93"/>
    <n v="5"/>
    <n v="90789.65"/>
    <n v="1.73"/>
  </r>
  <r>
    <x v="83"/>
    <s v="ORD100180"/>
    <x v="8"/>
    <x v="3"/>
    <x v="8"/>
    <x v="2"/>
    <x v="4"/>
    <n v="10811.24"/>
    <n v="4"/>
    <n v="43244.959999999999"/>
    <n v="2.2599999999999998"/>
  </r>
  <r>
    <x v="85"/>
    <s v="ORD101683"/>
    <x v="7"/>
    <x v="3"/>
    <x v="7"/>
    <x v="2"/>
    <x v="4"/>
    <n v="4007.24"/>
    <n v="5"/>
    <n v="20036.2"/>
    <n v="4.05"/>
  </r>
  <r>
    <x v="85"/>
    <s v="ORD101946"/>
    <x v="7"/>
    <x v="3"/>
    <x v="7"/>
    <x v="2"/>
    <x v="5"/>
    <n v="12106.42"/>
    <n v="4"/>
    <n v="48425.68"/>
    <n v="2.19"/>
  </r>
  <r>
    <x v="86"/>
    <s v="ORD101289"/>
    <x v="8"/>
    <x v="3"/>
    <x v="8"/>
    <x v="0"/>
    <x v="1"/>
    <n v="18356.62"/>
    <n v="3"/>
    <n v="55069.86"/>
    <n v="2.54"/>
  </r>
  <r>
    <x v="86"/>
    <s v="ORD101694"/>
    <x v="7"/>
    <x v="3"/>
    <x v="7"/>
    <x v="1"/>
    <x v="2"/>
    <n v="15231.1"/>
    <n v="1"/>
    <n v="15231.1"/>
    <n v="2.2599999999999998"/>
  </r>
  <r>
    <x v="87"/>
    <s v="ORD101584"/>
    <x v="8"/>
    <x v="3"/>
    <x v="8"/>
    <x v="1"/>
    <x v="3"/>
    <n v="17065.98"/>
    <n v="3"/>
    <n v="51197.94"/>
    <n v="2.35"/>
  </r>
  <r>
    <x v="88"/>
    <s v="ORD101394"/>
    <x v="8"/>
    <x v="3"/>
    <x v="8"/>
    <x v="0"/>
    <x v="4"/>
    <n v="14254.98"/>
    <n v="4"/>
    <n v="57019.92"/>
    <n v="2.58"/>
  </r>
  <r>
    <x v="89"/>
    <s v="ORD101928"/>
    <x v="9"/>
    <x v="3"/>
    <x v="9"/>
    <x v="1"/>
    <x v="2"/>
    <n v="15825.48"/>
    <n v="2"/>
    <n v="31650.959999999999"/>
    <n v="3.88"/>
  </r>
  <r>
    <x v="255"/>
    <s v="ORD100151"/>
    <x v="9"/>
    <x v="3"/>
    <x v="9"/>
    <x v="1"/>
    <x v="3"/>
    <n v="6654.77"/>
    <n v="4"/>
    <n v="26619.08"/>
    <n v="4.62"/>
  </r>
  <r>
    <x v="255"/>
    <s v="ORD101937"/>
    <x v="9"/>
    <x v="3"/>
    <x v="9"/>
    <x v="2"/>
    <x v="3"/>
    <n v="7629.43"/>
    <n v="4"/>
    <n v="30517.72"/>
    <n v="4.47"/>
  </r>
  <r>
    <x v="92"/>
    <s v="ORD101139"/>
    <x v="8"/>
    <x v="3"/>
    <x v="8"/>
    <x v="0"/>
    <x v="4"/>
    <n v="14765.35"/>
    <n v="4"/>
    <n v="59061.4"/>
    <n v="2.94"/>
  </r>
  <r>
    <x v="92"/>
    <s v="ORD101292"/>
    <x v="7"/>
    <x v="3"/>
    <x v="7"/>
    <x v="2"/>
    <x v="3"/>
    <n v="9063.1299999999992"/>
    <n v="3"/>
    <n v="27189.39"/>
    <n v="1.7"/>
  </r>
  <r>
    <x v="93"/>
    <s v="ORD100463"/>
    <x v="7"/>
    <x v="3"/>
    <x v="7"/>
    <x v="0"/>
    <x v="4"/>
    <n v="5027.0600000000004"/>
    <n v="4"/>
    <n v="20108.240000000002"/>
    <n v="2.6"/>
  </r>
  <r>
    <x v="93"/>
    <s v="ORD100968"/>
    <x v="9"/>
    <x v="3"/>
    <x v="9"/>
    <x v="2"/>
    <x v="1"/>
    <n v="6582.41"/>
    <n v="2"/>
    <n v="13164.82"/>
    <n v="4.67"/>
  </r>
  <r>
    <x v="93"/>
    <s v="ORD101166"/>
    <x v="7"/>
    <x v="3"/>
    <x v="7"/>
    <x v="2"/>
    <x v="1"/>
    <n v="5713.11"/>
    <n v="3"/>
    <n v="17139.330000000002"/>
    <n v="2.39"/>
  </r>
  <r>
    <x v="257"/>
    <s v="ORD101480"/>
    <x v="7"/>
    <x v="3"/>
    <x v="7"/>
    <x v="2"/>
    <x v="2"/>
    <n v="5855.68"/>
    <n v="4"/>
    <n v="23422.720000000001"/>
    <n v="3.59"/>
  </r>
  <r>
    <x v="257"/>
    <s v="ORD101857"/>
    <x v="9"/>
    <x v="3"/>
    <x v="9"/>
    <x v="2"/>
    <x v="4"/>
    <n v="18894.669999999998"/>
    <n v="2"/>
    <n v="37789.339999999997"/>
    <n v="2.6"/>
  </r>
  <r>
    <x v="94"/>
    <s v="ORD101230"/>
    <x v="8"/>
    <x v="3"/>
    <x v="8"/>
    <x v="0"/>
    <x v="0"/>
    <n v="9736.84"/>
    <n v="1"/>
    <n v="9736.84"/>
    <n v="4.53"/>
  </r>
  <r>
    <x v="95"/>
    <s v="ORD101221"/>
    <x v="7"/>
    <x v="3"/>
    <x v="7"/>
    <x v="2"/>
    <x v="3"/>
    <n v="8120.52"/>
    <n v="2"/>
    <n v="16241.04"/>
    <n v="2.7"/>
  </r>
  <r>
    <x v="95"/>
    <s v="ORD101913"/>
    <x v="9"/>
    <x v="3"/>
    <x v="9"/>
    <x v="2"/>
    <x v="3"/>
    <n v="8531.93"/>
    <n v="5"/>
    <n v="42659.65"/>
    <n v="3.43"/>
  </r>
  <r>
    <x v="258"/>
    <s v="ORD100383"/>
    <x v="8"/>
    <x v="3"/>
    <x v="8"/>
    <x v="0"/>
    <x v="1"/>
    <n v="3286.82"/>
    <n v="1"/>
    <n v="3286.82"/>
    <n v="4.7699999999999996"/>
  </r>
  <r>
    <x v="258"/>
    <s v="ORD101524"/>
    <x v="9"/>
    <x v="3"/>
    <x v="9"/>
    <x v="1"/>
    <x v="5"/>
    <n v="15235.44"/>
    <n v="4"/>
    <n v="60941.760000000002"/>
    <n v="1.5"/>
  </r>
  <r>
    <x v="97"/>
    <s v="ORD101068"/>
    <x v="8"/>
    <x v="3"/>
    <x v="8"/>
    <x v="0"/>
    <x v="5"/>
    <n v="755.39"/>
    <n v="3"/>
    <n v="2266.17"/>
    <n v="3.91"/>
  </r>
  <r>
    <x v="98"/>
    <s v="ORD100605"/>
    <x v="8"/>
    <x v="3"/>
    <x v="8"/>
    <x v="0"/>
    <x v="5"/>
    <n v="17451.259999999998"/>
    <n v="4"/>
    <n v="69805.039999999994"/>
    <n v="2.2200000000000002"/>
  </r>
  <r>
    <x v="100"/>
    <s v="ORD100310"/>
    <x v="8"/>
    <x v="3"/>
    <x v="8"/>
    <x v="1"/>
    <x v="5"/>
    <n v="16909.71"/>
    <n v="2"/>
    <n v="33819.42"/>
    <n v="3.93"/>
  </r>
  <r>
    <x v="100"/>
    <s v="ORD101003"/>
    <x v="8"/>
    <x v="3"/>
    <x v="8"/>
    <x v="2"/>
    <x v="0"/>
    <n v="19806.599999999999"/>
    <n v="4"/>
    <n v="79226.399999999994"/>
    <n v="1.51"/>
  </r>
  <r>
    <x v="100"/>
    <s v="ORD101874"/>
    <x v="9"/>
    <x v="3"/>
    <x v="9"/>
    <x v="0"/>
    <x v="4"/>
    <n v="5678.11"/>
    <n v="3"/>
    <n v="17034.330000000002"/>
    <n v="1.1499999999999999"/>
  </r>
  <r>
    <x v="355"/>
    <s v="ORD100074"/>
    <x v="9"/>
    <x v="3"/>
    <x v="9"/>
    <x v="2"/>
    <x v="1"/>
    <n v="8551.18"/>
    <n v="1"/>
    <n v="8551.18"/>
    <n v="4.5599999999999996"/>
  </r>
  <r>
    <x v="355"/>
    <s v="ORD100745"/>
    <x v="9"/>
    <x v="3"/>
    <x v="9"/>
    <x v="1"/>
    <x v="5"/>
    <n v="6413.02"/>
    <n v="2"/>
    <n v="12826.04"/>
    <n v="4.01"/>
  </r>
  <r>
    <x v="355"/>
    <s v="ORD101130"/>
    <x v="9"/>
    <x v="3"/>
    <x v="9"/>
    <x v="2"/>
    <x v="4"/>
    <n v="14395.06"/>
    <n v="4"/>
    <n v="57580.24"/>
    <n v="1.36"/>
  </r>
  <r>
    <x v="355"/>
    <s v="ORD101488"/>
    <x v="7"/>
    <x v="3"/>
    <x v="7"/>
    <x v="0"/>
    <x v="4"/>
    <n v="7207.35"/>
    <n v="1"/>
    <n v="7207.35"/>
    <n v="3.4"/>
  </r>
  <r>
    <x v="101"/>
    <s v="ORD101224"/>
    <x v="8"/>
    <x v="3"/>
    <x v="8"/>
    <x v="0"/>
    <x v="0"/>
    <n v="16164.84"/>
    <n v="4"/>
    <n v="64659.360000000001"/>
    <n v="1.21"/>
  </r>
  <r>
    <x v="101"/>
    <s v="ORD101858"/>
    <x v="7"/>
    <x v="3"/>
    <x v="7"/>
    <x v="1"/>
    <x v="5"/>
    <n v="1822.83"/>
    <n v="3"/>
    <n v="5468.49"/>
    <n v="3.32"/>
  </r>
  <r>
    <x v="102"/>
    <s v="ORD101728"/>
    <x v="9"/>
    <x v="3"/>
    <x v="9"/>
    <x v="0"/>
    <x v="2"/>
    <n v="18639.96"/>
    <n v="1"/>
    <n v="18639.96"/>
    <n v="2.2000000000000002"/>
  </r>
  <r>
    <x v="103"/>
    <s v="ORD101256"/>
    <x v="8"/>
    <x v="3"/>
    <x v="8"/>
    <x v="0"/>
    <x v="2"/>
    <n v="19626.13"/>
    <n v="4"/>
    <n v="78504.52"/>
    <n v="3.09"/>
  </r>
  <r>
    <x v="103"/>
    <s v="ORD101568"/>
    <x v="8"/>
    <x v="3"/>
    <x v="8"/>
    <x v="2"/>
    <x v="5"/>
    <n v="5106.51"/>
    <n v="1"/>
    <n v="5106.51"/>
    <n v="4.8499999999999996"/>
  </r>
  <r>
    <x v="259"/>
    <s v="ORD100057"/>
    <x v="9"/>
    <x v="3"/>
    <x v="9"/>
    <x v="2"/>
    <x v="4"/>
    <n v="2256.7399999999998"/>
    <n v="3"/>
    <n v="6770.22"/>
    <n v="3.45"/>
  </r>
  <r>
    <x v="259"/>
    <s v="ORD100458"/>
    <x v="9"/>
    <x v="3"/>
    <x v="9"/>
    <x v="2"/>
    <x v="3"/>
    <n v="3174.89"/>
    <n v="3"/>
    <n v="9524.67"/>
    <n v="1.1499999999999999"/>
  </r>
  <r>
    <x v="259"/>
    <s v="ORD101535"/>
    <x v="8"/>
    <x v="3"/>
    <x v="8"/>
    <x v="0"/>
    <x v="0"/>
    <n v="8896.2000000000007"/>
    <n v="1"/>
    <n v="8896.2000000000007"/>
    <n v="4.99"/>
  </r>
  <r>
    <x v="104"/>
    <s v="ORD100660"/>
    <x v="8"/>
    <x v="3"/>
    <x v="8"/>
    <x v="2"/>
    <x v="0"/>
    <n v="11247.49"/>
    <n v="3"/>
    <n v="33742.47"/>
    <n v="3.73"/>
  </r>
  <r>
    <x v="104"/>
    <s v="ORD100702"/>
    <x v="8"/>
    <x v="3"/>
    <x v="8"/>
    <x v="1"/>
    <x v="5"/>
    <n v="9112.9699999999993"/>
    <n v="2"/>
    <n v="18225.939999999999"/>
    <n v="2.54"/>
  </r>
  <r>
    <x v="104"/>
    <s v="ORD101196"/>
    <x v="8"/>
    <x v="3"/>
    <x v="8"/>
    <x v="0"/>
    <x v="4"/>
    <n v="10369.32"/>
    <n v="3"/>
    <n v="31107.96"/>
    <n v="4.63"/>
  </r>
  <r>
    <x v="104"/>
    <s v="ORD101262"/>
    <x v="8"/>
    <x v="3"/>
    <x v="8"/>
    <x v="2"/>
    <x v="1"/>
    <n v="8309.49"/>
    <n v="5"/>
    <n v="41547.449999999997"/>
    <n v="1.57"/>
  </r>
  <r>
    <x v="105"/>
    <s v="ORD101702"/>
    <x v="9"/>
    <x v="3"/>
    <x v="9"/>
    <x v="0"/>
    <x v="4"/>
    <n v="6906.43"/>
    <n v="1"/>
    <n v="6906.43"/>
    <n v="1.85"/>
  </r>
  <r>
    <x v="105"/>
    <s v="ORD101778"/>
    <x v="8"/>
    <x v="3"/>
    <x v="8"/>
    <x v="1"/>
    <x v="4"/>
    <n v="11229.19"/>
    <n v="3"/>
    <n v="33687.57"/>
    <n v="4.88"/>
  </r>
  <r>
    <x v="106"/>
    <s v="ORD100918"/>
    <x v="7"/>
    <x v="3"/>
    <x v="7"/>
    <x v="2"/>
    <x v="4"/>
    <n v="2060.6999999999998"/>
    <n v="2"/>
    <n v="4121.3999999999996"/>
    <n v="2"/>
  </r>
  <r>
    <x v="106"/>
    <s v="ORD101730"/>
    <x v="8"/>
    <x v="3"/>
    <x v="8"/>
    <x v="0"/>
    <x v="2"/>
    <n v="3651.63"/>
    <n v="5"/>
    <n v="18258.150000000001"/>
    <n v="2.4900000000000002"/>
  </r>
  <r>
    <x v="106"/>
    <s v="ORD101940"/>
    <x v="7"/>
    <x v="3"/>
    <x v="7"/>
    <x v="1"/>
    <x v="0"/>
    <n v="2375.52"/>
    <n v="2"/>
    <n v="4751.04"/>
    <n v="4.1399999999999997"/>
  </r>
  <r>
    <x v="107"/>
    <s v="ORD100174"/>
    <x v="7"/>
    <x v="3"/>
    <x v="7"/>
    <x v="0"/>
    <x v="4"/>
    <n v="19212.240000000002"/>
    <n v="4"/>
    <n v="76848.960000000006"/>
    <n v="3.82"/>
  </r>
  <r>
    <x v="108"/>
    <s v="ORD100710"/>
    <x v="8"/>
    <x v="3"/>
    <x v="8"/>
    <x v="1"/>
    <x v="5"/>
    <n v="8289.67"/>
    <n v="1"/>
    <n v="8289.67"/>
    <n v="4.53"/>
  </r>
  <r>
    <x v="108"/>
    <s v="ORD101805"/>
    <x v="8"/>
    <x v="3"/>
    <x v="8"/>
    <x v="1"/>
    <x v="5"/>
    <n v="18383.79"/>
    <n v="5"/>
    <n v="91918.95"/>
    <n v="3.77"/>
  </r>
  <r>
    <x v="260"/>
    <s v="ORD100633"/>
    <x v="8"/>
    <x v="3"/>
    <x v="8"/>
    <x v="2"/>
    <x v="3"/>
    <n v="10740.57"/>
    <n v="4"/>
    <n v="42962.28"/>
    <n v="3.99"/>
  </r>
  <r>
    <x v="109"/>
    <s v="ORD101834"/>
    <x v="9"/>
    <x v="3"/>
    <x v="9"/>
    <x v="2"/>
    <x v="5"/>
    <n v="1904.05"/>
    <n v="4"/>
    <n v="7616.2"/>
    <n v="2.87"/>
  </r>
  <r>
    <x v="110"/>
    <s v="ORD100877"/>
    <x v="8"/>
    <x v="3"/>
    <x v="8"/>
    <x v="0"/>
    <x v="5"/>
    <n v="16738.919999999998"/>
    <n v="4"/>
    <n v="66955.679999999993"/>
    <n v="2.63"/>
  </r>
  <r>
    <x v="261"/>
    <s v="ORD100775"/>
    <x v="8"/>
    <x v="3"/>
    <x v="8"/>
    <x v="1"/>
    <x v="5"/>
    <n v="5483.26"/>
    <n v="3"/>
    <n v="16449.78"/>
    <n v="4.97"/>
  </r>
  <r>
    <x v="261"/>
    <s v="ORD100806"/>
    <x v="8"/>
    <x v="3"/>
    <x v="8"/>
    <x v="0"/>
    <x v="3"/>
    <n v="5758.22"/>
    <n v="5"/>
    <n v="28791.1"/>
    <n v="1.55"/>
  </r>
  <r>
    <x v="261"/>
    <s v="ORD101464"/>
    <x v="9"/>
    <x v="3"/>
    <x v="9"/>
    <x v="0"/>
    <x v="2"/>
    <n v="6236.29"/>
    <n v="2"/>
    <n v="12472.58"/>
    <n v="1.2"/>
  </r>
  <r>
    <x v="261"/>
    <s v="ORD101544"/>
    <x v="7"/>
    <x v="3"/>
    <x v="7"/>
    <x v="1"/>
    <x v="2"/>
    <n v="7158.62"/>
    <n v="2"/>
    <n v="14317.24"/>
    <n v="2.86"/>
  </r>
  <r>
    <x v="111"/>
    <s v="ORD101788"/>
    <x v="7"/>
    <x v="3"/>
    <x v="7"/>
    <x v="2"/>
    <x v="0"/>
    <n v="16899.759999999998"/>
    <n v="4"/>
    <n v="67599.039999999994"/>
    <n v="3.67"/>
  </r>
  <r>
    <x v="111"/>
    <s v="ORD101825"/>
    <x v="7"/>
    <x v="3"/>
    <x v="7"/>
    <x v="1"/>
    <x v="2"/>
    <n v="327.19"/>
    <n v="3"/>
    <n v="981.57"/>
    <n v="1.69"/>
  </r>
  <r>
    <x v="262"/>
    <s v="ORD100569"/>
    <x v="8"/>
    <x v="3"/>
    <x v="8"/>
    <x v="1"/>
    <x v="4"/>
    <n v="11014.75"/>
    <n v="4"/>
    <n v="44059"/>
    <n v="1.05"/>
  </r>
  <r>
    <x v="112"/>
    <s v="ORD100083"/>
    <x v="8"/>
    <x v="3"/>
    <x v="8"/>
    <x v="1"/>
    <x v="4"/>
    <n v="9574.8799999999992"/>
    <n v="2"/>
    <n v="19149.759999999998"/>
    <n v="4.5999999999999996"/>
  </r>
  <r>
    <x v="112"/>
    <s v="ORD101917"/>
    <x v="8"/>
    <x v="3"/>
    <x v="8"/>
    <x v="0"/>
    <x v="2"/>
    <n v="13427.84"/>
    <n v="4"/>
    <n v="53711.360000000001"/>
    <n v="2.46"/>
  </r>
  <r>
    <x v="320"/>
    <s v="ORD101071"/>
    <x v="7"/>
    <x v="3"/>
    <x v="7"/>
    <x v="0"/>
    <x v="0"/>
    <n v="16722.22"/>
    <n v="4"/>
    <n v="66888.88"/>
    <n v="4.53"/>
  </r>
  <r>
    <x v="263"/>
    <s v="ORD100482"/>
    <x v="7"/>
    <x v="3"/>
    <x v="7"/>
    <x v="1"/>
    <x v="0"/>
    <n v="19397.87"/>
    <n v="2"/>
    <n v="38795.74"/>
    <n v="2.4700000000000002"/>
  </r>
  <r>
    <x v="263"/>
    <s v="ORD101357"/>
    <x v="8"/>
    <x v="3"/>
    <x v="8"/>
    <x v="0"/>
    <x v="1"/>
    <n v="19295.32"/>
    <n v="2"/>
    <n v="38590.639999999999"/>
    <n v="2.87"/>
  </r>
  <r>
    <x v="264"/>
    <s v="ORD101237"/>
    <x v="8"/>
    <x v="3"/>
    <x v="8"/>
    <x v="0"/>
    <x v="5"/>
    <n v="18892.169999999998"/>
    <n v="5"/>
    <n v="94460.85"/>
    <n v="2.85"/>
  </r>
  <r>
    <x v="113"/>
    <s v="ORD100871"/>
    <x v="9"/>
    <x v="3"/>
    <x v="9"/>
    <x v="1"/>
    <x v="4"/>
    <n v="11361.02"/>
    <n v="3"/>
    <n v="34083.06"/>
    <n v="1.95"/>
  </r>
  <r>
    <x v="113"/>
    <s v="ORD101346"/>
    <x v="7"/>
    <x v="3"/>
    <x v="7"/>
    <x v="0"/>
    <x v="0"/>
    <n v="19125.599999999999"/>
    <n v="1"/>
    <n v="19125.599999999999"/>
    <n v="4.1900000000000004"/>
  </r>
  <r>
    <x v="113"/>
    <s v="ORD101446"/>
    <x v="7"/>
    <x v="3"/>
    <x v="7"/>
    <x v="1"/>
    <x v="4"/>
    <n v="13039.39"/>
    <n v="5"/>
    <n v="65196.95"/>
    <n v="1.39"/>
  </r>
  <r>
    <x v="114"/>
    <s v="ORD100834"/>
    <x v="9"/>
    <x v="3"/>
    <x v="9"/>
    <x v="2"/>
    <x v="1"/>
    <n v="3859.16"/>
    <n v="1"/>
    <n v="3859.16"/>
    <n v="4.91"/>
  </r>
  <r>
    <x v="322"/>
    <s v="ORD100570"/>
    <x v="9"/>
    <x v="3"/>
    <x v="9"/>
    <x v="2"/>
    <x v="3"/>
    <n v="12394.93"/>
    <n v="1"/>
    <n v="12394.93"/>
    <n v="4.71"/>
  </r>
  <r>
    <x v="322"/>
    <s v="ORD101471"/>
    <x v="8"/>
    <x v="3"/>
    <x v="8"/>
    <x v="0"/>
    <x v="0"/>
    <n v="11194.85"/>
    <n v="5"/>
    <n v="55974.25"/>
    <n v="4.22"/>
  </r>
  <r>
    <x v="322"/>
    <s v="ORD101566"/>
    <x v="9"/>
    <x v="3"/>
    <x v="9"/>
    <x v="2"/>
    <x v="1"/>
    <n v="520.42999999999995"/>
    <n v="4"/>
    <n v="2081.7199999999998"/>
    <n v="2.3199999999999998"/>
  </r>
  <r>
    <x v="265"/>
    <s v="ORD100175"/>
    <x v="8"/>
    <x v="3"/>
    <x v="8"/>
    <x v="2"/>
    <x v="4"/>
    <n v="14572.72"/>
    <n v="5"/>
    <n v="72863.600000000006"/>
    <n v="1"/>
  </r>
  <r>
    <x v="265"/>
    <s v="ORD100253"/>
    <x v="8"/>
    <x v="3"/>
    <x v="8"/>
    <x v="2"/>
    <x v="3"/>
    <n v="3928.58"/>
    <n v="3"/>
    <n v="11785.74"/>
    <n v="3.17"/>
  </r>
  <r>
    <x v="265"/>
    <s v="ORD100724"/>
    <x v="8"/>
    <x v="3"/>
    <x v="8"/>
    <x v="2"/>
    <x v="3"/>
    <n v="2164.83"/>
    <n v="5"/>
    <n v="10824.15"/>
    <n v="4.33"/>
  </r>
  <r>
    <x v="265"/>
    <s v="ORD101126"/>
    <x v="8"/>
    <x v="3"/>
    <x v="8"/>
    <x v="1"/>
    <x v="0"/>
    <n v="6080.76"/>
    <n v="2"/>
    <n v="12161.52"/>
    <n v="4.07"/>
  </r>
  <r>
    <x v="265"/>
    <s v="ORD101462"/>
    <x v="8"/>
    <x v="3"/>
    <x v="8"/>
    <x v="2"/>
    <x v="3"/>
    <n v="6002.65"/>
    <n v="3"/>
    <n v="18007.95"/>
    <n v="4.18"/>
  </r>
  <r>
    <x v="265"/>
    <s v="ORD101597"/>
    <x v="8"/>
    <x v="3"/>
    <x v="8"/>
    <x v="0"/>
    <x v="5"/>
    <n v="18971.54"/>
    <n v="5"/>
    <n v="94857.7"/>
    <n v="2.48"/>
  </r>
  <r>
    <x v="115"/>
    <s v="ORD100368"/>
    <x v="7"/>
    <x v="3"/>
    <x v="7"/>
    <x v="1"/>
    <x v="0"/>
    <n v="10164.69"/>
    <n v="3"/>
    <n v="30494.07"/>
    <n v="3.92"/>
  </r>
  <r>
    <x v="115"/>
    <s v="ORD100617"/>
    <x v="7"/>
    <x v="3"/>
    <x v="7"/>
    <x v="0"/>
    <x v="0"/>
    <n v="18936.669999999998"/>
    <n v="4"/>
    <n v="75746.679999999993"/>
    <n v="3.77"/>
  </r>
  <r>
    <x v="115"/>
    <s v="ORD101895"/>
    <x v="8"/>
    <x v="3"/>
    <x v="8"/>
    <x v="0"/>
    <x v="2"/>
    <n v="15980.48"/>
    <n v="1"/>
    <n v="15980.48"/>
    <n v="3.69"/>
  </r>
  <r>
    <x v="266"/>
    <s v="ORD100790"/>
    <x v="9"/>
    <x v="3"/>
    <x v="9"/>
    <x v="2"/>
    <x v="0"/>
    <n v="12448.82"/>
    <n v="4"/>
    <n v="49795.28"/>
    <n v="3.33"/>
  </r>
  <r>
    <x v="266"/>
    <s v="ORD101827"/>
    <x v="7"/>
    <x v="3"/>
    <x v="7"/>
    <x v="2"/>
    <x v="0"/>
    <n v="15703.36"/>
    <n v="4"/>
    <n v="62813.440000000002"/>
    <n v="1.81"/>
  </r>
  <r>
    <x v="116"/>
    <s v="ORD100298"/>
    <x v="8"/>
    <x v="3"/>
    <x v="8"/>
    <x v="1"/>
    <x v="3"/>
    <n v="13794.76"/>
    <n v="3"/>
    <n v="41384.28"/>
    <n v="3.48"/>
  </r>
  <r>
    <x v="117"/>
    <s v="ORD100420"/>
    <x v="9"/>
    <x v="3"/>
    <x v="9"/>
    <x v="2"/>
    <x v="4"/>
    <n v="14243.59"/>
    <n v="2"/>
    <n v="28487.18"/>
    <n v="1.1200000000000001"/>
  </r>
  <r>
    <x v="117"/>
    <s v="ORD100599"/>
    <x v="8"/>
    <x v="3"/>
    <x v="8"/>
    <x v="1"/>
    <x v="5"/>
    <n v="5248"/>
    <n v="2"/>
    <n v="10496"/>
    <n v="3.58"/>
  </r>
  <r>
    <x v="117"/>
    <s v="ORD101094"/>
    <x v="8"/>
    <x v="3"/>
    <x v="8"/>
    <x v="0"/>
    <x v="3"/>
    <n v="13102.88"/>
    <n v="2"/>
    <n v="26205.759999999998"/>
    <n v="3.21"/>
  </r>
  <r>
    <x v="117"/>
    <s v="ORD101472"/>
    <x v="7"/>
    <x v="3"/>
    <x v="7"/>
    <x v="0"/>
    <x v="3"/>
    <n v="6823.52"/>
    <n v="3"/>
    <n v="20470.560000000001"/>
    <n v="1.31"/>
  </r>
  <r>
    <x v="117"/>
    <s v="ORD101477"/>
    <x v="9"/>
    <x v="3"/>
    <x v="9"/>
    <x v="1"/>
    <x v="5"/>
    <n v="8414.26"/>
    <n v="1"/>
    <n v="8414.26"/>
    <n v="4.75"/>
  </r>
  <r>
    <x v="267"/>
    <s v="ORD100153"/>
    <x v="9"/>
    <x v="3"/>
    <x v="9"/>
    <x v="2"/>
    <x v="4"/>
    <n v="13224.65"/>
    <n v="5"/>
    <n v="66123.25"/>
    <n v="3.82"/>
  </r>
  <r>
    <x v="267"/>
    <s v="ORD100305"/>
    <x v="9"/>
    <x v="3"/>
    <x v="9"/>
    <x v="1"/>
    <x v="0"/>
    <n v="10554.4"/>
    <n v="1"/>
    <n v="10554.4"/>
    <n v="3.67"/>
  </r>
  <r>
    <x v="267"/>
    <s v="ORD100471"/>
    <x v="7"/>
    <x v="3"/>
    <x v="7"/>
    <x v="2"/>
    <x v="3"/>
    <n v="17346.080000000002"/>
    <n v="5"/>
    <n v="86730.4"/>
    <n v="3"/>
  </r>
  <r>
    <x v="323"/>
    <s v="ORD100001"/>
    <x v="7"/>
    <x v="3"/>
    <x v="7"/>
    <x v="1"/>
    <x v="3"/>
    <n v="6645.2"/>
    <n v="2"/>
    <n v="13290.4"/>
    <n v="2.56"/>
  </r>
  <r>
    <x v="323"/>
    <s v="ORD100478"/>
    <x v="7"/>
    <x v="3"/>
    <x v="7"/>
    <x v="0"/>
    <x v="5"/>
    <n v="5124.09"/>
    <n v="1"/>
    <n v="5124.09"/>
    <n v="4.1500000000000004"/>
  </r>
  <r>
    <x v="119"/>
    <s v="ORD100245"/>
    <x v="9"/>
    <x v="3"/>
    <x v="9"/>
    <x v="2"/>
    <x v="5"/>
    <n v="3051.34"/>
    <n v="5"/>
    <n v="15256.7"/>
    <n v="3.78"/>
  </r>
  <r>
    <x v="119"/>
    <s v="ORD100389"/>
    <x v="8"/>
    <x v="3"/>
    <x v="8"/>
    <x v="1"/>
    <x v="3"/>
    <n v="8409.42"/>
    <n v="1"/>
    <n v="8409.42"/>
    <n v="4.59"/>
  </r>
  <r>
    <x v="119"/>
    <s v="ORD101416"/>
    <x v="9"/>
    <x v="3"/>
    <x v="9"/>
    <x v="2"/>
    <x v="1"/>
    <n v="6779.81"/>
    <n v="5"/>
    <n v="33899.050000000003"/>
    <n v="3.7"/>
  </r>
  <r>
    <x v="120"/>
    <s v="ORD100729"/>
    <x v="9"/>
    <x v="3"/>
    <x v="9"/>
    <x v="2"/>
    <x v="3"/>
    <n v="1677.26"/>
    <n v="1"/>
    <n v="1677.26"/>
    <n v="4.49"/>
  </r>
  <r>
    <x v="268"/>
    <s v="ORD101656"/>
    <x v="9"/>
    <x v="3"/>
    <x v="9"/>
    <x v="1"/>
    <x v="5"/>
    <n v="5068.09"/>
    <n v="4"/>
    <n v="20272.36"/>
    <n v="3.47"/>
  </r>
  <r>
    <x v="121"/>
    <s v="ORD101097"/>
    <x v="9"/>
    <x v="3"/>
    <x v="9"/>
    <x v="0"/>
    <x v="5"/>
    <n v="6357.71"/>
    <n v="2"/>
    <n v="12715.42"/>
    <n v="2.33"/>
  </r>
  <r>
    <x v="121"/>
    <s v="ORD101132"/>
    <x v="8"/>
    <x v="3"/>
    <x v="8"/>
    <x v="1"/>
    <x v="3"/>
    <n v="6475.12"/>
    <n v="3"/>
    <n v="19425.36"/>
    <n v="3.88"/>
  </r>
  <r>
    <x v="122"/>
    <s v="ORD100944"/>
    <x v="9"/>
    <x v="3"/>
    <x v="9"/>
    <x v="1"/>
    <x v="4"/>
    <n v="4483.3100000000004"/>
    <n v="4"/>
    <n v="17933.240000000002"/>
    <n v="1.17"/>
  </r>
  <r>
    <x v="123"/>
    <s v="ORD100020"/>
    <x v="9"/>
    <x v="3"/>
    <x v="9"/>
    <x v="2"/>
    <x v="2"/>
    <n v="9716.9500000000007"/>
    <n v="4"/>
    <n v="38867.800000000003"/>
    <n v="1.76"/>
  </r>
  <r>
    <x v="123"/>
    <s v="ORD100181"/>
    <x v="9"/>
    <x v="3"/>
    <x v="9"/>
    <x v="0"/>
    <x v="0"/>
    <n v="3783.73"/>
    <n v="3"/>
    <n v="11351.19"/>
    <n v="4.21"/>
  </r>
  <r>
    <x v="123"/>
    <s v="ORD101063"/>
    <x v="7"/>
    <x v="3"/>
    <x v="7"/>
    <x v="2"/>
    <x v="0"/>
    <n v="16546.099999999999"/>
    <n v="5"/>
    <n v="82730.5"/>
    <n v="1.62"/>
  </r>
  <r>
    <x v="269"/>
    <s v="ORD100461"/>
    <x v="8"/>
    <x v="3"/>
    <x v="8"/>
    <x v="2"/>
    <x v="4"/>
    <n v="14565.84"/>
    <n v="2"/>
    <n v="29131.68"/>
    <n v="3.65"/>
  </r>
  <r>
    <x v="269"/>
    <s v="ORD101710"/>
    <x v="8"/>
    <x v="3"/>
    <x v="8"/>
    <x v="1"/>
    <x v="2"/>
    <n v="13220.99"/>
    <n v="4"/>
    <n v="52883.96"/>
    <n v="4.8899999999999997"/>
  </r>
  <r>
    <x v="125"/>
    <s v="ORD100457"/>
    <x v="7"/>
    <x v="3"/>
    <x v="7"/>
    <x v="2"/>
    <x v="0"/>
    <n v="18178.009999999998"/>
    <n v="4"/>
    <n v="72712.039999999994"/>
    <n v="3.25"/>
  </r>
  <r>
    <x v="125"/>
    <s v="ORD100500"/>
    <x v="9"/>
    <x v="3"/>
    <x v="9"/>
    <x v="2"/>
    <x v="2"/>
    <n v="10260.59"/>
    <n v="1"/>
    <n v="10260.59"/>
    <n v="1.1599999999999999"/>
  </r>
  <r>
    <x v="126"/>
    <s v="ORD100006"/>
    <x v="8"/>
    <x v="3"/>
    <x v="8"/>
    <x v="0"/>
    <x v="4"/>
    <n v="17796.11"/>
    <n v="2"/>
    <n v="35592.22"/>
    <n v="4.18"/>
  </r>
  <r>
    <x v="126"/>
    <s v="ORD101636"/>
    <x v="7"/>
    <x v="3"/>
    <x v="7"/>
    <x v="1"/>
    <x v="2"/>
    <n v="14732.13"/>
    <n v="5"/>
    <n v="73660.649999999994"/>
    <n v="4.91"/>
  </r>
  <r>
    <x v="127"/>
    <s v="ORD100054"/>
    <x v="9"/>
    <x v="3"/>
    <x v="9"/>
    <x v="2"/>
    <x v="3"/>
    <n v="10005.530000000001"/>
    <n v="5"/>
    <n v="50027.65"/>
    <n v="1.1399999999999999"/>
  </r>
  <r>
    <x v="127"/>
    <s v="ORD100067"/>
    <x v="9"/>
    <x v="3"/>
    <x v="9"/>
    <x v="2"/>
    <x v="0"/>
    <n v="867.36"/>
    <n v="1"/>
    <n v="867.36"/>
    <n v="4.51"/>
  </r>
  <r>
    <x v="127"/>
    <s v="ORD101906"/>
    <x v="8"/>
    <x v="3"/>
    <x v="8"/>
    <x v="0"/>
    <x v="3"/>
    <n v="5225.6899999999996"/>
    <n v="2"/>
    <n v="10451.379999999999"/>
    <n v="1.24"/>
  </r>
  <r>
    <x v="270"/>
    <s v="ORD100459"/>
    <x v="9"/>
    <x v="3"/>
    <x v="9"/>
    <x v="1"/>
    <x v="0"/>
    <n v="14200.86"/>
    <n v="2"/>
    <n v="28401.72"/>
    <n v="4.72"/>
  </r>
  <r>
    <x v="128"/>
    <s v="ORD100750"/>
    <x v="7"/>
    <x v="3"/>
    <x v="7"/>
    <x v="0"/>
    <x v="3"/>
    <n v="5561.22"/>
    <n v="1"/>
    <n v="5561.22"/>
    <n v="3.3"/>
  </r>
  <r>
    <x v="128"/>
    <s v="ORD100966"/>
    <x v="7"/>
    <x v="3"/>
    <x v="7"/>
    <x v="2"/>
    <x v="2"/>
    <n v="626.97"/>
    <n v="4"/>
    <n v="2507.88"/>
    <n v="4.8099999999999996"/>
  </r>
  <r>
    <x v="128"/>
    <s v="ORD101959"/>
    <x v="9"/>
    <x v="3"/>
    <x v="9"/>
    <x v="1"/>
    <x v="5"/>
    <n v="12675.39"/>
    <n v="4"/>
    <n v="50701.56"/>
    <n v="3.19"/>
  </r>
  <r>
    <x v="129"/>
    <s v="ORD100789"/>
    <x v="8"/>
    <x v="3"/>
    <x v="8"/>
    <x v="2"/>
    <x v="2"/>
    <n v="13385.52"/>
    <n v="5"/>
    <n v="66927.600000000006"/>
    <n v="1.36"/>
  </r>
  <r>
    <x v="325"/>
    <s v="ORD100820"/>
    <x v="8"/>
    <x v="3"/>
    <x v="8"/>
    <x v="2"/>
    <x v="1"/>
    <n v="18837.419999999998"/>
    <n v="2"/>
    <n v="37674.839999999997"/>
    <n v="2.64"/>
  </r>
  <r>
    <x v="325"/>
    <s v="ORD101339"/>
    <x v="7"/>
    <x v="3"/>
    <x v="7"/>
    <x v="2"/>
    <x v="2"/>
    <n v="7679.43"/>
    <n v="4"/>
    <n v="30717.72"/>
    <n v="2.95"/>
  </r>
  <r>
    <x v="325"/>
    <s v="ORD101427"/>
    <x v="9"/>
    <x v="3"/>
    <x v="9"/>
    <x v="0"/>
    <x v="0"/>
    <n v="12870.07"/>
    <n v="1"/>
    <n v="12870.07"/>
    <n v="2.19"/>
  </r>
  <r>
    <x v="272"/>
    <s v="ORD100861"/>
    <x v="9"/>
    <x v="3"/>
    <x v="9"/>
    <x v="0"/>
    <x v="1"/>
    <n v="9183.6200000000008"/>
    <n v="4"/>
    <n v="36734.480000000003"/>
    <n v="1.08"/>
  </r>
  <r>
    <x v="272"/>
    <s v="ORD101926"/>
    <x v="9"/>
    <x v="3"/>
    <x v="9"/>
    <x v="1"/>
    <x v="2"/>
    <n v="17349.04"/>
    <n v="4"/>
    <n v="69396.160000000003"/>
    <n v="2.52"/>
  </r>
  <r>
    <x v="130"/>
    <s v="ORD101971"/>
    <x v="9"/>
    <x v="3"/>
    <x v="9"/>
    <x v="0"/>
    <x v="3"/>
    <n v="13076.35"/>
    <n v="5"/>
    <n v="65381.75"/>
    <n v="2.25"/>
  </r>
  <r>
    <x v="273"/>
    <s v="ORD100629"/>
    <x v="9"/>
    <x v="3"/>
    <x v="9"/>
    <x v="1"/>
    <x v="0"/>
    <n v="12996.47"/>
    <n v="4"/>
    <n v="51985.88"/>
    <n v="2.35"/>
  </r>
  <r>
    <x v="273"/>
    <s v="ORD100860"/>
    <x v="9"/>
    <x v="3"/>
    <x v="9"/>
    <x v="2"/>
    <x v="5"/>
    <n v="16344.42"/>
    <n v="4"/>
    <n v="65377.68"/>
    <n v="1.88"/>
  </r>
  <r>
    <x v="132"/>
    <s v="ORD100685"/>
    <x v="7"/>
    <x v="3"/>
    <x v="7"/>
    <x v="0"/>
    <x v="0"/>
    <n v="17933.61"/>
    <n v="4"/>
    <n v="71734.44"/>
    <n v="1.59"/>
  </r>
  <r>
    <x v="132"/>
    <s v="ORD100800"/>
    <x v="8"/>
    <x v="3"/>
    <x v="8"/>
    <x v="2"/>
    <x v="5"/>
    <n v="3616.66"/>
    <n v="1"/>
    <n v="3616.66"/>
    <n v="3.37"/>
  </r>
  <r>
    <x v="132"/>
    <s v="ORD101646"/>
    <x v="7"/>
    <x v="3"/>
    <x v="7"/>
    <x v="2"/>
    <x v="1"/>
    <n v="10273.35"/>
    <n v="5"/>
    <n v="51366.75"/>
    <n v="1.54"/>
  </r>
  <r>
    <x v="326"/>
    <s v="ORD100446"/>
    <x v="7"/>
    <x v="3"/>
    <x v="7"/>
    <x v="1"/>
    <x v="1"/>
    <n v="5210"/>
    <n v="4"/>
    <n v="20840"/>
    <n v="4.54"/>
  </r>
  <r>
    <x v="326"/>
    <s v="ORD101563"/>
    <x v="7"/>
    <x v="3"/>
    <x v="7"/>
    <x v="1"/>
    <x v="4"/>
    <n v="14202.78"/>
    <n v="4"/>
    <n v="56811.12"/>
    <n v="3.8"/>
  </r>
  <r>
    <x v="326"/>
    <s v="ORD101990"/>
    <x v="8"/>
    <x v="3"/>
    <x v="8"/>
    <x v="1"/>
    <x v="4"/>
    <n v="3354.06"/>
    <n v="4"/>
    <n v="13416.24"/>
    <n v="1.0900000000000001"/>
  </r>
  <r>
    <x v="133"/>
    <s v="ORD101329"/>
    <x v="9"/>
    <x v="3"/>
    <x v="9"/>
    <x v="1"/>
    <x v="3"/>
    <n v="3697.45"/>
    <n v="2"/>
    <n v="7394.9"/>
    <n v="3.98"/>
  </r>
  <r>
    <x v="135"/>
    <s v="ORD100335"/>
    <x v="7"/>
    <x v="3"/>
    <x v="7"/>
    <x v="1"/>
    <x v="4"/>
    <n v="11970.89"/>
    <n v="5"/>
    <n v="59854.45"/>
    <n v="2.04"/>
  </r>
  <r>
    <x v="135"/>
    <s v="ORD101624"/>
    <x v="9"/>
    <x v="3"/>
    <x v="9"/>
    <x v="2"/>
    <x v="2"/>
    <n v="4841.75"/>
    <n v="4"/>
    <n v="19367"/>
    <n v="4.03"/>
  </r>
  <r>
    <x v="328"/>
    <s v="ORD100377"/>
    <x v="7"/>
    <x v="3"/>
    <x v="7"/>
    <x v="1"/>
    <x v="4"/>
    <n v="15573.22"/>
    <n v="4"/>
    <n v="62292.88"/>
    <n v="2.62"/>
  </r>
  <r>
    <x v="136"/>
    <s v="ORD101381"/>
    <x v="8"/>
    <x v="3"/>
    <x v="8"/>
    <x v="0"/>
    <x v="5"/>
    <n v="4537.93"/>
    <n v="1"/>
    <n v="4537.93"/>
    <n v="3.41"/>
  </r>
  <r>
    <x v="137"/>
    <s v="ORD100681"/>
    <x v="7"/>
    <x v="3"/>
    <x v="7"/>
    <x v="2"/>
    <x v="1"/>
    <n v="14702.26"/>
    <n v="1"/>
    <n v="14702.26"/>
    <n v="1.51"/>
  </r>
  <r>
    <x v="137"/>
    <s v="ORD101531"/>
    <x v="7"/>
    <x v="3"/>
    <x v="7"/>
    <x v="0"/>
    <x v="2"/>
    <n v="13305.13"/>
    <n v="3"/>
    <n v="39915.39"/>
    <n v="1.3"/>
  </r>
  <r>
    <x v="138"/>
    <s v="ORD100046"/>
    <x v="8"/>
    <x v="3"/>
    <x v="8"/>
    <x v="2"/>
    <x v="5"/>
    <n v="10278.34"/>
    <n v="1"/>
    <n v="10278.34"/>
    <n v="4.3899999999999997"/>
  </r>
  <r>
    <x v="138"/>
    <s v="ORD100343"/>
    <x v="9"/>
    <x v="3"/>
    <x v="9"/>
    <x v="1"/>
    <x v="0"/>
    <n v="8788.27"/>
    <n v="1"/>
    <n v="8788.27"/>
    <n v="4.95"/>
  </r>
  <r>
    <x v="138"/>
    <s v="ORD100438"/>
    <x v="8"/>
    <x v="3"/>
    <x v="8"/>
    <x v="2"/>
    <x v="0"/>
    <n v="8997.84"/>
    <n v="3"/>
    <n v="26993.52"/>
    <n v="4.2300000000000004"/>
  </r>
  <r>
    <x v="138"/>
    <s v="ORD101587"/>
    <x v="7"/>
    <x v="3"/>
    <x v="7"/>
    <x v="0"/>
    <x v="1"/>
    <n v="14369.79"/>
    <n v="5"/>
    <n v="71848.95"/>
    <n v="3.84"/>
  </r>
  <r>
    <x v="275"/>
    <s v="ORD100116"/>
    <x v="9"/>
    <x v="3"/>
    <x v="9"/>
    <x v="2"/>
    <x v="2"/>
    <n v="18219.13"/>
    <n v="5"/>
    <n v="91095.65"/>
    <n v="4.8099999999999996"/>
  </r>
  <r>
    <x v="276"/>
    <s v="ORD100296"/>
    <x v="8"/>
    <x v="3"/>
    <x v="8"/>
    <x v="2"/>
    <x v="2"/>
    <n v="10934.94"/>
    <n v="2"/>
    <n v="21869.88"/>
    <n v="1.18"/>
  </r>
  <r>
    <x v="139"/>
    <s v="ORD101953"/>
    <x v="7"/>
    <x v="3"/>
    <x v="7"/>
    <x v="1"/>
    <x v="3"/>
    <n v="18287.63"/>
    <n v="2"/>
    <n v="36575.26"/>
    <n v="4.16"/>
  </r>
  <r>
    <x v="139"/>
    <s v="ORD101980"/>
    <x v="9"/>
    <x v="3"/>
    <x v="9"/>
    <x v="2"/>
    <x v="2"/>
    <n v="619.27"/>
    <n v="3"/>
    <n v="1857.81"/>
    <n v="2.99"/>
  </r>
  <r>
    <x v="277"/>
    <s v="ORD100965"/>
    <x v="9"/>
    <x v="3"/>
    <x v="9"/>
    <x v="1"/>
    <x v="2"/>
    <n v="19222.04"/>
    <n v="3"/>
    <n v="57666.12"/>
    <n v="4.21"/>
  </r>
  <r>
    <x v="140"/>
    <s v="ORD100917"/>
    <x v="9"/>
    <x v="3"/>
    <x v="9"/>
    <x v="1"/>
    <x v="1"/>
    <n v="16104.39"/>
    <n v="5"/>
    <n v="80521.95"/>
    <n v="2.0499999999999998"/>
  </r>
  <r>
    <x v="140"/>
    <s v="ORD101743"/>
    <x v="7"/>
    <x v="3"/>
    <x v="7"/>
    <x v="1"/>
    <x v="1"/>
    <n v="9018.8799999999992"/>
    <n v="1"/>
    <n v="9018.8799999999992"/>
    <n v="4.13"/>
  </r>
  <r>
    <x v="141"/>
    <s v="ORD100346"/>
    <x v="8"/>
    <x v="3"/>
    <x v="8"/>
    <x v="1"/>
    <x v="2"/>
    <n v="12801.38"/>
    <n v="5"/>
    <n v="64006.9"/>
    <n v="1.24"/>
  </r>
  <r>
    <x v="278"/>
    <s v="ORD100551"/>
    <x v="8"/>
    <x v="3"/>
    <x v="8"/>
    <x v="0"/>
    <x v="4"/>
    <n v="265.95999999999998"/>
    <n v="4"/>
    <n v="1063.8399999999999"/>
    <n v="3.77"/>
  </r>
  <r>
    <x v="278"/>
    <s v="ORD101244"/>
    <x v="9"/>
    <x v="3"/>
    <x v="9"/>
    <x v="1"/>
    <x v="0"/>
    <n v="5442.38"/>
    <n v="5"/>
    <n v="27211.9"/>
    <n v="4.21"/>
  </r>
  <r>
    <x v="278"/>
    <s v="ORD101853"/>
    <x v="9"/>
    <x v="3"/>
    <x v="9"/>
    <x v="1"/>
    <x v="1"/>
    <n v="15583.72"/>
    <n v="1"/>
    <n v="15583.72"/>
    <n v="1.01"/>
  </r>
  <r>
    <x v="142"/>
    <s v="ORD100639"/>
    <x v="9"/>
    <x v="3"/>
    <x v="9"/>
    <x v="1"/>
    <x v="0"/>
    <n v="8991.99"/>
    <n v="1"/>
    <n v="8991.99"/>
    <n v="1.33"/>
  </r>
  <r>
    <x v="142"/>
    <s v="ORD100962"/>
    <x v="9"/>
    <x v="3"/>
    <x v="9"/>
    <x v="0"/>
    <x v="4"/>
    <n v="19818.36"/>
    <n v="3"/>
    <n v="59455.08"/>
    <n v="4.0199999999999996"/>
  </r>
  <r>
    <x v="142"/>
    <s v="ORD100964"/>
    <x v="9"/>
    <x v="3"/>
    <x v="9"/>
    <x v="2"/>
    <x v="0"/>
    <n v="18275.650000000001"/>
    <n v="5"/>
    <n v="91378.25"/>
    <n v="2.72"/>
  </r>
  <r>
    <x v="142"/>
    <s v="ORD101681"/>
    <x v="7"/>
    <x v="3"/>
    <x v="7"/>
    <x v="2"/>
    <x v="0"/>
    <n v="10711.32"/>
    <n v="1"/>
    <n v="10711.32"/>
    <n v="4.2"/>
  </r>
  <r>
    <x v="143"/>
    <s v="ORD100526"/>
    <x v="7"/>
    <x v="3"/>
    <x v="7"/>
    <x v="2"/>
    <x v="5"/>
    <n v="18091.060000000001"/>
    <n v="4"/>
    <n v="72364.240000000005"/>
    <n v="4.93"/>
  </r>
  <r>
    <x v="143"/>
    <s v="ORD101103"/>
    <x v="7"/>
    <x v="3"/>
    <x v="7"/>
    <x v="1"/>
    <x v="0"/>
    <n v="17348.7"/>
    <n v="2"/>
    <n v="34697.4"/>
    <n v="4.8600000000000003"/>
  </r>
  <r>
    <x v="279"/>
    <s v="ORD100226"/>
    <x v="9"/>
    <x v="3"/>
    <x v="9"/>
    <x v="0"/>
    <x v="4"/>
    <n v="6336.78"/>
    <n v="1"/>
    <n v="6336.78"/>
    <n v="3.8"/>
  </r>
  <r>
    <x v="279"/>
    <s v="ORD101562"/>
    <x v="8"/>
    <x v="3"/>
    <x v="8"/>
    <x v="0"/>
    <x v="5"/>
    <n v="4949.22"/>
    <n v="3"/>
    <n v="14847.66"/>
    <n v="2.31"/>
  </r>
  <r>
    <x v="280"/>
    <s v="ORD100714"/>
    <x v="7"/>
    <x v="3"/>
    <x v="7"/>
    <x v="0"/>
    <x v="5"/>
    <n v="13455.37"/>
    <n v="1"/>
    <n v="13455.37"/>
    <n v="3.25"/>
  </r>
  <r>
    <x v="356"/>
    <s v="ORD100123"/>
    <x v="7"/>
    <x v="3"/>
    <x v="7"/>
    <x v="0"/>
    <x v="5"/>
    <n v="17035.28"/>
    <n v="2"/>
    <n v="34070.559999999998"/>
    <n v="4.6399999999999997"/>
  </r>
  <r>
    <x v="356"/>
    <s v="ORD100417"/>
    <x v="9"/>
    <x v="3"/>
    <x v="9"/>
    <x v="2"/>
    <x v="0"/>
    <n v="9170.02"/>
    <n v="4"/>
    <n v="36680.080000000002"/>
    <n v="3.08"/>
  </r>
  <r>
    <x v="356"/>
    <s v="ORD100622"/>
    <x v="7"/>
    <x v="3"/>
    <x v="7"/>
    <x v="2"/>
    <x v="3"/>
    <n v="8110.1"/>
    <n v="1"/>
    <n v="8110.1"/>
    <n v="3.49"/>
  </r>
  <r>
    <x v="356"/>
    <s v="ORD100628"/>
    <x v="8"/>
    <x v="3"/>
    <x v="8"/>
    <x v="0"/>
    <x v="5"/>
    <n v="17679.04"/>
    <n v="2"/>
    <n v="35358.080000000002"/>
    <n v="4.1900000000000004"/>
  </r>
  <r>
    <x v="145"/>
    <s v="ORD100378"/>
    <x v="8"/>
    <x v="3"/>
    <x v="8"/>
    <x v="1"/>
    <x v="1"/>
    <n v="13641.94"/>
    <n v="3"/>
    <n v="40925.82"/>
    <n v="2.14"/>
  </r>
  <r>
    <x v="145"/>
    <s v="ORD101181"/>
    <x v="7"/>
    <x v="3"/>
    <x v="7"/>
    <x v="1"/>
    <x v="2"/>
    <n v="15249.43"/>
    <n v="2"/>
    <n v="30498.86"/>
    <n v="2.0099999999999998"/>
  </r>
  <r>
    <x v="281"/>
    <s v="ORD100372"/>
    <x v="9"/>
    <x v="3"/>
    <x v="9"/>
    <x v="2"/>
    <x v="1"/>
    <n v="15476.55"/>
    <n v="2"/>
    <n v="30953.1"/>
    <n v="1.21"/>
  </r>
  <r>
    <x v="281"/>
    <s v="ORD100683"/>
    <x v="9"/>
    <x v="3"/>
    <x v="9"/>
    <x v="1"/>
    <x v="1"/>
    <n v="14934.19"/>
    <n v="3"/>
    <n v="44802.57"/>
    <n v="2.2999999999999998"/>
  </r>
  <r>
    <x v="146"/>
    <s v="ORD100297"/>
    <x v="9"/>
    <x v="3"/>
    <x v="9"/>
    <x v="0"/>
    <x v="0"/>
    <n v="3951.31"/>
    <n v="4"/>
    <n v="15805.24"/>
    <n v="2.8"/>
  </r>
  <r>
    <x v="148"/>
    <s v="ORD100170"/>
    <x v="7"/>
    <x v="3"/>
    <x v="7"/>
    <x v="1"/>
    <x v="3"/>
    <n v="11982.84"/>
    <n v="1"/>
    <n v="11982.84"/>
    <n v="2.99"/>
  </r>
  <r>
    <x v="148"/>
    <s v="ORD100261"/>
    <x v="8"/>
    <x v="3"/>
    <x v="8"/>
    <x v="2"/>
    <x v="1"/>
    <n v="17113.45"/>
    <n v="1"/>
    <n v="17113.45"/>
    <n v="1.58"/>
  </r>
  <r>
    <x v="148"/>
    <s v="ORD100612"/>
    <x v="7"/>
    <x v="3"/>
    <x v="7"/>
    <x v="1"/>
    <x v="4"/>
    <n v="11191.91"/>
    <n v="5"/>
    <n v="55959.55"/>
    <n v="3.51"/>
  </r>
  <r>
    <x v="148"/>
    <s v="ORD101239"/>
    <x v="7"/>
    <x v="3"/>
    <x v="7"/>
    <x v="1"/>
    <x v="2"/>
    <n v="10897.71"/>
    <n v="2"/>
    <n v="21795.42"/>
    <n v="1.42"/>
  </r>
  <r>
    <x v="148"/>
    <s v="ORD101957"/>
    <x v="7"/>
    <x v="3"/>
    <x v="7"/>
    <x v="1"/>
    <x v="1"/>
    <n v="4762.0600000000004"/>
    <n v="3"/>
    <n v="14286.18"/>
    <n v="1.06"/>
  </r>
  <r>
    <x v="330"/>
    <s v="ORD101536"/>
    <x v="7"/>
    <x v="3"/>
    <x v="7"/>
    <x v="2"/>
    <x v="2"/>
    <n v="17259.169999999998"/>
    <n v="5"/>
    <n v="86295.85"/>
    <n v="2.84"/>
  </r>
  <r>
    <x v="149"/>
    <s v="ORD101598"/>
    <x v="7"/>
    <x v="3"/>
    <x v="7"/>
    <x v="1"/>
    <x v="1"/>
    <n v="17691.8"/>
    <n v="5"/>
    <n v="88459"/>
    <n v="3.61"/>
  </r>
  <r>
    <x v="331"/>
    <s v="ORD100630"/>
    <x v="9"/>
    <x v="3"/>
    <x v="9"/>
    <x v="0"/>
    <x v="2"/>
    <n v="11951.4"/>
    <n v="3"/>
    <n v="35854.199999999997"/>
    <n v="1.1200000000000001"/>
  </r>
  <r>
    <x v="150"/>
    <s v="ORD101057"/>
    <x v="8"/>
    <x v="3"/>
    <x v="8"/>
    <x v="2"/>
    <x v="3"/>
    <n v="12174.44"/>
    <n v="3"/>
    <n v="36523.32"/>
    <n v="2.4900000000000002"/>
  </r>
  <r>
    <x v="151"/>
    <s v="ORD101209"/>
    <x v="8"/>
    <x v="3"/>
    <x v="8"/>
    <x v="0"/>
    <x v="4"/>
    <n v="373.86"/>
    <n v="3"/>
    <n v="1121.58"/>
    <n v="2.16"/>
  </r>
  <r>
    <x v="151"/>
    <s v="ORD101578"/>
    <x v="8"/>
    <x v="3"/>
    <x v="8"/>
    <x v="2"/>
    <x v="4"/>
    <n v="12728.83"/>
    <n v="1"/>
    <n v="12728.83"/>
    <n v="2.9"/>
  </r>
  <r>
    <x v="151"/>
    <s v="ORD101936"/>
    <x v="8"/>
    <x v="3"/>
    <x v="8"/>
    <x v="0"/>
    <x v="4"/>
    <n v="4499.05"/>
    <n v="3"/>
    <n v="13497.15"/>
    <n v="4.91"/>
  </r>
  <r>
    <x v="152"/>
    <s v="ORD100259"/>
    <x v="8"/>
    <x v="3"/>
    <x v="8"/>
    <x v="1"/>
    <x v="2"/>
    <n v="18094.91"/>
    <n v="5"/>
    <n v="90474.55"/>
    <n v="2.62"/>
  </r>
  <r>
    <x v="152"/>
    <s v="ORD100763"/>
    <x v="9"/>
    <x v="3"/>
    <x v="9"/>
    <x v="1"/>
    <x v="5"/>
    <n v="17360.599999999999"/>
    <n v="4"/>
    <n v="69442.399999999994"/>
    <n v="3.13"/>
  </r>
  <r>
    <x v="152"/>
    <s v="ORD101212"/>
    <x v="9"/>
    <x v="3"/>
    <x v="9"/>
    <x v="2"/>
    <x v="2"/>
    <n v="11436.41"/>
    <n v="2"/>
    <n v="22872.82"/>
    <n v="3.01"/>
  </r>
  <r>
    <x v="152"/>
    <s v="ORD101520"/>
    <x v="9"/>
    <x v="3"/>
    <x v="9"/>
    <x v="2"/>
    <x v="4"/>
    <n v="12640.25"/>
    <n v="2"/>
    <n v="25280.5"/>
    <n v="4.5"/>
  </r>
  <r>
    <x v="153"/>
    <s v="ORD100212"/>
    <x v="7"/>
    <x v="3"/>
    <x v="7"/>
    <x v="0"/>
    <x v="2"/>
    <n v="2547.77"/>
    <n v="5"/>
    <n v="12738.85"/>
    <n v="1.38"/>
  </r>
  <r>
    <x v="153"/>
    <s v="ORD100381"/>
    <x v="7"/>
    <x v="3"/>
    <x v="7"/>
    <x v="0"/>
    <x v="3"/>
    <n v="3831.68"/>
    <n v="1"/>
    <n v="3831.68"/>
    <n v="2.4300000000000002"/>
  </r>
  <r>
    <x v="153"/>
    <s v="ORD101670"/>
    <x v="9"/>
    <x v="3"/>
    <x v="9"/>
    <x v="2"/>
    <x v="1"/>
    <n v="3100.12"/>
    <n v="1"/>
    <n v="3100.12"/>
    <n v="4.4400000000000004"/>
  </r>
  <r>
    <x v="154"/>
    <s v="ORD100946"/>
    <x v="9"/>
    <x v="3"/>
    <x v="9"/>
    <x v="2"/>
    <x v="0"/>
    <n v="3814.03"/>
    <n v="2"/>
    <n v="7628.06"/>
    <n v="3.3"/>
  </r>
  <r>
    <x v="154"/>
    <s v="ORD101644"/>
    <x v="9"/>
    <x v="3"/>
    <x v="9"/>
    <x v="2"/>
    <x v="5"/>
    <n v="6570.75"/>
    <n v="1"/>
    <n v="6570.75"/>
    <n v="4.59"/>
  </r>
  <r>
    <x v="332"/>
    <s v="ORD100601"/>
    <x v="9"/>
    <x v="3"/>
    <x v="9"/>
    <x v="1"/>
    <x v="4"/>
    <n v="18019.04"/>
    <n v="2"/>
    <n v="36038.080000000002"/>
    <n v="1.84"/>
  </r>
  <r>
    <x v="333"/>
    <s v="ORD101218"/>
    <x v="9"/>
    <x v="3"/>
    <x v="9"/>
    <x v="0"/>
    <x v="0"/>
    <n v="939.36"/>
    <n v="1"/>
    <n v="939.36"/>
    <n v="1.49"/>
  </r>
  <r>
    <x v="333"/>
    <s v="ORD101762"/>
    <x v="8"/>
    <x v="3"/>
    <x v="8"/>
    <x v="1"/>
    <x v="4"/>
    <n v="15928.22"/>
    <n v="3"/>
    <n v="47784.66"/>
    <n v="3.1"/>
  </r>
  <r>
    <x v="155"/>
    <s v="ORD101538"/>
    <x v="8"/>
    <x v="3"/>
    <x v="8"/>
    <x v="2"/>
    <x v="2"/>
    <n v="15942.59"/>
    <n v="2"/>
    <n v="31885.18"/>
    <n v="3.27"/>
  </r>
  <r>
    <x v="156"/>
    <s v="ORD100607"/>
    <x v="7"/>
    <x v="3"/>
    <x v="7"/>
    <x v="2"/>
    <x v="3"/>
    <n v="15788.29"/>
    <n v="5"/>
    <n v="78941.45"/>
    <n v="4.51"/>
  </r>
  <r>
    <x v="156"/>
    <s v="ORD100793"/>
    <x v="8"/>
    <x v="3"/>
    <x v="8"/>
    <x v="0"/>
    <x v="3"/>
    <n v="9446.2900000000009"/>
    <n v="3"/>
    <n v="28338.87"/>
    <n v="1.17"/>
  </r>
  <r>
    <x v="157"/>
    <s v="ORD100469"/>
    <x v="8"/>
    <x v="3"/>
    <x v="8"/>
    <x v="1"/>
    <x v="1"/>
    <n v="11249.5"/>
    <n v="1"/>
    <n v="11249.5"/>
    <n v="2.14"/>
  </r>
  <r>
    <x v="157"/>
    <s v="ORD100684"/>
    <x v="8"/>
    <x v="3"/>
    <x v="8"/>
    <x v="2"/>
    <x v="5"/>
    <n v="10892.9"/>
    <n v="1"/>
    <n v="10892.9"/>
    <n v="3.16"/>
  </r>
  <r>
    <x v="158"/>
    <s v="ORD100976"/>
    <x v="8"/>
    <x v="3"/>
    <x v="8"/>
    <x v="1"/>
    <x v="0"/>
    <n v="7594.47"/>
    <n v="1"/>
    <n v="7594.47"/>
    <n v="3.79"/>
  </r>
  <r>
    <x v="158"/>
    <s v="ORD101903"/>
    <x v="9"/>
    <x v="3"/>
    <x v="9"/>
    <x v="1"/>
    <x v="5"/>
    <n v="16006.5"/>
    <n v="4"/>
    <n v="64026"/>
    <n v="2.82"/>
  </r>
  <r>
    <x v="159"/>
    <s v="ORD100329"/>
    <x v="7"/>
    <x v="3"/>
    <x v="7"/>
    <x v="2"/>
    <x v="0"/>
    <n v="133.61000000000001"/>
    <n v="4"/>
    <n v="534.44000000000005"/>
    <n v="4.1100000000000003"/>
  </r>
  <r>
    <x v="283"/>
    <s v="ORD100157"/>
    <x v="8"/>
    <x v="3"/>
    <x v="8"/>
    <x v="0"/>
    <x v="4"/>
    <n v="816.2"/>
    <n v="2"/>
    <n v="1632.4"/>
    <n v="4.54"/>
  </r>
  <r>
    <x v="283"/>
    <s v="ORD101619"/>
    <x v="7"/>
    <x v="3"/>
    <x v="7"/>
    <x v="2"/>
    <x v="0"/>
    <n v="1350.6"/>
    <n v="3"/>
    <n v="4051.8"/>
    <n v="4.95"/>
  </r>
  <r>
    <x v="284"/>
    <s v="ORD100927"/>
    <x v="8"/>
    <x v="3"/>
    <x v="8"/>
    <x v="1"/>
    <x v="2"/>
    <n v="9723.02"/>
    <n v="1"/>
    <n v="9723.02"/>
    <n v="4.9400000000000004"/>
  </r>
  <r>
    <x v="284"/>
    <s v="ORD101201"/>
    <x v="8"/>
    <x v="3"/>
    <x v="8"/>
    <x v="1"/>
    <x v="2"/>
    <n v="7912.41"/>
    <n v="2"/>
    <n v="15824.82"/>
    <n v="2.0699999999999998"/>
  </r>
  <r>
    <x v="284"/>
    <s v="ORD101512"/>
    <x v="7"/>
    <x v="3"/>
    <x v="7"/>
    <x v="2"/>
    <x v="2"/>
    <n v="826.43"/>
    <n v="5"/>
    <n v="4132.1499999999996"/>
    <n v="3.73"/>
  </r>
  <r>
    <x v="284"/>
    <s v="ORD101749"/>
    <x v="9"/>
    <x v="3"/>
    <x v="9"/>
    <x v="1"/>
    <x v="5"/>
    <n v="6024.55"/>
    <n v="2"/>
    <n v="12049.1"/>
    <n v="4.7"/>
  </r>
  <r>
    <x v="161"/>
    <s v="ORD101742"/>
    <x v="9"/>
    <x v="3"/>
    <x v="9"/>
    <x v="2"/>
    <x v="0"/>
    <n v="5402.68"/>
    <n v="4"/>
    <n v="21610.720000000001"/>
    <n v="1.76"/>
  </r>
  <r>
    <x v="163"/>
    <s v="ORD100152"/>
    <x v="9"/>
    <x v="3"/>
    <x v="9"/>
    <x v="1"/>
    <x v="4"/>
    <n v="4081.63"/>
    <n v="1"/>
    <n v="4081.63"/>
    <n v="4.3600000000000003"/>
  </r>
  <r>
    <x v="163"/>
    <s v="ORD100939"/>
    <x v="7"/>
    <x v="3"/>
    <x v="7"/>
    <x v="1"/>
    <x v="3"/>
    <n v="13216.81"/>
    <n v="3"/>
    <n v="39650.43"/>
    <n v="3.12"/>
  </r>
  <r>
    <x v="163"/>
    <s v="ORD101297"/>
    <x v="9"/>
    <x v="3"/>
    <x v="9"/>
    <x v="2"/>
    <x v="4"/>
    <n v="406.76"/>
    <n v="4"/>
    <n v="1627.04"/>
    <n v="1.18"/>
  </r>
  <r>
    <x v="163"/>
    <s v="ORD101754"/>
    <x v="9"/>
    <x v="3"/>
    <x v="9"/>
    <x v="1"/>
    <x v="1"/>
    <n v="9248.68"/>
    <n v="5"/>
    <n v="46243.4"/>
    <n v="3.79"/>
  </r>
  <r>
    <x v="164"/>
    <s v="ORD100427"/>
    <x v="9"/>
    <x v="3"/>
    <x v="9"/>
    <x v="1"/>
    <x v="4"/>
    <n v="18883.009999999998"/>
    <n v="4"/>
    <n v="75532.039999999994"/>
    <n v="1.66"/>
  </r>
  <r>
    <x v="164"/>
    <s v="ORD101425"/>
    <x v="9"/>
    <x v="3"/>
    <x v="9"/>
    <x v="0"/>
    <x v="0"/>
    <n v="11423.37"/>
    <n v="2"/>
    <n v="22846.74"/>
    <n v="3.38"/>
  </r>
  <r>
    <x v="285"/>
    <s v="ORD100530"/>
    <x v="9"/>
    <x v="3"/>
    <x v="9"/>
    <x v="1"/>
    <x v="3"/>
    <n v="17042.849999999999"/>
    <n v="1"/>
    <n v="17042.849999999999"/>
    <n v="3.95"/>
  </r>
  <r>
    <x v="285"/>
    <s v="ORD100973"/>
    <x v="7"/>
    <x v="3"/>
    <x v="7"/>
    <x v="1"/>
    <x v="0"/>
    <n v="5493.96"/>
    <n v="1"/>
    <n v="5493.96"/>
    <n v="1.31"/>
  </r>
  <r>
    <x v="285"/>
    <s v="ORD101737"/>
    <x v="8"/>
    <x v="3"/>
    <x v="8"/>
    <x v="0"/>
    <x v="2"/>
    <n v="19921.73"/>
    <n v="4"/>
    <n v="79686.92"/>
    <n v="3.2"/>
  </r>
  <r>
    <x v="165"/>
    <s v="ORD100182"/>
    <x v="7"/>
    <x v="3"/>
    <x v="7"/>
    <x v="2"/>
    <x v="0"/>
    <n v="5063.71"/>
    <n v="3"/>
    <n v="15191.13"/>
    <n v="4.32"/>
  </r>
  <r>
    <x v="165"/>
    <s v="ORD100403"/>
    <x v="8"/>
    <x v="3"/>
    <x v="8"/>
    <x v="1"/>
    <x v="4"/>
    <n v="14557.88"/>
    <n v="5"/>
    <n v="72789.399999999994"/>
    <n v="3.04"/>
  </r>
  <r>
    <x v="165"/>
    <s v="ORD100439"/>
    <x v="8"/>
    <x v="3"/>
    <x v="8"/>
    <x v="1"/>
    <x v="0"/>
    <n v="13826.8"/>
    <n v="3"/>
    <n v="41480.400000000001"/>
    <n v="4.04"/>
  </r>
  <r>
    <x v="166"/>
    <s v="ORD101378"/>
    <x v="7"/>
    <x v="3"/>
    <x v="7"/>
    <x v="2"/>
    <x v="3"/>
    <n v="17069.68"/>
    <n v="2"/>
    <n v="34139.360000000001"/>
    <n v="3.15"/>
  </r>
  <r>
    <x v="286"/>
    <s v="ORD100124"/>
    <x v="7"/>
    <x v="3"/>
    <x v="7"/>
    <x v="2"/>
    <x v="4"/>
    <n v="2582.44"/>
    <n v="4"/>
    <n v="10329.76"/>
    <n v="3.82"/>
  </r>
  <r>
    <x v="167"/>
    <s v="ORD101280"/>
    <x v="8"/>
    <x v="3"/>
    <x v="8"/>
    <x v="2"/>
    <x v="0"/>
    <n v="14780.15"/>
    <n v="4"/>
    <n v="59120.6"/>
    <n v="3.99"/>
  </r>
  <r>
    <x v="334"/>
    <s v="ORD100364"/>
    <x v="7"/>
    <x v="3"/>
    <x v="7"/>
    <x v="0"/>
    <x v="2"/>
    <n v="3043.11"/>
    <n v="5"/>
    <n v="15215.55"/>
    <n v="4.54"/>
  </r>
  <r>
    <x v="334"/>
    <s v="ORD100494"/>
    <x v="8"/>
    <x v="3"/>
    <x v="8"/>
    <x v="2"/>
    <x v="0"/>
    <n v="14567.37"/>
    <n v="4"/>
    <n v="58269.48"/>
    <n v="1.55"/>
  </r>
  <r>
    <x v="168"/>
    <s v="ORD101981"/>
    <x v="8"/>
    <x v="3"/>
    <x v="8"/>
    <x v="1"/>
    <x v="0"/>
    <n v="5983.66"/>
    <n v="4"/>
    <n v="23934.639999999999"/>
    <n v="1.74"/>
  </r>
  <r>
    <x v="169"/>
    <s v="ORD100424"/>
    <x v="7"/>
    <x v="3"/>
    <x v="7"/>
    <x v="1"/>
    <x v="5"/>
    <n v="13229.82"/>
    <n v="4"/>
    <n v="52919.28"/>
    <n v="2.19"/>
  </r>
  <r>
    <x v="169"/>
    <s v="ORD101312"/>
    <x v="7"/>
    <x v="3"/>
    <x v="7"/>
    <x v="0"/>
    <x v="3"/>
    <n v="11541.52"/>
    <n v="4"/>
    <n v="46166.080000000002"/>
    <n v="2.56"/>
  </r>
  <r>
    <x v="169"/>
    <s v="ORD101396"/>
    <x v="9"/>
    <x v="3"/>
    <x v="9"/>
    <x v="1"/>
    <x v="4"/>
    <n v="9632.0400000000009"/>
    <n v="5"/>
    <n v="48160.2"/>
    <n v="3.99"/>
  </r>
  <r>
    <x v="170"/>
    <s v="ORD100443"/>
    <x v="8"/>
    <x v="3"/>
    <x v="8"/>
    <x v="0"/>
    <x v="4"/>
    <n v="11805.34"/>
    <n v="5"/>
    <n v="59026.7"/>
    <n v="3.88"/>
  </r>
  <r>
    <x v="170"/>
    <s v="ORD101107"/>
    <x v="7"/>
    <x v="3"/>
    <x v="7"/>
    <x v="0"/>
    <x v="1"/>
    <n v="3457.63"/>
    <n v="1"/>
    <n v="3457.63"/>
    <n v="2.23"/>
  </r>
  <r>
    <x v="170"/>
    <s v="ORD101122"/>
    <x v="7"/>
    <x v="3"/>
    <x v="7"/>
    <x v="1"/>
    <x v="4"/>
    <n v="9942.0499999999993"/>
    <n v="1"/>
    <n v="9942.0499999999993"/>
    <n v="2.79"/>
  </r>
  <r>
    <x v="335"/>
    <s v="ORD100797"/>
    <x v="7"/>
    <x v="3"/>
    <x v="7"/>
    <x v="1"/>
    <x v="0"/>
    <n v="13801.39"/>
    <n v="1"/>
    <n v="13801.39"/>
    <n v="1.63"/>
  </r>
  <r>
    <x v="335"/>
    <s v="ORD101138"/>
    <x v="9"/>
    <x v="3"/>
    <x v="9"/>
    <x v="0"/>
    <x v="2"/>
    <n v="6941.15"/>
    <n v="4"/>
    <n v="27764.6"/>
    <n v="2.91"/>
  </r>
  <r>
    <x v="335"/>
    <s v="ORD101228"/>
    <x v="9"/>
    <x v="3"/>
    <x v="9"/>
    <x v="1"/>
    <x v="2"/>
    <n v="8255.7000000000007"/>
    <n v="5"/>
    <n v="41278.5"/>
    <n v="2.9"/>
  </r>
  <r>
    <x v="287"/>
    <s v="ORD100774"/>
    <x v="9"/>
    <x v="3"/>
    <x v="9"/>
    <x v="0"/>
    <x v="0"/>
    <n v="19150.97"/>
    <n v="1"/>
    <n v="19150.97"/>
    <n v="3.79"/>
  </r>
  <r>
    <x v="287"/>
    <s v="ORD100780"/>
    <x v="8"/>
    <x v="3"/>
    <x v="8"/>
    <x v="1"/>
    <x v="0"/>
    <n v="7182.08"/>
    <n v="4"/>
    <n v="28728.32"/>
    <n v="4.5"/>
  </r>
  <r>
    <x v="287"/>
    <s v="ORD101460"/>
    <x v="8"/>
    <x v="3"/>
    <x v="8"/>
    <x v="1"/>
    <x v="1"/>
    <n v="16523.22"/>
    <n v="5"/>
    <n v="82616.100000000006"/>
    <n v="4.18"/>
  </r>
  <r>
    <x v="287"/>
    <s v="ORD101826"/>
    <x v="7"/>
    <x v="3"/>
    <x v="7"/>
    <x v="0"/>
    <x v="1"/>
    <n v="17260.23"/>
    <n v="4"/>
    <n v="69040.92"/>
    <n v="4.13"/>
  </r>
  <r>
    <x v="287"/>
    <s v="ORD101902"/>
    <x v="8"/>
    <x v="3"/>
    <x v="8"/>
    <x v="0"/>
    <x v="5"/>
    <n v="423.43"/>
    <n v="2"/>
    <n v="846.86"/>
    <n v="1.8"/>
  </r>
  <r>
    <x v="172"/>
    <s v="ORD101534"/>
    <x v="8"/>
    <x v="3"/>
    <x v="8"/>
    <x v="0"/>
    <x v="1"/>
    <n v="17665.14"/>
    <n v="1"/>
    <n v="17665.14"/>
    <n v="2.52"/>
  </r>
  <r>
    <x v="172"/>
    <s v="ORD101551"/>
    <x v="9"/>
    <x v="3"/>
    <x v="9"/>
    <x v="2"/>
    <x v="2"/>
    <n v="2769.24"/>
    <n v="3"/>
    <n v="8307.7199999999993"/>
    <n v="3.33"/>
  </r>
  <r>
    <x v="336"/>
    <s v="ORD100694"/>
    <x v="8"/>
    <x v="3"/>
    <x v="8"/>
    <x v="2"/>
    <x v="3"/>
    <n v="13882.41"/>
    <n v="4"/>
    <n v="55529.64"/>
    <n v="2.2799999999999998"/>
  </r>
  <r>
    <x v="336"/>
    <s v="ORD100722"/>
    <x v="9"/>
    <x v="3"/>
    <x v="9"/>
    <x v="0"/>
    <x v="0"/>
    <n v="15957.36"/>
    <n v="5"/>
    <n v="79786.8"/>
    <n v="4.29"/>
  </r>
  <r>
    <x v="336"/>
    <s v="ORD100873"/>
    <x v="7"/>
    <x v="3"/>
    <x v="7"/>
    <x v="2"/>
    <x v="1"/>
    <n v="9330.5300000000007"/>
    <n v="1"/>
    <n v="9330.5300000000007"/>
    <n v="2.56"/>
  </r>
  <r>
    <x v="336"/>
    <s v="ORD101185"/>
    <x v="8"/>
    <x v="3"/>
    <x v="8"/>
    <x v="1"/>
    <x v="5"/>
    <n v="3887.6"/>
    <n v="3"/>
    <n v="11662.8"/>
    <n v="1.0900000000000001"/>
  </r>
  <r>
    <x v="336"/>
    <s v="ORD101602"/>
    <x v="9"/>
    <x v="3"/>
    <x v="9"/>
    <x v="1"/>
    <x v="2"/>
    <n v="15757.8"/>
    <n v="4"/>
    <n v="63031.199999999997"/>
    <n v="4.0999999999999996"/>
  </r>
  <r>
    <x v="336"/>
    <s v="ORD101920"/>
    <x v="7"/>
    <x v="3"/>
    <x v="7"/>
    <x v="1"/>
    <x v="0"/>
    <n v="793.66"/>
    <n v="3"/>
    <n v="2380.98"/>
    <n v="2.87"/>
  </r>
  <r>
    <x v="288"/>
    <s v="ORD100548"/>
    <x v="7"/>
    <x v="3"/>
    <x v="7"/>
    <x v="2"/>
    <x v="2"/>
    <n v="16016.71"/>
    <n v="4"/>
    <n v="64066.84"/>
    <n v="3.37"/>
  </r>
  <r>
    <x v="288"/>
    <s v="ORD101125"/>
    <x v="9"/>
    <x v="3"/>
    <x v="9"/>
    <x v="2"/>
    <x v="3"/>
    <n v="6220.45"/>
    <n v="4"/>
    <n v="24881.8"/>
    <n v="4.6399999999999997"/>
  </r>
  <r>
    <x v="288"/>
    <s v="ORD101528"/>
    <x v="9"/>
    <x v="3"/>
    <x v="9"/>
    <x v="1"/>
    <x v="1"/>
    <n v="14006.34"/>
    <n v="5"/>
    <n v="70031.7"/>
    <n v="2.95"/>
  </r>
  <r>
    <x v="288"/>
    <s v="ORD101589"/>
    <x v="8"/>
    <x v="3"/>
    <x v="8"/>
    <x v="1"/>
    <x v="5"/>
    <n v="9789.26"/>
    <n v="1"/>
    <n v="9789.26"/>
    <n v="4.88"/>
  </r>
  <r>
    <x v="173"/>
    <s v="ORD100854"/>
    <x v="8"/>
    <x v="3"/>
    <x v="8"/>
    <x v="0"/>
    <x v="0"/>
    <n v="19748.27"/>
    <n v="5"/>
    <n v="98741.35"/>
    <n v="3.3"/>
  </r>
  <r>
    <x v="174"/>
    <s v="ORD100008"/>
    <x v="8"/>
    <x v="3"/>
    <x v="8"/>
    <x v="2"/>
    <x v="2"/>
    <n v="510.3"/>
    <n v="5"/>
    <n v="2551.5"/>
    <n v="1.17"/>
  </r>
  <r>
    <x v="174"/>
    <s v="ORD100085"/>
    <x v="9"/>
    <x v="3"/>
    <x v="9"/>
    <x v="1"/>
    <x v="4"/>
    <n v="1569.06"/>
    <n v="4"/>
    <n v="6276.24"/>
    <n v="4.92"/>
  </r>
  <r>
    <x v="174"/>
    <s v="ORD100321"/>
    <x v="7"/>
    <x v="3"/>
    <x v="7"/>
    <x v="1"/>
    <x v="5"/>
    <n v="11441.73"/>
    <n v="4"/>
    <n v="45766.92"/>
    <n v="3.26"/>
  </r>
  <r>
    <x v="174"/>
    <s v="ORD101672"/>
    <x v="9"/>
    <x v="3"/>
    <x v="9"/>
    <x v="0"/>
    <x v="4"/>
    <n v="1123.2"/>
    <n v="4"/>
    <n v="4492.8"/>
    <n v="1.44"/>
  </r>
  <r>
    <x v="174"/>
    <s v="ORD101889"/>
    <x v="9"/>
    <x v="3"/>
    <x v="9"/>
    <x v="1"/>
    <x v="5"/>
    <n v="17869.41"/>
    <n v="3"/>
    <n v="53608.23"/>
    <n v="2.29"/>
  </r>
  <r>
    <x v="289"/>
    <s v="ORD100107"/>
    <x v="9"/>
    <x v="3"/>
    <x v="9"/>
    <x v="2"/>
    <x v="3"/>
    <n v="4120.3599999999997"/>
    <n v="2"/>
    <n v="8240.7199999999993"/>
    <n v="3.97"/>
  </r>
  <r>
    <x v="289"/>
    <s v="ORD101038"/>
    <x v="7"/>
    <x v="3"/>
    <x v="7"/>
    <x v="0"/>
    <x v="2"/>
    <n v="2552.5500000000002"/>
    <n v="4"/>
    <n v="10210.200000000001"/>
    <n v="1.62"/>
  </r>
  <r>
    <x v="289"/>
    <s v="ORD101761"/>
    <x v="8"/>
    <x v="3"/>
    <x v="8"/>
    <x v="2"/>
    <x v="1"/>
    <n v="9825.01"/>
    <n v="5"/>
    <n v="49125.05"/>
    <n v="4.32"/>
  </r>
  <r>
    <x v="175"/>
    <s v="ORD101302"/>
    <x v="8"/>
    <x v="3"/>
    <x v="8"/>
    <x v="0"/>
    <x v="4"/>
    <n v="14558.75"/>
    <n v="4"/>
    <n v="58235"/>
    <n v="1.52"/>
  </r>
  <r>
    <x v="175"/>
    <s v="ORD101835"/>
    <x v="9"/>
    <x v="3"/>
    <x v="9"/>
    <x v="0"/>
    <x v="1"/>
    <n v="3102.54"/>
    <n v="2"/>
    <n v="6205.08"/>
    <n v="1.8"/>
  </r>
  <r>
    <x v="291"/>
    <s v="ORD100243"/>
    <x v="8"/>
    <x v="3"/>
    <x v="8"/>
    <x v="2"/>
    <x v="4"/>
    <n v="619.04"/>
    <n v="5"/>
    <n v="3095.2"/>
    <n v="1.52"/>
  </r>
  <r>
    <x v="291"/>
    <s v="ORD100404"/>
    <x v="9"/>
    <x v="3"/>
    <x v="9"/>
    <x v="2"/>
    <x v="2"/>
    <n v="13181.51"/>
    <n v="4"/>
    <n v="52726.04"/>
    <n v="1.72"/>
  </r>
  <r>
    <x v="291"/>
    <s v="ORD101711"/>
    <x v="8"/>
    <x v="3"/>
    <x v="8"/>
    <x v="0"/>
    <x v="2"/>
    <n v="8198.5499999999993"/>
    <n v="4"/>
    <n v="32794.199999999997"/>
    <n v="1.55"/>
  </r>
  <r>
    <x v="337"/>
    <s v="ORD100211"/>
    <x v="7"/>
    <x v="3"/>
    <x v="7"/>
    <x v="2"/>
    <x v="0"/>
    <n v="5956.97"/>
    <n v="1"/>
    <n v="5956.97"/>
    <n v="4.18"/>
  </r>
  <r>
    <x v="337"/>
    <s v="ORD100887"/>
    <x v="9"/>
    <x v="3"/>
    <x v="9"/>
    <x v="2"/>
    <x v="4"/>
    <n v="18076.64"/>
    <n v="2"/>
    <n v="36153.279999999999"/>
    <n v="1.3"/>
  </r>
  <r>
    <x v="337"/>
    <s v="ORD100889"/>
    <x v="7"/>
    <x v="3"/>
    <x v="7"/>
    <x v="1"/>
    <x v="3"/>
    <n v="6044.38"/>
    <n v="1"/>
    <n v="6044.38"/>
    <n v="4.1399999999999997"/>
  </r>
  <r>
    <x v="337"/>
    <s v="ORD101260"/>
    <x v="9"/>
    <x v="3"/>
    <x v="9"/>
    <x v="2"/>
    <x v="0"/>
    <n v="723.78"/>
    <n v="4"/>
    <n v="2895.12"/>
    <n v="4.0999999999999996"/>
  </r>
  <r>
    <x v="337"/>
    <s v="ORD101831"/>
    <x v="9"/>
    <x v="3"/>
    <x v="9"/>
    <x v="2"/>
    <x v="0"/>
    <n v="7595.95"/>
    <n v="4"/>
    <n v="30383.8"/>
    <n v="1.46"/>
  </r>
  <r>
    <x v="292"/>
    <s v="ORD101110"/>
    <x v="9"/>
    <x v="3"/>
    <x v="9"/>
    <x v="1"/>
    <x v="4"/>
    <n v="11479.5"/>
    <n v="5"/>
    <n v="57397.5"/>
    <n v="4.6399999999999997"/>
  </r>
  <r>
    <x v="292"/>
    <s v="ORD101179"/>
    <x v="8"/>
    <x v="3"/>
    <x v="8"/>
    <x v="1"/>
    <x v="0"/>
    <n v="19820.46"/>
    <n v="4"/>
    <n v="79281.84"/>
    <n v="3.53"/>
  </r>
  <r>
    <x v="176"/>
    <s v="ORD100005"/>
    <x v="8"/>
    <x v="3"/>
    <x v="8"/>
    <x v="0"/>
    <x v="0"/>
    <n v="19869.86"/>
    <n v="5"/>
    <n v="99349.3"/>
    <n v="3.91"/>
  </r>
  <r>
    <x v="176"/>
    <s v="ORD100178"/>
    <x v="8"/>
    <x v="3"/>
    <x v="8"/>
    <x v="2"/>
    <x v="1"/>
    <n v="15204.36"/>
    <n v="1"/>
    <n v="15204.36"/>
    <n v="4.68"/>
  </r>
  <r>
    <x v="176"/>
    <s v="ORD101633"/>
    <x v="8"/>
    <x v="3"/>
    <x v="8"/>
    <x v="2"/>
    <x v="1"/>
    <n v="12024.25"/>
    <n v="3"/>
    <n v="36072.75"/>
    <n v="2.1800000000000002"/>
  </r>
  <r>
    <x v="178"/>
    <s v="ORD101648"/>
    <x v="8"/>
    <x v="3"/>
    <x v="8"/>
    <x v="0"/>
    <x v="2"/>
    <n v="434.21"/>
    <n v="4"/>
    <n v="1736.84"/>
    <n v="2.52"/>
  </r>
  <r>
    <x v="338"/>
    <s v="ORD101162"/>
    <x v="8"/>
    <x v="3"/>
    <x v="8"/>
    <x v="1"/>
    <x v="1"/>
    <n v="15589.18"/>
    <n v="2"/>
    <n v="31178.36"/>
    <n v="4.37"/>
  </r>
  <r>
    <x v="179"/>
    <s v="ORD100472"/>
    <x v="7"/>
    <x v="3"/>
    <x v="7"/>
    <x v="1"/>
    <x v="5"/>
    <n v="169.2"/>
    <n v="1"/>
    <n v="169.2"/>
    <n v="3.62"/>
  </r>
  <r>
    <x v="183"/>
    <s v="ORD100126"/>
    <x v="9"/>
    <x v="3"/>
    <x v="9"/>
    <x v="1"/>
    <x v="1"/>
    <n v="1178.25"/>
    <n v="2"/>
    <n v="2356.5"/>
    <n v="2.2400000000000002"/>
  </r>
  <r>
    <x v="183"/>
    <s v="ORD101106"/>
    <x v="9"/>
    <x v="3"/>
    <x v="9"/>
    <x v="1"/>
    <x v="2"/>
    <n v="7924.16"/>
    <n v="4"/>
    <n v="31696.639999999999"/>
    <n v="4.93"/>
  </r>
  <r>
    <x v="183"/>
    <s v="ORD101282"/>
    <x v="7"/>
    <x v="3"/>
    <x v="7"/>
    <x v="1"/>
    <x v="4"/>
    <n v="14958.81"/>
    <n v="4"/>
    <n v="59835.24"/>
    <n v="2.13"/>
  </r>
  <r>
    <x v="293"/>
    <s v="ORD101341"/>
    <x v="9"/>
    <x v="3"/>
    <x v="9"/>
    <x v="0"/>
    <x v="1"/>
    <n v="10448.26"/>
    <n v="4"/>
    <n v="41793.040000000001"/>
    <n v="1.42"/>
  </r>
  <r>
    <x v="185"/>
    <s v="ORD100542"/>
    <x v="9"/>
    <x v="3"/>
    <x v="9"/>
    <x v="1"/>
    <x v="1"/>
    <n v="14757.28"/>
    <n v="5"/>
    <n v="73786.399999999994"/>
    <n v="1.1000000000000001"/>
  </r>
  <r>
    <x v="357"/>
    <s v="ORD101398"/>
    <x v="8"/>
    <x v="3"/>
    <x v="8"/>
    <x v="0"/>
    <x v="0"/>
    <n v="19297.259999999998"/>
    <n v="5"/>
    <n v="96486.3"/>
    <n v="2.4"/>
  </r>
  <r>
    <x v="187"/>
    <s v="ORD100755"/>
    <x v="9"/>
    <x v="3"/>
    <x v="9"/>
    <x v="1"/>
    <x v="5"/>
    <n v="3293.39"/>
    <n v="3"/>
    <n v="9880.17"/>
    <n v="3.86"/>
  </r>
  <r>
    <x v="187"/>
    <s v="ORD101257"/>
    <x v="8"/>
    <x v="3"/>
    <x v="8"/>
    <x v="0"/>
    <x v="5"/>
    <n v="16178.69"/>
    <n v="5"/>
    <n v="80893.45"/>
    <n v="2.19"/>
  </r>
  <r>
    <x v="187"/>
    <s v="ORD101549"/>
    <x v="7"/>
    <x v="3"/>
    <x v="7"/>
    <x v="2"/>
    <x v="1"/>
    <n v="2454.52"/>
    <n v="1"/>
    <n v="2454.52"/>
    <n v="2.91"/>
  </r>
  <r>
    <x v="188"/>
    <s v="ORD100316"/>
    <x v="8"/>
    <x v="3"/>
    <x v="8"/>
    <x v="2"/>
    <x v="0"/>
    <n v="3778.65"/>
    <n v="4"/>
    <n v="15114.6"/>
    <n v="3.12"/>
  </r>
  <r>
    <x v="188"/>
    <s v="ORD101759"/>
    <x v="7"/>
    <x v="3"/>
    <x v="7"/>
    <x v="0"/>
    <x v="1"/>
    <n v="14639.8"/>
    <n v="1"/>
    <n v="14639.8"/>
    <n v="1.71"/>
  </r>
  <r>
    <x v="189"/>
    <s v="ORD101873"/>
    <x v="8"/>
    <x v="3"/>
    <x v="8"/>
    <x v="0"/>
    <x v="4"/>
    <n v="940.06"/>
    <n v="4"/>
    <n v="3760.24"/>
    <n v="1.34"/>
  </r>
  <r>
    <x v="190"/>
    <s v="ORD100956"/>
    <x v="7"/>
    <x v="3"/>
    <x v="7"/>
    <x v="0"/>
    <x v="5"/>
    <n v="4502.6400000000003"/>
    <n v="2"/>
    <n v="9005.2800000000007"/>
    <n v="2.57"/>
  </r>
  <r>
    <x v="192"/>
    <s v="ORD100972"/>
    <x v="7"/>
    <x v="3"/>
    <x v="7"/>
    <x v="1"/>
    <x v="5"/>
    <n v="2469.5500000000002"/>
    <n v="1"/>
    <n v="2469.5500000000002"/>
    <n v="3.19"/>
  </r>
  <r>
    <x v="193"/>
    <s v="ORD101169"/>
    <x v="8"/>
    <x v="3"/>
    <x v="8"/>
    <x v="0"/>
    <x v="3"/>
    <n v="19534.8"/>
    <n v="5"/>
    <n v="97674"/>
    <n v="1.7"/>
  </r>
  <r>
    <x v="193"/>
    <s v="ORD101738"/>
    <x v="7"/>
    <x v="3"/>
    <x v="7"/>
    <x v="0"/>
    <x v="3"/>
    <n v="15529.03"/>
    <n v="5"/>
    <n v="77645.149999999994"/>
    <n v="4.17"/>
  </r>
  <r>
    <x v="193"/>
    <s v="ORD101863"/>
    <x v="9"/>
    <x v="3"/>
    <x v="9"/>
    <x v="2"/>
    <x v="3"/>
    <n v="10905.65"/>
    <n v="1"/>
    <n v="10905.65"/>
    <n v="2.4700000000000002"/>
  </r>
  <r>
    <x v="294"/>
    <s v="ORD100993"/>
    <x v="8"/>
    <x v="3"/>
    <x v="8"/>
    <x v="0"/>
    <x v="3"/>
    <n v="19628.79"/>
    <n v="2"/>
    <n v="39257.58"/>
    <n v="2.4500000000000002"/>
  </r>
  <r>
    <x v="194"/>
    <s v="ORD100385"/>
    <x v="9"/>
    <x v="3"/>
    <x v="9"/>
    <x v="0"/>
    <x v="1"/>
    <n v="2897.69"/>
    <n v="5"/>
    <n v="14488.45"/>
    <n v="3.89"/>
  </r>
  <r>
    <x v="194"/>
    <s v="ORD101945"/>
    <x v="9"/>
    <x v="3"/>
    <x v="9"/>
    <x v="1"/>
    <x v="4"/>
    <n v="10403.39"/>
    <n v="4"/>
    <n v="41613.56"/>
    <n v="1.46"/>
  </r>
  <r>
    <x v="195"/>
    <s v="ORD100584"/>
    <x v="8"/>
    <x v="3"/>
    <x v="8"/>
    <x v="2"/>
    <x v="2"/>
    <n v="13676.46"/>
    <n v="3"/>
    <n v="41029.379999999997"/>
    <n v="2.38"/>
  </r>
  <r>
    <x v="195"/>
    <s v="ORD100802"/>
    <x v="7"/>
    <x v="3"/>
    <x v="7"/>
    <x v="0"/>
    <x v="3"/>
    <n v="12552.79"/>
    <n v="2"/>
    <n v="25105.58"/>
    <n v="3.22"/>
  </r>
  <r>
    <x v="195"/>
    <s v="ORD101359"/>
    <x v="7"/>
    <x v="3"/>
    <x v="7"/>
    <x v="2"/>
    <x v="1"/>
    <n v="4215.1899999999996"/>
    <n v="5"/>
    <n v="21075.95"/>
    <n v="3.96"/>
  </r>
  <r>
    <x v="195"/>
    <s v="ORD101794"/>
    <x v="7"/>
    <x v="3"/>
    <x v="7"/>
    <x v="0"/>
    <x v="2"/>
    <n v="7688.57"/>
    <n v="4"/>
    <n v="30754.28"/>
    <n v="1.68"/>
  </r>
  <r>
    <x v="341"/>
    <s v="ORD101028"/>
    <x v="7"/>
    <x v="3"/>
    <x v="7"/>
    <x v="1"/>
    <x v="2"/>
    <n v="12670.94"/>
    <n v="4"/>
    <n v="50683.76"/>
    <n v="4.71"/>
  </r>
  <r>
    <x v="295"/>
    <s v="ORD101724"/>
    <x v="8"/>
    <x v="3"/>
    <x v="8"/>
    <x v="2"/>
    <x v="3"/>
    <n v="5492.52"/>
    <n v="5"/>
    <n v="27462.6"/>
    <n v="1.7"/>
  </r>
  <r>
    <x v="295"/>
    <s v="ORD101921"/>
    <x v="9"/>
    <x v="3"/>
    <x v="9"/>
    <x v="2"/>
    <x v="4"/>
    <n v="5942.1"/>
    <n v="3"/>
    <n v="17826.3"/>
    <n v="3.74"/>
  </r>
  <r>
    <x v="296"/>
    <s v="ORD101047"/>
    <x v="8"/>
    <x v="3"/>
    <x v="8"/>
    <x v="2"/>
    <x v="1"/>
    <n v="11358.85"/>
    <n v="1"/>
    <n v="11358.85"/>
    <n v="3.68"/>
  </r>
  <r>
    <x v="296"/>
    <s v="ORD101356"/>
    <x v="8"/>
    <x v="3"/>
    <x v="8"/>
    <x v="1"/>
    <x v="2"/>
    <n v="169.56"/>
    <n v="2"/>
    <n v="339.12"/>
    <n v="4.9000000000000004"/>
  </r>
  <r>
    <x v="196"/>
    <s v="ORD100435"/>
    <x v="7"/>
    <x v="3"/>
    <x v="7"/>
    <x v="0"/>
    <x v="3"/>
    <n v="2307.4499999999998"/>
    <n v="4"/>
    <n v="9229.7999999999993"/>
    <n v="1.3"/>
  </r>
  <r>
    <x v="196"/>
    <s v="ORD101167"/>
    <x v="8"/>
    <x v="3"/>
    <x v="8"/>
    <x v="0"/>
    <x v="4"/>
    <n v="10843.28"/>
    <n v="4"/>
    <n v="43373.120000000003"/>
    <n v="3.51"/>
  </r>
  <r>
    <x v="196"/>
    <s v="ORD101915"/>
    <x v="7"/>
    <x v="3"/>
    <x v="7"/>
    <x v="0"/>
    <x v="3"/>
    <n v="8606.0300000000007"/>
    <n v="4"/>
    <n v="34424.120000000003"/>
    <n v="1.23"/>
  </r>
  <r>
    <x v="358"/>
    <s v="ORD100101"/>
    <x v="9"/>
    <x v="3"/>
    <x v="9"/>
    <x v="0"/>
    <x v="1"/>
    <n v="12553.72"/>
    <n v="5"/>
    <n v="62768.6"/>
    <n v="4.03"/>
  </r>
  <r>
    <x v="297"/>
    <s v="ORD101056"/>
    <x v="7"/>
    <x v="3"/>
    <x v="7"/>
    <x v="2"/>
    <x v="2"/>
    <n v="822.15"/>
    <n v="2"/>
    <n v="1644.3"/>
    <n v="3.5"/>
  </r>
  <r>
    <x v="297"/>
    <s v="ORD101791"/>
    <x v="8"/>
    <x v="3"/>
    <x v="8"/>
    <x v="0"/>
    <x v="2"/>
    <n v="5080.57"/>
    <n v="3"/>
    <n v="15241.71"/>
    <n v="1.22"/>
  </r>
  <r>
    <x v="198"/>
    <s v="ORD100508"/>
    <x v="7"/>
    <x v="3"/>
    <x v="7"/>
    <x v="1"/>
    <x v="1"/>
    <n v="16344.35"/>
    <n v="2"/>
    <n v="32688.7"/>
    <n v="4.7699999999999996"/>
  </r>
  <r>
    <x v="198"/>
    <s v="ORD101627"/>
    <x v="9"/>
    <x v="3"/>
    <x v="9"/>
    <x v="0"/>
    <x v="4"/>
    <n v="13794.91"/>
    <n v="2"/>
    <n v="27589.82"/>
    <n v="3.57"/>
  </r>
  <r>
    <x v="199"/>
    <s v="ORD100995"/>
    <x v="7"/>
    <x v="3"/>
    <x v="7"/>
    <x v="0"/>
    <x v="1"/>
    <n v="12495.93"/>
    <n v="1"/>
    <n v="12495.93"/>
    <n v="1.77"/>
  </r>
  <r>
    <x v="199"/>
    <s v="ORD101765"/>
    <x v="8"/>
    <x v="3"/>
    <x v="8"/>
    <x v="1"/>
    <x v="4"/>
    <n v="2123.5500000000002"/>
    <n v="5"/>
    <n v="10617.75"/>
    <n v="1.03"/>
  </r>
  <r>
    <x v="200"/>
    <s v="ORD101372"/>
    <x v="7"/>
    <x v="3"/>
    <x v="7"/>
    <x v="0"/>
    <x v="1"/>
    <n v="5033.2"/>
    <n v="3"/>
    <n v="15099.6"/>
    <n v="1.87"/>
  </r>
  <r>
    <x v="200"/>
    <s v="ORD101690"/>
    <x v="9"/>
    <x v="3"/>
    <x v="9"/>
    <x v="1"/>
    <x v="1"/>
    <n v="10422.620000000001"/>
    <n v="2"/>
    <n v="20845.240000000002"/>
    <n v="4.99"/>
  </r>
  <r>
    <x v="298"/>
    <s v="ORD100672"/>
    <x v="7"/>
    <x v="3"/>
    <x v="7"/>
    <x v="2"/>
    <x v="5"/>
    <n v="3979.45"/>
    <n v="3"/>
    <n v="11938.35"/>
    <n v="4.6500000000000004"/>
  </r>
  <r>
    <x v="298"/>
    <s v="ORD101261"/>
    <x v="8"/>
    <x v="3"/>
    <x v="8"/>
    <x v="1"/>
    <x v="1"/>
    <n v="12447.62"/>
    <n v="2"/>
    <n v="24895.24"/>
    <n v="4.3"/>
  </r>
  <r>
    <x v="342"/>
    <s v="ORD100358"/>
    <x v="7"/>
    <x v="3"/>
    <x v="7"/>
    <x v="0"/>
    <x v="1"/>
    <n v="16846.13"/>
    <n v="1"/>
    <n v="16846.13"/>
    <n v="1.82"/>
  </r>
  <r>
    <x v="342"/>
    <s v="ORD100932"/>
    <x v="9"/>
    <x v="3"/>
    <x v="9"/>
    <x v="2"/>
    <x v="2"/>
    <n v="1701.49"/>
    <n v="4"/>
    <n v="6805.96"/>
    <n v="4.04"/>
  </r>
  <r>
    <x v="342"/>
    <s v="ORD101755"/>
    <x v="8"/>
    <x v="3"/>
    <x v="8"/>
    <x v="1"/>
    <x v="0"/>
    <n v="10764.38"/>
    <n v="4"/>
    <n v="43057.52"/>
    <n v="3.64"/>
  </r>
  <r>
    <x v="343"/>
    <s v="ORD101331"/>
    <x v="9"/>
    <x v="3"/>
    <x v="9"/>
    <x v="0"/>
    <x v="3"/>
    <n v="16923.900000000001"/>
    <n v="1"/>
    <n v="16923.900000000001"/>
    <n v="4.54"/>
  </r>
  <r>
    <x v="344"/>
    <s v="ORD101327"/>
    <x v="7"/>
    <x v="3"/>
    <x v="7"/>
    <x v="1"/>
    <x v="1"/>
    <n v="17514.939999999999"/>
    <n v="2"/>
    <n v="35029.879999999997"/>
    <n v="3.84"/>
  </r>
  <r>
    <x v="344"/>
    <s v="ORD101465"/>
    <x v="9"/>
    <x v="3"/>
    <x v="9"/>
    <x v="1"/>
    <x v="4"/>
    <n v="12596.42"/>
    <n v="1"/>
    <n v="12596.42"/>
    <n v="1.45"/>
  </r>
  <r>
    <x v="201"/>
    <s v="ORD101848"/>
    <x v="9"/>
    <x v="3"/>
    <x v="9"/>
    <x v="0"/>
    <x v="3"/>
    <n v="16895.27"/>
    <n v="2"/>
    <n v="33790.54"/>
    <n v="1.67"/>
  </r>
  <r>
    <x v="203"/>
    <s v="ORD100547"/>
    <x v="8"/>
    <x v="3"/>
    <x v="8"/>
    <x v="2"/>
    <x v="1"/>
    <n v="2944.59"/>
    <n v="1"/>
    <n v="2944.59"/>
    <n v="4.79"/>
  </r>
  <r>
    <x v="203"/>
    <s v="ORD101590"/>
    <x v="8"/>
    <x v="3"/>
    <x v="8"/>
    <x v="1"/>
    <x v="2"/>
    <n v="10049.15"/>
    <n v="2"/>
    <n v="20098.3"/>
    <n v="3.19"/>
  </r>
  <r>
    <x v="345"/>
    <s v="ORD100942"/>
    <x v="9"/>
    <x v="3"/>
    <x v="9"/>
    <x v="0"/>
    <x v="2"/>
    <n v="17333.689999999999"/>
    <n v="1"/>
    <n v="17333.689999999999"/>
    <n v="4.62"/>
  </r>
  <r>
    <x v="345"/>
    <s v="ORD101892"/>
    <x v="9"/>
    <x v="3"/>
    <x v="9"/>
    <x v="0"/>
    <x v="0"/>
    <n v="16915.18"/>
    <n v="2"/>
    <n v="33830.36"/>
    <n v="4.9800000000000004"/>
  </r>
  <r>
    <x v="204"/>
    <s v="ORD100244"/>
    <x v="8"/>
    <x v="3"/>
    <x v="8"/>
    <x v="1"/>
    <x v="1"/>
    <n v="9249.34"/>
    <n v="1"/>
    <n v="9249.34"/>
    <n v="2.76"/>
  </r>
  <r>
    <x v="299"/>
    <s v="ORD101191"/>
    <x v="9"/>
    <x v="3"/>
    <x v="9"/>
    <x v="2"/>
    <x v="1"/>
    <n v="3835.29"/>
    <n v="2"/>
    <n v="7670.58"/>
    <n v="1.77"/>
  </r>
  <r>
    <x v="299"/>
    <s v="ORD101342"/>
    <x v="8"/>
    <x v="3"/>
    <x v="8"/>
    <x v="2"/>
    <x v="5"/>
    <n v="10779.4"/>
    <n v="1"/>
    <n v="10779.4"/>
    <n v="5"/>
  </r>
  <r>
    <x v="299"/>
    <s v="ORD101433"/>
    <x v="8"/>
    <x v="3"/>
    <x v="8"/>
    <x v="1"/>
    <x v="3"/>
    <n v="11809.77"/>
    <n v="5"/>
    <n v="59048.85"/>
    <n v="2.91"/>
  </r>
  <r>
    <x v="206"/>
    <s v="ORD100168"/>
    <x v="7"/>
    <x v="3"/>
    <x v="7"/>
    <x v="1"/>
    <x v="3"/>
    <n v="8140.53"/>
    <n v="2"/>
    <n v="16281.06"/>
    <n v="2.31"/>
  </r>
  <r>
    <x v="206"/>
    <s v="ORD100349"/>
    <x v="7"/>
    <x v="3"/>
    <x v="7"/>
    <x v="2"/>
    <x v="0"/>
    <n v="288.68"/>
    <n v="5"/>
    <n v="1443.4"/>
    <n v="3.01"/>
  </r>
  <r>
    <x v="206"/>
    <s v="ORD101157"/>
    <x v="8"/>
    <x v="3"/>
    <x v="8"/>
    <x v="1"/>
    <x v="0"/>
    <n v="8104.25"/>
    <n v="3"/>
    <n v="24312.75"/>
    <n v="2.11"/>
  </r>
  <r>
    <x v="206"/>
    <s v="ORD101313"/>
    <x v="7"/>
    <x v="3"/>
    <x v="7"/>
    <x v="2"/>
    <x v="3"/>
    <n v="18040.830000000002"/>
    <n v="5"/>
    <n v="90204.15"/>
    <n v="3.43"/>
  </r>
  <r>
    <x v="207"/>
    <s v="ORD100596"/>
    <x v="7"/>
    <x v="3"/>
    <x v="7"/>
    <x v="0"/>
    <x v="5"/>
    <n v="3063.93"/>
    <n v="4"/>
    <n v="12255.72"/>
    <n v="1.87"/>
  </r>
  <r>
    <x v="208"/>
    <s v="ORD100835"/>
    <x v="8"/>
    <x v="3"/>
    <x v="8"/>
    <x v="1"/>
    <x v="4"/>
    <n v="3032.55"/>
    <n v="4"/>
    <n v="12130.2"/>
    <n v="3.67"/>
  </r>
  <r>
    <x v="301"/>
    <s v="ORD100394"/>
    <x v="8"/>
    <x v="3"/>
    <x v="8"/>
    <x v="0"/>
    <x v="2"/>
    <n v="5953.35"/>
    <n v="4"/>
    <n v="23813.4"/>
    <n v="2.44"/>
  </r>
  <r>
    <x v="301"/>
    <s v="ORD101387"/>
    <x v="7"/>
    <x v="3"/>
    <x v="7"/>
    <x v="0"/>
    <x v="1"/>
    <n v="14417.44"/>
    <n v="3"/>
    <n v="43252.32"/>
    <n v="1.21"/>
  </r>
  <r>
    <x v="301"/>
    <s v="ORD101431"/>
    <x v="7"/>
    <x v="3"/>
    <x v="7"/>
    <x v="1"/>
    <x v="2"/>
    <n v="212.01"/>
    <n v="5"/>
    <n v="1060.05"/>
    <n v="2.62"/>
  </r>
  <r>
    <x v="210"/>
    <s v="ORD100863"/>
    <x v="9"/>
    <x v="3"/>
    <x v="9"/>
    <x v="1"/>
    <x v="2"/>
    <n v="18798.39"/>
    <n v="2"/>
    <n v="37596.78"/>
    <n v="4.78"/>
  </r>
  <r>
    <x v="210"/>
    <s v="ORD101479"/>
    <x v="8"/>
    <x v="3"/>
    <x v="8"/>
    <x v="2"/>
    <x v="2"/>
    <n v="3927.4"/>
    <n v="5"/>
    <n v="19637"/>
    <n v="2.4900000000000002"/>
  </r>
  <r>
    <x v="210"/>
    <s v="ORD101610"/>
    <x v="8"/>
    <x v="3"/>
    <x v="8"/>
    <x v="2"/>
    <x v="4"/>
    <n v="4852.08"/>
    <n v="2"/>
    <n v="9704.16"/>
    <n v="4.5"/>
  </r>
  <r>
    <x v="210"/>
    <s v="ORD101659"/>
    <x v="8"/>
    <x v="3"/>
    <x v="8"/>
    <x v="0"/>
    <x v="5"/>
    <n v="17753.849999999999"/>
    <n v="4"/>
    <n v="71015.399999999994"/>
    <n v="4.33"/>
  </r>
  <r>
    <x v="211"/>
    <s v="ORD100969"/>
    <x v="7"/>
    <x v="3"/>
    <x v="7"/>
    <x v="2"/>
    <x v="2"/>
    <n v="16337.18"/>
    <n v="1"/>
    <n v="16337.18"/>
    <n v="1.08"/>
  </r>
  <r>
    <x v="212"/>
    <s v="ORD100081"/>
    <x v="9"/>
    <x v="3"/>
    <x v="9"/>
    <x v="0"/>
    <x v="5"/>
    <n v="17787.919999999998"/>
    <n v="3"/>
    <n v="53363.76"/>
    <n v="4.92"/>
  </r>
  <r>
    <x v="212"/>
    <s v="ORD100354"/>
    <x v="8"/>
    <x v="3"/>
    <x v="8"/>
    <x v="2"/>
    <x v="2"/>
    <n v="16066.49"/>
    <n v="1"/>
    <n v="16066.49"/>
    <n v="1.59"/>
  </r>
  <r>
    <x v="212"/>
    <s v="ORD101850"/>
    <x v="7"/>
    <x v="3"/>
    <x v="7"/>
    <x v="2"/>
    <x v="3"/>
    <n v="19452.34"/>
    <n v="4"/>
    <n v="77809.36"/>
    <n v="1.19"/>
  </r>
  <r>
    <x v="302"/>
    <s v="ORD101268"/>
    <x v="7"/>
    <x v="3"/>
    <x v="7"/>
    <x v="0"/>
    <x v="0"/>
    <n v="8357.3799999999992"/>
    <n v="5"/>
    <n v="41786.9"/>
    <n v="3.15"/>
  </r>
  <r>
    <x v="213"/>
    <s v="ORD100047"/>
    <x v="7"/>
    <x v="3"/>
    <x v="7"/>
    <x v="1"/>
    <x v="5"/>
    <n v="11576.04"/>
    <n v="5"/>
    <n v="57880.2"/>
    <n v="3.97"/>
  </r>
  <r>
    <x v="213"/>
    <s v="ORD100632"/>
    <x v="7"/>
    <x v="3"/>
    <x v="7"/>
    <x v="1"/>
    <x v="0"/>
    <n v="12350.94"/>
    <n v="5"/>
    <n v="61754.7"/>
    <n v="3.95"/>
  </r>
  <r>
    <x v="213"/>
    <s v="ORD101601"/>
    <x v="7"/>
    <x v="3"/>
    <x v="7"/>
    <x v="2"/>
    <x v="5"/>
    <n v="11098.13"/>
    <n v="4"/>
    <n v="44392.52"/>
    <n v="3.2"/>
  </r>
  <r>
    <x v="303"/>
    <s v="ORD100579"/>
    <x v="8"/>
    <x v="3"/>
    <x v="8"/>
    <x v="2"/>
    <x v="2"/>
    <n v="9299.64"/>
    <n v="1"/>
    <n v="9299.64"/>
    <n v="1.32"/>
  </r>
  <r>
    <x v="303"/>
    <s v="ORD101779"/>
    <x v="7"/>
    <x v="3"/>
    <x v="7"/>
    <x v="2"/>
    <x v="2"/>
    <n v="18916.47"/>
    <n v="2"/>
    <n v="37832.94"/>
    <n v="4.91"/>
  </r>
  <r>
    <x v="214"/>
    <s v="ORD100033"/>
    <x v="9"/>
    <x v="3"/>
    <x v="9"/>
    <x v="0"/>
    <x v="3"/>
    <n v="9205.93"/>
    <n v="2"/>
    <n v="18411.86"/>
    <n v="1.53"/>
  </r>
  <r>
    <x v="214"/>
    <s v="ORD100783"/>
    <x v="8"/>
    <x v="3"/>
    <x v="8"/>
    <x v="0"/>
    <x v="4"/>
    <n v="2958.05"/>
    <n v="1"/>
    <n v="2958.05"/>
    <n v="4.22"/>
  </r>
  <r>
    <x v="215"/>
    <s v="ORD100546"/>
    <x v="7"/>
    <x v="3"/>
    <x v="7"/>
    <x v="2"/>
    <x v="5"/>
    <n v="17672.8"/>
    <n v="2"/>
    <n v="35345.599999999999"/>
    <n v="3.65"/>
  </r>
  <r>
    <x v="215"/>
    <s v="ORD101585"/>
    <x v="9"/>
    <x v="3"/>
    <x v="9"/>
    <x v="2"/>
    <x v="5"/>
    <n v="11515.42"/>
    <n v="3"/>
    <n v="34546.26"/>
    <n v="3.83"/>
  </r>
  <r>
    <x v="304"/>
    <s v="ORD100782"/>
    <x v="9"/>
    <x v="3"/>
    <x v="9"/>
    <x v="1"/>
    <x v="0"/>
    <n v="19023.13"/>
    <n v="2"/>
    <n v="38046.26"/>
    <n v="2.73"/>
  </r>
  <r>
    <x v="304"/>
    <s v="ORD101164"/>
    <x v="9"/>
    <x v="3"/>
    <x v="9"/>
    <x v="0"/>
    <x v="1"/>
    <n v="9925.11"/>
    <n v="1"/>
    <n v="9925.11"/>
    <n v="2.39"/>
  </r>
  <r>
    <x v="346"/>
    <s v="ORD101595"/>
    <x v="8"/>
    <x v="3"/>
    <x v="8"/>
    <x v="2"/>
    <x v="0"/>
    <n v="15303.81"/>
    <n v="4"/>
    <n v="61215.24"/>
    <n v="1.8"/>
  </r>
  <r>
    <x v="216"/>
    <s v="ORD100169"/>
    <x v="7"/>
    <x v="3"/>
    <x v="7"/>
    <x v="2"/>
    <x v="4"/>
    <n v="4310.63"/>
    <n v="2"/>
    <n v="8621.26"/>
    <n v="1.78"/>
  </r>
  <r>
    <x v="216"/>
    <s v="ORD101088"/>
    <x v="9"/>
    <x v="3"/>
    <x v="9"/>
    <x v="1"/>
    <x v="0"/>
    <n v="5754.25"/>
    <n v="5"/>
    <n v="28771.25"/>
    <n v="2.4900000000000002"/>
  </r>
  <r>
    <x v="216"/>
    <s v="ORD101411"/>
    <x v="9"/>
    <x v="3"/>
    <x v="9"/>
    <x v="1"/>
    <x v="3"/>
    <n v="12141.65"/>
    <n v="5"/>
    <n v="60708.25"/>
    <n v="2.83"/>
  </r>
  <r>
    <x v="217"/>
    <s v="ORD100626"/>
    <x v="7"/>
    <x v="3"/>
    <x v="7"/>
    <x v="2"/>
    <x v="0"/>
    <n v="5615.51"/>
    <n v="3"/>
    <n v="16846.53"/>
    <n v="2.71"/>
  </r>
  <r>
    <x v="217"/>
    <s v="ORD101449"/>
    <x v="9"/>
    <x v="3"/>
    <x v="9"/>
    <x v="1"/>
    <x v="0"/>
    <n v="235.04"/>
    <n v="5"/>
    <n v="1175.2"/>
    <n v="4.82"/>
  </r>
  <r>
    <x v="218"/>
    <s v="ORD101182"/>
    <x v="8"/>
    <x v="3"/>
    <x v="8"/>
    <x v="0"/>
    <x v="4"/>
    <n v="9212.6299999999992"/>
    <n v="4"/>
    <n v="36850.519999999997"/>
    <n v="1.67"/>
  </r>
  <r>
    <x v="218"/>
    <s v="ORD101271"/>
    <x v="8"/>
    <x v="3"/>
    <x v="8"/>
    <x v="0"/>
    <x v="1"/>
    <n v="982.16"/>
    <n v="5"/>
    <n v="4910.8"/>
    <n v="1.04"/>
  </r>
  <r>
    <x v="218"/>
    <s v="ORD101847"/>
    <x v="9"/>
    <x v="3"/>
    <x v="9"/>
    <x v="2"/>
    <x v="1"/>
    <n v="17300.099999999999"/>
    <n v="3"/>
    <n v="51900.3"/>
    <n v="4.95"/>
  </r>
  <r>
    <x v="218"/>
    <s v="ORD101881"/>
    <x v="9"/>
    <x v="3"/>
    <x v="9"/>
    <x v="0"/>
    <x v="0"/>
    <n v="1348.63"/>
    <n v="1"/>
    <n v="1348.63"/>
    <n v="1.05"/>
  </r>
  <r>
    <x v="220"/>
    <s v="ORD101205"/>
    <x v="9"/>
    <x v="3"/>
    <x v="9"/>
    <x v="2"/>
    <x v="5"/>
    <n v="13923.27"/>
    <n v="1"/>
    <n v="13923.27"/>
    <n v="1.17"/>
  </r>
  <r>
    <x v="221"/>
    <s v="ORD100323"/>
    <x v="9"/>
    <x v="3"/>
    <x v="9"/>
    <x v="2"/>
    <x v="2"/>
    <n v="8400.8700000000008"/>
    <n v="5"/>
    <n v="42004.35"/>
    <n v="1.77"/>
  </r>
  <r>
    <x v="222"/>
    <s v="ORD100365"/>
    <x v="9"/>
    <x v="3"/>
    <x v="9"/>
    <x v="1"/>
    <x v="2"/>
    <n v="8023.96"/>
    <n v="3"/>
    <n v="24071.88"/>
    <n v="4.88"/>
  </r>
  <r>
    <x v="222"/>
    <s v="ORD101245"/>
    <x v="7"/>
    <x v="3"/>
    <x v="7"/>
    <x v="2"/>
    <x v="1"/>
    <n v="14364.26"/>
    <n v="2"/>
    <n v="28728.52"/>
    <n v="4.78"/>
  </r>
  <r>
    <x v="223"/>
    <s v="ORD100433"/>
    <x v="7"/>
    <x v="3"/>
    <x v="7"/>
    <x v="1"/>
    <x v="5"/>
    <n v="15187.69"/>
    <n v="5"/>
    <n v="75938.45"/>
    <n v="2.57"/>
  </r>
  <r>
    <x v="223"/>
    <s v="ORD101231"/>
    <x v="8"/>
    <x v="3"/>
    <x v="8"/>
    <x v="1"/>
    <x v="1"/>
    <n v="15667.24"/>
    <n v="1"/>
    <n v="15667.24"/>
    <n v="3.33"/>
  </r>
  <r>
    <x v="348"/>
    <s v="ORD101136"/>
    <x v="9"/>
    <x v="3"/>
    <x v="9"/>
    <x v="0"/>
    <x v="5"/>
    <n v="680.95"/>
    <n v="3"/>
    <n v="2042.85"/>
    <n v="2.99"/>
  </r>
  <r>
    <x v="225"/>
    <s v="ORD100331"/>
    <x v="9"/>
    <x v="3"/>
    <x v="9"/>
    <x v="2"/>
    <x v="3"/>
    <n v="7726.28"/>
    <n v="5"/>
    <n v="38631.4"/>
    <n v="4.83"/>
  </r>
  <r>
    <x v="225"/>
    <s v="ORD100634"/>
    <x v="8"/>
    <x v="3"/>
    <x v="8"/>
    <x v="0"/>
    <x v="1"/>
    <n v="17018.22"/>
    <n v="5"/>
    <n v="85091.1"/>
    <n v="1.27"/>
  </r>
  <r>
    <x v="305"/>
    <s v="ORD100134"/>
    <x v="9"/>
    <x v="3"/>
    <x v="9"/>
    <x v="1"/>
    <x v="2"/>
    <n v="17832.84"/>
    <n v="5"/>
    <n v="89164.2"/>
    <n v="3.86"/>
  </r>
  <r>
    <x v="305"/>
    <s v="ORD101013"/>
    <x v="7"/>
    <x v="3"/>
    <x v="7"/>
    <x v="1"/>
    <x v="3"/>
    <n v="194.72"/>
    <n v="3"/>
    <n v="584.16"/>
    <n v="3.41"/>
  </r>
  <r>
    <x v="226"/>
    <s v="ORD100266"/>
    <x v="9"/>
    <x v="3"/>
    <x v="9"/>
    <x v="1"/>
    <x v="2"/>
    <n v="10506.9"/>
    <n v="3"/>
    <n v="31520.7"/>
    <n v="1.29"/>
  </r>
  <r>
    <x v="226"/>
    <s v="ORD100350"/>
    <x v="7"/>
    <x v="3"/>
    <x v="7"/>
    <x v="0"/>
    <x v="4"/>
    <n v="15002.43"/>
    <n v="2"/>
    <n v="30004.86"/>
    <n v="1.01"/>
  </r>
  <r>
    <x v="226"/>
    <s v="ORD100840"/>
    <x v="8"/>
    <x v="3"/>
    <x v="8"/>
    <x v="0"/>
    <x v="3"/>
    <n v="4053.5"/>
    <n v="5"/>
    <n v="20267.5"/>
    <n v="3"/>
  </r>
  <r>
    <x v="226"/>
    <s v="ORD101638"/>
    <x v="8"/>
    <x v="3"/>
    <x v="8"/>
    <x v="0"/>
    <x v="4"/>
    <n v="9937.57"/>
    <n v="3"/>
    <n v="29812.71"/>
    <n v="1.63"/>
  </r>
  <r>
    <x v="227"/>
    <s v="ORD101523"/>
    <x v="9"/>
    <x v="3"/>
    <x v="9"/>
    <x v="2"/>
    <x v="5"/>
    <n v="9764.93"/>
    <n v="2"/>
    <n v="19529.86"/>
    <n v="3.52"/>
  </r>
  <r>
    <x v="227"/>
    <s v="ORD101550"/>
    <x v="7"/>
    <x v="3"/>
    <x v="7"/>
    <x v="2"/>
    <x v="2"/>
    <n v="13447.46"/>
    <n v="2"/>
    <n v="26894.92"/>
    <n v="4.71"/>
  </r>
  <r>
    <x v="228"/>
    <s v="ORD101195"/>
    <x v="8"/>
    <x v="3"/>
    <x v="8"/>
    <x v="1"/>
    <x v="4"/>
    <n v="9895.2900000000009"/>
    <n v="4"/>
    <n v="39581.160000000003"/>
    <n v="3.05"/>
  </r>
  <r>
    <x v="228"/>
    <s v="ORD101682"/>
    <x v="8"/>
    <x v="3"/>
    <x v="8"/>
    <x v="1"/>
    <x v="5"/>
    <n v="2184.81"/>
    <n v="1"/>
    <n v="2184.81"/>
    <n v="3.38"/>
  </r>
  <r>
    <x v="229"/>
    <s v="ORD101652"/>
    <x v="9"/>
    <x v="3"/>
    <x v="9"/>
    <x v="1"/>
    <x v="1"/>
    <n v="1371.97"/>
    <n v="2"/>
    <n v="2743.94"/>
    <n v="4.0999999999999996"/>
  </r>
  <r>
    <x v="349"/>
    <s v="ORD100950"/>
    <x v="8"/>
    <x v="3"/>
    <x v="8"/>
    <x v="0"/>
    <x v="3"/>
    <n v="4724.2700000000004"/>
    <n v="2"/>
    <n v="9448.5400000000009"/>
    <n v="1.49"/>
  </r>
  <r>
    <x v="349"/>
    <s v="ORD101035"/>
    <x v="8"/>
    <x v="3"/>
    <x v="8"/>
    <x v="2"/>
    <x v="2"/>
    <n v="8152.67"/>
    <n v="3"/>
    <n v="24458.01"/>
    <n v="4.99"/>
  </r>
  <r>
    <x v="351"/>
    <s v="ORD100588"/>
    <x v="7"/>
    <x v="3"/>
    <x v="7"/>
    <x v="2"/>
    <x v="2"/>
    <n v="8438.9500000000007"/>
    <n v="5"/>
    <n v="42194.75"/>
    <n v="3.74"/>
  </r>
  <r>
    <x v="231"/>
    <s v="ORD100201"/>
    <x v="8"/>
    <x v="3"/>
    <x v="8"/>
    <x v="1"/>
    <x v="3"/>
    <n v="14808.65"/>
    <n v="1"/>
    <n v="14808.65"/>
    <n v="4.92"/>
  </r>
  <r>
    <x v="231"/>
    <s v="ORD101023"/>
    <x v="7"/>
    <x v="3"/>
    <x v="7"/>
    <x v="2"/>
    <x v="4"/>
    <n v="315.72000000000003"/>
    <n v="4"/>
    <n v="1262.8800000000001"/>
    <n v="4.41"/>
  </r>
  <r>
    <x v="231"/>
    <s v="ORD101687"/>
    <x v="8"/>
    <x v="3"/>
    <x v="8"/>
    <x v="0"/>
    <x v="5"/>
    <n v="5061.1099999999997"/>
    <n v="3"/>
    <n v="15183.33"/>
    <n v="2"/>
  </r>
  <r>
    <x v="232"/>
    <s v="ORD101330"/>
    <x v="7"/>
    <x v="3"/>
    <x v="7"/>
    <x v="0"/>
    <x v="4"/>
    <n v="16780.11"/>
    <n v="1"/>
    <n v="16780.11"/>
    <n v="3.12"/>
  </r>
  <r>
    <x v="232"/>
    <s v="ORD101691"/>
    <x v="8"/>
    <x v="3"/>
    <x v="8"/>
    <x v="2"/>
    <x v="5"/>
    <n v="13189.5"/>
    <n v="2"/>
    <n v="26379"/>
    <n v="1.02"/>
  </r>
  <r>
    <x v="233"/>
    <s v="ORD101234"/>
    <x v="7"/>
    <x v="3"/>
    <x v="7"/>
    <x v="2"/>
    <x v="3"/>
    <n v="11230.55"/>
    <n v="5"/>
    <n v="56152.75"/>
    <n v="3.57"/>
  </r>
  <r>
    <x v="235"/>
    <s v="ORD100076"/>
    <x v="7"/>
    <x v="3"/>
    <x v="7"/>
    <x v="0"/>
    <x v="2"/>
    <n v="17105.39"/>
    <n v="3"/>
    <n v="51316.17"/>
    <n v="2.68"/>
  </r>
  <r>
    <x v="235"/>
    <s v="ORD100507"/>
    <x v="7"/>
    <x v="3"/>
    <x v="7"/>
    <x v="0"/>
    <x v="5"/>
    <n v="1458.76"/>
    <n v="1"/>
    <n v="1458.76"/>
    <n v="3.59"/>
  </r>
  <r>
    <x v="235"/>
    <s v="ORD101369"/>
    <x v="7"/>
    <x v="3"/>
    <x v="7"/>
    <x v="2"/>
    <x v="4"/>
    <n v="17845.38"/>
    <n v="2"/>
    <n v="35690.76"/>
    <n v="4.04"/>
  </r>
  <r>
    <x v="235"/>
    <s v="ORD101581"/>
    <x v="7"/>
    <x v="3"/>
    <x v="7"/>
    <x v="0"/>
    <x v="3"/>
    <n v="11677.2"/>
    <n v="5"/>
    <n v="58386"/>
    <n v="2.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0FE9C4-7581-4347-B0F2-7C3D22A78C79}" name="PivotTable11"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15" firstHeaderRow="1" firstDataRow="1" firstDataCol="1"/>
  <pivotFields count="13">
    <pivotField numFmtId="14" showAll="0">
      <items count="360">
        <item x="352"/>
        <item x="0"/>
        <item x="1"/>
        <item x="307"/>
        <item x="236"/>
        <item x="308"/>
        <item x="2"/>
        <item x="3"/>
        <item x="237"/>
        <item x="238"/>
        <item x="4"/>
        <item x="5"/>
        <item x="6"/>
        <item x="239"/>
        <item x="7"/>
        <item x="8"/>
        <item x="240"/>
        <item x="9"/>
        <item x="10"/>
        <item x="11"/>
        <item x="12"/>
        <item x="309"/>
        <item x="13"/>
        <item x="14"/>
        <item x="15"/>
        <item x="16"/>
        <item x="310"/>
        <item x="17"/>
        <item x="18"/>
        <item x="19"/>
        <item x="20"/>
        <item x="21"/>
        <item x="241"/>
        <item x="242"/>
        <item x="22"/>
        <item x="23"/>
        <item x="311"/>
        <item x="24"/>
        <item x="25"/>
        <item x="26"/>
        <item x="27"/>
        <item x="28"/>
        <item x="243"/>
        <item x="244"/>
        <item x="29"/>
        <item x="30"/>
        <item x="31"/>
        <item x="32"/>
        <item x="33"/>
        <item x="245"/>
        <item x="34"/>
        <item x="35"/>
        <item x="36"/>
        <item x="37"/>
        <item x="246"/>
        <item x="247"/>
        <item x="38"/>
        <item x="39"/>
        <item x="40"/>
        <item x="41"/>
        <item x="312"/>
        <item x="42"/>
        <item x="43"/>
        <item x="44"/>
        <item x="45"/>
        <item x="46"/>
        <item x="313"/>
        <item x="353"/>
        <item x="47"/>
        <item x="48"/>
        <item x="314"/>
        <item x="248"/>
        <item x="249"/>
        <item x="315"/>
        <item x="49"/>
        <item x="50"/>
        <item x="51"/>
        <item x="52"/>
        <item x="53"/>
        <item x="54"/>
        <item x="55"/>
        <item x="316"/>
        <item x="317"/>
        <item x="318"/>
        <item x="56"/>
        <item x="57"/>
        <item x="58"/>
        <item x="59"/>
        <item x="60"/>
        <item x="61"/>
        <item x="62"/>
        <item x="354"/>
        <item x="63"/>
        <item x="64"/>
        <item x="65"/>
        <item x="66"/>
        <item x="250"/>
        <item x="251"/>
        <item x="67"/>
        <item x="68"/>
        <item x="252"/>
        <item x="69"/>
        <item x="319"/>
        <item x="70"/>
        <item x="253"/>
        <item x="71"/>
        <item x="72"/>
        <item x="254"/>
        <item x="73"/>
        <item x="74"/>
        <item x="75"/>
        <item x="76"/>
        <item x="77"/>
        <item x="78"/>
        <item x="79"/>
        <item x="80"/>
        <item x="81"/>
        <item x="82"/>
        <item x="83"/>
        <item x="84"/>
        <item x="85"/>
        <item x="86"/>
        <item x="87"/>
        <item x="88"/>
        <item x="89"/>
        <item x="255"/>
        <item x="256"/>
        <item x="90"/>
        <item x="91"/>
        <item x="92"/>
        <item x="93"/>
        <item x="257"/>
        <item x="94"/>
        <item x="95"/>
        <item x="258"/>
        <item x="96"/>
        <item x="97"/>
        <item x="98"/>
        <item x="99"/>
        <item x="100"/>
        <item x="355"/>
        <item x="101"/>
        <item x="102"/>
        <item x="103"/>
        <item x="259"/>
        <item x="104"/>
        <item x="105"/>
        <item x="106"/>
        <item x="107"/>
        <item x="108"/>
        <item x="260"/>
        <item x="109"/>
        <item x="110"/>
        <item x="261"/>
        <item x="111"/>
        <item x="262"/>
        <item x="112"/>
        <item x="320"/>
        <item x="263"/>
        <item x="264"/>
        <item x="113"/>
        <item x="321"/>
        <item x="114"/>
        <item x="322"/>
        <item x="265"/>
        <item x="115"/>
        <item x="266"/>
        <item x="116"/>
        <item x="117"/>
        <item x="267"/>
        <item x="118"/>
        <item x="323"/>
        <item x="119"/>
        <item x="120"/>
        <item x="268"/>
        <item x="121"/>
        <item x="122"/>
        <item x="123"/>
        <item x="124"/>
        <item x="269"/>
        <item x="125"/>
        <item x="126"/>
        <item x="127"/>
        <item x="270"/>
        <item x="271"/>
        <item x="324"/>
        <item x="128"/>
        <item x="129"/>
        <item x="325"/>
        <item x="272"/>
        <item x="130"/>
        <item x="131"/>
        <item x="273"/>
        <item x="132"/>
        <item x="274"/>
        <item x="326"/>
        <item x="133"/>
        <item x="134"/>
        <item x="135"/>
        <item x="327"/>
        <item x="328"/>
        <item x="136"/>
        <item x="137"/>
        <item x="138"/>
        <item x="275"/>
        <item x="276"/>
        <item x="329"/>
        <item x="139"/>
        <item x="277"/>
        <item x="140"/>
        <item x="141"/>
        <item x="278"/>
        <item x="142"/>
        <item x="143"/>
        <item x="144"/>
        <item x="279"/>
        <item x="280"/>
        <item x="356"/>
        <item x="145"/>
        <item x="281"/>
        <item x="146"/>
        <item x="147"/>
        <item x="148"/>
        <item x="330"/>
        <item x="282"/>
        <item x="149"/>
        <item x="331"/>
        <item x="150"/>
        <item x="151"/>
        <item x="152"/>
        <item x="153"/>
        <item x="154"/>
        <item x="332"/>
        <item x="333"/>
        <item x="155"/>
        <item x="156"/>
        <item x="157"/>
        <item x="158"/>
        <item x="159"/>
        <item x="283"/>
        <item x="284"/>
        <item x="160"/>
        <item x="161"/>
        <item x="162"/>
        <item x="163"/>
        <item x="164"/>
        <item x="285"/>
        <item x="165"/>
        <item x="166"/>
        <item x="286"/>
        <item x="167"/>
        <item x="334"/>
        <item x="168"/>
        <item x="169"/>
        <item x="170"/>
        <item x="335"/>
        <item x="171"/>
        <item x="287"/>
        <item x="172"/>
        <item x="336"/>
        <item x="288"/>
        <item x="173"/>
        <item x="174"/>
        <item x="289"/>
        <item x="175"/>
        <item x="290"/>
        <item x="291"/>
        <item x="337"/>
        <item x="292"/>
        <item x="176"/>
        <item x="177"/>
        <item x="178"/>
        <item x="338"/>
        <item x="179"/>
        <item x="180"/>
        <item x="181"/>
        <item x="339"/>
        <item x="182"/>
        <item x="183"/>
        <item x="184"/>
        <item x="293"/>
        <item x="185"/>
        <item x="357"/>
        <item x="340"/>
        <item x="186"/>
        <item x="187"/>
        <item x="188"/>
        <item x="189"/>
        <item x="190"/>
        <item x="191"/>
        <item x="192"/>
        <item x="193"/>
        <item x="294"/>
        <item x="194"/>
        <item x="195"/>
        <item x="341"/>
        <item x="295"/>
        <item x="296"/>
        <item x="196"/>
        <item x="358"/>
        <item x="197"/>
        <item x="297"/>
        <item x="198"/>
        <item x="199"/>
        <item x="200"/>
        <item x="298"/>
        <item x="342"/>
        <item x="343"/>
        <item x="344"/>
        <item x="201"/>
        <item x="202"/>
        <item x="203"/>
        <item x="345"/>
        <item x="204"/>
        <item x="299"/>
        <item x="205"/>
        <item x="206"/>
        <item x="207"/>
        <item x="208"/>
        <item x="300"/>
        <item x="301"/>
        <item x="209"/>
        <item x="210"/>
        <item x="211"/>
        <item x="212"/>
        <item x="302"/>
        <item x="213"/>
        <item x="303"/>
        <item x="214"/>
        <item x="215"/>
        <item x="304"/>
        <item x="346"/>
        <item x="216"/>
        <item x="217"/>
        <item x="218"/>
        <item x="219"/>
        <item x="220"/>
        <item x="221"/>
        <item x="222"/>
        <item x="347"/>
        <item x="223"/>
        <item x="348"/>
        <item x="224"/>
        <item x="225"/>
        <item x="305"/>
        <item x="306"/>
        <item x="226"/>
        <item x="227"/>
        <item x="228"/>
        <item x="229"/>
        <item x="349"/>
        <item x="350"/>
        <item x="351"/>
        <item x="230"/>
        <item x="231"/>
        <item x="232"/>
        <item x="233"/>
        <item x="234"/>
        <item x="235"/>
        <item t="default"/>
      </items>
    </pivotField>
    <pivotField showAll="0"/>
    <pivotField showAll="0"/>
    <pivotField showAll="0"/>
    <pivotField showAll="0"/>
    <pivotField showAll="0">
      <items count="4">
        <item x="2"/>
        <item x="1"/>
        <item x="0"/>
        <item t="default"/>
      </items>
    </pivotField>
    <pivotField showAll="0">
      <items count="7">
        <item x="3"/>
        <item x="1"/>
        <item x="4"/>
        <item x="2"/>
        <item x="5"/>
        <item x="0"/>
        <item t="default"/>
      </items>
    </pivotField>
    <pivotField showAll="0"/>
    <pivotField showAll="0"/>
    <pivotField dataField="1" showAll="0"/>
    <pivotField showAll="0"/>
    <pivotField axis="axisRow" showAll="0">
      <items count="15">
        <item x="0"/>
        <item x="1"/>
        <item x="2"/>
        <item x="3"/>
        <item x="4"/>
        <item x="5"/>
        <item x="6"/>
        <item x="7"/>
        <item x="8"/>
        <item x="9"/>
        <item x="10"/>
        <item x="11"/>
        <item x="12"/>
        <item x="13"/>
        <item t="default"/>
      </items>
    </pivotField>
    <pivotField showAll="0">
      <items count="7">
        <item x="0"/>
        <item sd="0" x="1"/>
        <item sd="0" x="2"/>
        <item sd="0" x="3"/>
        <item sd="0" x="4"/>
        <item x="5"/>
        <item t="default"/>
      </items>
    </pivotField>
  </pivotFields>
  <rowFields count="1">
    <field x="11"/>
  </rowFields>
  <rowItems count="12">
    <i>
      <x v="1"/>
    </i>
    <i>
      <x v="2"/>
    </i>
    <i>
      <x v="3"/>
    </i>
    <i>
      <x v="4"/>
    </i>
    <i>
      <x v="5"/>
    </i>
    <i>
      <x v="6"/>
    </i>
    <i>
      <x v="7"/>
    </i>
    <i>
      <x v="8"/>
    </i>
    <i>
      <x v="9"/>
    </i>
    <i>
      <x v="10"/>
    </i>
    <i>
      <x v="11"/>
    </i>
    <i>
      <x v="12"/>
    </i>
  </rowItems>
  <colItems count="1">
    <i/>
  </colItems>
  <dataFields count="1">
    <dataField name="Sum of TotalAmount" fld="9" showDataAs="percentOfTotal" baseField="0" baseItem="0" numFmtId="10"/>
  </dataFields>
  <formats count="2">
    <format dxfId="2">
      <pivotArea outline="0" collapsedLevelsAreSubtotals="1" fieldPosition="0"/>
    </format>
    <format dxfId="1">
      <pivotArea outline="0" fieldPosition="0">
        <references count="1">
          <reference field="4294967294" count="1">
            <x v="0"/>
          </reference>
        </references>
      </pivotArea>
    </format>
  </formats>
  <chartFormats count="13">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11" count="1" selected="0">
            <x v="1"/>
          </reference>
        </references>
      </pivotArea>
    </chartFormat>
    <chartFormat chart="8" format="20">
      <pivotArea type="data" outline="0" fieldPosition="0">
        <references count="2">
          <reference field="4294967294" count="1" selected="0">
            <x v="0"/>
          </reference>
          <reference field="11" count="1" selected="0">
            <x v="2"/>
          </reference>
        </references>
      </pivotArea>
    </chartFormat>
    <chartFormat chart="8" format="21">
      <pivotArea type="data" outline="0" fieldPosition="0">
        <references count="2">
          <reference field="4294967294" count="1" selected="0">
            <x v="0"/>
          </reference>
          <reference field="11" count="1" selected="0">
            <x v="3"/>
          </reference>
        </references>
      </pivotArea>
    </chartFormat>
    <chartFormat chart="8" format="22">
      <pivotArea type="data" outline="0" fieldPosition="0">
        <references count="2">
          <reference field="4294967294" count="1" selected="0">
            <x v="0"/>
          </reference>
          <reference field="11" count="1" selected="0">
            <x v="4"/>
          </reference>
        </references>
      </pivotArea>
    </chartFormat>
    <chartFormat chart="8" format="23">
      <pivotArea type="data" outline="0" fieldPosition="0">
        <references count="2">
          <reference field="4294967294" count="1" selected="0">
            <x v="0"/>
          </reference>
          <reference field="11" count="1" selected="0">
            <x v="5"/>
          </reference>
        </references>
      </pivotArea>
    </chartFormat>
    <chartFormat chart="8" format="24">
      <pivotArea type="data" outline="0" fieldPosition="0">
        <references count="2">
          <reference field="4294967294" count="1" selected="0">
            <x v="0"/>
          </reference>
          <reference field="11" count="1" selected="0">
            <x v="6"/>
          </reference>
        </references>
      </pivotArea>
    </chartFormat>
    <chartFormat chart="8" format="25">
      <pivotArea type="data" outline="0" fieldPosition="0">
        <references count="2">
          <reference field="4294967294" count="1" selected="0">
            <x v="0"/>
          </reference>
          <reference field="11" count="1" selected="0">
            <x v="7"/>
          </reference>
        </references>
      </pivotArea>
    </chartFormat>
    <chartFormat chart="8" format="26">
      <pivotArea type="data" outline="0" fieldPosition="0">
        <references count="2">
          <reference field="4294967294" count="1" selected="0">
            <x v="0"/>
          </reference>
          <reference field="11" count="1" selected="0">
            <x v="8"/>
          </reference>
        </references>
      </pivotArea>
    </chartFormat>
    <chartFormat chart="8" format="27">
      <pivotArea type="data" outline="0" fieldPosition="0">
        <references count="2">
          <reference field="4294967294" count="1" selected="0">
            <x v="0"/>
          </reference>
          <reference field="11" count="1" selected="0">
            <x v="9"/>
          </reference>
        </references>
      </pivotArea>
    </chartFormat>
    <chartFormat chart="8" format="28">
      <pivotArea type="data" outline="0" fieldPosition="0">
        <references count="2">
          <reference field="4294967294" count="1" selected="0">
            <x v="0"/>
          </reference>
          <reference field="11" count="1" selected="0">
            <x v="10"/>
          </reference>
        </references>
      </pivotArea>
    </chartFormat>
    <chartFormat chart="8" format="29">
      <pivotArea type="data" outline="0" fieldPosition="0">
        <references count="2">
          <reference field="4294967294" count="1" selected="0">
            <x v="0"/>
          </reference>
          <reference field="11" count="1" selected="0">
            <x v="11"/>
          </reference>
        </references>
      </pivotArea>
    </chartFormat>
    <chartFormat chart="8" format="30">
      <pivotArea type="data" outline="0" fieldPosition="0">
        <references count="2">
          <reference field="4294967294" count="1" selected="0">
            <x v="0"/>
          </reference>
          <reference field="11"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E77B7F-B3BD-40E9-930C-7CC125ACEB4C}" name="PivotTable6"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fieldListSortAscending="1">
  <location ref="A3:E7" firstHeaderRow="1" firstDataRow="2" firstDataCol="1"/>
  <pivotFields count="13">
    <pivotField numFmtId="14" showAll="0" defaultSubtotal="0">
      <items count="359">
        <item x="352"/>
        <item x="0"/>
        <item x="1"/>
        <item x="307"/>
        <item x="236"/>
        <item x="308"/>
        <item x="2"/>
        <item x="3"/>
        <item x="237"/>
        <item x="238"/>
        <item x="4"/>
        <item x="5"/>
        <item x="6"/>
        <item x="239"/>
        <item x="7"/>
        <item x="8"/>
        <item x="240"/>
        <item x="9"/>
        <item x="10"/>
        <item x="11"/>
        <item x="12"/>
        <item x="309"/>
        <item x="13"/>
        <item x="14"/>
        <item x="15"/>
        <item x="16"/>
        <item x="310"/>
        <item x="17"/>
        <item x="18"/>
        <item x="19"/>
        <item x="20"/>
        <item x="21"/>
        <item x="241"/>
        <item x="242"/>
        <item x="22"/>
        <item x="23"/>
        <item x="311"/>
        <item x="24"/>
        <item x="25"/>
        <item x="26"/>
        <item x="27"/>
        <item x="28"/>
        <item x="243"/>
        <item x="244"/>
        <item x="29"/>
        <item x="30"/>
        <item x="31"/>
        <item x="32"/>
        <item x="33"/>
        <item x="245"/>
        <item x="34"/>
        <item x="35"/>
        <item x="36"/>
        <item x="37"/>
        <item x="246"/>
        <item x="247"/>
        <item x="38"/>
        <item x="39"/>
        <item x="40"/>
        <item x="41"/>
        <item x="312"/>
        <item x="42"/>
        <item x="43"/>
        <item x="44"/>
        <item x="45"/>
        <item x="46"/>
        <item x="313"/>
        <item x="353"/>
        <item x="47"/>
        <item x="48"/>
        <item x="314"/>
        <item x="248"/>
        <item x="249"/>
        <item x="315"/>
        <item x="49"/>
        <item x="50"/>
        <item x="51"/>
        <item x="52"/>
        <item x="53"/>
        <item x="54"/>
        <item x="55"/>
        <item x="316"/>
        <item x="317"/>
        <item x="318"/>
        <item x="56"/>
        <item x="57"/>
        <item x="58"/>
        <item x="59"/>
        <item x="60"/>
        <item x="61"/>
        <item x="62"/>
        <item x="354"/>
        <item x="63"/>
        <item x="64"/>
        <item x="65"/>
        <item x="66"/>
        <item x="250"/>
        <item x="251"/>
        <item x="67"/>
        <item x="68"/>
        <item x="252"/>
        <item x="69"/>
        <item x="319"/>
        <item x="70"/>
        <item x="253"/>
        <item x="71"/>
        <item x="72"/>
        <item x="254"/>
        <item x="73"/>
        <item x="74"/>
        <item x="75"/>
        <item x="76"/>
        <item x="77"/>
        <item x="78"/>
        <item x="79"/>
        <item x="80"/>
        <item x="81"/>
        <item x="82"/>
        <item x="83"/>
        <item x="84"/>
        <item x="85"/>
        <item x="86"/>
        <item x="87"/>
        <item x="88"/>
        <item x="89"/>
        <item x="255"/>
        <item x="256"/>
        <item x="90"/>
        <item x="91"/>
        <item x="92"/>
        <item x="93"/>
        <item x="257"/>
        <item x="94"/>
        <item x="95"/>
        <item x="258"/>
        <item x="96"/>
        <item x="97"/>
        <item x="98"/>
        <item x="99"/>
        <item x="100"/>
        <item x="355"/>
        <item x="101"/>
        <item x="102"/>
        <item x="103"/>
        <item x="259"/>
        <item x="104"/>
        <item x="105"/>
        <item x="106"/>
        <item x="107"/>
        <item x="108"/>
        <item x="260"/>
        <item x="109"/>
        <item x="110"/>
        <item x="261"/>
        <item x="111"/>
        <item x="262"/>
        <item x="112"/>
        <item x="320"/>
        <item x="263"/>
        <item x="264"/>
        <item x="113"/>
        <item x="321"/>
        <item x="114"/>
        <item x="322"/>
        <item x="265"/>
        <item x="115"/>
        <item x="266"/>
        <item x="116"/>
        <item x="117"/>
        <item x="267"/>
        <item x="118"/>
        <item x="323"/>
        <item x="119"/>
        <item x="120"/>
        <item x="268"/>
        <item x="121"/>
        <item x="122"/>
        <item x="123"/>
        <item x="124"/>
        <item x="269"/>
        <item x="125"/>
        <item x="126"/>
        <item x="127"/>
        <item x="270"/>
        <item x="271"/>
        <item x="324"/>
        <item x="128"/>
        <item x="129"/>
        <item x="325"/>
        <item x="272"/>
        <item x="130"/>
        <item x="131"/>
        <item x="273"/>
        <item x="132"/>
        <item x="274"/>
        <item x="326"/>
        <item x="133"/>
        <item x="134"/>
        <item x="135"/>
        <item x="327"/>
        <item x="328"/>
        <item x="136"/>
        <item x="137"/>
        <item x="138"/>
        <item x="275"/>
        <item x="276"/>
        <item x="329"/>
        <item x="139"/>
        <item x="277"/>
        <item x="140"/>
        <item x="141"/>
        <item x="278"/>
        <item x="142"/>
        <item x="143"/>
        <item x="144"/>
        <item x="279"/>
        <item x="280"/>
        <item x="356"/>
        <item x="145"/>
        <item x="281"/>
        <item x="146"/>
        <item x="147"/>
        <item x="148"/>
        <item x="330"/>
        <item x="282"/>
        <item x="149"/>
        <item x="331"/>
        <item x="150"/>
        <item x="151"/>
        <item x="152"/>
        <item x="153"/>
        <item x="154"/>
        <item x="332"/>
        <item x="333"/>
        <item x="155"/>
        <item x="156"/>
        <item x="157"/>
        <item x="158"/>
        <item x="159"/>
        <item x="283"/>
        <item x="284"/>
        <item x="160"/>
        <item x="161"/>
        <item x="162"/>
        <item x="163"/>
        <item x="164"/>
        <item x="285"/>
        <item x="165"/>
        <item x="166"/>
        <item x="286"/>
        <item x="167"/>
        <item x="334"/>
        <item x="168"/>
        <item x="169"/>
        <item x="170"/>
        <item x="335"/>
        <item x="171"/>
        <item x="287"/>
        <item x="172"/>
        <item x="336"/>
        <item x="288"/>
        <item x="173"/>
        <item x="174"/>
        <item x="289"/>
        <item x="175"/>
        <item x="290"/>
        <item x="291"/>
        <item x="337"/>
        <item x="292"/>
        <item x="176"/>
        <item x="177"/>
        <item x="178"/>
        <item x="338"/>
        <item x="179"/>
        <item x="180"/>
        <item x="181"/>
        <item x="339"/>
        <item x="182"/>
        <item x="183"/>
        <item x="184"/>
        <item x="293"/>
        <item x="185"/>
        <item x="357"/>
        <item x="340"/>
        <item x="186"/>
        <item x="187"/>
        <item x="188"/>
        <item x="189"/>
        <item x="190"/>
        <item x="191"/>
        <item x="192"/>
        <item x="193"/>
        <item x="294"/>
        <item x="194"/>
        <item x="195"/>
        <item x="341"/>
        <item x="295"/>
        <item x="296"/>
        <item x="196"/>
        <item x="358"/>
        <item x="197"/>
        <item x="297"/>
        <item x="198"/>
        <item x="199"/>
        <item x="200"/>
        <item x="298"/>
        <item x="342"/>
        <item x="343"/>
        <item x="344"/>
        <item x="201"/>
        <item x="202"/>
        <item x="203"/>
        <item x="345"/>
        <item x="204"/>
        <item x="299"/>
        <item x="205"/>
        <item x="206"/>
        <item x="207"/>
        <item x="208"/>
        <item x="300"/>
        <item x="301"/>
        <item x="209"/>
        <item x="210"/>
        <item x="211"/>
        <item x="212"/>
        <item x="302"/>
        <item x="213"/>
        <item x="303"/>
        <item x="214"/>
        <item x="215"/>
        <item x="304"/>
        <item x="346"/>
        <item x="216"/>
        <item x="217"/>
        <item x="218"/>
        <item x="219"/>
        <item x="220"/>
        <item x="221"/>
        <item x="222"/>
        <item x="347"/>
        <item x="223"/>
        <item x="348"/>
        <item x="224"/>
        <item x="225"/>
        <item x="305"/>
        <item x="306"/>
        <item x="226"/>
        <item x="227"/>
        <item x="228"/>
        <item x="229"/>
        <item x="349"/>
        <item x="350"/>
        <item x="351"/>
        <item x="230"/>
        <item x="231"/>
        <item x="232"/>
        <item x="233"/>
        <item x="234"/>
        <item x="235"/>
      </items>
    </pivotField>
    <pivotField showAll="0" defaultSubtotal="0"/>
    <pivotField showAll="0" defaultSubtotal="0"/>
    <pivotField axis="axisCol" showAll="0" defaultSubtotal="0">
      <items count="5">
        <item x="0"/>
        <item x="1"/>
        <item x="2"/>
        <item x="3"/>
        <item m="1" x="4"/>
      </items>
    </pivotField>
    <pivotField showAll="0" defaultSubtotal="0"/>
    <pivotField axis="axisRow" showAll="0" defaultSubtotal="0">
      <items count="3">
        <item sd="0" x="2"/>
        <item sd="0" x="1"/>
        <item sd="0" x="0"/>
      </items>
    </pivotField>
    <pivotField showAll="0" defaultSubtotal="0">
      <items count="6">
        <item x="3"/>
        <item x="1"/>
        <item x="4"/>
        <item x="2"/>
        <item x="5"/>
        <item x="0"/>
      </items>
    </pivotField>
    <pivotField showAll="0" defaultSubtotal="0"/>
    <pivotField dataField="1" showAll="0" defaultSubtotal="0"/>
    <pivotField showAll="0" defaultSubtotal="0"/>
    <pivotField showAll="0" defaultSubtotal="0"/>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s>
  <rowFields count="1">
    <field x="5"/>
  </rowFields>
  <rowItems count="3">
    <i>
      <x/>
    </i>
    <i>
      <x v="1"/>
    </i>
    <i>
      <x v="2"/>
    </i>
  </rowItems>
  <colFields count="1">
    <field x="3"/>
  </colFields>
  <colItems count="4">
    <i>
      <x/>
    </i>
    <i>
      <x v="1"/>
    </i>
    <i>
      <x v="2"/>
    </i>
    <i>
      <x v="3"/>
    </i>
  </colItems>
  <dataFields count="1">
    <dataField name="Sum of Quantity" fld="8"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C3A78B-3629-4CD9-A311-DF2223779645}" name="PivotTable7"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3:D14" firstHeaderRow="1" firstDataRow="2" firstDataCol="1"/>
  <pivotFields count="13">
    <pivotField numFmtId="14" showAll="0">
      <items count="360">
        <item x="352"/>
        <item x="0"/>
        <item x="1"/>
        <item x="307"/>
        <item x="236"/>
        <item x="308"/>
        <item x="2"/>
        <item x="3"/>
        <item x="237"/>
        <item x="238"/>
        <item x="4"/>
        <item x="5"/>
        <item x="6"/>
        <item x="239"/>
        <item x="7"/>
        <item x="8"/>
        <item x="240"/>
        <item x="9"/>
        <item x="10"/>
        <item x="11"/>
        <item x="12"/>
        <item x="309"/>
        <item x="13"/>
        <item x="14"/>
        <item x="15"/>
        <item x="16"/>
        <item x="310"/>
        <item x="17"/>
        <item x="18"/>
        <item x="19"/>
        <item x="20"/>
        <item x="21"/>
        <item x="241"/>
        <item x="242"/>
        <item x="22"/>
        <item x="23"/>
        <item x="311"/>
        <item x="24"/>
        <item x="25"/>
        <item x="26"/>
        <item x="27"/>
        <item x="28"/>
        <item x="243"/>
        <item x="244"/>
        <item x="29"/>
        <item x="30"/>
        <item x="31"/>
        <item x="32"/>
        <item x="33"/>
        <item x="245"/>
        <item x="34"/>
        <item x="35"/>
        <item x="36"/>
        <item x="37"/>
        <item x="246"/>
        <item x="247"/>
        <item x="38"/>
        <item x="39"/>
        <item x="40"/>
        <item x="41"/>
        <item x="312"/>
        <item x="42"/>
        <item x="43"/>
        <item x="44"/>
        <item x="45"/>
        <item x="46"/>
        <item x="313"/>
        <item x="353"/>
        <item x="47"/>
        <item x="48"/>
        <item x="314"/>
        <item x="248"/>
        <item x="249"/>
        <item x="315"/>
        <item x="49"/>
        <item x="50"/>
        <item x="51"/>
        <item x="52"/>
        <item x="53"/>
        <item x="54"/>
        <item x="55"/>
        <item x="316"/>
        <item x="317"/>
        <item x="318"/>
        <item x="56"/>
        <item x="57"/>
        <item x="58"/>
        <item x="59"/>
        <item x="60"/>
        <item x="61"/>
        <item x="62"/>
        <item x="354"/>
        <item x="63"/>
        <item x="64"/>
        <item x="65"/>
        <item x="66"/>
        <item x="250"/>
        <item x="251"/>
        <item x="67"/>
        <item x="68"/>
        <item x="252"/>
        <item x="69"/>
        <item x="319"/>
        <item x="70"/>
        <item x="253"/>
        <item x="71"/>
        <item x="72"/>
        <item x="254"/>
        <item x="73"/>
        <item x="74"/>
        <item x="75"/>
        <item x="76"/>
        <item x="77"/>
        <item x="78"/>
        <item x="79"/>
        <item x="80"/>
        <item x="81"/>
        <item x="82"/>
        <item x="83"/>
        <item x="84"/>
        <item x="85"/>
        <item x="86"/>
        <item x="87"/>
        <item x="88"/>
        <item x="89"/>
        <item x="255"/>
        <item x="256"/>
        <item x="90"/>
        <item x="91"/>
        <item x="92"/>
        <item x="93"/>
        <item x="257"/>
        <item x="94"/>
        <item x="95"/>
        <item x="258"/>
        <item x="96"/>
        <item x="97"/>
        <item x="98"/>
        <item x="99"/>
        <item x="100"/>
        <item x="355"/>
        <item x="101"/>
        <item x="102"/>
        <item x="103"/>
        <item x="259"/>
        <item x="104"/>
        <item x="105"/>
        <item x="106"/>
        <item x="107"/>
        <item x="108"/>
        <item x="260"/>
        <item x="109"/>
        <item x="110"/>
        <item x="261"/>
        <item x="111"/>
        <item x="262"/>
        <item x="112"/>
        <item x="320"/>
        <item x="263"/>
        <item x="264"/>
        <item x="113"/>
        <item x="321"/>
        <item x="114"/>
        <item x="322"/>
        <item x="265"/>
        <item x="115"/>
        <item x="266"/>
        <item x="116"/>
        <item x="117"/>
        <item x="267"/>
        <item x="118"/>
        <item x="323"/>
        <item x="119"/>
        <item x="120"/>
        <item x="268"/>
        <item x="121"/>
        <item x="122"/>
        <item x="123"/>
        <item x="124"/>
        <item x="269"/>
        <item x="125"/>
        <item x="126"/>
        <item x="127"/>
        <item x="270"/>
        <item x="271"/>
        <item x="324"/>
        <item x="128"/>
        <item x="129"/>
        <item x="325"/>
        <item x="272"/>
        <item x="130"/>
        <item x="131"/>
        <item x="273"/>
        <item x="132"/>
        <item x="274"/>
        <item x="326"/>
        <item x="133"/>
        <item x="134"/>
        <item x="135"/>
        <item x="327"/>
        <item x="328"/>
        <item x="136"/>
        <item x="137"/>
        <item x="138"/>
        <item x="275"/>
        <item x="276"/>
        <item x="329"/>
        <item x="139"/>
        <item x="277"/>
        <item x="140"/>
        <item x="141"/>
        <item x="278"/>
        <item x="142"/>
        <item x="143"/>
        <item x="144"/>
        <item x="279"/>
        <item x="280"/>
        <item x="356"/>
        <item x="145"/>
        <item x="281"/>
        <item x="146"/>
        <item x="147"/>
        <item x="148"/>
        <item x="330"/>
        <item x="282"/>
        <item x="149"/>
        <item x="331"/>
        <item x="150"/>
        <item x="151"/>
        <item x="152"/>
        <item x="153"/>
        <item x="154"/>
        <item x="332"/>
        <item x="333"/>
        <item x="155"/>
        <item x="156"/>
        <item x="157"/>
        <item x="158"/>
        <item x="159"/>
        <item x="283"/>
        <item x="284"/>
        <item x="160"/>
        <item x="161"/>
        <item x="162"/>
        <item x="163"/>
        <item x="164"/>
        <item x="285"/>
        <item x="165"/>
        <item x="166"/>
        <item x="286"/>
        <item x="167"/>
        <item x="334"/>
        <item x="168"/>
        <item x="169"/>
        <item x="170"/>
        <item x="335"/>
        <item x="171"/>
        <item x="287"/>
        <item x="172"/>
        <item x="336"/>
        <item x="288"/>
        <item x="173"/>
        <item x="174"/>
        <item x="289"/>
        <item x="175"/>
        <item x="290"/>
        <item x="291"/>
        <item x="337"/>
        <item x="292"/>
        <item x="176"/>
        <item x="177"/>
        <item x="178"/>
        <item x="338"/>
        <item x="179"/>
        <item x="180"/>
        <item x="181"/>
        <item x="339"/>
        <item x="182"/>
        <item x="183"/>
        <item x="184"/>
        <item x="293"/>
        <item x="185"/>
        <item x="357"/>
        <item x="340"/>
        <item x="186"/>
        <item x="187"/>
        <item x="188"/>
        <item x="189"/>
        <item x="190"/>
        <item x="191"/>
        <item x="192"/>
        <item x="193"/>
        <item x="294"/>
        <item x="194"/>
        <item x="195"/>
        <item x="341"/>
        <item x="295"/>
        <item x="296"/>
        <item x="196"/>
        <item x="358"/>
        <item x="197"/>
        <item x="297"/>
        <item x="198"/>
        <item x="199"/>
        <item x="200"/>
        <item x="298"/>
        <item x="342"/>
        <item x="343"/>
        <item x="344"/>
        <item x="201"/>
        <item x="202"/>
        <item x="203"/>
        <item x="345"/>
        <item x="204"/>
        <item x="299"/>
        <item x="205"/>
        <item x="206"/>
        <item x="207"/>
        <item x="208"/>
        <item x="300"/>
        <item x="301"/>
        <item x="209"/>
        <item x="210"/>
        <item x="211"/>
        <item x="212"/>
        <item x="302"/>
        <item x="213"/>
        <item x="303"/>
        <item x="214"/>
        <item x="215"/>
        <item x="304"/>
        <item x="346"/>
        <item x="216"/>
        <item x="217"/>
        <item x="218"/>
        <item x="219"/>
        <item x="220"/>
        <item x="221"/>
        <item x="222"/>
        <item x="347"/>
        <item x="223"/>
        <item x="348"/>
        <item x="224"/>
        <item x="225"/>
        <item x="305"/>
        <item x="306"/>
        <item x="226"/>
        <item x="227"/>
        <item x="228"/>
        <item x="229"/>
        <item x="349"/>
        <item x="350"/>
        <item x="351"/>
        <item x="230"/>
        <item x="231"/>
        <item x="232"/>
        <item x="233"/>
        <item x="234"/>
        <item x="235"/>
        <item t="default"/>
      </items>
    </pivotField>
    <pivotField showAll="0"/>
    <pivotField showAll="0"/>
    <pivotField showAll="0"/>
    <pivotField axis="axisRow" showAll="0">
      <items count="11">
        <item x="9"/>
        <item x="6"/>
        <item x="3"/>
        <item x="1"/>
        <item x="8"/>
        <item x="2"/>
        <item x="0"/>
        <item x="7"/>
        <item x="5"/>
        <item x="4"/>
        <item t="default"/>
      </items>
    </pivotField>
    <pivotField axis="axisCol" showAll="0">
      <items count="4">
        <item x="2"/>
        <item x="1"/>
        <item x="0"/>
        <item t="default"/>
      </items>
    </pivotField>
    <pivotField showAll="0">
      <items count="7">
        <item x="3"/>
        <item x="1"/>
        <item x="4"/>
        <item x="2"/>
        <item x="5"/>
        <item x="0"/>
        <item t="default"/>
      </items>
    </pivotField>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4"/>
  </rowFields>
  <rowItems count="10">
    <i>
      <x/>
    </i>
    <i>
      <x v="1"/>
    </i>
    <i>
      <x v="2"/>
    </i>
    <i>
      <x v="3"/>
    </i>
    <i>
      <x v="4"/>
    </i>
    <i>
      <x v="5"/>
    </i>
    <i>
      <x v="6"/>
    </i>
    <i>
      <x v="7"/>
    </i>
    <i>
      <x v="8"/>
    </i>
    <i>
      <x v="9"/>
    </i>
  </rowItems>
  <colFields count="1">
    <field x="5"/>
  </colFields>
  <colItems count="3">
    <i>
      <x/>
    </i>
    <i>
      <x v="1"/>
    </i>
    <i>
      <x v="2"/>
    </i>
  </colItems>
  <dataFields count="1">
    <dataField name="Sum of Quantity" fld="8" baseField="0" baseItem="0"/>
  </dataFields>
  <chartFormats count="3">
    <chartFormat chart="25" format="6" series="1">
      <pivotArea type="data" outline="0" fieldPosition="0">
        <references count="2">
          <reference field="4294967294" count="1" selected="0">
            <x v="0"/>
          </reference>
          <reference field="5" count="1" selected="0">
            <x v="0"/>
          </reference>
        </references>
      </pivotArea>
    </chartFormat>
    <chartFormat chart="25" format="7" series="1">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0E9117-9452-47A3-B839-FFAB6FDBAA6F}" name="PivotTable9"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H7:I10" firstHeaderRow="1" firstDataRow="1" firstDataCol="1"/>
  <pivotFields count="13">
    <pivotField numFmtId="14" showAll="0">
      <items count="360">
        <item x="352"/>
        <item x="0"/>
        <item x="1"/>
        <item x="307"/>
        <item x="236"/>
        <item x="308"/>
        <item x="2"/>
        <item x="3"/>
        <item x="237"/>
        <item x="238"/>
        <item x="4"/>
        <item x="5"/>
        <item x="6"/>
        <item x="239"/>
        <item x="7"/>
        <item x="8"/>
        <item x="240"/>
        <item x="9"/>
        <item x="10"/>
        <item x="11"/>
        <item x="12"/>
        <item x="309"/>
        <item x="13"/>
        <item x="14"/>
        <item x="15"/>
        <item x="16"/>
        <item x="310"/>
        <item x="17"/>
        <item x="18"/>
        <item x="19"/>
        <item x="20"/>
        <item x="21"/>
        <item x="241"/>
        <item x="242"/>
        <item x="22"/>
        <item x="23"/>
        <item x="311"/>
        <item x="24"/>
        <item x="25"/>
        <item x="26"/>
        <item x="27"/>
        <item x="28"/>
        <item x="243"/>
        <item x="244"/>
        <item x="29"/>
        <item x="30"/>
        <item x="31"/>
        <item x="32"/>
        <item x="33"/>
        <item x="245"/>
        <item x="34"/>
        <item x="35"/>
        <item x="36"/>
        <item x="37"/>
        <item x="246"/>
        <item x="247"/>
        <item x="38"/>
        <item x="39"/>
        <item x="40"/>
        <item x="41"/>
        <item x="312"/>
        <item x="42"/>
        <item x="43"/>
        <item x="44"/>
        <item x="45"/>
        <item x="46"/>
        <item x="313"/>
        <item x="353"/>
        <item x="47"/>
        <item x="48"/>
        <item x="314"/>
        <item x="248"/>
        <item x="249"/>
        <item x="315"/>
        <item x="49"/>
        <item x="50"/>
        <item x="51"/>
        <item x="52"/>
        <item x="53"/>
        <item x="54"/>
        <item x="55"/>
        <item x="316"/>
        <item x="317"/>
        <item x="318"/>
        <item x="56"/>
        <item x="57"/>
        <item x="58"/>
        <item x="59"/>
        <item x="60"/>
        <item x="61"/>
        <item x="62"/>
        <item x="354"/>
        <item x="63"/>
        <item x="64"/>
        <item x="65"/>
        <item x="66"/>
        <item x="250"/>
        <item x="251"/>
        <item x="67"/>
        <item x="68"/>
        <item x="252"/>
        <item x="69"/>
        <item x="319"/>
        <item x="70"/>
        <item x="253"/>
        <item x="71"/>
        <item x="72"/>
        <item x="254"/>
        <item x="73"/>
        <item x="74"/>
        <item x="75"/>
        <item x="76"/>
        <item x="77"/>
        <item x="78"/>
        <item x="79"/>
        <item x="80"/>
        <item x="81"/>
        <item x="82"/>
        <item x="83"/>
        <item x="84"/>
        <item x="85"/>
        <item x="86"/>
        <item x="87"/>
        <item x="88"/>
        <item x="89"/>
        <item x="255"/>
        <item x="256"/>
        <item x="90"/>
        <item x="91"/>
        <item x="92"/>
        <item x="93"/>
        <item x="257"/>
        <item x="94"/>
        <item x="95"/>
        <item x="258"/>
        <item x="96"/>
        <item x="97"/>
        <item x="98"/>
        <item x="99"/>
        <item x="100"/>
        <item x="355"/>
        <item x="101"/>
        <item x="102"/>
        <item x="103"/>
        <item x="259"/>
        <item x="104"/>
        <item x="105"/>
        <item x="106"/>
        <item x="107"/>
        <item x="108"/>
        <item x="260"/>
        <item x="109"/>
        <item x="110"/>
        <item x="261"/>
        <item x="111"/>
        <item x="262"/>
        <item x="112"/>
        <item x="320"/>
        <item x="263"/>
        <item x="264"/>
        <item x="113"/>
        <item x="321"/>
        <item x="114"/>
        <item x="322"/>
        <item x="265"/>
        <item x="115"/>
        <item x="266"/>
        <item x="116"/>
        <item x="117"/>
        <item x="267"/>
        <item x="118"/>
        <item x="323"/>
        <item x="119"/>
        <item x="120"/>
        <item x="268"/>
        <item x="121"/>
        <item x="122"/>
        <item x="123"/>
        <item x="124"/>
        <item x="269"/>
        <item x="125"/>
        <item x="126"/>
        <item x="127"/>
        <item x="270"/>
        <item x="271"/>
        <item x="324"/>
        <item x="128"/>
        <item x="129"/>
        <item x="325"/>
        <item x="272"/>
        <item x="130"/>
        <item x="131"/>
        <item x="273"/>
        <item x="132"/>
        <item x="274"/>
        <item x="326"/>
        <item x="133"/>
        <item x="134"/>
        <item x="135"/>
        <item x="327"/>
        <item x="328"/>
        <item x="136"/>
        <item x="137"/>
        <item x="138"/>
        <item x="275"/>
        <item x="276"/>
        <item x="329"/>
        <item x="139"/>
        <item x="277"/>
        <item x="140"/>
        <item x="141"/>
        <item x="278"/>
        <item x="142"/>
        <item x="143"/>
        <item x="144"/>
        <item x="279"/>
        <item x="280"/>
        <item x="356"/>
        <item x="145"/>
        <item x="281"/>
        <item x="146"/>
        <item x="147"/>
        <item x="148"/>
        <item x="330"/>
        <item x="282"/>
        <item x="149"/>
        <item x="331"/>
        <item x="150"/>
        <item x="151"/>
        <item x="152"/>
        <item x="153"/>
        <item x="154"/>
        <item x="332"/>
        <item x="333"/>
        <item x="155"/>
        <item x="156"/>
        <item x="157"/>
        <item x="158"/>
        <item x="159"/>
        <item x="283"/>
        <item x="284"/>
        <item x="160"/>
        <item x="161"/>
        <item x="162"/>
        <item x="163"/>
        <item x="164"/>
        <item x="285"/>
        <item x="165"/>
        <item x="166"/>
        <item x="286"/>
        <item x="167"/>
        <item x="334"/>
        <item x="168"/>
        <item x="169"/>
        <item x="170"/>
        <item x="335"/>
        <item x="171"/>
        <item x="287"/>
        <item x="172"/>
        <item x="336"/>
        <item x="288"/>
        <item x="173"/>
        <item x="174"/>
        <item x="289"/>
        <item x="175"/>
        <item x="290"/>
        <item x="291"/>
        <item x="337"/>
        <item x="292"/>
        <item x="176"/>
        <item x="177"/>
        <item x="178"/>
        <item x="338"/>
        <item x="179"/>
        <item x="180"/>
        <item x="181"/>
        <item x="339"/>
        <item x="182"/>
        <item x="183"/>
        <item x="184"/>
        <item x="293"/>
        <item x="185"/>
        <item x="357"/>
        <item x="340"/>
        <item x="186"/>
        <item x="187"/>
        <item x="188"/>
        <item x="189"/>
        <item x="190"/>
        <item x="191"/>
        <item x="192"/>
        <item x="193"/>
        <item x="294"/>
        <item x="194"/>
        <item x="195"/>
        <item x="341"/>
        <item x="295"/>
        <item x="296"/>
        <item x="196"/>
        <item x="358"/>
        <item x="197"/>
        <item x="297"/>
        <item x="198"/>
        <item x="199"/>
        <item x="200"/>
        <item x="298"/>
        <item x="342"/>
        <item x="343"/>
        <item x="344"/>
        <item x="201"/>
        <item x="202"/>
        <item x="203"/>
        <item x="345"/>
        <item x="204"/>
        <item x="299"/>
        <item x="205"/>
        <item x="206"/>
        <item x="207"/>
        <item x="208"/>
        <item x="300"/>
        <item x="301"/>
        <item x="209"/>
        <item x="210"/>
        <item x="211"/>
        <item x="212"/>
        <item x="302"/>
        <item x="213"/>
        <item x="303"/>
        <item x="214"/>
        <item x="215"/>
        <item x="304"/>
        <item x="346"/>
        <item x="216"/>
        <item x="217"/>
        <item x="218"/>
        <item x="219"/>
        <item x="220"/>
        <item x="221"/>
        <item x="222"/>
        <item x="347"/>
        <item x="223"/>
        <item x="348"/>
        <item x="224"/>
        <item x="225"/>
        <item x="305"/>
        <item x="306"/>
        <item x="226"/>
        <item x="227"/>
        <item x="228"/>
        <item x="229"/>
        <item x="349"/>
        <item x="350"/>
        <item x="351"/>
        <item x="230"/>
        <item x="231"/>
        <item x="232"/>
        <item x="233"/>
        <item x="234"/>
        <item x="235"/>
        <item t="default"/>
      </items>
    </pivotField>
    <pivotField showAll="0"/>
    <pivotField showAll="0" sortType="descending">
      <autoSortScope>
        <pivotArea dataOnly="0" outline="0" fieldPosition="0">
          <references count="2">
            <reference field="4294967294" count="1" selected="0">
              <x v="0"/>
            </reference>
            <reference field="5" count="1" selected="0">
              <x v="0"/>
            </reference>
          </references>
        </pivotArea>
      </autoSortScope>
    </pivotField>
    <pivotField showAll="0"/>
    <pivotField showAll="0"/>
    <pivotField axis="axisRow" showAll="0">
      <items count="4">
        <item x="2"/>
        <item x="1"/>
        <item x="0"/>
        <item t="default"/>
      </items>
    </pivotField>
    <pivotField showAll="0">
      <items count="7">
        <item x="3"/>
        <item x="1"/>
        <item x="4"/>
        <item x="2"/>
        <item x="5"/>
        <item x="0"/>
        <item t="default"/>
      </items>
    </pivotField>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5"/>
  </rowFields>
  <rowItems count="3">
    <i>
      <x/>
    </i>
    <i>
      <x v="1"/>
    </i>
    <i>
      <x v="2"/>
    </i>
  </rowItems>
  <colItems count="1">
    <i/>
  </colItems>
  <dataFields count="1">
    <dataField name="Sum of Quantity" fld="8" baseField="0" baseItem="0"/>
  </dataFields>
  <chartFormats count="10">
    <chartFormat chart="6" format="0" series="1">
      <pivotArea type="data" outline="0" fieldPosition="0">
        <references count="2">
          <reference field="4294967294" count="1" selected="0">
            <x v="0"/>
          </reference>
          <reference field="5" count="1" selected="0">
            <x v="0"/>
          </reference>
        </references>
      </pivotArea>
    </chartFormat>
    <chartFormat chart="6" format="1" series="1">
      <pivotArea type="data" outline="0" fieldPosition="0">
        <references count="2">
          <reference field="4294967294" count="1" selected="0">
            <x v="0"/>
          </reference>
          <reference field="5" count="1" selected="0">
            <x v="1"/>
          </reference>
        </references>
      </pivotArea>
    </chartFormat>
    <chartFormat chart="6" format="2" series="1">
      <pivotArea type="data" outline="0" fieldPosition="0">
        <references count="2">
          <reference field="4294967294" count="1" selected="0">
            <x v="0"/>
          </reference>
          <reference field="5" count="1" selected="0">
            <x v="2"/>
          </reference>
        </references>
      </pivotArea>
    </chartFormat>
    <chartFormat chart="17" format="6" series="1">
      <pivotArea type="data" outline="0" fieldPosition="0">
        <references count="2">
          <reference field="4294967294" count="1" selected="0">
            <x v="0"/>
          </reference>
          <reference field="5" count="1" selected="0">
            <x v="0"/>
          </reference>
        </references>
      </pivotArea>
    </chartFormat>
    <chartFormat chart="17" format="7" series="1">
      <pivotArea type="data" outline="0" fieldPosition="0">
        <references count="2">
          <reference field="4294967294" count="1" selected="0">
            <x v="0"/>
          </reference>
          <reference field="5" count="1" selected="0">
            <x v="1"/>
          </reference>
        </references>
      </pivotArea>
    </chartFormat>
    <chartFormat chart="17" format="8" series="1">
      <pivotArea type="data" outline="0" fieldPosition="0">
        <references count="2">
          <reference field="4294967294" count="1" selected="0">
            <x v="0"/>
          </reference>
          <reference field="5" count="1" selected="0">
            <x v="2"/>
          </reference>
        </references>
      </pivotArea>
    </chartFormat>
    <chartFormat chart="29" format="5" series="1">
      <pivotArea type="data" outline="0" fieldPosition="0">
        <references count="1">
          <reference field="4294967294" count="1" selected="0">
            <x v="0"/>
          </reference>
        </references>
      </pivotArea>
    </chartFormat>
    <chartFormat chart="29" format="6">
      <pivotArea type="data" outline="0" fieldPosition="0">
        <references count="2">
          <reference field="4294967294" count="1" selected="0">
            <x v="0"/>
          </reference>
          <reference field="5" count="1" selected="0">
            <x v="0"/>
          </reference>
        </references>
      </pivotArea>
    </chartFormat>
    <chartFormat chart="29" format="7">
      <pivotArea type="data" outline="0" fieldPosition="0">
        <references count="2">
          <reference field="4294967294" count="1" selected="0">
            <x v="0"/>
          </reference>
          <reference field="5" count="1" selected="0">
            <x v="1"/>
          </reference>
        </references>
      </pivotArea>
    </chartFormat>
    <chartFormat chart="29"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77BE0A-18C8-4CA8-B748-2E89BEB9DA43}" name="PivotTable8"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3:D14" firstHeaderRow="1" firstDataRow="2" firstDataCol="1"/>
  <pivotFields count="13">
    <pivotField numFmtId="14" showAll="0">
      <items count="360">
        <item x="352"/>
        <item x="0"/>
        <item x="1"/>
        <item x="307"/>
        <item x="236"/>
        <item x="308"/>
        <item x="2"/>
        <item x="3"/>
        <item x="237"/>
        <item x="238"/>
        <item x="4"/>
        <item x="5"/>
        <item x="6"/>
        <item x="239"/>
        <item x="7"/>
        <item x="8"/>
        <item x="240"/>
        <item x="9"/>
        <item x="10"/>
        <item x="11"/>
        <item x="12"/>
        <item x="309"/>
        <item x="13"/>
        <item x="14"/>
        <item x="15"/>
        <item x="16"/>
        <item x="310"/>
        <item x="17"/>
        <item x="18"/>
        <item x="19"/>
        <item x="20"/>
        <item x="21"/>
        <item x="241"/>
        <item x="242"/>
        <item x="22"/>
        <item x="23"/>
        <item x="311"/>
        <item x="24"/>
        <item x="25"/>
        <item x="26"/>
        <item x="27"/>
        <item x="28"/>
        <item x="243"/>
        <item x="244"/>
        <item x="29"/>
        <item x="30"/>
        <item x="31"/>
        <item x="32"/>
        <item x="33"/>
        <item x="245"/>
        <item x="34"/>
        <item x="35"/>
        <item x="36"/>
        <item x="37"/>
        <item x="246"/>
        <item x="247"/>
        <item x="38"/>
        <item x="39"/>
        <item x="40"/>
        <item x="41"/>
        <item x="312"/>
        <item x="42"/>
        <item x="43"/>
        <item x="44"/>
        <item x="45"/>
        <item x="46"/>
        <item x="313"/>
        <item x="353"/>
        <item x="47"/>
        <item x="48"/>
        <item x="314"/>
        <item x="248"/>
        <item x="249"/>
        <item x="315"/>
        <item x="49"/>
        <item x="50"/>
        <item x="51"/>
        <item x="52"/>
        <item x="53"/>
        <item x="54"/>
        <item x="55"/>
        <item x="316"/>
        <item x="317"/>
        <item x="318"/>
        <item x="56"/>
        <item x="57"/>
        <item x="58"/>
        <item x="59"/>
        <item x="60"/>
        <item x="61"/>
        <item x="62"/>
        <item x="354"/>
        <item x="63"/>
        <item x="64"/>
        <item x="65"/>
        <item x="66"/>
        <item x="250"/>
        <item x="251"/>
        <item x="67"/>
        <item x="68"/>
        <item x="252"/>
        <item x="69"/>
        <item x="319"/>
        <item x="70"/>
        <item x="253"/>
        <item x="71"/>
        <item x="72"/>
        <item x="254"/>
        <item x="73"/>
        <item x="74"/>
        <item x="75"/>
        <item x="76"/>
        <item x="77"/>
        <item x="78"/>
        <item x="79"/>
        <item x="80"/>
        <item x="81"/>
        <item x="82"/>
        <item x="83"/>
        <item x="84"/>
        <item x="85"/>
        <item x="86"/>
        <item x="87"/>
        <item x="88"/>
        <item x="89"/>
        <item x="255"/>
        <item x="256"/>
        <item x="90"/>
        <item x="91"/>
        <item x="92"/>
        <item x="93"/>
        <item x="257"/>
        <item x="94"/>
        <item x="95"/>
        <item x="258"/>
        <item x="96"/>
        <item x="97"/>
        <item x="98"/>
        <item x="99"/>
        <item x="100"/>
        <item x="355"/>
        <item x="101"/>
        <item x="102"/>
        <item x="103"/>
        <item x="259"/>
        <item x="104"/>
        <item x="105"/>
        <item x="106"/>
        <item x="107"/>
        <item x="108"/>
        <item x="260"/>
        <item x="109"/>
        <item x="110"/>
        <item x="261"/>
        <item x="111"/>
        <item x="262"/>
        <item x="112"/>
        <item x="320"/>
        <item x="263"/>
        <item x="264"/>
        <item x="113"/>
        <item x="321"/>
        <item x="114"/>
        <item x="322"/>
        <item x="265"/>
        <item x="115"/>
        <item x="266"/>
        <item x="116"/>
        <item x="117"/>
        <item x="267"/>
        <item x="118"/>
        <item x="323"/>
        <item x="119"/>
        <item x="120"/>
        <item x="268"/>
        <item x="121"/>
        <item x="122"/>
        <item x="123"/>
        <item x="124"/>
        <item x="269"/>
        <item x="125"/>
        <item x="126"/>
        <item x="127"/>
        <item x="270"/>
        <item x="271"/>
        <item x="324"/>
        <item x="128"/>
        <item x="129"/>
        <item x="325"/>
        <item x="272"/>
        <item x="130"/>
        <item x="131"/>
        <item x="273"/>
        <item x="132"/>
        <item x="274"/>
        <item x="326"/>
        <item x="133"/>
        <item x="134"/>
        <item x="135"/>
        <item x="327"/>
        <item x="328"/>
        <item x="136"/>
        <item x="137"/>
        <item x="138"/>
        <item x="275"/>
        <item x="276"/>
        <item x="329"/>
        <item x="139"/>
        <item x="277"/>
        <item x="140"/>
        <item x="141"/>
        <item x="278"/>
        <item x="142"/>
        <item x="143"/>
        <item x="144"/>
        <item x="279"/>
        <item x="280"/>
        <item x="356"/>
        <item x="145"/>
        <item x="281"/>
        <item x="146"/>
        <item x="147"/>
        <item x="148"/>
        <item x="330"/>
        <item x="282"/>
        <item x="149"/>
        <item x="331"/>
        <item x="150"/>
        <item x="151"/>
        <item x="152"/>
        <item x="153"/>
        <item x="154"/>
        <item x="332"/>
        <item x="333"/>
        <item x="155"/>
        <item x="156"/>
        <item x="157"/>
        <item x="158"/>
        <item x="159"/>
        <item x="283"/>
        <item x="284"/>
        <item x="160"/>
        <item x="161"/>
        <item x="162"/>
        <item x="163"/>
        <item x="164"/>
        <item x="285"/>
        <item x="165"/>
        <item x="166"/>
        <item x="286"/>
        <item x="167"/>
        <item x="334"/>
        <item x="168"/>
        <item x="169"/>
        <item x="170"/>
        <item x="335"/>
        <item x="171"/>
        <item x="287"/>
        <item x="172"/>
        <item x="336"/>
        <item x="288"/>
        <item x="173"/>
        <item x="174"/>
        <item x="289"/>
        <item x="175"/>
        <item x="290"/>
        <item x="291"/>
        <item x="337"/>
        <item x="292"/>
        <item x="176"/>
        <item x="177"/>
        <item x="178"/>
        <item x="338"/>
        <item x="179"/>
        <item x="180"/>
        <item x="181"/>
        <item x="339"/>
        <item x="182"/>
        <item x="183"/>
        <item x="184"/>
        <item x="293"/>
        <item x="185"/>
        <item x="357"/>
        <item x="340"/>
        <item x="186"/>
        <item x="187"/>
        <item x="188"/>
        <item x="189"/>
        <item x="190"/>
        <item x="191"/>
        <item x="192"/>
        <item x="193"/>
        <item x="294"/>
        <item x="194"/>
        <item x="195"/>
        <item x="341"/>
        <item x="295"/>
        <item x="296"/>
        <item x="196"/>
        <item x="358"/>
        <item x="197"/>
        <item x="297"/>
        <item x="198"/>
        <item x="199"/>
        <item x="200"/>
        <item x="298"/>
        <item x="342"/>
        <item x="343"/>
        <item x="344"/>
        <item x="201"/>
        <item x="202"/>
        <item x="203"/>
        <item x="345"/>
        <item x="204"/>
        <item x="299"/>
        <item x="205"/>
        <item x="206"/>
        <item x="207"/>
        <item x="208"/>
        <item x="300"/>
        <item x="301"/>
        <item x="209"/>
        <item x="210"/>
        <item x="211"/>
        <item x="212"/>
        <item x="302"/>
        <item x="213"/>
        <item x="303"/>
        <item x="214"/>
        <item x="215"/>
        <item x="304"/>
        <item x="346"/>
        <item x="216"/>
        <item x="217"/>
        <item x="218"/>
        <item x="219"/>
        <item x="220"/>
        <item x="221"/>
        <item x="222"/>
        <item x="347"/>
        <item x="223"/>
        <item x="348"/>
        <item x="224"/>
        <item x="225"/>
        <item x="305"/>
        <item x="306"/>
        <item x="226"/>
        <item x="227"/>
        <item x="228"/>
        <item x="229"/>
        <item x="349"/>
        <item x="350"/>
        <item x="351"/>
        <item x="230"/>
        <item x="231"/>
        <item x="232"/>
        <item x="233"/>
        <item x="234"/>
        <item x="235"/>
        <item t="default"/>
      </items>
    </pivotField>
    <pivotField showAll="0"/>
    <pivotField axis="axisRow" showAll="0" sortType="descending">
      <items count="11">
        <item x="9"/>
        <item x="0"/>
        <item x="3"/>
        <item x="2"/>
        <item x="6"/>
        <item x="7"/>
        <item x="5"/>
        <item x="1"/>
        <item x="8"/>
        <item x="4"/>
        <item t="default"/>
      </items>
      <autoSortScope>
        <pivotArea dataOnly="0" outline="0" fieldPosition="0">
          <references count="2">
            <reference field="4294967294" count="1" selected="0">
              <x v="0"/>
            </reference>
            <reference field="5" count="1" selected="0">
              <x v="0"/>
            </reference>
          </references>
        </pivotArea>
      </autoSortScope>
    </pivotField>
    <pivotField showAll="0"/>
    <pivotField showAll="0"/>
    <pivotField axis="axisCol" showAll="0">
      <items count="4">
        <item x="2"/>
        <item x="1"/>
        <item x="0"/>
        <item t="default"/>
      </items>
    </pivotField>
    <pivotField showAll="0">
      <items count="7">
        <item x="3"/>
        <item x="1"/>
        <item x="4"/>
        <item x="2"/>
        <item x="5"/>
        <item x="0"/>
        <item t="default"/>
      </items>
    </pivotField>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
  </rowFields>
  <rowItems count="10">
    <i>
      <x v="6"/>
    </i>
    <i>
      <x v="5"/>
    </i>
    <i>
      <x/>
    </i>
    <i>
      <x v="9"/>
    </i>
    <i>
      <x v="2"/>
    </i>
    <i>
      <x v="4"/>
    </i>
    <i>
      <x v="8"/>
    </i>
    <i>
      <x v="7"/>
    </i>
    <i>
      <x v="1"/>
    </i>
    <i>
      <x v="3"/>
    </i>
  </rowItems>
  <colFields count="1">
    <field x="5"/>
  </colFields>
  <colItems count="3">
    <i>
      <x/>
    </i>
    <i>
      <x v="1"/>
    </i>
    <i>
      <x v="2"/>
    </i>
  </colItems>
  <dataFields count="1">
    <dataField name="Sum of Quantity" fld="8" baseField="0" baseItem="0"/>
  </dataFields>
  <chartFormats count="3">
    <chartFormat chart="17" format="6" series="1">
      <pivotArea type="data" outline="0" fieldPosition="0">
        <references count="2">
          <reference field="4294967294" count="1" selected="0">
            <x v="0"/>
          </reference>
          <reference field="5" count="1" selected="0">
            <x v="0"/>
          </reference>
        </references>
      </pivotArea>
    </chartFormat>
    <chartFormat chart="17" format="7" series="1">
      <pivotArea type="data" outline="0" fieldPosition="0">
        <references count="2">
          <reference field="4294967294" count="1" selected="0">
            <x v="0"/>
          </reference>
          <reference field="5" count="1" selected="0">
            <x v="1"/>
          </reference>
        </references>
      </pivotArea>
    </chartFormat>
    <chartFormat chart="17"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7C5808-BD45-4C09-89BE-12C4608EFAD4}" name="PivotTable10"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2">
  <location ref="A3:C9" firstHeaderRow="0" firstDataRow="1" firstDataCol="1"/>
  <pivotFields count="13">
    <pivotField compact="0" numFmtId="14" outline="0" showAll="0">
      <items count="360">
        <item x="352"/>
        <item x="0"/>
        <item x="1"/>
        <item x="307"/>
        <item x="236"/>
        <item x="308"/>
        <item x="2"/>
        <item x="3"/>
        <item x="237"/>
        <item x="238"/>
        <item x="4"/>
        <item x="5"/>
        <item x="6"/>
        <item x="239"/>
        <item x="7"/>
        <item x="8"/>
        <item x="240"/>
        <item x="9"/>
        <item x="10"/>
        <item x="11"/>
        <item x="12"/>
        <item x="309"/>
        <item x="13"/>
        <item x="14"/>
        <item x="15"/>
        <item x="16"/>
        <item x="310"/>
        <item x="17"/>
        <item x="18"/>
        <item x="19"/>
        <item x="20"/>
        <item x="21"/>
        <item x="241"/>
        <item x="242"/>
        <item x="22"/>
        <item x="23"/>
        <item x="311"/>
        <item x="24"/>
        <item x="25"/>
        <item x="26"/>
        <item x="27"/>
        <item x="28"/>
        <item x="243"/>
        <item x="244"/>
        <item x="29"/>
        <item x="30"/>
        <item x="31"/>
        <item x="32"/>
        <item x="33"/>
        <item x="245"/>
        <item x="34"/>
        <item x="35"/>
        <item x="36"/>
        <item x="37"/>
        <item x="246"/>
        <item x="247"/>
        <item x="38"/>
        <item x="39"/>
        <item x="40"/>
        <item x="41"/>
        <item x="312"/>
        <item x="42"/>
        <item x="43"/>
        <item x="44"/>
        <item x="45"/>
        <item x="46"/>
        <item x="313"/>
        <item x="353"/>
        <item x="47"/>
        <item x="48"/>
        <item x="314"/>
        <item x="248"/>
        <item x="249"/>
        <item x="315"/>
        <item x="49"/>
        <item x="50"/>
        <item x="51"/>
        <item x="52"/>
        <item x="53"/>
        <item x="54"/>
        <item x="55"/>
        <item x="316"/>
        <item x="317"/>
        <item x="318"/>
        <item x="56"/>
        <item x="57"/>
        <item x="58"/>
        <item x="59"/>
        <item x="60"/>
        <item x="61"/>
        <item x="62"/>
        <item x="354"/>
        <item x="63"/>
        <item x="64"/>
        <item x="65"/>
        <item x="66"/>
        <item x="250"/>
        <item x="251"/>
        <item x="67"/>
        <item x="68"/>
        <item x="252"/>
        <item x="69"/>
        <item x="319"/>
        <item x="70"/>
        <item x="253"/>
        <item x="71"/>
        <item x="72"/>
        <item x="254"/>
        <item x="73"/>
        <item x="74"/>
        <item x="75"/>
        <item x="76"/>
        <item x="77"/>
        <item x="78"/>
        <item x="79"/>
        <item x="80"/>
        <item x="81"/>
        <item x="82"/>
        <item x="83"/>
        <item x="84"/>
        <item x="85"/>
        <item x="86"/>
        <item x="87"/>
        <item x="88"/>
        <item x="89"/>
        <item x="255"/>
        <item x="256"/>
        <item x="90"/>
        <item x="91"/>
        <item x="92"/>
        <item x="93"/>
        <item x="257"/>
        <item x="94"/>
        <item x="95"/>
        <item x="258"/>
        <item x="96"/>
        <item x="97"/>
        <item x="98"/>
        <item x="99"/>
        <item x="100"/>
        <item x="355"/>
        <item x="101"/>
        <item x="102"/>
        <item x="103"/>
        <item x="259"/>
        <item x="104"/>
        <item x="105"/>
        <item x="106"/>
        <item x="107"/>
        <item x="108"/>
        <item x="260"/>
        <item x="109"/>
        <item x="110"/>
        <item x="261"/>
        <item x="111"/>
        <item x="262"/>
        <item x="112"/>
        <item x="320"/>
        <item x="263"/>
        <item x="264"/>
        <item x="113"/>
        <item x="321"/>
        <item x="114"/>
        <item x="322"/>
        <item x="265"/>
        <item x="115"/>
        <item x="266"/>
        <item x="116"/>
        <item x="117"/>
        <item x="267"/>
        <item x="118"/>
        <item x="323"/>
        <item x="119"/>
        <item x="120"/>
        <item x="268"/>
        <item x="121"/>
        <item x="122"/>
        <item x="123"/>
        <item x="124"/>
        <item x="269"/>
        <item x="125"/>
        <item x="126"/>
        <item x="127"/>
        <item x="270"/>
        <item x="271"/>
        <item x="324"/>
        <item x="128"/>
        <item x="129"/>
        <item x="325"/>
        <item x="272"/>
        <item x="130"/>
        <item x="131"/>
        <item x="273"/>
        <item x="132"/>
        <item x="274"/>
        <item x="326"/>
        <item x="133"/>
        <item x="134"/>
        <item x="135"/>
        <item x="327"/>
        <item x="328"/>
        <item x="136"/>
        <item x="137"/>
        <item x="138"/>
        <item x="275"/>
        <item x="276"/>
        <item x="329"/>
        <item x="139"/>
        <item x="277"/>
        <item x="140"/>
        <item x="141"/>
        <item x="278"/>
        <item x="142"/>
        <item x="143"/>
        <item x="144"/>
        <item x="279"/>
        <item x="280"/>
        <item x="356"/>
        <item x="145"/>
        <item x="281"/>
        <item x="146"/>
        <item x="147"/>
        <item x="148"/>
        <item x="330"/>
        <item x="282"/>
        <item x="149"/>
        <item x="331"/>
        <item x="150"/>
        <item x="151"/>
        <item x="152"/>
        <item x="153"/>
        <item x="154"/>
        <item x="332"/>
        <item x="333"/>
        <item x="155"/>
        <item x="156"/>
        <item x="157"/>
        <item x="158"/>
        <item x="159"/>
        <item x="283"/>
        <item x="284"/>
        <item x="160"/>
        <item x="161"/>
        <item x="162"/>
        <item x="163"/>
        <item x="164"/>
        <item x="285"/>
        <item x="165"/>
        <item x="166"/>
        <item x="286"/>
        <item x="167"/>
        <item x="334"/>
        <item x="168"/>
        <item x="169"/>
        <item x="170"/>
        <item x="335"/>
        <item x="171"/>
        <item x="287"/>
        <item x="172"/>
        <item x="336"/>
        <item x="288"/>
        <item x="173"/>
        <item x="174"/>
        <item x="289"/>
        <item x="175"/>
        <item x="290"/>
        <item x="291"/>
        <item x="337"/>
        <item x="292"/>
        <item x="176"/>
        <item x="177"/>
        <item x="178"/>
        <item x="338"/>
        <item x="179"/>
        <item x="180"/>
        <item x="181"/>
        <item x="339"/>
        <item x="182"/>
        <item x="183"/>
        <item x="184"/>
        <item x="293"/>
        <item x="185"/>
        <item x="357"/>
        <item x="340"/>
        <item x="186"/>
        <item x="187"/>
        <item x="188"/>
        <item x="189"/>
        <item x="190"/>
        <item x="191"/>
        <item x="192"/>
        <item x="193"/>
        <item x="294"/>
        <item x="194"/>
        <item x="195"/>
        <item x="341"/>
        <item x="295"/>
        <item x="296"/>
        <item x="196"/>
        <item x="358"/>
        <item x="197"/>
        <item x="297"/>
        <item x="198"/>
        <item x="199"/>
        <item x="200"/>
        <item x="298"/>
        <item x="342"/>
        <item x="343"/>
        <item x="344"/>
        <item x="201"/>
        <item x="202"/>
        <item x="203"/>
        <item x="345"/>
        <item x="204"/>
        <item x="299"/>
        <item x="205"/>
        <item x="206"/>
        <item x="207"/>
        <item x="208"/>
        <item x="300"/>
        <item x="301"/>
        <item x="209"/>
        <item x="210"/>
        <item x="211"/>
        <item x="212"/>
        <item x="302"/>
        <item x="213"/>
        <item x="303"/>
        <item x="214"/>
        <item x="215"/>
        <item x="304"/>
        <item x="346"/>
        <item x="216"/>
        <item x="217"/>
        <item x="218"/>
        <item x="219"/>
        <item x="220"/>
        <item x="221"/>
        <item x="222"/>
        <item x="347"/>
        <item x="223"/>
        <item x="348"/>
        <item x="224"/>
        <item x="225"/>
        <item x="305"/>
        <item x="306"/>
        <item x="226"/>
        <item x="227"/>
        <item x="228"/>
        <item x="229"/>
        <item x="349"/>
        <item x="350"/>
        <item x="351"/>
        <item x="230"/>
        <item x="231"/>
        <item x="232"/>
        <item x="233"/>
        <item x="234"/>
        <item x="235"/>
        <item t="default"/>
      </items>
    </pivotField>
    <pivotField compact="0" outline="0" showAll="0"/>
    <pivotField compact="0" outline="0" showAll="0"/>
    <pivotField compact="0" outline="0" showAll="0"/>
    <pivotField compact="0" outline="0" showAll="0"/>
    <pivotField compact="0" outline="0" showAll="0">
      <items count="4">
        <item x="2"/>
        <item x="1"/>
        <item x="0"/>
        <item t="default"/>
      </items>
    </pivotField>
    <pivotField axis="axisRow" compact="0" outline="0" showAll="0">
      <items count="7">
        <item x="3"/>
        <item x="1"/>
        <item x="4"/>
        <item x="2"/>
        <item x="5"/>
        <item x="0"/>
        <item t="default"/>
      </items>
    </pivotField>
    <pivotField compact="0" outline="0" showAll="0"/>
    <pivotField dataField="1" compact="0" outline="0" showAll="0"/>
    <pivotField dataField="1"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6"/>
  </rowFields>
  <rowItems count="6">
    <i>
      <x/>
    </i>
    <i>
      <x v="1"/>
    </i>
    <i>
      <x v="2"/>
    </i>
    <i>
      <x v="3"/>
    </i>
    <i>
      <x v="4"/>
    </i>
    <i>
      <x v="5"/>
    </i>
  </rowItems>
  <colFields count="1">
    <field x="-2"/>
  </colFields>
  <colItems count="2">
    <i>
      <x/>
    </i>
    <i i="1">
      <x v="1"/>
    </i>
  </colItems>
  <dataFields count="2">
    <dataField name="Sum of TotalAmount" fld="9" baseField="0" baseItem="0"/>
    <dataField name="Count of Quantity" fld="8" subtotal="count" baseField="6" baseItem="0"/>
  </dataFields>
  <chartFormats count="2">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1871BF-93EF-4888-ACED-A3A317EC08D8}"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7:B18" firstHeaderRow="1" firstDataRow="1" firstDataCol="1"/>
  <pivotFields count="13">
    <pivotField numFmtId="14" showAll="0">
      <items count="360">
        <item x="352"/>
        <item x="0"/>
        <item x="1"/>
        <item x="307"/>
        <item x="236"/>
        <item x="308"/>
        <item x="2"/>
        <item x="3"/>
        <item x="237"/>
        <item x="238"/>
        <item x="4"/>
        <item x="5"/>
        <item x="6"/>
        <item x="239"/>
        <item x="7"/>
        <item x="8"/>
        <item x="240"/>
        <item x="9"/>
        <item x="10"/>
        <item x="11"/>
        <item x="12"/>
        <item x="309"/>
        <item x="13"/>
        <item x="14"/>
        <item x="15"/>
        <item x="16"/>
        <item x="310"/>
        <item x="17"/>
        <item x="18"/>
        <item x="19"/>
        <item x="20"/>
        <item x="21"/>
        <item x="241"/>
        <item x="242"/>
        <item x="22"/>
        <item x="23"/>
        <item x="311"/>
        <item x="24"/>
        <item x="25"/>
        <item x="26"/>
        <item x="27"/>
        <item x="28"/>
        <item x="243"/>
        <item x="244"/>
        <item x="29"/>
        <item x="30"/>
        <item x="31"/>
        <item x="32"/>
        <item x="33"/>
        <item x="245"/>
        <item x="34"/>
        <item x="35"/>
        <item x="36"/>
        <item x="37"/>
        <item x="246"/>
        <item x="247"/>
        <item x="38"/>
        <item x="39"/>
        <item x="40"/>
        <item x="41"/>
        <item x="312"/>
        <item x="42"/>
        <item x="43"/>
        <item x="44"/>
        <item x="45"/>
        <item x="46"/>
        <item x="313"/>
        <item x="353"/>
        <item x="47"/>
        <item x="48"/>
        <item x="314"/>
        <item x="248"/>
        <item x="249"/>
        <item x="315"/>
        <item x="49"/>
        <item x="50"/>
        <item x="51"/>
        <item x="52"/>
        <item x="53"/>
        <item x="54"/>
        <item x="55"/>
        <item x="316"/>
        <item x="317"/>
        <item x="318"/>
        <item x="56"/>
        <item x="57"/>
        <item x="58"/>
        <item x="59"/>
        <item x="60"/>
        <item x="61"/>
        <item x="62"/>
        <item x="354"/>
        <item x="63"/>
        <item x="64"/>
        <item x="65"/>
        <item x="66"/>
        <item x="250"/>
        <item x="251"/>
        <item x="67"/>
        <item x="68"/>
        <item x="252"/>
        <item x="69"/>
        <item x="319"/>
        <item x="70"/>
        <item x="253"/>
        <item x="71"/>
        <item x="72"/>
        <item x="254"/>
        <item x="73"/>
        <item x="74"/>
        <item x="75"/>
        <item x="76"/>
        <item x="77"/>
        <item x="78"/>
        <item x="79"/>
        <item x="80"/>
        <item x="81"/>
        <item x="82"/>
        <item x="83"/>
        <item x="84"/>
        <item x="85"/>
        <item x="86"/>
        <item x="87"/>
        <item x="88"/>
        <item x="89"/>
        <item x="255"/>
        <item x="256"/>
        <item x="90"/>
        <item x="91"/>
        <item x="92"/>
        <item x="93"/>
        <item x="257"/>
        <item x="94"/>
        <item x="95"/>
        <item x="258"/>
        <item x="96"/>
        <item x="97"/>
        <item x="98"/>
        <item x="99"/>
        <item x="100"/>
        <item x="355"/>
        <item x="101"/>
        <item x="102"/>
        <item x="103"/>
        <item x="259"/>
        <item x="104"/>
        <item x="105"/>
        <item x="106"/>
        <item x="107"/>
        <item x="108"/>
        <item x="260"/>
        <item x="109"/>
        <item x="110"/>
        <item x="261"/>
        <item x="111"/>
        <item x="262"/>
        <item x="112"/>
        <item x="320"/>
        <item x="263"/>
        <item x="264"/>
        <item x="113"/>
        <item x="321"/>
        <item x="114"/>
        <item x="322"/>
        <item x="265"/>
        <item x="115"/>
        <item x="266"/>
        <item x="116"/>
        <item x="117"/>
        <item x="267"/>
        <item x="118"/>
        <item x="323"/>
        <item x="119"/>
        <item x="120"/>
        <item x="268"/>
        <item x="121"/>
        <item x="122"/>
        <item x="123"/>
        <item x="124"/>
        <item x="269"/>
        <item x="125"/>
        <item x="126"/>
        <item x="127"/>
        <item x="270"/>
        <item x="271"/>
        <item x="324"/>
        <item x="128"/>
        <item x="129"/>
        <item x="325"/>
        <item x="272"/>
        <item x="130"/>
        <item x="131"/>
        <item x="273"/>
        <item x="132"/>
        <item x="274"/>
        <item x="326"/>
        <item x="133"/>
        <item x="134"/>
        <item x="135"/>
        <item x="327"/>
        <item x="328"/>
        <item x="136"/>
        <item x="137"/>
        <item x="138"/>
        <item x="275"/>
        <item x="276"/>
        <item x="329"/>
        <item x="139"/>
        <item x="277"/>
        <item x="140"/>
        <item x="141"/>
        <item x="278"/>
        <item x="142"/>
        <item x="143"/>
        <item x="144"/>
        <item x="279"/>
        <item x="280"/>
        <item x="356"/>
        <item x="145"/>
        <item x="281"/>
        <item x="146"/>
        <item x="147"/>
        <item x="148"/>
        <item x="330"/>
        <item x="282"/>
        <item x="149"/>
        <item x="331"/>
        <item x="150"/>
        <item x="151"/>
        <item x="152"/>
        <item x="153"/>
        <item x="154"/>
        <item x="332"/>
        <item x="333"/>
        <item x="155"/>
        <item x="156"/>
        <item x="157"/>
        <item x="158"/>
        <item x="159"/>
        <item x="283"/>
        <item x="284"/>
        <item x="160"/>
        <item x="161"/>
        <item x="162"/>
        <item x="163"/>
        <item x="164"/>
        <item x="285"/>
        <item x="165"/>
        <item x="166"/>
        <item x="286"/>
        <item x="167"/>
        <item x="334"/>
        <item x="168"/>
        <item x="169"/>
        <item x="170"/>
        <item x="335"/>
        <item x="171"/>
        <item x="287"/>
        <item x="172"/>
        <item x="336"/>
        <item x="288"/>
        <item x="173"/>
        <item x="174"/>
        <item x="289"/>
        <item x="175"/>
        <item x="290"/>
        <item x="291"/>
        <item x="337"/>
        <item x="292"/>
        <item x="176"/>
        <item x="177"/>
        <item x="178"/>
        <item x="338"/>
        <item x="179"/>
        <item x="180"/>
        <item x="181"/>
        <item x="339"/>
        <item x="182"/>
        <item x="183"/>
        <item x="184"/>
        <item x="293"/>
        <item x="185"/>
        <item x="357"/>
        <item x="340"/>
        <item x="186"/>
        <item x="187"/>
        <item x="188"/>
        <item x="189"/>
        <item x="190"/>
        <item x="191"/>
        <item x="192"/>
        <item x="193"/>
        <item x="294"/>
        <item x="194"/>
        <item x="195"/>
        <item x="341"/>
        <item x="295"/>
        <item x="296"/>
        <item x="196"/>
        <item x="358"/>
        <item x="197"/>
        <item x="297"/>
        <item x="198"/>
        <item x="199"/>
        <item x="200"/>
        <item x="298"/>
        <item x="342"/>
        <item x="343"/>
        <item x="344"/>
        <item x="201"/>
        <item x="202"/>
        <item x="203"/>
        <item x="345"/>
        <item x="204"/>
        <item x="299"/>
        <item x="205"/>
        <item x="206"/>
        <item x="207"/>
        <item x="208"/>
        <item x="300"/>
        <item x="301"/>
        <item x="209"/>
        <item x="210"/>
        <item x="211"/>
        <item x="212"/>
        <item x="302"/>
        <item x="213"/>
        <item x="303"/>
        <item x="214"/>
        <item x="215"/>
        <item x="304"/>
        <item x="346"/>
        <item x="216"/>
        <item x="217"/>
        <item x="218"/>
        <item x="219"/>
        <item x="220"/>
        <item x="221"/>
        <item x="222"/>
        <item x="347"/>
        <item x="223"/>
        <item x="348"/>
        <item x="224"/>
        <item x="225"/>
        <item x="305"/>
        <item x="306"/>
        <item x="226"/>
        <item x="227"/>
        <item x="228"/>
        <item x="229"/>
        <item x="349"/>
        <item x="350"/>
        <item x="351"/>
        <item x="230"/>
        <item x="231"/>
        <item x="232"/>
        <item x="233"/>
        <item x="234"/>
        <item x="235"/>
        <item t="default"/>
      </items>
    </pivotField>
    <pivotField showAll="0"/>
    <pivotField axis="axisRow" showAll="0" sortType="descending">
      <items count="11">
        <item x="9"/>
        <item x="0"/>
        <item x="3"/>
        <item x="2"/>
        <item x="6"/>
        <item x="7"/>
        <item x="5"/>
        <item x="1"/>
        <item x="8"/>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1"/>
        <item x="0"/>
        <item t="default"/>
      </items>
    </pivotField>
    <pivotField showAll="0">
      <items count="7">
        <item x="3"/>
        <item x="1"/>
        <item x="4"/>
        <item x="2"/>
        <item x="5"/>
        <item x="0"/>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
  </rowFields>
  <rowItems count="11">
    <i>
      <x v="3"/>
    </i>
    <i>
      <x v="6"/>
    </i>
    <i>
      <x v="8"/>
    </i>
    <i>
      <x v="1"/>
    </i>
    <i>
      <x/>
    </i>
    <i>
      <x v="7"/>
    </i>
    <i>
      <x v="2"/>
    </i>
    <i>
      <x v="5"/>
    </i>
    <i>
      <x v="9"/>
    </i>
    <i>
      <x v="4"/>
    </i>
    <i t="grand">
      <x/>
    </i>
  </rowItems>
  <colItems count="1">
    <i/>
  </colItems>
  <dataFields count="1">
    <dataField name="Average of Rating" fld="10" subtotal="average" baseField="2" baseItem="0"/>
  </dataFields>
  <formats count="1">
    <format dxfId="0">
      <pivotArea collapsedLevelsAreSubtotals="1" fieldPosition="0">
        <references count="1">
          <reference field="2" count="0"/>
        </references>
      </pivotArea>
    </format>
  </formats>
  <chartFormats count="1">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B6B721-045B-4E09-8AA0-1C5914687016}"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numFmtId="14" showAll="0">
      <items count="360">
        <item x="352"/>
        <item x="0"/>
        <item x="1"/>
        <item x="307"/>
        <item x="236"/>
        <item x="308"/>
        <item x="2"/>
        <item x="3"/>
        <item x="237"/>
        <item x="238"/>
        <item x="4"/>
        <item x="5"/>
        <item x="6"/>
        <item x="239"/>
        <item x="7"/>
        <item x="8"/>
        <item x="240"/>
        <item x="9"/>
        <item x="10"/>
        <item x="11"/>
        <item x="12"/>
        <item x="309"/>
        <item x="13"/>
        <item x="14"/>
        <item x="15"/>
        <item x="16"/>
        <item x="310"/>
        <item x="17"/>
        <item x="18"/>
        <item x="19"/>
        <item x="20"/>
        <item x="21"/>
        <item x="241"/>
        <item x="242"/>
        <item x="22"/>
        <item x="23"/>
        <item x="311"/>
        <item x="24"/>
        <item x="25"/>
        <item x="26"/>
        <item x="27"/>
        <item x="28"/>
        <item x="243"/>
        <item x="244"/>
        <item x="29"/>
        <item x="30"/>
        <item x="31"/>
        <item x="32"/>
        <item x="33"/>
        <item x="245"/>
        <item x="34"/>
        <item x="35"/>
        <item x="36"/>
        <item x="37"/>
        <item x="246"/>
        <item x="247"/>
        <item x="38"/>
        <item x="39"/>
        <item x="40"/>
        <item x="41"/>
        <item x="312"/>
        <item x="42"/>
        <item x="43"/>
        <item x="44"/>
        <item x="45"/>
        <item x="46"/>
        <item x="313"/>
        <item x="353"/>
        <item x="47"/>
        <item x="48"/>
        <item x="314"/>
        <item x="248"/>
        <item x="249"/>
        <item x="315"/>
        <item x="49"/>
        <item x="50"/>
        <item x="51"/>
        <item x="52"/>
        <item x="53"/>
        <item x="54"/>
        <item x="55"/>
        <item x="316"/>
        <item x="317"/>
        <item x="318"/>
        <item x="56"/>
        <item x="57"/>
        <item x="58"/>
        <item x="59"/>
        <item x="60"/>
        <item x="61"/>
        <item x="62"/>
        <item x="354"/>
        <item x="63"/>
        <item x="64"/>
        <item x="65"/>
        <item x="66"/>
        <item x="250"/>
        <item x="251"/>
        <item x="67"/>
        <item x="68"/>
        <item x="252"/>
        <item x="69"/>
        <item x="319"/>
        <item x="70"/>
        <item x="253"/>
        <item x="71"/>
        <item x="72"/>
        <item x="254"/>
        <item x="73"/>
        <item x="74"/>
        <item x="75"/>
        <item x="76"/>
        <item x="77"/>
        <item x="78"/>
        <item x="79"/>
        <item x="80"/>
        <item x="81"/>
        <item x="82"/>
        <item x="83"/>
        <item x="84"/>
        <item x="85"/>
        <item x="86"/>
        <item x="87"/>
        <item x="88"/>
        <item x="89"/>
        <item x="255"/>
        <item x="256"/>
        <item x="90"/>
        <item x="91"/>
        <item x="92"/>
        <item x="93"/>
        <item x="257"/>
        <item x="94"/>
        <item x="95"/>
        <item x="258"/>
        <item x="96"/>
        <item x="97"/>
        <item x="98"/>
        <item x="99"/>
        <item x="100"/>
        <item x="355"/>
        <item x="101"/>
        <item x="102"/>
        <item x="103"/>
        <item x="259"/>
        <item x="104"/>
        <item x="105"/>
        <item x="106"/>
        <item x="107"/>
        <item x="108"/>
        <item x="260"/>
        <item x="109"/>
        <item x="110"/>
        <item x="261"/>
        <item x="111"/>
        <item x="262"/>
        <item x="112"/>
        <item x="320"/>
        <item x="263"/>
        <item x="264"/>
        <item x="113"/>
        <item x="321"/>
        <item x="114"/>
        <item x="322"/>
        <item x="265"/>
        <item x="115"/>
        <item x="266"/>
        <item x="116"/>
        <item x="117"/>
        <item x="267"/>
        <item x="118"/>
        <item x="323"/>
        <item x="119"/>
        <item x="120"/>
        <item x="268"/>
        <item x="121"/>
        <item x="122"/>
        <item x="123"/>
        <item x="124"/>
        <item x="269"/>
        <item x="125"/>
        <item x="126"/>
        <item x="127"/>
        <item x="270"/>
        <item x="271"/>
        <item x="324"/>
        <item x="128"/>
        <item x="129"/>
        <item x="325"/>
        <item x="272"/>
        <item x="130"/>
        <item x="131"/>
        <item x="273"/>
        <item x="132"/>
        <item x="274"/>
        <item x="326"/>
        <item x="133"/>
        <item x="134"/>
        <item x="135"/>
        <item x="327"/>
        <item x="328"/>
        <item x="136"/>
        <item x="137"/>
        <item x="138"/>
        <item x="275"/>
        <item x="276"/>
        <item x="329"/>
        <item x="139"/>
        <item x="277"/>
        <item x="140"/>
        <item x="141"/>
        <item x="278"/>
        <item x="142"/>
        <item x="143"/>
        <item x="144"/>
        <item x="279"/>
        <item x="280"/>
        <item x="356"/>
        <item x="145"/>
        <item x="281"/>
        <item x="146"/>
        <item x="147"/>
        <item x="148"/>
        <item x="330"/>
        <item x="282"/>
        <item x="149"/>
        <item x="331"/>
        <item x="150"/>
        <item x="151"/>
        <item x="152"/>
        <item x="153"/>
        <item x="154"/>
        <item x="332"/>
        <item x="333"/>
        <item x="155"/>
        <item x="156"/>
        <item x="157"/>
        <item x="158"/>
        <item x="159"/>
        <item x="283"/>
        <item x="284"/>
        <item x="160"/>
        <item x="161"/>
        <item x="162"/>
        <item x="163"/>
        <item x="164"/>
        <item x="285"/>
        <item x="165"/>
        <item x="166"/>
        <item x="286"/>
        <item x="167"/>
        <item x="334"/>
        <item x="168"/>
        <item x="169"/>
        <item x="170"/>
        <item x="335"/>
        <item x="171"/>
        <item x="287"/>
        <item x="172"/>
        <item x="336"/>
        <item x="288"/>
        <item x="173"/>
        <item x="174"/>
        <item x="289"/>
        <item x="175"/>
        <item x="290"/>
        <item x="291"/>
        <item x="337"/>
        <item x="292"/>
        <item x="176"/>
        <item x="177"/>
        <item x="178"/>
        <item x="338"/>
        <item x="179"/>
        <item x="180"/>
        <item x="181"/>
        <item x="339"/>
        <item x="182"/>
        <item x="183"/>
        <item x="184"/>
        <item x="293"/>
        <item x="185"/>
        <item x="357"/>
        <item x="340"/>
        <item x="186"/>
        <item x="187"/>
        <item x="188"/>
        <item x="189"/>
        <item x="190"/>
        <item x="191"/>
        <item x="192"/>
        <item x="193"/>
        <item x="294"/>
        <item x="194"/>
        <item x="195"/>
        <item x="341"/>
        <item x="295"/>
        <item x="296"/>
        <item x="196"/>
        <item x="358"/>
        <item x="197"/>
        <item x="297"/>
        <item x="198"/>
        <item x="199"/>
        <item x="200"/>
        <item x="298"/>
        <item x="342"/>
        <item x="343"/>
        <item x="344"/>
        <item x="201"/>
        <item x="202"/>
        <item x="203"/>
        <item x="345"/>
        <item x="204"/>
        <item x="299"/>
        <item x="205"/>
        <item x="206"/>
        <item x="207"/>
        <item x="208"/>
        <item x="300"/>
        <item x="301"/>
        <item x="209"/>
        <item x="210"/>
        <item x="211"/>
        <item x="212"/>
        <item x="302"/>
        <item x="213"/>
        <item x="303"/>
        <item x="214"/>
        <item x="215"/>
        <item x="304"/>
        <item x="346"/>
        <item x="216"/>
        <item x="217"/>
        <item x="218"/>
        <item x="219"/>
        <item x="220"/>
        <item x="221"/>
        <item x="222"/>
        <item x="347"/>
        <item x="223"/>
        <item x="348"/>
        <item x="224"/>
        <item x="225"/>
        <item x="305"/>
        <item x="306"/>
        <item x="226"/>
        <item x="227"/>
        <item x="228"/>
        <item x="229"/>
        <item x="349"/>
        <item x="350"/>
        <item x="351"/>
        <item x="230"/>
        <item x="231"/>
        <item x="232"/>
        <item x="233"/>
        <item x="234"/>
        <item x="235"/>
        <item t="default"/>
      </items>
    </pivotField>
    <pivotField dataField="1" showAll="0"/>
    <pivotField showAll="0"/>
    <pivotField showAll="0"/>
    <pivotField showAll="0"/>
    <pivotField showAll="0">
      <items count="4">
        <item x="2"/>
        <item x="1"/>
        <item x="0"/>
        <item t="default"/>
      </items>
    </pivotField>
    <pivotField showAll="0">
      <items count="7">
        <item x="3"/>
        <item x="1"/>
        <item x="4"/>
        <item x="2"/>
        <item x="5"/>
        <item x="0"/>
        <item t="default"/>
      </items>
    </pivotField>
    <pivotField showAll="0"/>
    <pivotField dataField="1"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Fields count="1">
    <field x="-2"/>
  </colFields>
  <colItems count="4">
    <i>
      <x/>
    </i>
    <i i="1">
      <x v="1"/>
    </i>
    <i i="2">
      <x v="2"/>
    </i>
    <i i="3">
      <x v="3"/>
    </i>
  </colItems>
  <dataFields count="4">
    <dataField name="Count of OrderID" fld="1" subtotal="count" baseField="0" baseItem="0"/>
    <dataField name="Sum of TotalAmount" fld="9" baseField="0" baseItem="0"/>
    <dataField name="Sum of Quantity" fld="8" baseField="0" baseItem="0"/>
    <dataField name="Average of Rating" fld="10"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3D876E8B-49DC-4AC0-BB61-9AD201C24733}" sourceName="Platform">
  <pivotTables>
    <pivotTable tabId="9" name="PivotTable7"/>
    <pivotTable tabId="15" name="PivotTable11"/>
    <pivotTable tabId="7" name="PivotTable6"/>
    <pivotTable tabId="4" name="PivotTable1"/>
    <pivotTable tabId="4" name="PivotTable2"/>
    <pivotTable tabId="11" name="PivotTable8"/>
    <pivotTable tabId="11" name="PivotTable9"/>
    <pivotTable tabId="13" name="PivotTable10"/>
  </pivotTables>
  <data>
    <tabular pivotCacheId="89393221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FF2708B-1ADE-4B82-AF94-C3EDA47A3518}" sourceName="City">
  <pivotTables>
    <pivotTable tabId="9" name="PivotTable7"/>
    <pivotTable tabId="15" name="PivotTable11"/>
    <pivotTable tabId="7" name="PivotTable6"/>
    <pivotTable tabId="4" name="PivotTable1"/>
    <pivotTable tabId="4" name="PivotTable2"/>
    <pivotTable tabId="11" name="PivotTable8"/>
    <pivotTable tabId="11" name="PivotTable9"/>
    <pivotTable tabId="13" name="PivotTable10"/>
  </pivotTables>
  <data>
    <tabular pivotCacheId="893932214">
      <items count="6">
        <i x="3" s="1"/>
        <i x="1" s="1"/>
        <i x="4" s="1"/>
        <i x="2" s="1"/>
        <i x="5"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Date" xr10:uid="{8548875D-49B2-44CC-8B17-930DB75075E8}" sourceName="Quarters (OrderDate)">
  <pivotTables>
    <pivotTable tabId="9" name="PivotTable7"/>
    <pivotTable tabId="15" name="PivotTable11"/>
    <pivotTable tabId="7" name="PivotTable6"/>
    <pivotTable tabId="4" name="PivotTable1"/>
    <pivotTable tabId="4" name="PivotTable2"/>
    <pivotTable tabId="11" name="PivotTable8"/>
    <pivotTable tabId="11" name="PivotTable9"/>
    <pivotTable tabId="13" name="PivotTable10"/>
  </pivotTables>
  <data>
    <tabular pivotCacheId="893932214">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46BB329C-6E38-430C-8207-B3699347254F}" cache="Slicer_Platform" caption="Platform" style="SlicerStyleDark6" rowHeight="241300"/>
  <slicer name="City" xr10:uid="{0591A434-CF0D-42D9-8AE6-5965CD776649}" cache="Slicer_City" caption="City" columnCount="2" style="SlicerStyleDark6" rowHeight="241300"/>
  <slicer name="Quarters (OrderDate)" xr10:uid="{5C5CD28F-ADD4-49C6-9165-8E6D4BCB970F}" cache="Slicer_Quarters__OrderDate" caption="Quarters (OrderDate)" columnCount="2"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DBD4FC-F229-40BF-B047-DA72B65AA1AA}" name="Table1" displayName="Table1" ref="A1:K2000" totalsRowShown="0" headerRowDxfId="4">
  <autoFilter ref="A1:K2000" xr:uid="{F8DBD4FC-F229-40BF-B047-DA72B65AA1AA}"/>
  <sortState xmlns:xlrd2="http://schemas.microsoft.com/office/spreadsheetml/2017/richdata2" ref="A2:K2000">
    <sortCondition ref="D1:D2000"/>
  </sortState>
  <tableColumns count="11">
    <tableColumn id="12" xr3:uid="{64405FF8-0718-4D8E-98E4-BB593AE4AF59}" name="OrderDate" dataDxfId="3"/>
    <tableColumn id="1" xr3:uid="{C2809DF2-B2E2-481F-B9F7-7240A0AA35EB}" name="OrderID"/>
    <tableColumn id="2" xr3:uid="{30166B8C-F102-4A6A-946D-337281AC3E06}" name="Product"/>
    <tableColumn id="3" xr3:uid="{02D4C2D2-AA80-4015-95D0-43CE387B1009}" name="Category"/>
    <tableColumn id="4" xr3:uid="{B7A73AC6-F8F5-49B1-ACF2-FF10E3CCDE8A}" name="Brand"/>
    <tableColumn id="5" xr3:uid="{321941B3-5DF8-4C64-9E60-972E2B55B21F}" name="Platform"/>
    <tableColumn id="6" xr3:uid="{6CB52854-FEEC-437F-8E96-68C98067B173}" name="City"/>
    <tableColumn id="7" xr3:uid="{8DB40AAE-5C81-4DED-A0E5-10C6BDB667C4}" name="Price"/>
    <tableColumn id="8" xr3:uid="{3079E9AB-08B7-43D1-B1BC-5FECF308C20F}" name="Quantity"/>
    <tableColumn id="9" xr3:uid="{BE419773-A838-4BBD-9066-4BAABECDB66E}" name="TotalAmount"/>
    <tableColumn id="10" xr3:uid="{C5524702-1B6B-4975-98A0-9B3578985DB2}" name="Rating"/>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A41E5-4A4A-4249-AEE4-80C268A94BA9}">
  <dimension ref="E5"/>
  <sheetViews>
    <sheetView tabSelected="1" workbookViewId="0">
      <selection activeCell="O32" sqref="O32"/>
    </sheetView>
  </sheetViews>
  <sheetFormatPr defaultRowHeight="14.5" x14ac:dyDescent="0.35"/>
  <cols>
    <col min="1" max="1" width="3.453125" customWidth="1"/>
    <col min="2" max="2" width="18.90625" customWidth="1"/>
    <col min="3" max="3" width="3.36328125" customWidth="1"/>
  </cols>
  <sheetData>
    <row r="5" spans="5:5" x14ac:dyDescent="0.35">
      <c r="E5" t="s">
        <v>2061</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5976-84E7-4D41-A09F-5C45DCDBC924}">
  <dimension ref="A1:K2000"/>
  <sheetViews>
    <sheetView topLeftCell="B29" workbookViewId="0">
      <selection activeCell="C11" sqref="C11"/>
    </sheetView>
  </sheetViews>
  <sheetFormatPr defaultRowHeight="14.5" x14ac:dyDescent="0.35"/>
  <cols>
    <col min="1" max="1" width="17.54296875" customWidth="1"/>
    <col min="2" max="2" width="17.6328125" customWidth="1"/>
    <col min="3" max="3" width="26.90625" customWidth="1"/>
    <col min="4" max="4" width="17.54296875" customWidth="1"/>
    <col min="5" max="5" width="16.7265625" customWidth="1"/>
    <col min="6" max="6" width="14.90625" customWidth="1"/>
    <col min="7" max="7" width="17.453125" customWidth="1"/>
    <col min="8" max="8" width="14.36328125" customWidth="1"/>
    <col min="9" max="9" width="13.7265625" customWidth="1"/>
    <col min="10" max="10" width="14.08984375" customWidth="1"/>
    <col min="11" max="11" width="12.90625" customWidth="1"/>
  </cols>
  <sheetData>
    <row r="1" spans="1:11" ht="20" x14ac:dyDescent="0.4">
      <c r="A1" s="2" t="s">
        <v>10</v>
      </c>
      <c r="B1" s="2" t="s">
        <v>0</v>
      </c>
      <c r="C1" s="2" t="s">
        <v>1</v>
      </c>
      <c r="D1" s="2" t="s">
        <v>2</v>
      </c>
      <c r="E1" s="2" t="s">
        <v>3</v>
      </c>
      <c r="F1" s="2" t="s">
        <v>4</v>
      </c>
      <c r="G1" s="2" t="s">
        <v>5</v>
      </c>
      <c r="H1" s="2" t="s">
        <v>6</v>
      </c>
      <c r="I1" s="2" t="s">
        <v>7</v>
      </c>
      <c r="J1" s="2" t="s">
        <v>8</v>
      </c>
      <c r="K1" s="2" t="s">
        <v>9</v>
      </c>
    </row>
    <row r="2" spans="1:11" x14ac:dyDescent="0.35">
      <c r="A2" s="1">
        <v>45293</v>
      </c>
      <c r="B2" t="s">
        <v>1664</v>
      </c>
      <c r="C2" t="s">
        <v>24</v>
      </c>
      <c r="D2" t="s">
        <v>25</v>
      </c>
      <c r="E2" t="s">
        <v>26</v>
      </c>
      <c r="F2" t="s">
        <v>15</v>
      </c>
      <c r="G2" t="s">
        <v>39</v>
      </c>
      <c r="H2">
        <v>14212.6</v>
      </c>
      <c r="I2">
        <v>3</v>
      </c>
      <c r="J2">
        <v>42637.8</v>
      </c>
      <c r="K2">
        <v>4.9400000000000004</v>
      </c>
    </row>
    <row r="3" spans="1:11" x14ac:dyDescent="0.35">
      <c r="A3" s="1">
        <v>45294</v>
      </c>
      <c r="B3" t="s">
        <v>871</v>
      </c>
      <c r="C3" t="s">
        <v>42</v>
      </c>
      <c r="D3" t="s">
        <v>25</v>
      </c>
      <c r="E3" t="s">
        <v>43</v>
      </c>
      <c r="F3" t="s">
        <v>21</v>
      </c>
      <c r="G3" t="s">
        <v>16</v>
      </c>
      <c r="H3">
        <v>19017.25</v>
      </c>
      <c r="I3">
        <v>3</v>
      </c>
      <c r="J3">
        <v>57051.75</v>
      </c>
      <c r="K3">
        <v>2.67</v>
      </c>
    </row>
    <row r="4" spans="1:11" x14ac:dyDescent="0.35">
      <c r="A4" s="1">
        <v>45298</v>
      </c>
      <c r="B4" t="s">
        <v>1121</v>
      </c>
      <c r="C4" t="s">
        <v>24</v>
      </c>
      <c r="D4" t="s">
        <v>25</v>
      </c>
      <c r="E4" t="s">
        <v>26</v>
      </c>
      <c r="F4" t="s">
        <v>15</v>
      </c>
      <c r="G4" t="s">
        <v>39</v>
      </c>
      <c r="H4">
        <v>15915.81</v>
      </c>
      <c r="I4">
        <v>5</v>
      </c>
      <c r="J4">
        <v>79579.05</v>
      </c>
      <c r="K4">
        <v>2.87</v>
      </c>
    </row>
    <row r="5" spans="1:11" x14ac:dyDescent="0.35">
      <c r="A5" s="1">
        <v>45299</v>
      </c>
      <c r="B5" t="s">
        <v>1940</v>
      </c>
      <c r="C5" t="s">
        <v>24</v>
      </c>
      <c r="D5" t="s">
        <v>25</v>
      </c>
      <c r="E5" t="s">
        <v>26</v>
      </c>
      <c r="F5" t="s">
        <v>45</v>
      </c>
      <c r="G5" t="s">
        <v>32</v>
      </c>
      <c r="H5">
        <v>16859.62</v>
      </c>
      <c r="I5">
        <v>5</v>
      </c>
      <c r="J5">
        <v>84298.1</v>
      </c>
      <c r="K5">
        <v>3.26</v>
      </c>
    </row>
    <row r="6" spans="1:11" x14ac:dyDescent="0.35">
      <c r="A6" s="1">
        <v>45302</v>
      </c>
      <c r="B6" t="s">
        <v>198</v>
      </c>
      <c r="C6" t="s">
        <v>24</v>
      </c>
      <c r="D6" t="s">
        <v>25</v>
      </c>
      <c r="E6" t="s">
        <v>26</v>
      </c>
      <c r="F6" t="s">
        <v>21</v>
      </c>
      <c r="G6" t="s">
        <v>32</v>
      </c>
      <c r="H6">
        <v>4003.94</v>
      </c>
      <c r="I6">
        <v>2</v>
      </c>
      <c r="J6">
        <v>8007.88</v>
      </c>
      <c r="K6">
        <v>4.16</v>
      </c>
    </row>
    <row r="7" spans="1:11" x14ac:dyDescent="0.35">
      <c r="A7" s="1">
        <v>45302</v>
      </c>
      <c r="B7" t="s">
        <v>1184</v>
      </c>
      <c r="C7" t="s">
        <v>42</v>
      </c>
      <c r="D7" t="s">
        <v>25</v>
      </c>
      <c r="E7" t="s">
        <v>43</v>
      </c>
      <c r="F7" t="s">
        <v>21</v>
      </c>
      <c r="G7" t="s">
        <v>39</v>
      </c>
      <c r="H7">
        <v>5408.87</v>
      </c>
      <c r="I7">
        <v>4</v>
      </c>
      <c r="J7">
        <v>21635.48</v>
      </c>
      <c r="K7">
        <v>1.91</v>
      </c>
    </row>
    <row r="8" spans="1:11" x14ac:dyDescent="0.35">
      <c r="A8" s="1">
        <v>45303</v>
      </c>
      <c r="B8" t="s">
        <v>1707</v>
      </c>
      <c r="C8" t="s">
        <v>24</v>
      </c>
      <c r="D8" t="s">
        <v>25</v>
      </c>
      <c r="E8" t="s">
        <v>26</v>
      </c>
      <c r="F8" t="s">
        <v>21</v>
      </c>
      <c r="G8" t="s">
        <v>32</v>
      </c>
      <c r="H8">
        <v>15931.12</v>
      </c>
      <c r="I8">
        <v>3</v>
      </c>
      <c r="J8">
        <v>47793.36</v>
      </c>
      <c r="K8">
        <v>3.65</v>
      </c>
    </row>
    <row r="9" spans="1:11" x14ac:dyDescent="0.35">
      <c r="A9" s="1">
        <v>45304</v>
      </c>
      <c r="B9" t="s">
        <v>1733</v>
      </c>
      <c r="C9" t="s">
        <v>24</v>
      </c>
      <c r="D9" t="s">
        <v>25</v>
      </c>
      <c r="E9" t="s">
        <v>26</v>
      </c>
      <c r="F9" t="s">
        <v>15</v>
      </c>
      <c r="G9" t="s">
        <v>22</v>
      </c>
      <c r="H9">
        <v>18725.37</v>
      </c>
      <c r="I9">
        <v>2</v>
      </c>
      <c r="J9">
        <v>37450.74</v>
      </c>
      <c r="K9">
        <v>2.4300000000000002</v>
      </c>
    </row>
    <row r="10" spans="1:11" x14ac:dyDescent="0.35">
      <c r="A10" s="1">
        <v>45304</v>
      </c>
      <c r="B10" t="s">
        <v>254</v>
      </c>
      <c r="C10" t="s">
        <v>42</v>
      </c>
      <c r="D10" t="s">
        <v>25</v>
      </c>
      <c r="E10" t="s">
        <v>43</v>
      </c>
      <c r="F10" t="s">
        <v>45</v>
      </c>
      <c r="G10" t="s">
        <v>16</v>
      </c>
      <c r="H10">
        <v>17811.95</v>
      </c>
      <c r="I10">
        <v>1</v>
      </c>
      <c r="J10">
        <v>17811.95</v>
      </c>
      <c r="K10">
        <v>4.7</v>
      </c>
    </row>
    <row r="11" spans="1:11" x14ac:dyDescent="0.35">
      <c r="A11" s="1">
        <v>45304</v>
      </c>
      <c r="B11" t="s">
        <v>701</v>
      </c>
      <c r="C11" t="s">
        <v>42</v>
      </c>
      <c r="D11" t="s">
        <v>25</v>
      </c>
      <c r="E11" t="s">
        <v>43</v>
      </c>
      <c r="F11" t="s">
        <v>15</v>
      </c>
      <c r="G11" t="s">
        <v>32</v>
      </c>
      <c r="H11">
        <v>18722.22</v>
      </c>
      <c r="I11">
        <v>3</v>
      </c>
      <c r="J11">
        <v>56166.66</v>
      </c>
      <c r="K11">
        <v>3.41</v>
      </c>
    </row>
    <row r="12" spans="1:11" x14ac:dyDescent="0.35">
      <c r="A12" s="1">
        <v>45306</v>
      </c>
      <c r="B12" t="s">
        <v>622</v>
      </c>
      <c r="C12" t="s">
        <v>42</v>
      </c>
      <c r="D12" t="s">
        <v>25</v>
      </c>
      <c r="E12" t="s">
        <v>43</v>
      </c>
      <c r="F12" t="s">
        <v>15</v>
      </c>
      <c r="G12" t="s">
        <v>27</v>
      </c>
      <c r="H12">
        <v>14939.54</v>
      </c>
      <c r="I12">
        <v>3</v>
      </c>
      <c r="J12">
        <v>44818.62</v>
      </c>
      <c r="K12">
        <v>1.52</v>
      </c>
    </row>
    <row r="13" spans="1:11" x14ac:dyDescent="0.35">
      <c r="A13" s="1">
        <v>45306</v>
      </c>
      <c r="B13" t="s">
        <v>1517</v>
      </c>
      <c r="C13" t="s">
        <v>42</v>
      </c>
      <c r="D13" t="s">
        <v>25</v>
      </c>
      <c r="E13" t="s">
        <v>43</v>
      </c>
      <c r="F13" t="s">
        <v>21</v>
      </c>
      <c r="G13" t="s">
        <v>60</v>
      </c>
      <c r="H13">
        <v>13862.72</v>
      </c>
      <c r="I13">
        <v>3</v>
      </c>
      <c r="J13">
        <v>41588.160000000003</v>
      </c>
      <c r="K13">
        <v>3.12</v>
      </c>
    </row>
    <row r="14" spans="1:11" x14ac:dyDescent="0.35">
      <c r="A14" s="1">
        <v>45307</v>
      </c>
      <c r="B14" t="s">
        <v>323</v>
      </c>
      <c r="C14" t="s">
        <v>24</v>
      </c>
      <c r="D14" t="s">
        <v>25</v>
      </c>
      <c r="E14" t="s">
        <v>26</v>
      </c>
      <c r="F14" t="s">
        <v>21</v>
      </c>
      <c r="G14" t="s">
        <v>27</v>
      </c>
      <c r="H14">
        <v>12784.54</v>
      </c>
      <c r="I14">
        <v>1</v>
      </c>
      <c r="J14">
        <v>12784.54</v>
      </c>
      <c r="K14">
        <v>2.66</v>
      </c>
    </row>
    <row r="15" spans="1:11" x14ac:dyDescent="0.35">
      <c r="A15" s="1">
        <v>45309</v>
      </c>
      <c r="B15" t="s">
        <v>1052</v>
      </c>
      <c r="C15" t="s">
        <v>42</v>
      </c>
      <c r="D15" t="s">
        <v>25</v>
      </c>
      <c r="E15" t="s">
        <v>43</v>
      </c>
      <c r="F15" t="s">
        <v>45</v>
      </c>
      <c r="G15" t="s">
        <v>39</v>
      </c>
      <c r="H15">
        <v>1609.02</v>
      </c>
      <c r="I15">
        <v>1</v>
      </c>
      <c r="J15">
        <v>1609.02</v>
      </c>
      <c r="K15">
        <v>2.92</v>
      </c>
    </row>
    <row r="16" spans="1:11" x14ac:dyDescent="0.35">
      <c r="A16" s="1">
        <v>45310</v>
      </c>
      <c r="B16" t="s">
        <v>1640</v>
      </c>
      <c r="C16" t="s">
        <v>42</v>
      </c>
      <c r="D16" t="s">
        <v>25</v>
      </c>
      <c r="E16" t="s">
        <v>43</v>
      </c>
      <c r="F16" t="s">
        <v>21</v>
      </c>
      <c r="G16" t="s">
        <v>22</v>
      </c>
      <c r="H16">
        <v>15832.53</v>
      </c>
      <c r="I16">
        <v>2</v>
      </c>
      <c r="J16">
        <v>31665.06</v>
      </c>
      <c r="K16">
        <v>3.38</v>
      </c>
    </row>
    <row r="17" spans="1:11" x14ac:dyDescent="0.35">
      <c r="A17" s="1">
        <v>45311</v>
      </c>
      <c r="B17" t="s">
        <v>653</v>
      </c>
      <c r="C17" t="s">
        <v>42</v>
      </c>
      <c r="D17" t="s">
        <v>25</v>
      </c>
      <c r="E17" t="s">
        <v>43</v>
      </c>
      <c r="F17" t="s">
        <v>15</v>
      </c>
      <c r="G17" t="s">
        <v>39</v>
      </c>
      <c r="H17">
        <v>5721.59</v>
      </c>
      <c r="I17">
        <v>3</v>
      </c>
      <c r="J17">
        <v>17164.77</v>
      </c>
      <c r="K17">
        <v>4.9800000000000004</v>
      </c>
    </row>
    <row r="18" spans="1:11" x14ac:dyDescent="0.35">
      <c r="A18" s="1">
        <v>45312</v>
      </c>
      <c r="B18" t="s">
        <v>326</v>
      </c>
      <c r="C18" t="s">
        <v>42</v>
      </c>
      <c r="D18" t="s">
        <v>25</v>
      </c>
      <c r="E18" t="s">
        <v>43</v>
      </c>
      <c r="F18" t="s">
        <v>45</v>
      </c>
      <c r="G18" t="s">
        <v>39</v>
      </c>
      <c r="H18">
        <v>2094.9699999999998</v>
      </c>
      <c r="I18">
        <v>5</v>
      </c>
      <c r="J18">
        <v>10474.85</v>
      </c>
      <c r="K18">
        <v>2.63</v>
      </c>
    </row>
    <row r="19" spans="1:11" x14ac:dyDescent="0.35">
      <c r="A19" s="1">
        <v>45314</v>
      </c>
      <c r="B19" t="s">
        <v>769</v>
      </c>
      <c r="C19" t="s">
        <v>42</v>
      </c>
      <c r="D19" t="s">
        <v>25</v>
      </c>
      <c r="E19" t="s">
        <v>43</v>
      </c>
      <c r="F19" t="s">
        <v>21</v>
      </c>
      <c r="G19" t="s">
        <v>27</v>
      </c>
      <c r="H19">
        <v>9389.08</v>
      </c>
      <c r="I19">
        <v>1</v>
      </c>
      <c r="J19">
        <v>9389.08</v>
      </c>
      <c r="K19">
        <v>1.59</v>
      </c>
    </row>
    <row r="20" spans="1:11" x14ac:dyDescent="0.35">
      <c r="A20" s="1">
        <v>45315</v>
      </c>
      <c r="B20" t="s">
        <v>440</v>
      </c>
      <c r="C20" t="s">
        <v>24</v>
      </c>
      <c r="D20" t="s">
        <v>25</v>
      </c>
      <c r="E20" t="s">
        <v>26</v>
      </c>
      <c r="F20" t="s">
        <v>21</v>
      </c>
      <c r="G20" t="s">
        <v>27</v>
      </c>
      <c r="H20">
        <v>3475.06</v>
      </c>
      <c r="I20">
        <v>4</v>
      </c>
      <c r="J20">
        <v>13900.24</v>
      </c>
      <c r="K20">
        <v>2.25</v>
      </c>
    </row>
    <row r="21" spans="1:11" x14ac:dyDescent="0.35">
      <c r="A21" s="1">
        <v>45315</v>
      </c>
      <c r="B21" t="s">
        <v>1985</v>
      </c>
      <c r="C21" t="s">
        <v>24</v>
      </c>
      <c r="D21" t="s">
        <v>25</v>
      </c>
      <c r="E21" t="s">
        <v>26</v>
      </c>
      <c r="F21" t="s">
        <v>45</v>
      </c>
      <c r="G21" t="s">
        <v>22</v>
      </c>
      <c r="H21">
        <v>19684.560000000001</v>
      </c>
      <c r="I21">
        <v>2</v>
      </c>
      <c r="J21">
        <v>39369.120000000003</v>
      </c>
      <c r="K21">
        <v>2.35</v>
      </c>
    </row>
    <row r="22" spans="1:11" x14ac:dyDescent="0.35">
      <c r="A22" s="1">
        <v>45316</v>
      </c>
      <c r="B22" t="s">
        <v>484</v>
      </c>
      <c r="C22" t="s">
        <v>24</v>
      </c>
      <c r="D22" t="s">
        <v>25</v>
      </c>
      <c r="E22" t="s">
        <v>26</v>
      </c>
      <c r="F22" t="s">
        <v>45</v>
      </c>
      <c r="G22" t="s">
        <v>22</v>
      </c>
      <c r="H22">
        <v>9502.33</v>
      </c>
      <c r="I22">
        <v>1</v>
      </c>
      <c r="J22">
        <v>9502.33</v>
      </c>
      <c r="K22">
        <v>2.16</v>
      </c>
    </row>
    <row r="23" spans="1:11" x14ac:dyDescent="0.35">
      <c r="A23" s="1">
        <v>45317</v>
      </c>
      <c r="B23" t="s">
        <v>1076</v>
      </c>
      <c r="C23" t="s">
        <v>24</v>
      </c>
      <c r="D23" t="s">
        <v>25</v>
      </c>
      <c r="E23" t="s">
        <v>26</v>
      </c>
      <c r="F23" t="s">
        <v>21</v>
      </c>
      <c r="G23" t="s">
        <v>27</v>
      </c>
      <c r="H23">
        <v>17648.2</v>
      </c>
      <c r="I23">
        <v>3</v>
      </c>
      <c r="J23">
        <v>52944.6</v>
      </c>
      <c r="K23">
        <v>3.95</v>
      </c>
    </row>
    <row r="24" spans="1:11" x14ac:dyDescent="0.35">
      <c r="A24" s="1">
        <v>45319</v>
      </c>
      <c r="B24" t="s">
        <v>369</v>
      </c>
      <c r="C24" t="s">
        <v>42</v>
      </c>
      <c r="D24" t="s">
        <v>25</v>
      </c>
      <c r="E24" t="s">
        <v>43</v>
      </c>
      <c r="F24" t="s">
        <v>15</v>
      </c>
      <c r="G24" t="s">
        <v>39</v>
      </c>
      <c r="H24">
        <v>9632.51</v>
      </c>
      <c r="I24">
        <v>4</v>
      </c>
      <c r="J24">
        <v>38530.04</v>
      </c>
      <c r="K24">
        <v>3.95</v>
      </c>
    </row>
    <row r="25" spans="1:11" x14ac:dyDescent="0.35">
      <c r="A25" s="1">
        <v>45320</v>
      </c>
      <c r="B25" t="s">
        <v>764</v>
      </c>
      <c r="C25" t="s">
        <v>42</v>
      </c>
      <c r="D25" t="s">
        <v>25</v>
      </c>
      <c r="E25" t="s">
        <v>43</v>
      </c>
      <c r="F25" t="s">
        <v>45</v>
      </c>
      <c r="G25" t="s">
        <v>27</v>
      </c>
      <c r="H25">
        <v>16795.330000000002</v>
      </c>
      <c r="I25">
        <v>1</v>
      </c>
      <c r="J25">
        <v>16795.330000000002</v>
      </c>
      <c r="K25">
        <v>4.82</v>
      </c>
    </row>
    <row r="26" spans="1:11" x14ac:dyDescent="0.35">
      <c r="A26" s="1">
        <v>45321</v>
      </c>
      <c r="B26" t="s">
        <v>41</v>
      </c>
      <c r="C26" t="s">
        <v>42</v>
      </c>
      <c r="D26" t="s">
        <v>25</v>
      </c>
      <c r="E26" t="s">
        <v>43</v>
      </c>
      <c r="F26" t="s">
        <v>15</v>
      </c>
      <c r="G26" t="s">
        <v>27</v>
      </c>
      <c r="H26">
        <v>13081.14</v>
      </c>
      <c r="I26">
        <v>3</v>
      </c>
      <c r="J26">
        <v>39243.42</v>
      </c>
      <c r="K26">
        <v>2.98</v>
      </c>
    </row>
    <row r="27" spans="1:11" x14ac:dyDescent="0.35">
      <c r="A27" s="1">
        <v>45322</v>
      </c>
      <c r="B27" t="s">
        <v>1388</v>
      </c>
      <c r="C27" t="s">
        <v>24</v>
      </c>
      <c r="D27" t="s">
        <v>25</v>
      </c>
      <c r="E27" t="s">
        <v>26</v>
      </c>
      <c r="F27" t="s">
        <v>45</v>
      </c>
      <c r="G27" t="s">
        <v>60</v>
      </c>
      <c r="H27">
        <v>1503.49</v>
      </c>
      <c r="I27">
        <v>4</v>
      </c>
      <c r="J27">
        <v>6013.96</v>
      </c>
      <c r="K27">
        <v>3.72</v>
      </c>
    </row>
    <row r="28" spans="1:11" x14ac:dyDescent="0.35">
      <c r="A28" s="1">
        <v>45323</v>
      </c>
      <c r="B28" t="s">
        <v>1494</v>
      </c>
      <c r="C28" t="s">
        <v>24</v>
      </c>
      <c r="D28" t="s">
        <v>25</v>
      </c>
      <c r="E28" t="s">
        <v>26</v>
      </c>
      <c r="F28" t="s">
        <v>21</v>
      </c>
      <c r="G28" t="s">
        <v>27</v>
      </c>
      <c r="H28">
        <v>2767.31</v>
      </c>
      <c r="I28">
        <v>1</v>
      </c>
      <c r="J28">
        <v>2767.31</v>
      </c>
      <c r="K28">
        <v>1.25</v>
      </c>
    </row>
    <row r="29" spans="1:11" x14ac:dyDescent="0.35">
      <c r="A29" s="1">
        <v>45323</v>
      </c>
      <c r="B29" t="s">
        <v>1621</v>
      </c>
      <c r="C29" t="s">
        <v>42</v>
      </c>
      <c r="D29" t="s">
        <v>25</v>
      </c>
      <c r="E29" t="s">
        <v>43</v>
      </c>
      <c r="F29" t="s">
        <v>45</v>
      </c>
      <c r="G29" t="s">
        <v>22</v>
      </c>
      <c r="H29">
        <v>15723.88</v>
      </c>
      <c r="I29">
        <v>5</v>
      </c>
      <c r="J29">
        <v>78619.399999999994</v>
      </c>
      <c r="K29">
        <v>2.82</v>
      </c>
    </row>
    <row r="30" spans="1:11" x14ac:dyDescent="0.35">
      <c r="A30" s="1">
        <v>45326</v>
      </c>
      <c r="B30" t="s">
        <v>564</v>
      </c>
      <c r="C30" t="s">
        <v>24</v>
      </c>
      <c r="D30" t="s">
        <v>25</v>
      </c>
      <c r="E30" t="s">
        <v>26</v>
      </c>
      <c r="F30" t="s">
        <v>45</v>
      </c>
      <c r="G30" t="s">
        <v>32</v>
      </c>
      <c r="H30">
        <v>5895.23</v>
      </c>
      <c r="I30">
        <v>3</v>
      </c>
      <c r="J30">
        <v>17685.689999999999</v>
      </c>
      <c r="K30">
        <v>2.14</v>
      </c>
    </row>
    <row r="31" spans="1:11" x14ac:dyDescent="0.35">
      <c r="A31" s="1">
        <v>45327</v>
      </c>
      <c r="B31" t="s">
        <v>216</v>
      </c>
      <c r="C31" t="s">
        <v>24</v>
      </c>
      <c r="D31" t="s">
        <v>25</v>
      </c>
      <c r="E31" t="s">
        <v>26</v>
      </c>
      <c r="F31" t="s">
        <v>45</v>
      </c>
      <c r="G31" t="s">
        <v>32</v>
      </c>
      <c r="H31">
        <v>18705.82</v>
      </c>
      <c r="I31">
        <v>1</v>
      </c>
      <c r="J31">
        <v>18705.82</v>
      </c>
      <c r="K31">
        <v>1.9</v>
      </c>
    </row>
    <row r="32" spans="1:11" x14ac:dyDescent="0.35">
      <c r="A32" s="1">
        <v>45329</v>
      </c>
      <c r="B32" t="s">
        <v>861</v>
      </c>
      <c r="C32" t="s">
        <v>42</v>
      </c>
      <c r="D32" t="s">
        <v>25</v>
      </c>
      <c r="E32" t="s">
        <v>43</v>
      </c>
      <c r="F32" t="s">
        <v>45</v>
      </c>
      <c r="G32" t="s">
        <v>16</v>
      </c>
      <c r="H32">
        <v>2514.5500000000002</v>
      </c>
      <c r="I32">
        <v>4</v>
      </c>
      <c r="J32">
        <v>10058.200000000001</v>
      </c>
      <c r="K32">
        <v>3.09</v>
      </c>
    </row>
    <row r="33" spans="1:11" x14ac:dyDescent="0.35">
      <c r="A33" s="1">
        <v>45330</v>
      </c>
      <c r="B33" t="s">
        <v>247</v>
      </c>
      <c r="C33" t="s">
        <v>42</v>
      </c>
      <c r="D33" t="s">
        <v>25</v>
      </c>
      <c r="E33" t="s">
        <v>43</v>
      </c>
      <c r="F33" t="s">
        <v>21</v>
      </c>
      <c r="G33" t="s">
        <v>32</v>
      </c>
      <c r="H33">
        <v>17609.55</v>
      </c>
      <c r="I33">
        <v>5</v>
      </c>
      <c r="J33">
        <v>88047.75</v>
      </c>
      <c r="K33">
        <v>4.76</v>
      </c>
    </row>
    <row r="34" spans="1:11" x14ac:dyDescent="0.35">
      <c r="A34" s="1">
        <v>45330</v>
      </c>
      <c r="B34" t="s">
        <v>859</v>
      </c>
      <c r="C34" t="s">
        <v>42</v>
      </c>
      <c r="D34" t="s">
        <v>25</v>
      </c>
      <c r="E34" t="s">
        <v>43</v>
      </c>
      <c r="F34" t="s">
        <v>21</v>
      </c>
      <c r="G34" t="s">
        <v>39</v>
      </c>
      <c r="H34">
        <v>15464.3</v>
      </c>
      <c r="I34">
        <v>4</v>
      </c>
      <c r="J34">
        <v>61857.2</v>
      </c>
      <c r="K34">
        <v>3.17</v>
      </c>
    </row>
    <row r="35" spans="1:11" x14ac:dyDescent="0.35">
      <c r="A35" s="1">
        <v>45331</v>
      </c>
      <c r="B35" t="s">
        <v>1363</v>
      </c>
      <c r="C35" t="s">
        <v>42</v>
      </c>
      <c r="D35" t="s">
        <v>25</v>
      </c>
      <c r="E35" t="s">
        <v>43</v>
      </c>
      <c r="F35" t="s">
        <v>15</v>
      </c>
      <c r="G35" t="s">
        <v>32</v>
      </c>
      <c r="H35">
        <v>3872.29</v>
      </c>
      <c r="I35">
        <v>4</v>
      </c>
      <c r="J35">
        <v>15489.16</v>
      </c>
      <c r="K35">
        <v>1.7</v>
      </c>
    </row>
    <row r="36" spans="1:11" x14ac:dyDescent="0.35">
      <c r="A36" s="1">
        <v>45332</v>
      </c>
      <c r="B36" t="s">
        <v>776</v>
      </c>
      <c r="C36" t="s">
        <v>42</v>
      </c>
      <c r="D36" t="s">
        <v>25</v>
      </c>
      <c r="E36" t="s">
        <v>43</v>
      </c>
      <c r="F36" t="s">
        <v>21</v>
      </c>
      <c r="G36" t="s">
        <v>22</v>
      </c>
      <c r="H36">
        <v>8677.3799999999992</v>
      </c>
      <c r="I36">
        <v>5</v>
      </c>
      <c r="J36">
        <v>43386.9</v>
      </c>
      <c r="K36">
        <v>4.25</v>
      </c>
    </row>
    <row r="37" spans="1:11" x14ac:dyDescent="0.35">
      <c r="A37" s="1">
        <v>45332</v>
      </c>
      <c r="B37" t="s">
        <v>1952</v>
      </c>
      <c r="C37" t="s">
        <v>42</v>
      </c>
      <c r="D37" t="s">
        <v>25</v>
      </c>
      <c r="E37" t="s">
        <v>43</v>
      </c>
      <c r="F37" t="s">
        <v>45</v>
      </c>
      <c r="G37" t="s">
        <v>16</v>
      </c>
      <c r="H37">
        <v>6211.44</v>
      </c>
      <c r="I37">
        <v>2</v>
      </c>
      <c r="J37">
        <v>12422.88</v>
      </c>
      <c r="K37">
        <v>3.01</v>
      </c>
    </row>
    <row r="38" spans="1:11" x14ac:dyDescent="0.35">
      <c r="A38" s="1">
        <v>45333</v>
      </c>
      <c r="B38" t="s">
        <v>1873</v>
      </c>
      <c r="C38" t="s">
        <v>24</v>
      </c>
      <c r="D38" t="s">
        <v>25</v>
      </c>
      <c r="E38" t="s">
        <v>26</v>
      </c>
      <c r="F38" t="s">
        <v>15</v>
      </c>
      <c r="G38" t="s">
        <v>32</v>
      </c>
      <c r="H38">
        <v>1252.01</v>
      </c>
      <c r="I38">
        <v>1</v>
      </c>
      <c r="J38">
        <v>1252.01</v>
      </c>
      <c r="K38">
        <v>2.56</v>
      </c>
    </row>
    <row r="39" spans="1:11" x14ac:dyDescent="0.35">
      <c r="A39" s="1">
        <v>45336</v>
      </c>
      <c r="B39" t="s">
        <v>681</v>
      </c>
      <c r="C39" t="s">
        <v>24</v>
      </c>
      <c r="D39" t="s">
        <v>25</v>
      </c>
      <c r="E39" t="s">
        <v>26</v>
      </c>
      <c r="F39" t="s">
        <v>15</v>
      </c>
      <c r="G39" t="s">
        <v>27</v>
      </c>
      <c r="H39">
        <v>1994.58</v>
      </c>
      <c r="I39">
        <v>1</v>
      </c>
      <c r="J39">
        <v>1994.58</v>
      </c>
      <c r="K39">
        <v>1.32</v>
      </c>
    </row>
    <row r="40" spans="1:11" x14ac:dyDescent="0.35">
      <c r="A40" s="1">
        <v>45337</v>
      </c>
      <c r="B40" t="s">
        <v>232</v>
      </c>
      <c r="C40" t="s">
        <v>24</v>
      </c>
      <c r="D40" t="s">
        <v>25</v>
      </c>
      <c r="E40" t="s">
        <v>26</v>
      </c>
      <c r="F40" t="s">
        <v>15</v>
      </c>
      <c r="G40" t="s">
        <v>22</v>
      </c>
      <c r="H40">
        <v>7070.15</v>
      </c>
      <c r="I40">
        <v>5</v>
      </c>
      <c r="J40">
        <v>35350.75</v>
      </c>
      <c r="K40">
        <v>3.65</v>
      </c>
    </row>
    <row r="41" spans="1:11" x14ac:dyDescent="0.35">
      <c r="A41" s="1">
        <v>45338</v>
      </c>
      <c r="B41" t="s">
        <v>775</v>
      </c>
      <c r="C41" t="s">
        <v>24</v>
      </c>
      <c r="D41" t="s">
        <v>25</v>
      </c>
      <c r="E41" t="s">
        <v>26</v>
      </c>
      <c r="F41" t="s">
        <v>21</v>
      </c>
      <c r="G41" t="s">
        <v>60</v>
      </c>
      <c r="H41">
        <v>15646.98</v>
      </c>
      <c r="I41">
        <v>3</v>
      </c>
      <c r="J41">
        <v>46940.94</v>
      </c>
      <c r="K41">
        <v>4.08</v>
      </c>
    </row>
    <row r="42" spans="1:11" x14ac:dyDescent="0.35">
      <c r="A42" s="1">
        <v>45338</v>
      </c>
      <c r="B42" t="s">
        <v>2023</v>
      </c>
      <c r="C42" t="s">
        <v>42</v>
      </c>
      <c r="D42" t="s">
        <v>25</v>
      </c>
      <c r="E42" t="s">
        <v>43</v>
      </c>
      <c r="F42" t="s">
        <v>15</v>
      </c>
      <c r="G42" t="s">
        <v>39</v>
      </c>
      <c r="H42">
        <v>9465.18</v>
      </c>
      <c r="I42">
        <v>4</v>
      </c>
      <c r="J42">
        <v>37860.720000000001</v>
      </c>
      <c r="K42">
        <v>4.79</v>
      </c>
    </row>
    <row r="43" spans="1:11" x14ac:dyDescent="0.35">
      <c r="A43" s="1">
        <v>45339</v>
      </c>
      <c r="B43" t="s">
        <v>1555</v>
      </c>
      <c r="C43" t="s">
        <v>24</v>
      </c>
      <c r="D43" t="s">
        <v>25</v>
      </c>
      <c r="E43" t="s">
        <v>26</v>
      </c>
      <c r="F43" t="s">
        <v>15</v>
      </c>
      <c r="G43" t="s">
        <v>32</v>
      </c>
      <c r="H43">
        <v>4713.17</v>
      </c>
      <c r="I43">
        <v>3</v>
      </c>
      <c r="J43">
        <v>14139.51</v>
      </c>
      <c r="K43">
        <v>1.67</v>
      </c>
    </row>
    <row r="44" spans="1:11" x14ac:dyDescent="0.35">
      <c r="A44" s="1">
        <v>45341</v>
      </c>
      <c r="B44" t="s">
        <v>1344</v>
      </c>
      <c r="C44" t="s">
        <v>24</v>
      </c>
      <c r="D44" t="s">
        <v>25</v>
      </c>
      <c r="E44" t="s">
        <v>26</v>
      </c>
      <c r="F44" t="s">
        <v>21</v>
      </c>
      <c r="G44" t="s">
        <v>22</v>
      </c>
      <c r="H44">
        <v>13446.89</v>
      </c>
      <c r="I44">
        <v>3</v>
      </c>
      <c r="J44">
        <v>40340.67</v>
      </c>
      <c r="K44">
        <v>3.17</v>
      </c>
    </row>
    <row r="45" spans="1:11" x14ac:dyDescent="0.35">
      <c r="A45" s="1">
        <v>45341</v>
      </c>
      <c r="B45" t="s">
        <v>1276</v>
      </c>
      <c r="C45" t="s">
        <v>42</v>
      </c>
      <c r="D45" t="s">
        <v>25</v>
      </c>
      <c r="E45" t="s">
        <v>43</v>
      </c>
      <c r="F45" t="s">
        <v>21</v>
      </c>
      <c r="G45" t="s">
        <v>27</v>
      </c>
      <c r="H45">
        <v>7151.29</v>
      </c>
      <c r="I45">
        <v>2</v>
      </c>
      <c r="J45">
        <v>14302.58</v>
      </c>
      <c r="K45">
        <v>1.54</v>
      </c>
    </row>
    <row r="46" spans="1:11" x14ac:dyDescent="0.35">
      <c r="A46" s="1">
        <v>45343</v>
      </c>
      <c r="B46" t="s">
        <v>1129</v>
      </c>
      <c r="C46" t="s">
        <v>24</v>
      </c>
      <c r="D46" t="s">
        <v>25</v>
      </c>
      <c r="E46" t="s">
        <v>26</v>
      </c>
      <c r="F46" t="s">
        <v>15</v>
      </c>
      <c r="G46" t="s">
        <v>16</v>
      </c>
      <c r="H46">
        <v>4338.83</v>
      </c>
      <c r="I46">
        <v>4</v>
      </c>
      <c r="J46">
        <v>17355.32</v>
      </c>
      <c r="K46">
        <v>1.26</v>
      </c>
    </row>
    <row r="47" spans="1:11" x14ac:dyDescent="0.35">
      <c r="A47" s="1">
        <v>45344</v>
      </c>
      <c r="B47" t="s">
        <v>1349</v>
      </c>
      <c r="C47" t="s">
        <v>24</v>
      </c>
      <c r="D47" t="s">
        <v>25</v>
      </c>
      <c r="E47" t="s">
        <v>26</v>
      </c>
      <c r="F47" t="s">
        <v>21</v>
      </c>
      <c r="G47" t="s">
        <v>39</v>
      </c>
      <c r="H47">
        <v>6249.12</v>
      </c>
      <c r="I47">
        <v>3</v>
      </c>
      <c r="J47">
        <v>18747.36</v>
      </c>
      <c r="K47">
        <v>1.03</v>
      </c>
    </row>
    <row r="48" spans="1:11" x14ac:dyDescent="0.35">
      <c r="A48" s="1">
        <v>45346</v>
      </c>
      <c r="B48" t="s">
        <v>548</v>
      </c>
      <c r="C48" t="s">
        <v>42</v>
      </c>
      <c r="D48" t="s">
        <v>25</v>
      </c>
      <c r="E48" t="s">
        <v>43</v>
      </c>
      <c r="F48" t="s">
        <v>45</v>
      </c>
      <c r="G48" t="s">
        <v>27</v>
      </c>
      <c r="H48">
        <v>5233.74</v>
      </c>
      <c r="I48">
        <v>5</v>
      </c>
      <c r="J48">
        <v>26168.7</v>
      </c>
      <c r="K48">
        <v>1.1200000000000001</v>
      </c>
    </row>
    <row r="49" spans="1:11" x14ac:dyDescent="0.35">
      <c r="A49" s="1">
        <v>45346</v>
      </c>
      <c r="B49" t="s">
        <v>1842</v>
      </c>
      <c r="C49" t="s">
        <v>42</v>
      </c>
      <c r="D49" t="s">
        <v>25</v>
      </c>
      <c r="E49" t="s">
        <v>43</v>
      </c>
      <c r="F49" t="s">
        <v>15</v>
      </c>
      <c r="G49" t="s">
        <v>60</v>
      </c>
      <c r="H49">
        <v>11590.97</v>
      </c>
      <c r="I49">
        <v>3</v>
      </c>
      <c r="J49">
        <v>34772.910000000003</v>
      </c>
      <c r="K49">
        <v>3.18</v>
      </c>
    </row>
    <row r="50" spans="1:11" x14ac:dyDescent="0.35">
      <c r="A50" s="1">
        <v>45347</v>
      </c>
      <c r="B50" t="s">
        <v>626</v>
      </c>
      <c r="C50" t="s">
        <v>42</v>
      </c>
      <c r="D50" t="s">
        <v>25</v>
      </c>
      <c r="E50" t="s">
        <v>43</v>
      </c>
      <c r="F50" t="s">
        <v>21</v>
      </c>
      <c r="G50" t="s">
        <v>27</v>
      </c>
      <c r="H50">
        <v>13916.67</v>
      </c>
      <c r="I50">
        <v>2</v>
      </c>
      <c r="J50">
        <v>27833.34</v>
      </c>
      <c r="K50">
        <v>4.1900000000000004</v>
      </c>
    </row>
    <row r="51" spans="1:11" x14ac:dyDescent="0.35">
      <c r="A51" s="1">
        <v>45347</v>
      </c>
      <c r="B51" t="s">
        <v>685</v>
      </c>
      <c r="C51" t="s">
        <v>42</v>
      </c>
      <c r="D51" t="s">
        <v>25</v>
      </c>
      <c r="E51" t="s">
        <v>43</v>
      </c>
      <c r="F51" t="s">
        <v>15</v>
      </c>
      <c r="G51" t="s">
        <v>39</v>
      </c>
      <c r="H51">
        <v>2394.66</v>
      </c>
      <c r="I51">
        <v>3</v>
      </c>
      <c r="J51">
        <v>7183.98</v>
      </c>
      <c r="K51">
        <v>3.76</v>
      </c>
    </row>
    <row r="52" spans="1:11" x14ac:dyDescent="0.35">
      <c r="A52" s="1">
        <v>45347</v>
      </c>
      <c r="B52" t="s">
        <v>1576</v>
      </c>
      <c r="C52" t="s">
        <v>42</v>
      </c>
      <c r="D52" t="s">
        <v>25</v>
      </c>
      <c r="E52" t="s">
        <v>43</v>
      </c>
      <c r="F52" t="s">
        <v>45</v>
      </c>
      <c r="G52" t="s">
        <v>39</v>
      </c>
      <c r="H52">
        <v>18390.77</v>
      </c>
      <c r="I52">
        <v>4</v>
      </c>
      <c r="J52">
        <v>73563.08</v>
      </c>
      <c r="K52">
        <v>2.4900000000000002</v>
      </c>
    </row>
    <row r="53" spans="1:11" x14ac:dyDescent="0.35">
      <c r="A53" s="1">
        <v>45347</v>
      </c>
      <c r="B53" t="s">
        <v>1900</v>
      </c>
      <c r="C53" t="s">
        <v>42</v>
      </c>
      <c r="D53" t="s">
        <v>25</v>
      </c>
      <c r="E53" t="s">
        <v>43</v>
      </c>
      <c r="F53" t="s">
        <v>21</v>
      </c>
      <c r="G53" t="s">
        <v>39</v>
      </c>
      <c r="H53">
        <v>12269.48</v>
      </c>
      <c r="I53">
        <v>2</v>
      </c>
      <c r="J53">
        <v>24538.959999999999</v>
      </c>
      <c r="K53">
        <v>1.47</v>
      </c>
    </row>
    <row r="54" spans="1:11" x14ac:dyDescent="0.35">
      <c r="A54" s="1">
        <v>45350</v>
      </c>
      <c r="B54" t="s">
        <v>945</v>
      </c>
      <c r="C54" t="s">
        <v>42</v>
      </c>
      <c r="D54" t="s">
        <v>25</v>
      </c>
      <c r="E54" t="s">
        <v>43</v>
      </c>
      <c r="F54" t="s">
        <v>15</v>
      </c>
      <c r="G54" t="s">
        <v>22</v>
      </c>
      <c r="H54">
        <v>17212.98</v>
      </c>
      <c r="I54">
        <v>5</v>
      </c>
      <c r="J54">
        <v>86064.9</v>
      </c>
      <c r="K54">
        <v>3.86</v>
      </c>
    </row>
    <row r="55" spans="1:11" x14ac:dyDescent="0.35">
      <c r="A55" s="1">
        <v>45350</v>
      </c>
      <c r="B55" t="s">
        <v>1146</v>
      </c>
      <c r="C55" t="s">
        <v>42</v>
      </c>
      <c r="D55" t="s">
        <v>25</v>
      </c>
      <c r="E55" t="s">
        <v>43</v>
      </c>
      <c r="F55" t="s">
        <v>15</v>
      </c>
      <c r="G55" t="s">
        <v>39</v>
      </c>
      <c r="H55">
        <v>8303.01</v>
      </c>
      <c r="I55">
        <v>1</v>
      </c>
      <c r="J55">
        <v>8303.01</v>
      </c>
      <c r="K55">
        <v>1.49</v>
      </c>
    </row>
    <row r="56" spans="1:11" x14ac:dyDescent="0.35">
      <c r="A56" s="1">
        <v>45351</v>
      </c>
      <c r="B56" t="s">
        <v>308</v>
      </c>
      <c r="C56" t="s">
        <v>24</v>
      </c>
      <c r="D56" t="s">
        <v>25</v>
      </c>
      <c r="E56" t="s">
        <v>26</v>
      </c>
      <c r="F56" t="s">
        <v>21</v>
      </c>
      <c r="G56" t="s">
        <v>27</v>
      </c>
      <c r="H56">
        <v>18290.169999999998</v>
      </c>
      <c r="I56">
        <v>1</v>
      </c>
      <c r="J56">
        <v>18290.169999999998</v>
      </c>
      <c r="K56">
        <v>3.98</v>
      </c>
    </row>
    <row r="57" spans="1:11" x14ac:dyDescent="0.35">
      <c r="A57" s="1">
        <v>45352</v>
      </c>
      <c r="B57" t="s">
        <v>1241</v>
      </c>
      <c r="C57" t="s">
        <v>24</v>
      </c>
      <c r="D57" t="s">
        <v>25</v>
      </c>
      <c r="E57" t="s">
        <v>26</v>
      </c>
      <c r="F57" t="s">
        <v>15</v>
      </c>
      <c r="G57" t="s">
        <v>60</v>
      </c>
      <c r="H57">
        <v>3005.1</v>
      </c>
      <c r="I57">
        <v>3</v>
      </c>
      <c r="J57">
        <v>9015.2999999999993</v>
      </c>
      <c r="K57">
        <v>3.61</v>
      </c>
    </row>
    <row r="58" spans="1:11" x14ac:dyDescent="0.35">
      <c r="A58" s="1">
        <v>45353</v>
      </c>
      <c r="B58" t="s">
        <v>1776</v>
      </c>
      <c r="C58" t="s">
        <v>42</v>
      </c>
      <c r="D58" t="s">
        <v>25</v>
      </c>
      <c r="E58" t="s">
        <v>43</v>
      </c>
      <c r="F58" t="s">
        <v>45</v>
      </c>
      <c r="G58" t="s">
        <v>32</v>
      </c>
      <c r="H58">
        <v>16010.02</v>
      </c>
      <c r="I58">
        <v>4</v>
      </c>
      <c r="J58">
        <v>64040.08</v>
      </c>
      <c r="K58">
        <v>4.57</v>
      </c>
    </row>
    <row r="59" spans="1:11" x14ac:dyDescent="0.35">
      <c r="A59" s="1">
        <v>45355</v>
      </c>
      <c r="B59" t="s">
        <v>1137</v>
      </c>
      <c r="C59" t="s">
        <v>42</v>
      </c>
      <c r="D59" t="s">
        <v>25</v>
      </c>
      <c r="E59" t="s">
        <v>43</v>
      </c>
      <c r="F59" t="s">
        <v>15</v>
      </c>
      <c r="G59" t="s">
        <v>16</v>
      </c>
      <c r="H59">
        <v>12703.96</v>
      </c>
      <c r="I59">
        <v>5</v>
      </c>
      <c r="J59">
        <v>63519.8</v>
      </c>
      <c r="K59">
        <v>2.59</v>
      </c>
    </row>
    <row r="60" spans="1:11" x14ac:dyDescent="0.35">
      <c r="A60" s="1">
        <v>45356</v>
      </c>
      <c r="B60" t="s">
        <v>1969</v>
      </c>
      <c r="C60" t="s">
        <v>24</v>
      </c>
      <c r="D60" t="s">
        <v>25</v>
      </c>
      <c r="E60" t="s">
        <v>26</v>
      </c>
      <c r="F60" t="s">
        <v>15</v>
      </c>
      <c r="G60" t="s">
        <v>60</v>
      </c>
      <c r="H60">
        <v>1159.81</v>
      </c>
      <c r="I60">
        <v>2</v>
      </c>
      <c r="J60">
        <v>2319.62</v>
      </c>
      <c r="K60">
        <v>4.04</v>
      </c>
    </row>
    <row r="61" spans="1:11" x14ac:dyDescent="0.35">
      <c r="A61" s="1">
        <v>45356</v>
      </c>
      <c r="B61" t="s">
        <v>107</v>
      </c>
      <c r="C61" t="s">
        <v>42</v>
      </c>
      <c r="D61" t="s">
        <v>25</v>
      </c>
      <c r="E61" t="s">
        <v>43</v>
      </c>
      <c r="F61" t="s">
        <v>21</v>
      </c>
      <c r="G61" t="s">
        <v>60</v>
      </c>
      <c r="H61">
        <v>18610.55</v>
      </c>
      <c r="I61">
        <v>2</v>
      </c>
      <c r="J61">
        <v>37221.1</v>
      </c>
      <c r="K61">
        <v>1.2</v>
      </c>
    </row>
    <row r="62" spans="1:11" x14ac:dyDescent="0.35">
      <c r="A62" s="1">
        <v>45356</v>
      </c>
      <c r="B62" t="s">
        <v>1310</v>
      </c>
      <c r="C62" t="s">
        <v>42</v>
      </c>
      <c r="D62" t="s">
        <v>25</v>
      </c>
      <c r="E62" t="s">
        <v>43</v>
      </c>
      <c r="F62" t="s">
        <v>15</v>
      </c>
      <c r="G62" t="s">
        <v>39</v>
      </c>
      <c r="H62">
        <v>14155.9</v>
      </c>
      <c r="I62">
        <v>1</v>
      </c>
      <c r="J62">
        <v>14155.9</v>
      </c>
      <c r="K62">
        <v>2.75</v>
      </c>
    </row>
    <row r="63" spans="1:11" x14ac:dyDescent="0.35">
      <c r="A63" s="1">
        <v>45357</v>
      </c>
      <c r="B63" t="s">
        <v>1263</v>
      </c>
      <c r="C63" t="s">
        <v>24</v>
      </c>
      <c r="D63" t="s">
        <v>25</v>
      </c>
      <c r="E63" t="s">
        <v>26</v>
      </c>
      <c r="F63" t="s">
        <v>21</v>
      </c>
      <c r="G63" t="s">
        <v>16</v>
      </c>
      <c r="H63">
        <v>7743.02</v>
      </c>
      <c r="I63">
        <v>5</v>
      </c>
      <c r="J63">
        <v>38715.1</v>
      </c>
      <c r="K63">
        <v>1.41</v>
      </c>
    </row>
    <row r="64" spans="1:11" x14ac:dyDescent="0.35">
      <c r="A64" s="1">
        <v>45357</v>
      </c>
      <c r="B64" t="s">
        <v>239</v>
      </c>
      <c r="C64" t="s">
        <v>42</v>
      </c>
      <c r="D64" t="s">
        <v>25</v>
      </c>
      <c r="E64" t="s">
        <v>43</v>
      </c>
      <c r="F64" t="s">
        <v>45</v>
      </c>
      <c r="G64" t="s">
        <v>27</v>
      </c>
      <c r="H64">
        <v>6402.17</v>
      </c>
      <c r="I64">
        <v>1</v>
      </c>
      <c r="J64">
        <v>6402.17</v>
      </c>
      <c r="K64">
        <v>4.9800000000000004</v>
      </c>
    </row>
    <row r="65" spans="1:11" x14ac:dyDescent="0.35">
      <c r="A65" s="1">
        <v>45358</v>
      </c>
      <c r="B65" t="s">
        <v>396</v>
      </c>
      <c r="C65" t="s">
        <v>24</v>
      </c>
      <c r="D65" t="s">
        <v>25</v>
      </c>
      <c r="E65" t="s">
        <v>26</v>
      </c>
      <c r="F65" t="s">
        <v>45</v>
      </c>
      <c r="G65" t="s">
        <v>60</v>
      </c>
      <c r="H65">
        <v>4235.07</v>
      </c>
      <c r="I65">
        <v>2</v>
      </c>
      <c r="J65">
        <v>8470.14</v>
      </c>
      <c r="K65">
        <v>2.25</v>
      </c>
    </row>
    <row r="66" spans="1:11" x14ac:dyDescent="0.35">
      <c r="A66" s="1">
        <v>45358</v>
      </c>
      <c r="B66" t="s">
        <v>1916</v>
      </c>
      <c r="C66" t="s">
        <v>42</v>
      </c>
      <c r="D66" t="s">
        <v>25</v>
      </c>
      <c r="E66" t="s">
        <v>43</v>
      </c>
      <c r="F66" t="s">
        <v>45</v>
      </c>
      <c r="G66" t="s">
        <v>32</v>
      </c>
      <c r="H66">
        <v>7177.29</v>
      </c>
      <c r="I66">
        <v>1</v>
      </c>
      <c r="J66">
        <v>7177.29</v>
      </c>
      <c r="K66">
        <v>4.03</v>
      </c>
    </row>
    <row r="67" spans="1:11" x14ac:dyDescent="0.35">
      <c r="A67" s="1">
        <v>45359</v>
      </c>
      <c r="B67" t="s">
        <v>186</v>
      </c>
      <c r="C67" t="s">
        <v>24</v>
      </c>
      <c r="D67" t="s">
        <v>25</v>
      </c>
      <c r="E67" t="s">
        <v>26</v>
      </c>
      <c r="F67" t="s">
        <v>15</v>
      </c>
      <c r="G67" t="s">
        <v>32</v>
      </c>
      <c r="H67">
        <v>8713.4599999999991</v>
      </c>
      <c r="I67">
        <v>2</v>
      </c>
      <c r="J67">
        <v>17426.919999999998</v>
      </c>
      <c r="K67">
        <v>1.2</v>
      </c>
    </row>
    <row r="68" spans="1:11" x14ac:dyDescent="0.35">
      <c r="A68" s="1">
        <v>45359</v>
      </c>
      <c r="B68" t="s">
        <v>742</v>
      </c>
      <c r="C68" t="s">
        <v>24</v>
      </c>
      <c r="D68" t="s">
        <v>25</v>
      </c>
      <c r="E68" t="s">
        <v>26</v>
      </c>
      <c r="F68" t="s">
        <v>21</v>
      </c>
      <c r="G68" t="s">
        <v>27</v>
      </c>
      <c r="H68">
        <v>11621.12</v>
      </c>
      <c r="I68">
        <v>1</v>
      </c>
      <c r="J68">
        <v>11621.12</v>
      </c>
      <c r="K68">
        <v>2.16</v>
      </c>
    </row>
    <row r="69" spans="1:11" x14ac:dyDescent="0.35">
      <c r="A69" s="1">
        <v>45359</v>
      </c>
      <c r="B69" t="s">
        <v>1563</v>
      </c>
      <c r="C69" t="s">
        <v>24</v>
      </c>
      <c r="D69" t="s">
        <v>25</v>
      </c>
      <c r="E69" t="s">
        <v>26</v>
      </c>
      <c r="F69" t="s">
        <v>15</v>
      </c>
      <c r="G69" t="s">
        <v>32</v>
      </c>
      <c r="H69">
        <v>15760.01</v>
      </c>
      <c r="I69">
        <v>1</v>
      </c>
      <c r="J69">
        <v>15760.01</v>
      </c>
      <c r="K69">
        <v>4.01</v>
      </c>
    </row>
    <row r="70" spans="1:11" x14ac:dyDescent="0.35">
      <c r="A70" s="1">
        <v>45362</v>
      </c>
      <c r="B70" t="s">
        <v>744</v>
      </c>
      <c r="C70" t="s">
        <v>24</v>
      </c>
      <c r="D70" t="s">
        <v>25</v>
      </c>
      <c r="E70" t="s">
        <v>26</v>
      </c>
      <c r="F70" t="s">
        <v>45</v>
      </c>
      <c r="G70" t="s">
        <v>32</v>
      </c>
      <c r="H70">
        <v>12496.42</v>
      </c>
      <c r="I70">
        <v>4</v>
      </c>
      <c r="J70">
        <v>49985.68</v>
      </c>
      <c r="K70">
        <v>1.1000000000000001</v>
      </c>
    </row>
    <row r="71" spans="1:11" x14ac:dyDescent="0.35">
      <c r="A71" s="1">
        <v>45363</v>
      </c>
      <c r="B71" t="s">
        <v>849</v>
      </c>
      <c r="C71" t="s">
        <v>24</v>
      </c>
      <c r="D71" t="s">
        <v>25</v>
      </c>
      <c r="E71" t="s">
        <v>26</v>
      </c>
      <c r="F71" t="s">
        <v>15</v>
      </c>
      <c r="G71" t="s">
        <v>27</v>
      </c>
      <c r="H71">
        <v>10854.19</v>
      </c>
      <c r="I71">
        <v>2</v>
      </c>
      <c r="J71">
        <v>21708.38</v>
      </c>
      <c r="K71">
        <v>5</v>
      </c>
    </row>
    <row r="72" spans="1:11" x14ac:dyDescent="0.35">
      <c r="A72" s="1">
        <v>45363</v>
      </c>
      <c r="B72" t="s">
        <v>1408</v>
      </c>
      <c r="C72" t="s">
        <v>24</v>
      </c>
      <c r="D72" t="s">
        <v>25</v>
      </c>
      <c r="E72" t="s">
        <v>26</v>
      </c>
      <c r="F72" t="s">
        <v>15</v>
      </c>
      <c r="G72" t="s">
        <v>22</v>
      </c>
      <c r="H72">
        <v>7417.15</v>
      </c>
      <c r="I72">
        <v>2</v>
      </c>
      <c r="J72">
        <v>14834.3</v>
      </c>
      <c r="K72">
        <v>4.4800000000000004</v>
      </c>
    </row>
    <row r="73" spans="1:11" x14ac:dyDescent="0.35">
      <c r="A73" s="1">
        <v>45368</v>
      </c>
      <c r="B73" t="s">
        <v>969</v>
      </c>
      <c r="C73" t="s">
        <v>24</v>
      </c>
      <c r="D73" t="s">
        <v>25</v>
      </c>
      <c r="E73" t="s">
        <v>26</v>
      </c>
      <c r="F73" t="s">
        <v>21</v>
      </c>
      <c r="G73" t="s">
        <v>16</v>
      </c>
      <c r="H73">
        <v>2783.82</v>
      </c>
      <c r="I73">
        <v>1</v>
      </c>
      <c r="J73">
        <v>2783.82</v>
      </c>
      <c r="K73">
        <v>2.41</v>
      </c>
    </row>
    <row r="74" spans="1:11" x14ac:dyDescent="0.35">
      <c r="A74" s="1">
        <v>45369</v>
      </c>
      <c r="B74" t="s">
        <v>236</v>
      </c>
      <c r="C74" t="s">
        <v>24</v>
      </c>
      <c r="D74" t="s">
        <v>25</v>
      </c>
      <c r="E74" t="s">
        <v>26</v>
      </c>
      <c r="F74" t="s">
        <v>15</v>
      </c>
      <c r="G74" t="s">
        <v>22</v>
      </c>
      <c r="H74">
        <v>19772.849999999999</v>
      </c>
      <c r="I74">
        <v>1</v>
      </c>
      <c r="J74">
        <v>19772.849999999999</v>
      </c>
      <c r="K74">
        <v>1.1599999999999999</v>
      </c>
    </row>
    <row r="75" spans="1:11" x14ac:dyDescent="0.35">
      <c r="A75" s="1">
        <v>45370</v>
      </c>
      <c r="B75" t="s">
        <v>828</v>
      </c>
      <c r="C75" t="s">
        <v>24</v>
      </c>
      <c r="D75" t="s">
        <v>25</v>
      </c>
      <c r="E75" t="s">
        <v>26</v>
      </c>
      <c r="F75" t="s">
        <v>45</v>
      </c>
      <c r="G75" t="s">
        <v>22</v>
      </c>
      <c r="H75">
        <v>7111.2</v>
      </c>
      <c r="I75">
        <v>5</v>
      </c>
      <c r="J75">
        <v>35556</v>
      </c>
      <c r="K75">
        <v>2.23</v>
      </c>
    </row>
    <row r="76" spans="1:11" x14ac:dyDescent="0.35">
      <c r="A76" s="1">
        <v>45370</v>
      </c>
      <c r="B76" t="s">
        <v>887</v>
      </c>
      <c r="C76" t="s">
        <v>42</v>
      </c>
      <c r="D76" t="s">
        <v>25</v>
      </c>
      <c r="E76" t="s">
        <v>43</v>
      </c>
      <c r="F76" t="s">
        <v>15</v>
      </c>
      <c r="G76" t="s">
        <v>22</v>
      </c>
      <c r="H76">
        <v>16771.66</v>
      </c>
      <c r="I76">
        <v>1</v>
      </c>
      <c r="J76">
        <v>16771.66</v>
      </c>
      <c r="K76">
        <v>4.5</v>
      </c>
    </row>
    <row r="77" spans="1:11" x14ac:dyDescent="0.35">
      <c r="A77" s="1">
        <v>45371</v>
      </c>
      <c r="B77" t="s">
        <v>696</v>
      </c>
      <c r="C77" t="s">
        <v>24</v>
      </c>
      <c r="D77" t="s">
        <v>25</v>
      </c>
      <c r="E77" t="s">
        <v>26</v>
      </c>
      <c r="F77" t="s">
        <v>21</v>
      </c>
      <c r="G77" t="s">
        <v>16</v>
      </c>
      <c r="H77">
        <v>9622.26</v>
      </c>
      <c r="I77">
        <v>1</v>
      </c>
      <c r="J77">
        <v>9622.26</v>
      </c>
      <c r="K77">
        <v>3.52</v>
      </c>
    </row>
    <row r="78" spans="1:11" x14ac:dyDescent="0.35">
      <c r="A78" s="1">
        <v>45372</v>
      </c>
      <c r="B78" t="s">
        <v>635</v>
      </c>
      <c r="C78" t="s">
        <v>42</v>
      </c>
      <c r="D78" t="s">
        <v>25</v>
      </c>
      <c r="E78" t="s">
        <v>43</v>
      </c>
      <c r="F78" t="s">
        <v>15</v>
      </c>
      <c r="G78" t="s">
        <v>60</v>
      </c>
      <c r="H78">
        <v>2382.84</v>
      </c>
      <c r="I78">
        <v>2</v>
      </c>
      <c r="J78">
        <v>4765.68</v>
      </c>
      <c r="K78">
        <v>1.52</v>
      </c>
    </row>
    <row r="79" spans="1:11" x14ac:dyDescent="0.35">
      <c r="A79" s="1">
        <v>45373</v>
      </c>
      <c r="B79" t="s">
        <v>1704</v>
      </c>
      <c r="C79" t="s">
        <v>42</v>
      </c>
      <c r="D79" t="s">
        <v>25</v>
      </c>
      <c r="E79" t="s">
        <v>43</v>
      </c>
      <c r="F79" t="s">
        <v>45</v>
      </c>
      <c r="G79" t="s">
        <v>32</v>
      </c>
      <c r="H79">
        <v>14798.98</v>
      </c>
      <c r="I79">
        <v>3</v>
      </c>
      <c r="J79">
        <v>44396.94</v>
      </c>
      <c r="K79">
        <v>2.72</v>
      </c>
    </row>
    <row r="80" spans="1:11" x14ac:dyDescent="0.35">
      <c r="A80" s="1">
        <v>45374</v>
      </c>
      <c r="B80" t="s">
        <v>311</v>
      </c>
      <c r="C80" t="s">
        <v>24</v>
      </c>
      <c r="D80" t="s">
        <v>25</v>
      </c>
      <c r="E80" t="s">
        <v>26</v>
      </c>
      <c r="F80" t="s">
        <v>15</v>
      </c>
      <c r="G80" t="s">
        <v>22</v>
      </c>
      <c r="H80">
        <v>10753.1</v>
      </c>
      <c r="I80">
        <v>2</v>
      </c>
      <c r="J80">
        <v>21506.2</v>
      </c>
      <c r="K80">
        <v>2.63</v>
      </c>
    </row>
    <row r="81" spans="1:11" x14ac:dyDescent="0.35">
      <c r="A81" s="1">
        <v>45378</v>
      </c>
      <c r="B81" t="s">
        <v>1083</v>
      </c>
      <c r="C81" t="s">
        <v>24</v>
      </c>
      <c r="D81" t="s">
        <v>25</v>
      </c>
      <c r="E81" t="s">
        <v>26</v>
      </c>
      <c r="F81" t="s">
        <v>15</v>
      </c>
      <c r="G81" t="s">
        <v>22</v>
      </c>
      <c r="H81">
        <v>16736.150000000001</v>
      </c>
      <c r="I81">
        <v>2</v>
      </c>
      <c r="J81">
        <v>33472.300000000003</v>
      </c>
      <c r="K81">
        <v>2.12</v>
      </c>
    </row>
    <row r="82" spans="1:11" x14ac:dyDescent="0.35">
      <c r="A82" s="1">
        <v>45378</v>
      </c>
      <c r="B82" t="s">
        <v>1858</v>
      </c>
      <c r="C82" t="s">
        <v>24</v>
      </c>
      <c r="D82" t="s">
        <v>25</v>
      </c>
      <c r="E82" t="s">
        <v>26</v>
      </c>
      <c r="F82" t="s">
        <v>45</v>
      </c>
      <c r="G82" t="s">
        <v>39</v>
      </c>
      <c r="H82">
        <v>6136.91</v>
      </c>
      <c r="I82">
        <v>1</v>
      </c>
      <c r="J82">
        <v>6136.91</v>
      </c>
      <c r="K82">
        <v>4.5999999999999996</v>
      </c>
    </row>
    <row r="83" spans="1:11" x14ac:dyDescent="0.35">
      <c r="A83" s="1">
        <v>45379</v>
      </c>
      <c r="B83" t="s">
        <v>1463</v>
      </c>
      <c r="C83" t="s">
        <v>42</v>
      </c>
      <c r="D83" t="s">
        <v>25</v>
      </c>
      <c r="E83" t="s">
        <v>43</v>
      </c>
      <c r="F83" t="s">
        <v>21</v>
      </c>
      <c r="G83" t="s">
        <v>27</v>
      </c>
      <c r="H83">
        <v>8616.7099999999991</v>
      </c>
      <c r="I83">
        <v>4</v>
      </c>
      <c r="J83">
        <v>34466.839999999997</v>
      </c>
      <c r="K83">
        <v>4.0999999999999996</v>
      </c>
    </row>
    <row r="84" spans="1:11" x14ac:dyDescent="0.35">
      <c r="A84" s="1">
        <v>45379</v>
      </c>
      <c r="B84" t="s">
        <v>1636</v>
      </c>
      <c r="C84" t="s">
        <v>42</v>
      </c>
      <c r="D84" t="s">
        <v>25</v>
      </c>
      <c r="E84" t="s">
        <v>43</v>
      </c>
      <c r="F84" t="s">
        <v>15</v>
      </c>
      <c r="G84" t="s">
        <v>22</v>
      </c>
      <c r="H84">
        <v>16661.939999999999</v>
      </c>
      <c r="I84">
        <v>5</v>
      </c>
      <c r="J84">
        <v>83309.7</v>
      </c>
      <c r="K84">
        <v>3.44</v>
      </c>
    </row>
    <row r="85" spans="1:11" x14ac:dyDescent="0.35">
      <c r="A85" s="1">
        <v>45380</v>
      </c>
      <c r="B85" t="s">
        <v>918</v>
      </c>
      <c r="C85" t="s">
        <v>24</v>
      </c>
      <c r="D85" t="s">
        <v>25</v>
      </c>
      <c r="E85" t="s">
        <v>26</v>
      </c>
      <c r="F85" t="s">
        <v>45</v>
      </c>
      <c r="G85" t="s">
        <v>32</v>
      </c>
      <c r="H85">
        <v>5605.11</v>
      </c>
      <c r="I85">
        <v>3</v>
      </c>
      <c r="J85">
        <v>16815.330000000002</v>
      </c>
      <c r="K85">
        <v>4.09</v>
      </c>
    </row>
    <row r="86" spans="1:11" x14ac:dyDescent="0.35">
      <c r="A86" s="1">
        <v>45380</v>
      </c>
      <c r="B86" t="s">
        <v>667</v>
      </c>
      <c r="C86" t="s">
        <v>42</v>
      </c>
      <c r="D86" t="s">
        <v>25</v>
      </c>
      <c r="E86" t="s">
        <v>43</v>
      </c>
      <c r="F86" t="s">
        <v>45</v>
      </c>
      <c r="G86" t="s">
        <v>32</v>
      </c>
      <c r="H86">
        <v>5266.58</v>
      </c>
      <c r="I86">
        <v>3</v>
      </c>
      <c r="J86">
        <v>15799.74</v>
      </c>
      <c r="K86">
        <v>4.7300000000000004</v>
      </c>
    </row>
    <row r="87" spans="1:11" x14ac:dyDescent="0.35">
      <c r="A87" s="1">
        <v>45381</v>
      </c>
      <c r="B87" t="s">
        <v>1817</v>
      </c>
      <c r="C87" t="s">
        <v>42</v>
      </c>
      <c r="D87" t="s">
        <v>25</v>
      </c>
      <c r="E87" t="s">
        <v>43</v>
      </c>
      <c r="F87" t="s">
        <v>45</v>
      </c>
      <c r="G87" t="s">
        <v>32</v>
      </c>
      <c r="H87">
        <v>16047.93</v>
      </c>
      <c r="I87">
        <v>1</v>
      </c>
      <c r="J87">
        <v>16047.93</v>
      </c>
      <c r="K87">
        <v>2.73</v>
      </c>
    </row>
    <row r="88" spans="1:11" x14ac:dyDescent="0.35">
      <c r="A88" s="1">
        <v>45382</v>
      </c>
      <c r="B88" t="s">
        <v>1370</v>
      </c>
      <c r="C88" t="s">
        <v>42</v>
      </c>
      <c r="D88" t="s">
        <v>25</v>
      </c>
      <c r="E88" t="s">
        <v>43</v>
      </c>
      <c r="F88" t="s">
        <v>21</v>
      </c>
      <c r="G88" t="s">
        <v>22</v>
      </c>
      <c r="H88">
        <v>8357.61</v>
      </c>
      <c r="I88">
        <v>1</v>
      </c>
      <c r="J88">
        <v>8357.61</v>
      </c>
      <c r="K88">
        <v>2.0099999999999998</v>
      </c>
    </row>
    <row r="89" spans="1:11" x14ac:dyDescent="0.35">
      <c r="A89" s="1">
        <v>45382</v>
      </c>
      <c r="B89" t="s">
        <v>1560</v>
      </c>
      <c r="C89" t="s">
        <v>42</v>
      </c>
      <c r="D89" t="s">
        <v>25</v>
      </c>
      <c r="E89" t="s">
        <v>43</v>
      </c>
      <c r="F89" t="s">
        <v>45</v>
      </c>
      <c r="G89" t="s">
        <v>32</v>
      </c>
      <c r="H89">
        <v>6721.6</v>
      </c>
      <c r="I89">
        <v>1</v>
      </c>
      <c r="J89">
        <v>6721.6</v>
      </c>
      <c r="K89">
        <v>2.0699999999999998</v>
      </c>
    </row>
    <row r="90" spans="1:11" x14ac:dyDescent="0.35">
      <c r="A90" s="1">
        <v>45383</v>
      </c>
      <c r="B90" t="s">
        <v>1571</v>
      </c>
      <c r="C90" t="s">
        <v>24</v>
      </c>
      <c r="D90" t="s">
        <v>25</v>
      </c>
      <c r="E90" t="s">
        <v>26</v>
      </c>
      <c r="F90" t="s">
        <v>21</v>
      </c>
      <c r="G90" t="s">
        <v>22</v>
      </c>
      <c r="H90">
        <v>8046.22</v>
      </c>
      <c r="I90">
        <v>4</v>
      </c>
      <c r="J90">
        <v>32184.880000000001</v>
      </c>
      <c r="K90">
        <v>2.62</v>
      </c>
    </row>
    <row r="91" spans="1:11" x14ac:dyDescent="0.35">
      <c r="A91" s="1">
        <v>45383</v>
      </c>
      <c r="B91" t="s">
        <v>138</v>
      </c>
      <c r="C91" t="s">
        <v>42</v>
      </c>
      <c r="D91" t="s">
        <v>25</v>
      </c>
      <c r="E91" t="s">
        <v>43</v>
      </c>
      <c r="F91" t="s">
        <v>15</v>
      </c>
      <c r="G91" t="s">
        <v>27</v>
      </c>
      <c r="H91">
        <v>6220.11</v>
      </c>
      <c r="I91">
        <v>1</v>
      </c>
      <c r="J91">
        <v>6220.11</v>
      </c>
      <c r="K91">
        <v>1.76</v>
      </c>
    </row>
    <row r="92" spans="1:11" x14ac:dyDescent="0.35">
      <c r="A92" s="1">
        <v>45384</v>
      </c>
      <c r="B92" t="s">
        <v>1359</v>
      </c>
      <c r="C92" t="s">
        <v>24</v>
      </c>
      <c r="D92" t="s">
        <v>25</v>
      </c>
      <c r="E92" t="s">
        <v>26</v>
      </c>
      <c r="F92" t="s">
        <v>45</v>
      </c>
      <c r="G92" t="s">
        <v>22</v>
      </c>
      <c r="H92">
        <v>15798.69</v>
      </c>
      <c r="I92">
        <v>3</v>
      </c>
      <c r="J92">
        <v>47396.07</v>
      </c>
      <c r="K92">
        <v>4.6399999999999997</v>
      </c>
    </row>
    <row r="93" spans="1:11" x14ac:dyDescent="0.35">
      <c r="A93" s="1">
        <v>45384</v>
      </c>
      <c r="B93" t="s">
        <v>792</v>
      </c>
      <c r="C93" t="s">
        <v>42</v>
      </c>
      <c r="D93" t="s">
        <v>25</v>
      </c>
      <c r="E93" t="s">
        <v>43</v>
      </c>
      <c r="F93" t="s">
        <v>21</v>
      </c>
      <c r="G93" t="s">
        <v>27</v>
      </c>
      <c r="H93">
        <v>15381.69</v>
      </c>
      <c r="I93">
        <v>2</v>
      </c>
      <c r="J93">
        <v>30763.38</v>
      </c>
      <c r="K93">
        <v>3.45</v>
      </c>
    </row>
    <row r="94" spans="1:11" x14ac:dyDescent="0.35">
      <c r="A94" s="1">
        <v>45384</v>
      </c>
      <c r="B94" t="s">
        <v>877</v>
      </c>
      <c r="C94" t="s">
        <v>42</v>
      </c>
      <c r="D94" t="s">
        <v>25</v>
      </c>
      <c r="E94" t="s">
        <v>43</v>
      </c>
      <c r="F94" t="s">
        <v>15</v>
      </c>
      <c r="G94" t="s">
        <v>22</v>
      </c>
      <c r="H94">
        <v>7479.26</v>
      </c>
      <c r="I94">
        <v>4</v>
      </c>
      <c r="J94">
        <v>29917.040000000001</v>
      </c>
      <c r="K94">
        <v>2.2599999999999998</v>
      </c>
    </row>
    <row r="95" spans="1:11" x14ac:dyDescent="0.35">
      <c r="A95" s="1">
        <v>45386</v>
      </c>
      <c r="B95" t="s">
        <v>294</v>
      </c>
      <c r="C95" t="s">
        <v>24</v>
      </c>
      <c r="D95" t="s">
        <v>25</v>
      </c>
      <c r="E95" t="s">
        <v>26</v>
      </c>
      <c r="F95" t="s">
        <v>45</v>
      </c>
      <c r="G95" t="s">
        <v>16</v>
      </c>
      <c r="H95">
        <v>3948.53</v>
      </c>
      <c r="I95">
        <v>3</v>
      </c>
      <c r="J95">
        <v>11845.59</v>
      </c>
      <c r="K95">
        <v>4.47</v>
      </c>
    </row>
    <row r="96" spans="1:11" x14ac:dyDescent="0.35">
      <c r="A96" s="1">
        <v>45386</v>
      </c>
      <c r="B96" t="s">
        <v>1854</v>
      </c>
      <c r="C96" t="s">
        <v>24</v>
      </c>
      <c r="D96" t="s">
        <v>25</v>
      </c>
      <c r="E96" t="s">
        <v>26</v>
      </c>
      <c r="F96" t="s">
        <v>45</v>
      </c>
      <c r="G96" t="s">
        <v>32</v>
      </c>
      <c r="H96">
        <v>13017.05</v>
      </c>
      <c r="I96">
        <v>3</v>
      </c>
      <c r="J96">
        <v>39051.15</v>
      </c>
      <c r="K96">
        <v>3.57</v>
      </c>
    </row>
    <row r="97" spans="1:11" x14ac:dyDescent="0.35">
      <c r="A97" s="1">
        <v>45386</v>
      </c>
      <c r="B97" t="s">
        <v>1495</v>
      </c>
      <c r="C97" t="s">
        <v>42</v>
      </c>
      <c r="D97" t="s">
        <v>25</v>
      </c>
      <c r="E97" t="s">
        <v>43</v>
      </c>
      <c r="F97" t="s">
        <v>21</v>
      </c>
      <c r="G97" t="s">
        <v>32</v>
      </c>
      <c r="H97">
        <v>12207.43</v>
      </c>
      <c r="I97">
        <v>2</v>
      </c>
      <c r="J97">
        <v>24414.86</v>
      </c>
      <c r="K97">
        <v>4.76</v>
      </c>
    </row>
    <row r="98" spans="1:11" x14ac:dyDescent="0.35">
      <c r="A98" s="1">
        <v>45387</v>
      </c>
      <c r="B98" t="s">
        <v>276</v>
      </c>
      <c r="C98" t="s">
        <v>24</v>
      </c>
      <c r="D98" t="s">
        <v>25</v>
      </c>
      <c r="E98" t="s">
        <v>26</v>
      </c>
      <c r="F98" t="s">
        <v>21</v>
      </c>
      <c r="G98" t="s">
        <v>32</v>
      </c>
      <c r="H98">
        <v>3348.83</v>
      </c>
      <c r="I98">
        <v>2</v>
      </c>
      <c r="J98">
        <v>6697.66</v>
      </c>
      <c r="K98">
        <v>4.78</v>
      </c>
    </row>
    <row r="99" spans="1:11" x14ac:dyDescent="0.35">
      <c r="A99" s="1">
        <v>45388</v>
      </c>
      <c r="B99" t="s">
        <v>1751</v>
      </c>
      <c r="C99" t="s">
        <v>42</v>
      </c>
      <c r="D99" t="s">
        <v>25</v>
      </c>
      <c r="E99" t="s">
        <v>43</v>
      </c>
      <c r="F99" t="s">
        <v>21</v>
      </c>
      <c r="G99" t="s">
        <v>39</v>
      </c>
      <c r="H99">
        <v>17469.52</v>
      </c>
      <c r="I99">
        <v>2</v>
      </c>
      <c r="J99">
        <v>34939.040000000001</v>
      </c>
      <c r="K99">
        <v>1.22</v>
      </c>
    </row>
    <row r="100" spans="1:11" x14ac:dyDescent="0.35">
      <c r="A100" s="1">
        <v>45388</v>
      </c>
      <c r="B100" t="s">
        <v>1913</v>
      </c>
      <c r="C100" t="s">
        <v>42</v>
      </c>
      <c r="D100" t="s">
        <v>25</v>
      </c>
      <c r="E100" t="s">
        <v>43</v>
      </c>
      <c r="F100" t="s">
        <v>15</v>
      </c>
      <c r="G100" t="s">
        <v>22</v>
      </c>
      <c r="H100">
        <v>459.58</v>
      </c>
      <c r="I100">
        <v>4</v>
      </c>
      <c r="J100">
        <v>1838.32</v>
      </c>
      <c r="K100">
        <v>3.47</v>
      </c>
    </row>
    <row r="101" spans="1:11" x14ac:dyDescent="0.35">
      <c r="A101" s="1">
        <v>45389</v>
      </c>
      <c r="B101" t="s">
        <v>1938</v>
      </c>
      <c r="C101" t="s">
        <v>42</v>
      </c>
      <c r="D101" t="s">
        <v>25</v>
      </c>
      <c r="E101" t="s">
        <v>43</v>
      </c>
      <c r="F101" t="s">
        <v>21</v>
      </c>
      <c r="G101" t="s">
        <v>39</v>
      </c>
      <c r="H101">
        <v>4306.6099999999997</v>
      </c>
      <c r="I101">
        <v>1</v>
      </c>
      <c r="J101">
        <v>4306.6099999999997</v>
      </c>
      <c r="K101">
        <v>1.65</v>
      </c>
    </row>
    <row r="102" spans="1:11" x14ac:dyDescent="0.35">
      <c r="A102" s="1">
        <v>45392</v>
      </c>
      <c r="B102" t="s">
        <v>1955</v>
      </c>
      <c r="C102" t="s">
        <v>24</v>
      </c>
      <c r="D102" t="s">
        <v>25</v>
      </c>
      <c r="E102" t="s">
        <v>26</v>
      </c>
      <c r="F102" t="s">
        <v>45</v>
      </c>
      <c r="G102" t="s">
        <v>60</v>
      </c>
      <c r="H102">
        <v>4889.97</v>
      </c>
      <c r="I102">
        <v>1</v>
      </c>
      <c r="J102">
        <v>4889.97</v>
      </c>
      <c r="K102">
        <v>1.96</v>
      </c>
    </row>
    <row r="103" spans="1:11" x14ac:dyDescent="0.35">
      <c r="A103" s="1">
        <v>45392</v>
      </c>
      <c r="B103" t="s">
        <v>1903</v>
      </c>
      <c r="C103" t="s">
        <v>42</v>
      </c>
      <c r="D103" t="s">
        <v>25</v>
      </c>
      <c r="E103" t="s">
        <v>43</v>
      </c>
      <c r="F103" t="s">
        <v>15</v>
      </c>
      <c r="G103" t="s">
        <v>16</v>
      </c>
      <c r="H103">
        <v>4235.58</v>
      </c>
      <c r="I103">
        <v>4</v>
      </c>
      <c r="J103">
        <v>16942.32</v>
      </c>
      <c r="K103">
        <v>4.38</v>
      </c>
    </row>
    <row r="104" spans="1:11" x14ac:dyDescent="0.35">
      <c r="A104" s="1">
        <v>45393</v>
      </c>
      <c r="B104" t="s">
        <v>269</v>
      </c>
      <c r="C104" t="s">
        <v>42</v>
      </c>
      <c r="D104" t="s">
        <v>25</v>
      </c>
      <c r="E104" t="s">
        <v>43</v>
      </c>
      <c r="F104" t="s">
        <v>21</v>
      </c>
      <c r="G104" t="s">
        <v>32</v>
      </c>
      <c r="H104">
        <v>17738.689999999999</v>
      </c>
      <c r="I104">
        <v>4</v>
      </c>
      <c r="J104">
        <v>70954.759999999995</v>
      </c>
      <c r="K104">
        <v>4.67</v>
      </c>
    </row>
    <row r="105" spans="1:11" x14ac:dyDescent="0.35">
      <c r="A105" s="1">
        <v>45395</v>
      </c>
      <c r="B105" t="s">
        <v>519</v>
      </c>
      <c r="C105" t="s">
        <v>42</v>
      </c>
      <c r="D105" t="s">
        <v>25</v>
      </c>
      <c r="E105" t="s">
        <v>43</v>
      </c>
      <c r="F105" t="s">
        <v>15</v>
      </c>
      <c r="G105" t="s">
        <v>60</v>
      </c>
      <c r="H105">
        <v>1325.62</v>
      </c>
      <c r="I105">
        <v>5</v>
      </c>
      <c r="J105">
        <v>6628.1</v>
      </c>
      <c r="K105">
        <v>1.64</v>
      </c>
    </row>
    <row r="106" spans="1:11" x14ac:dyDescent="0.35">
      <c r="A106" s="1">
        <v>45397</v>
      </c>
      <c r="B106" t="s">
        <v>210</v>
      </c>
      <c r="C106" t="s">
        <v>24</v>
      </c>
      <c r="D106" t="s">
        <v>25</v>
      </c>
      <c r="E106" t="s">
        <v>26</v>
      </c>
      <c r="F106" t="s">
        <v>45</v>
      </c>
      <c r="G106" t="s">
        <v>39</v>
      </c>
      <c r="H106">
        <v>9869.5300000000007</v>
      </c>
      <c r="I106">
        <v>5</v>
      </c>
      <c r="J106">
        <v>49347.65</v>
      </c>
      <c r="K106">
        <v>4.2699999999999996</v>
      </c>
    </row>
    <row r="107" spans="1:11" x14ac:dyDescent="0.35">
      <c r="A107" s="1">
        <v>45397</v>
      </c>
      <c r="B107" t="s">
        <v>278</v>
      </c>
      <c r="C107" t="s">
        <v>24</v>
      </c>
      <c r="D107" t="s">
        <v>25</v>
      </c>
      <c r="E107" t="s">
        <v>26</v>
      </c>
      <c r="F107" t="s">
        <v>45</v>
      </c>
      <c r="G107" t="s">
        <v>39</v>
      </c>
      <c r="H107">
        <v>3383.51</v>
      </c>
      <c r="I107">
        <v>4</v>
      </c>
      <c r="J107">
        <v>13534.04</v>
      </c>
      <c r="K107">
        <v>3.5</v>
      </c>
    </row>
    <row r="108" spans="1:11" x14ac:dyDescent="0.35">
      <c r="A108" s="1">
        <v>45397</v>
      </c>
      <c r="B108" t="s">
        <v>1447</v>
      </c>
      <c r="C108" t="s">
        <v>24</v>
      </c>
      <c r="D108" t="s">
        <v>25</v>
      </c>
      <c r="E108" t="s">
        <v>26</v>
      </c>
      <c r="F108" t="s">
        <v>45</v>
      </c>
      <c r="G108" t="s">
        <v>27</v>
      </c>
      <c r="H108">
        <v>13719.26</v>
      </c>
      <c r="I108">
        <v>4</v>
      </c>
      <c r="J108">
        <v>54877.04</v>
      </c>
      <c r="K108">
        <v>2.57</v>
      </c>
    </row>
    <row r="109" spans="1:11" x14ac:dyDescent="0.35">
      <c r="A109" s="1">
        <v>45399</v>
      </c>
      <c r="B109" t="s">
        <v>191</v>
      </c>
      <c r="C109" t="s">
        <v>24</v>
      </c>
      <c r="D109" t="s">
        <v>25</v>
      </c>
      <c r="E109" t="s">
        <v>26</v>
      </c>
      <c r="F109" t="s">
        <v>15</v>
      </c>
      <c r="G109" t="s">
        <v>32</v>
      </c>
      <c r="H109">
        <v>5830.08</v>
      </c>
      <c r="I109">
        <v>3</v>
      </c>
      <c r="J109">
        <v>17490.240000000002</v>
      </c>
      <c r="K109">
        <v>2.25</v>
      </c>
    </row>
    <row r="110" spans="1:11" x14ac:dyDescent="0.35">
      <c r="A110" s="1">
        <v>45400</v>
      </c>
      <c r="B110" t="s">
        <v>110</v>
      </c>
      <c r="C110" t="s">
        <v>24</v>
      </c>
      <c r="D110" t="s">
        <v>25</v>
      </c>
      <c r="E110" t="s">
        <v>26</v>
      </c>
      <c r="F110" t="s">
        <v>45</v>
      </c>
      <c r="G110" t="s">
        <v>32</v>
      </c>
      <c r="H110">
        <v>2059.56</v>
      </c>
      <c r="I110">
        <v>1</v>
      </c>
      <c r="J110">
        <v>2059.56</v>
      </c>
      <c r="K110">
        <v>2.2599999999999998</v>
      </c>
    </row>
    <row r="111" spans="1:11" x14ac:dyDescent="0.35">
      <c r="A111" s="1">
        <v>45402</v>
      </c>
      <c r="B111" t="s">
        <v>1996</v>
      </c>
      <c r="C111" t="s">
        <v>24</v>
      </c>
      <c r="D111" t="s">
        <v>25</v>
      </c>
      <c r="E111" t="s">
        <v>26</v>
      </c>
      <c r="F111" t="s">
        <v>45</v>
      </c>
      <c r="G111" t="s">
        <v>27</v>
      </c>
      <c r="H111">
        <v>18980.96</v>
      </c>
      <c r="I111">
        <v>4</v>
      </c>
      <c r="J111">
        <v>75923.839999999997</v>
      </c>
      <c r="K111">
        <v>2.52</v>
      </c>
    </row>
    <row r="112" spans="1:11" x14ac:dyDescent="0.35">
      <c r="A112" s="1">
        <v>45403</v>
      </c>
      <c r="B112" t="s">
        <v>182</v>
      </c>
      <c r="C112" t="s">
        <v>24</v>
      </c>
      <c r="D112" t="s">
        <v>25</v>
      </c>
      <c r="E112" t="s">
        <v>26</v>
      </c>
      <c r="F112" t="s">
        <v>21</v>
      </c>
      <c r="G112" t="s">
        <v>60</v>
      </c>
      <c r="H112">
        <v>16569.599999999999</v>
      </c>
      <c r="I112">
        <v>4</v>
      </c>
      <c r="J112">
        <v>66278.399999999994</v>
      </c>
      <c r="K112">
        <v>3.71</v>
      </c>
    </row>
    <row r="113" spans="1:11" x14ac:dyDescent="0.35">
      <c r="A113" s="1">
        <v>45404</v>
      </c>
      <c r="B113" t="s">
        <v>251</v>
      </c>
      <c r="C113" t="s">
        <v>24</v>
      </c>
      <c r="D113" t="s">
        <v>25</v>
      </c>
      <c r="E113" t="s">
        <v>26</v>
      </c>
      <c r="F113" t="s">
        <v>45</v>
      </c>
      <c r="G113" t="s">
        <v>16</v>
      </c>
      <c r="H113">
        <v>11305.18</v>
      </c>
      <c r="I113">
        <v>1</v>
      </c>
      <c r="J113">
        <v>11305.18</v>
      </c>
      <c r="K113">
        <v>4.7300000000000004</v>
      </c>
    </row>
    <row r="114" spans="1:11" x14ac:dyDescent="0.35">
      <c r="A114" s="1">
        <v>45404</v>
      </c>
      <c r="B114" t="s">
        <v>383</v>
      </c>
      <c r="C114" t="s">
        <v>42</v>
      </c>
      <c r="D114" t="s">
        <v>25</v>
      </c>
      <c r="E114" t="s">
        <v>43</v>
      </c>
      <c r="F114" t="s">
        <v>15</v>
      </c>
      <c r="G114" t="s">
        <v>16</v>
      </c>
      <c r="H114">
        <v>3540.22</v>
      </c>
      <c r="I114">
        <v>2</v>
      </c>
      <c r="J114">
        <v>7080.44</v>
      </c>
      <c r="K114">
        <v>2.56</v>
      </c>
    </row>
    <row r="115" spans="1:11" x14ac:dyDescent="0.35">
      <c r="A115" s="1">
        <v>45405</v>
      </c>
      <c r="B115" t="s">
        <v>169</v>
      </c>
      <c r="C115" t="s">
        <v>24</v>
      </c>
      <c r="D115" t="s">
        <v>25</v>
      </c>
      <c r="E115" t="s">
        <v>26</v>
      </c>
      <c r="F115" t="s">
        <v>45</v>
      </c>
      <c r="G115" t="s">
        <v>27</v>
      </c>
      <c r="H115">
        <v>16774.22</v>
      </c>
      <c r="I115">
        <v>2</v>
      </c>
      <c r="J115">
        <v>33548.44</v>
      </c>
      <c r="K115">
        <v>4.8499999999999996</v>
      </c>
    </row>
    <row r="116" spans="1:11" x14ac:dyDescent="0.35">
      <c r="A116" s="1">
        <v>45406</v>
      </c>
      <c r="B116" t="s">
        <v>1672</v>
      </c>
      <c r="C116" t="s">
        <v>42</v>
      </c>
      <c r="D116" t="s">
        <v>25</v>
      </c>
      <c r="E116" t="s">
        <v>43</v>
      </c>
      <c r="F116" t="s">
        <v>45</v>
      </c>
      <c r="G116" t="s">
        <v>22</v>
      </c>
      <c r="H116">
        <v>2219.65</v>
      </c>
      <c r="I116">
        <v>5</v>
      </c>
      <c r="J116">
        <v>11098.25</v>
      </c>
      <c r="K116">
        <v>3.87</v>
      </c>
    </row>
    <row r="117" spans="1:11" x14ac:dyDescent="0.35">
      <c r="A117" s="1">
        <v>45407</v>
      </c>
      <c r="B117" t="s">
        <v>857</v>
      </c>
      <c r="C117" t="s">
        <v>24</v>
      </c>
      <c r="D117" t="s">
        <v>25</v>
      </c>
      <c r="E117" t="s">
        <v>26</v>
      </c>
      <c r="F117" t="s">
        <v>15</v>
      </c>
      <c r="G117" t="s">
        <v>39</v>
      </c>
      <c r="H117">
        <v>9997.32</v>
      </c>
      <c r="I117">
        <v>5</v>
      </c>
      <c r="J117">
        <v>49986.6</v>
      </c>
      <c r="K117">
        <v>2.76</v>
      </c>
    </row>
    <row r="118" spans="1:11" x14ac:dyDescent="0.35">
      <c r="A118" s="1">
        <v>45407</v>
      </c>
      <c r="B118" t="s">
        <v>1986</v>
      </c>
      <c r="C118" t="s">
        <v>24</v>
      </c>
      <c r="D118" t="s">
        <v>25</v>
      </c>
      <c r="E118" t="s">
        <v>26</v>
      </c>
      <c r="F118" t="s">
        <v>45</v>
      </c>
      <c r="G118" t="s">
        <v>22</v>
      </c>
      <c r="H118">
        <v>12419.98</v>
      </c>
      <c r="I118">
        <v>2</v>
      </c>
      <c r="J118">
        <v>24839.96</v>
      </c>
      <c r="K118">
        <v>2.38</v>
      </c>
    </row>
    <row r="119" spans="1:11" x14ac:dyDescent="0.35">
      <c r="A119" s="1">
        <v>45408</v>
      </c>
      <c r="B119" t="s">
        <v>899</v>
      </c>
      <c r="C119" t="s">
        <v>42</v>
      </c>
      <c r="D119" t="s">
        <v>25</v>
      </c>
      <c r="E119" t="s">
        <v>43</v>
      </c>
      <c r="F119" t="s">
        <v>45</v>
      </c>
      <c r="G119" t="s">
        <v>32</v>
      </c>
      <c r="H119">
        <v>2509.56</v>
      </c>
      <c r="I119">
        <v>1</v>
      </c>
      <c r="J119">
        <v>2509.56</v>
      </c>
      <c r="K119">
        <v>2.73</v>
      </c>
    </row>
    <row r="120" spans="1:11" x14ac:dyDescent="0.35">
      <c r="A120" s="1">
        <v>45409</v>
      </c>
      <c r="B120" t="s">
        <v>1330</v>
      </c>
      <c r="C120" t="s">
        <v>42</v>
      </c>
      <c r="D120" t="s">
        <v>25</v>
      </c>
      <c r="E120" t="s">
        <v>43</v>
      </c>
      <c r="F120" t="s">
        <v>15</v>
      </c>
      <c r="G120" t="s">
        <v>32</v>
      </c>
      <c r="H120">
        <v>2351.6</v>
      </c>
      <c r="I120">
        <v>1</v>
      </c>
      <c r="J120">
        <v>2351.6</v>
      </c>
      <c r="K120">
        <v>4.93</v>
      </c>
    </row>
    <row r="121" spans="1:11" x14ac:dyDescent="0.35">
      <c r="A121" s="1">
        <v>45409</v>
      </c>
      <c r="B121" t="s">
        <v>1791</v>
      </c>
      <c r="C121" t="s">
        <v>42</v>
      </c>
      <c r="D121" t="s">
        <v>25</v>
      </c>
      <c r="E121" t="s">
        <v>43</v>
      </c>
      <c r="F121" t="s">
        <v>21</v>
      </c>
      <c r="G121" t="s">
        <v>60</v>
      </c>
      <c r="H121">
        <v>17722.11</v>
      </c>
      <c r="I121">
        <v>1</v>
      </c>
      <c r="J121">
        <v>17722.11</v>
      </c>
      <c r="K121">
        <v>2.7</v>
      </c>
    </row>
    <row r="122" spans="1:11" x14ac:dyDescent="0.35">
      <c r="A122" s="1">
        <v>45410</v>
      </c>
      <c r="B122" t="s">
        <v>301</v>
      </c>
      <c r="C122" t="s">
        <v>42</v>
      </c>
      <c r="D122" t="s">
        <v>25</v>
      </c>
      <c r="E122" t="s">
        <v>43</v>
      </c>
      <c r="F122" t="s">
        <v>45</v>
      </c>
      <c r="G122" t="s">
        <v>22</v>
      </c>
      <c r="H122">
        <v>13409.13</v>
      </c>
      <c r="I122">
        <v>3</v>
      </c>
      <c r="J122">
        <v>40227.39</v>
      </c>
      <c r="K122">
        <v>1.86</v>
      </c>
    </row>
    <row r="123" spans="1:11" x14ac:dyDescent="0.35">
      <c r="A123" s="1">
        <v>45410</v>
      </c>
      <c r="B123" t="s">
        <v>1898</v>
      </c>
      <c r="C123" t="s">
        <v>42</v>
      </c>
      <c r="D123" t="s">
        <v>25</v>
      </c>
      <c r="E123" t="s">
        <v>43</v>
      </c>
      <c r="F123" t="s">
        <v>45</v>
      </c>
      <c r="G123" t="s">
        <v>27</v>
      </c>
      <c r="H123">
        <v>2282.0300000000002</v>
      </c>
      <c r="I123">
        <v>5</v>
      </c>
      <c r="J123">
        <v>11410.15</v>
      </c>
      <c r="K123">
        <v>2.7</v>
      </c>
    </row>
    <row r="124" spans="1:11" x14ac:dyDescent="0.35">
      <c r="A124" s="1">
        <v>45411</v>
      </c>
      <c r="B124" t="s">
        <v>149</v>
      </c>
      <c r="C124" t="s">
        <v>24</v>
      </c>
      <c r="D124" t="s">
        <v>25</v>
      </c>
      <c r="E124" t="s">
        <v>26</v>
      </c>
      <c r="F124" t="s">
        <v>45</v>
      </c>
      <c r="G124" t="s">
        <v>27</v>
      </c>
      <c r="H124">
        <v>15360.28</v>
      </c>
      <c r="I124">
        <v>1</v>
      </c>
      <c r="J124">
        <v>15360.28</v>
      </c>
      <c r="K124">
        <v>2.5099999999999998</v>
      </c>
    </row>
    <row r="125" spans="1:11" x14ac:dyDescent="0.35">
      <c r="A125" s="1">
        <v>45412</v>
      </c>
      <c r="B125" t="s">
        <v>253</v>
      </c>
      <c r="C125" t="s">
        <v>42</v>
      </c>
      <c r="D125" t="s">
        <v>25</v>
      </c>
      <c r="E125" t="s">
        <v>43</v>
      </c>
      <c r="F125" t="s">
        <v>21</v>
      </c>
      <c r="G125" t="s">
        <v>32</v>
      </c>
      <c r="H125">
        <v>11259.08</v>
      </c>
      <c r="I125">
        <v>4</v>
      </c>
      <c r="J125">
        <v>45036.32</v>
      </c>
      <c r="K125">
        <v>4.3499999999999996</v>
      </c>
    </row>
    <row r="126" spans="1:11" x14ac:dyDescent="0.35">
      <c r="A126" s="1">
        <v>45412</v>
      </c>
      <c r="B126" t="s">
        <v>1162</v>
      </c>
      <c r="C126" t="s">
        <v>42</v>
      </c>
      <c r="D126" t="s">
        <v>25</v>
      </c>
      <c r="E126" t="s">
        <v>43</v>
      </c>
      <c r="F126" t="s">
        <v>15</v>
      </c>
      <c r="G126" t="s">
        <v>60</v>
      </c>
      <c r="H126">
        <v>3724.19</v>
      </c>
      <c r="I126">
        <v>5</v>
      </c>
      <c r="J126">
        <v>18620.95</v>
      </c>
      <c r="K126">
        <v>1.83</v>
      </c>
    </row>
    <row r="127" spans="1:11" x14ac:dyDescent="0.35">
      <c r="A127" s="1">
        <v>45413</v>
      </c>
      <c r="B127" t="s">
        <v>469</v>
      </c>
      <c r="C127" t="s">
        <v>42</v>
      </c>
      <c r="D127" t="s">
        <v>25</v>
      </c>
      <c r="E127" t="s">
        <v>43</v>
      </c>
      <c r="F127" t="s">
        <v>45</v>
      </c>
      <c r="G127" t="s">
        <v>16</v>
      </c>
      <c r="H127">
        <v>17096.95</v>
      </c>
      <c r="I127">
        <v>5</v>
      </c>
      <c r="J127">
        <v>85484.75</v>
      </c>
      <c r="K127">
        <v>1.69</v>
      </c>
    </row>
    <row r="128" spans="1:11" x14ac:dyDescent="0.35">
      <c r="A128" s="1">
        <v>45413</v>
      </c>
      <c r="B128" t="s">
        <v>1821</v>
      </c>
      <c r="C128" t="s">
        <v>42</v>
      </c>
      <c r="D128" t="s">
        <v>25</v>
      </c>
      <c r="E128" t="s">
        <v>43</v>
      </c>
      <c r="F128" t="s">
        <v>15</v>
      </c>
      <c r="G128" t="s">
        <v>16</v>
      </c>
      <c r="H128">
        <v>6304.28</v>
      </c>
      <c r="I128">
        <v>4</v>
      </c>
      <c r="J128">
        <v>25217.119999999999</v>
      </c>
      <c r="K128">
        <v>4.04</v>
      </c>
    </row>
    <row r="129" spans="1:11" x14ac:dyDescent="0.35">
      <c r="A129" s="1">
        <v>45414</v>
      </c>
      <c r="B129" t="s">
        <v>1769</v>
      </c>
      <c r="C129" t="s">
        <v>42</v>
      </c>
      <c r="D129" t="s">
        <v>25</v>
      </c>
      <c r="E129" t="s">
        <v>43</v>
      </c>
      <c r="F129" t="s">
        <v>15</v>
      </c>
      <c r="G129" t="s">
        <v>60</v>
      </c>
      <c r="H129">
        <v>1878.33</v>
      </c>
      <c r="I129">
        <v>4</v>
      </c>
      <c r="J129">
        <v>7513.32</v>
      </c>
      <c r="K129">
        <v>1.84</v>
      </c>
    </row>
    <row r="130" spans="1:11" x14ac:dyDescent="0.35">
      <c r="A130" s="1">
        <v>45415</v>
      </c>
      <c r="B130" t="s">
        <v>148</v>
      </c>
      <c r="C130" t="s">
        <v>24</v>
      </c>
      <c r="D130" t="s">
        <v>25</v>
      </c>
      <c r="E130" t="s">
        <v>26</v>
      </c>
      <c r="F130" t="s">
        <v>45</v>
      </c>
      <c r="G130" t="s">
        <v>60</v>
      </c>
      <c r="H130">
        <v>18642.22</v>
      </c>
      <c r="I130">
        <v>3</v>
      </c>
      <c r="J130">
        <v>55926.66</v>
      </c>
      <c r="K130">
        <v>4.33</v>
      </c>
    </row>
    <row r="131" spans="1:11" x14ac:dyDescent="0.35">
      <c r="A131" s="1">
        <v>45415</v>
      </c>
      <c r="B131" t="s">
        <v>1893</v>
      </c>
      <c r="C131" t="s">
        <v>42</v>
      </c>
      <c r="D131" t="s">
        <v>25</v>
      </c>
      <c r="E131" t="s">
        <v>43</v>
      </c>
      <c r="F131" t="s">
        <v>15</v>
      </c>
      <c r="G131" t="s">
        <v>39</v>
      </c>
      <c r="H131">
        <v>9595.3799999999992</v>
      </c>
      <c r="I131">
        <v>5</v>
      </c>
      <c r="J131">
        <v>47976.9</v>
      </c>
      <c r="K131">
        <v>1.78</v>
      </c>
    </row>
    <row r="132" spans="1:11" x14ac:dyDescent="0.35">
      <c r="A132" s="1">
        <v>45416</v>
      </c>
      <c r="B132" t="s">
        <v>1584</v>
      </c>
      <c r="C132" t="s">
        <v>24</v>
      </c>
      <c r="D132" t="s">
        <v>25</v>
      </c>
      <c r="E132" t="s">
        <v>26</v>
      </c>
      <c r="F132" t="s">
        <v>21</v>
      </c>
      <c r="G132" t="s">
        <v>39</v>
      </c>
      <c r="H132">
        <v>6542.43</v>
      </c>
      <c r="I132">
        <v>4</v>
      </c>
      <c r="J132">
        <v>26169.72</v>
      </c>
      <c r="K132">
        <v>1.04</v>
      </c>
    </row>
    <row r="133" spans="1:11" x14ac:dyDescent="0.35">
      <c r="A133" s="1">
        <v>45416</v>
      </c>
      <c r="B133" t="s">
        <v>126</v>
      </c>
      <c r="C133" t="s">
        <v>42</v>
      </c>
      <c r="D133" t="s">
        <v>25</v>
      </c>
      <c r="E133" t="s">
        <v>43</v>
      </c>
      <c r="F133" t="s">
        <v>45</v>
      </c>
      <c r="G133" t="s">
        <v>60</v>
      </c>
      <c r="H133">
        <v>4894.12</v>
      </c>
      <c r="I133">
        <v>4</v>
      </c>
      <c r="J133">
        <v>19576.48</v>
      </c>
      <c r="K133">
        <v>1.3</v>
      </c>
    </row>
    <row r="134" spans="1:11" x14ac:dyDescent="0.35">
      <c r="A134" s="1">
        <v>45417</v>
      </c>
      <c r="B134" t="s">
        <v>106</v>
      </c>
      <c r="C134" t="s">
        <v>24</v>
      </c>
      <c r="D134" t="s">
        <v>25</v>
      </c>
      <c r="E134" t="s">
        <v>26</v>
      </c>
      <c r="F134" t="s">
        <v>45</v>
      </c>
      <c r="G134" t="s">
        <v>39</v>
      </c>
      <c r="H134">
        <v>13550.34</v>
      </c>
      <c r="I134">
        <v>4</v>
      </c>
      <c r="J134">
        <v>54201.36</v>
      </c>
      <c r="K134">
        <v>4.62</v>
      </c>
    </row>
    <row r="135" spans="1:11" x14ac:dyDescent="0.35">
      <c r="A135" s="1">
        <v>45418</v>
      </c>
      <c r="B135" t="s">
        <v>112</v>
      </c>
      <c r="C135" t="s">
        <v>24</v>
      </c>
      <c r="D135" t="s">
        <v>25</v>
      </c>
      <c r="E135" t="s">
        <v>26</v>
      </c>
      <c r="F135" t="s">
        <v>15</v>
      </c>
      <c r="G135" t="s">
        <v>27</v>
      </c>
      <c r="H135">
        <v>19518.009999999998</v>
      </c>
      <c r="I135">
        <v>2</v>
      </c>
      <c r="J135">
        <v>39036.019999999997</v>
      </c>
      <c r="K135">
        <v>3.57</v>
      </c>
    </row>
    <row r="136" spans="1:11" x14ac:dyDescent="0.35">
      <c r="A136" s="1">
        <v>45418</v>
      </c>
      <c r="B136" t="s">
        <v>1877</v>
      </c>
      <c r="C136" t="s">
        <v>24</v>
      </c>
      <c r="D136" t="s">
        <v>25</v>
      </c>
      <c r="E136" t="s">
        <v>26</v>
      </c>
      <c r="F136" t="s">
        <v>21</v>
      </c>
      <c r="G136" t="s">
        <v>32</v>
      </c>
      <c r="H136">
        <v>5579.08</v>
      </c>
      <c r="I136">
        <v>2</v>
      </c>
      <c r="J136">
        <v>11158.16</v>
      </c>
      <c r="K136">
        <v>2.08</v>
      </c>
    </row>
    <row r="137" spans="1:11" x14ac:dyDescent="0.35">
      <c r="A137" s="1">
        <v>45421</v>
      </c>
      <c r="B137" t="s">
        <v>1483</v>
      </c>
      <c r="C137" t="s">
        <v>24</v>
      </c>
      <c r="D137" t="s">
        <v>25</v>
      </c>
      <c r="E137" t="s">
        <v>26</v>
      </c>
      <c r="F137" t="s">
        <v>15</v>
      </c>
      <c r="G137" t="s">
        <v>16</v>
      </c>
      <c r="H137">
        <v>7997.84</v>
      </c>
      <c r="I137">
        <v>4</v>
      </c>
      <c r="J137">
        <v>31991.360000000001</v>
      </c>
      <c r="K137">
        <v>1.56</v>
      </c>
    </row>
    <row r="138" spans="1:11" x14ac:dyDescent="0.35">
      <c r="A138" s="1">
        <v>45421</v>
      </c>
      <c r="B138" t="s">
        <v>1624</v>
      </c>
      <c r="C138" t="s">
        <v>24</v>
      </c>
      <c r="D138" t="s">
        <v>25</v>
      </c>
      <c r="E138" t="s">
        <v>26</v>
      </c>
      <c r="F138" t="s">
        <v>15</v>
      </c>
      <c r="G138" t="s">
        <v>22</v>
      </c>
      <c r="H138">
        <v>15393.35</v>
      </c>
      <c r="I138">
        <v>2</v>
      </c>
      <c r="J138">
        <v>30786.7</v>
      </c>
      <c r="K138">
        <v>1.72</v>
      </c>
    </row>
    <row r="139" spans="1:11" x14ac:dyDescent="0.35">
      <c r="A139" s="1">
        <v>45421</v>
      </c>
      <c r="B139" t="s">
        <v>1792</v>
      </c>
      <c r="C139" t="s">
        <v>24</v>
      </c>
      <c r="D139" t="s">
        <v>25</v>
      </c>
      <c r="E139" t="s">
        <v>26</v>
      </c>
      <c r="F139" t="s">
        <v>15</v>
      </c>
      <c r="G139" t="s">
        <v>16</v>
      </c>
      <c r="H139">
        <v>17312.189999999999</v>
      </c>
      <c r="I139">
        <v>2</v>
      </c>
      <c r="J139">
        <v>34624.379999999997</v>
      </c>
      <c r="K139">
        <v>1.41</v>
      </c>
    </row>
    <row r="140" spans="1:11" x14ac:dyDescent="0.35">
      <c r="A140" s="1">
        <v>45421</v>
      </c>
      <c r="B140" t="s">
        <v>611</v>
      </c>
      <c r="C140" t="s">
        <v>42</v>
      </c>
      <c r="D140" t="s">
        <v>25</v>
      </c>
      <c r="E140" t="s">
        <v>43</v>
      </c>
      <c r="F140" t="s">
        <v>21</v>
      </c>
      <c r="G140" t="s">
        <v>22</v>
      </c>
      <c r="H140">
        <v>2323.8200000000002</v>
      </c>
      <c r="I140">
        <v>1</v>
      </c>
      <c r="J140">
        <v>2323.8200000000002</v>
      </c>
      <c r="K140">
        <v>2.87</v>
      </c>
    </row>
    <row r="141" spans="1:11" x14ac:dyDescent="0.35">
      <c r="A141" s="1">
        <v>45421</v>
      </c>
      <c r="B141" t="s">
        <v>1814</v>
      </c>
      <c r="C141" t="s">
        <v>42</v>
      </c>
      <c r="D141" t="s">
        <v>25</v>
      </c>
      <c r="E141" t="s">
        <v>43</v>
      </c>
      <c r="F141" t="s">
        <v>21</v>
      </c>
      <c r="G141" t="s">
        <v>60</v>
      </c>
      <c r="H141">
        <v>3112.57</v>
      </c>
      <c r="I141">
        <v>5</v>
      </c>
      <c r="J141">
        <v>15562.85</v>
      </c>
      <c r="K141">
        <v>1.2</v>
      </c>
    </row>
    <row r="142" spans="1:11" x14ac:dyDescent="0.35">
      <c r="A142" s="1">
        <v>45422</v>
      </c>
      <c r="B142" t="s">
        <v>123</v>
      </c>
      <c r="C142" t="s">
        <v>24</v>
      </c>
      <c r="D142" t="s">
        <v>25</v>
      </c>
      <c r="E142" t="s">
        <v>26</v>
      </c>
      <c r="F142" t="s">
        <v>15</v>
      </c>
      <c r="G142" t="s">
        <v>60</v>
      </c>
      <c r="H142">
        <v>7564.18</v>
      </c>
      <c r="I142">
        <v>4</v>
      </c>
      <c r="J142">
        <v>30256.720000000001</v>
      </c>
      <c r="K142">
        <v>1.79</v>
      </c>
    </row>
    <row r="143" spans="1:11" x14ac:dyDescent="0.35">
      <c r="A143" s="1">
        <v>45422</v>
      </c>
      <c r="B143" t="s">
        <v>1608</v>
      </c>
      <c r="C143" t="s">
        <v>24</v>
      </c>
      <c r="D143" t="s">
        <v>25</v>
      </c>
      <c r="E143" t="s">
        <v>26</v>
      </c>
      <c r="F143" t="s">
        <v>15</v>
      </c>
      <c r="G143" t="s">
        <v>60</v>
      </c>
      <c r="H143">
        <v>8258.09</v>
      </c>
      <c r="I143">
        <v>2</v>
      </c>
      <c r="J143">
        <v>16516.18</v>
      </c>
      <c r="K143">
        <v>2.29</v>
      </c>
    </row>
    <row r="144" spans="1:11" x14ac:dyDescent="0.35">
      <c r="A144" s="1">
        <v>45423</v>
      </c>
      <c r="B144" t="s">
        <v>695</v>
      </c>
      <c r="C144" t="s">
        <v>24</v>
      </c>
      <c r="D144" t="s">
        <v>25</v>
      </c>
      <c r="E144" t="s">
        <v>26</v>
      </c>
      <c r="F144" t="s">
        <v>21</v>
      </c>
      <c r="G144" t="s">
        <v>27</v>
      </c>
      <c r="H144">
        <v>19308.169999999998</v>
      </c>
      <c r="I144">
        <v>4</v>
      </c>
      <c r="J144">
        <v>77232.679999999993</v>
      </c>
      <c r="K144">
        <v>1.87</v>
      </c>
    </row>
    <row r="145" spans="1:11" x14ac:dyDescent="0.35">
      <c r="A145" s="1">
        <v>45423</v>
      </c>
      <c r="B145" t="s">
        <v>1384</v>
      </c>
      <c r="C145" t="s">
        <v>24</v>
      </c>
      <c r="D145" t="s">
        <v>25</v>
      </c>
      <c r="E145" t="s">
        <v>26</v>
      </c>
      <c r="F145" t="s">
        <v>21</v>
      </c>
      <c r="G145" t="s">
        <v>22</v>
      </c>
      <c r="H145">
        <v>16392.32</v>
      </c>
      <c r="I145">
        <v>3</v>
      </c>
      <c r="J145">
        <v>49176.959999999999</v>
      </c>
      <c r="K145">
        <v>4.74</v>
      </c>
    </row>
    <row r="146" spans="1:11" x14ac:dyDescent="0.35">
      <c r="A146" s="1">
        <v>45423</v>
      </c>
      <c r="B146" t="s">
        <v>1831</v>
      </c>
      <c r="C146" t="s">
        <v>42</v>
      </c>
      <c r="D146" t="s">
        <v>25</v>
      </c>
      <c r="E146" t="s">
        <v>43</v>
      </c>
      <c r="F146" t="s">
        <v>21</v>
      </c>
      <c r="G146" t="s">
        <v>32</v>
      </c>
      <c r="H146">
        <v>18971.36</v>
      </c>
      <c r="I146">
        <v>5</v>
      </c>
      <c r="J146">
        <v>94856.8</v>
      </c>
      <c r="K146">
        <v>2.4500000000000002</v>
      </c>
    </row>
    <row r="147" spans="1:11" x14ac:dyDescent="0.35">
      <c r="A147" s="1">
        <v>45424</v>
      </c>
      <c r="B147" t="s">
        <v>1602</v>
      </c>
      <c r="C147" t="s">
        <v>24</v>
      </c>
      <c r="D147" t="s">
        <v>25</v>
      </c>
      <c r="E147" t="s">
        <v>26</v>
      </c>
      <c r="F147" t="s">
        <v>45</v>
      </c>
      <c r="G147" t="s">
        <v>27</v>
      </c>
      <c r="H147">
        <v>1275.26</v>
      </c>
      <c r="I147">
        <v>4</v>
      </c>
      <c r="J147">
        <v>5101.04</v>
      </c>
      <c r="K147">
        <v>2.27</v>
      </c>
    </row>
    <row r="148" spans="1:11" x14ac:dyDescent="0.35">
      <c r="A148" s="1">
        <v>45426</v>
      </c>
      <c r="B148" t="s">
        <v>1347</v>
      </c>
      <c r="C148" t="s">
        <v>42</v>
      </c>
      <c r="D148" t="s">
        <v>25</v>
      </c>
      <c r="E148" t="s">
        <v>43</v>
      </c>
      <c r="F148" t="s">
        <v>45</v>
      </c>
      <c r="G148" t="s">
        <v>16</v>
      </c>
      <c r="H148">
        <v>1401.79</v>
      </c>
      <c r="I148">
        <v>2</v>
      </c>
      <c r="J148">
        <v>2803.58</v>
      </c>
      <c r="K148">
        <v>2.87</v>
      </c>
    </row>
    <row r="149" spans="1:11" x14ac:dyDescent="0.35">
      <c r="A149" s="1">
        <v>45427</v>
      </c>
      <c r="B149" t="s">
        <v>782</v>
      </c>
      <c r="C149" t="s">
        <v>24</v>
      </c>
      <c r="D149" t="s">
        <v>25</v>
      </c>
      <c r="E149" t="s">
        <v>26</v>
      </c>
      <c r="F149" t="s">
        <v>15</v>
      </c>
      <c r="G149" t="s">
        <v>60</v>
      </c>
      <c r="H149">
        <v>11515.83</v>
      </c>
      <c r="I149">
        <v>3</v>
      </c>
      <c r="J149">
        <v>34547.49</v>
      </c>
      <c r="K149">
        <v>3.8</v>
      </c>
    </row>
    <row r="150" spans="1:11" x14ac:dyDescent="0.35">
      <c r="A150" s="1">
        <v>45429</v>
      </c>
      <c r="B150" t="s">
        <v>431</v>
      </c>
      <c r="C150" t="s">
        <v>24</v>
      </c>
      <c r="D150" t="s">
        <v>25</v>
      </c>
      <c r="E150" t="s">
        <v>26</v>
      </c>
      <c r="F150" t="s">
        <v>21</v>
      </c>
      <c r="G150" t="s">
        <v>22</v>
      </c>
      <c r="H150">
        <v>10992.72</v>
      </c>
      <c r="I150">
        <v>1</v>
      </c>
      <c r="J150">
        <v>10992.72</v>
      </c>
      <c r="K150">
        <v>3.41</v>
      </c>
    </row>
    <row r="151" spans="1:11" x14ac:dyDescent="0.35">
      <c r="A151" s="1">
        <v>45429</v>
      </c>
      <c r="B151" t="s">
        <v>1002</v>
      </c>
      <c r="C151" t="s">
        <v>24</v>
      </c>
      <c r="D151" t="s">
        <v>25</v>
      </c>
      <c r="E151" t="s">
        <v>26</v>
      </c>
      <c r="F151" t="s">
        <v>21</v>
      </c>
      <c r="G151" t="s">
        <v>16</v>
      </c>
      <c r="H151">
        <v>6765.6</v>
      </c>
      <c r="I151">
        <v>3</v>
      </c>
      <c r="J151">
        <v>20296.8</v>
      </c>
      <c r="K151">
        <v>1.4</v>
      </c>
    </row>
    <row r="152" spans="1:11" x14ac:dyDescent="0.35">
      <c r="A152" s="1">
        <v>45430</v>
      </c>
      <c r="B152" t="s">
        <v>467</v>
      </c>
      <c r="C152" t="s">
        <v>42</v>
      </c>
      <c r="D152" t="s">
        <v>25</v>
      </c>
      <c r="E152" t="s">
        <v>43</v>
      </c>
      <c r="F152" t="s">
        <v>45</v>
      </c>
      <c r="G152" t="s">
        <v>32</v>
      </c>
      <c r="H152">
        <v>10408.52</v>
      </c>
      <c r="I152">
        <v>1</v>
      </c>
      <c r="J152">
        <v>10408.52</v>
      </c>
      <c r="K152">
        <v>1.04</v>
      </c>
    </row>
    <row r="153" spans="1:11" x14ac:dyDescent="0.35">
      <c r="A153" s="1">
        <v>45431</v>
      </c>
      <c r="B153" t="s">
        <v>163</v>
      </c>
      <c r="C153" t="s">
        <v>42</v>
      </c>
      <c r="D153" t="s">
        <v>25</v>
      </c>
      <c r="E153" t="s">
        <v>43</v>
      </c>
      <c r="F153" t="s">
        <v>21</v>
      </c>
      <c r="G153" t="s">
        <v>27</v>
      </c>
      <c r="H153">
        <v>11119.45</v>
      </c>
      <c r="I153">
        <v>5</v>
      </c>
      <c r="J153">
        <v>55597.25</v>
      </c>
      <c r="K153">
        <v>2.88</v>
      </c>
    </row>
    <row r="154" spans="1:11" x14ac:dyDescent="0.35">
      <c r="A154" s="1">
        <v>45431</v>
      </c>
      <c r="B154" t="s">
        <v>959</v>
      </c>
      <c r="C154" t="s">
        <v>42</v>
      </c>
      <c r="D154" t="s">
        <v>25</v>
      </c>
      <c r="E154" t="s">
        <v>43</v>
      </c>
      <c r="F154" t="s">
        <v>15</v>
      </c>
      <c r="G154" t="s">
        <v>27</v>
      </c>
      <c r="H154">
        <v>6682.81</v>
      </c>
      <c r="I154">
        <v>3</v>
      </c>
      <c r="J154">
        <v>20048.43</v>
      </c>
      <c r="K154">
        <v>2.0499999999999998</v>
      </c>
    </row>
    <row r="155" spans="1:11" x14ac:dyDescent="0.35">
      <c r="A155" s="1">
        <v>45431</v>
      </c>
      <c r="B155" t="s">
        <v>1035</v>
      </c>
      <c r="C155" t="s">
        <v>42</v>
      </c>
      <c r="D155" t="s">
        <v>25</v>
      </c>
      <c r="E155" t="s">
        <v>43</v>
      </c>
      <c r="F155" t="s">
        <v>45</v>
      </c>
      <c r="G155" t="s">
        <v>32</v>
      </c>
      <c r="H155">
        <v>9964.41</v>
      </c>
      <c r="I155">
        <v>3</v>
      </c>
      <c r="J155">
        <v>29893.23</v>
      </c>
      <c r="K155">
        <v>4.95</v>
      </c>
    </row>
    <row r="156" spans="1:11" x14ac:dyDescent="0.35">
      <c r="A156" s="1">
        <v>45431</v>
      </c>
      <c r="B156" t="s">
        <v>1193</v>
      </c>
      <c r="C156" t="s">
        <v>42</v>
      </c>
      <c r="D156" t="s">
        <v>25</v>
      </c>
      <c r="E156" t="s">
        <v>43</v>
      </c>
      <c r="F156" t="s">
        <v>21</v>
      </c>
      <c r="G156" t="s">
        <v>27</v>
      </c>
      <c r="H156">
        <v>7124.55</v>
      </c>
      <c r="I156">
        <v>5</v>
      </c>
      <c r="J156">
        <v>35622.75</v>
      </c>
      <c r="K156">
        <v>2.61</v>
      </c>
    </row>
    <row r="157" spans="1:11" x14ac:dyDescent="0.35">
      <c r="A157" s="1">
        <v>45432</v>
      </c>
      <c r="B157" t="s">
        <v>1830</v>
      </c>
      <c r="C157" t="s">
        <v>24</v>
      </c>
      <c r="D157" t="s">
        <v>25</v>
      </c>
      <c r="E157" t="s">
        <v>26</v>
      </c>
      <c r="F157" t="s">
        <v>21</v>
      </c>
      <c r="G157" t="s">
        <v>16</v>
      </c>
      <c r="H157">
        <v>7956.37</v>
      </c>
      <c r="I157">
        <v>1</v>
      </c>
      <c r="J157">
        <v>7956.37</v>
      </c>
      <c r="K157">
        <v>1.28</v>
      </c>
    </row>
    <row r="158" spans="1:11" x14ac:dyDescent="0.35">
      <c r="A158" s="1">
        <v>45433</v>
      </c>
      <c r="B158" t="s">
        <v>1519</v>
      </c>
      <c r="C158" t="s">
        <v>24</v>
      </c>
      <c r="D158" t="s">
        <v>25</v>
      </c>
      <c r="E158" t="s">
        <v>26</v>
      </c>
      <c r="F158" t="s">
        <v>15</v>
      </c>
      <c r="G158" t="s">
        <v>22</v>
      </c>
      <c r="H158">
        <v>9011.1299999999992</v>
      </c>
      <c r="I158">
        <v>4</v>
      </c>
      <c r="J158">
        <v>36044.519999999997</v>
      </c>
      <c r="K158">
        <v>1.6</v>
      </c>
    </row>
    <row r="159" spans="1:11" x14ac:dyDescent="0.35">
      <c r="A159" s="1">
        <v>45435</v>
      </c>
      <c r="B159" t="s">
        <v>353</v>
      </c>
      <c r="C159" t="s">
        <v>42</v>
      </c>
      <c r="D159" t="s">
        <v>25</v>
      </c>
      <c r="E159" t="s">
        <v>43</v>
      </c>
      <c r="F159" t="s">
        <v>45</v>
      </c>
      <c r="G159" t="s">
        <v>27</v>
      </c>
      <c r="H159">
        <v>7448.45</v>
      </c>
      <c r="I159">
        <v>5</v>
      </c>
      <c r="J159">
        <v>37242.25</v>
      </c>
      <c r="K159">
        <v>4.4400000000000004</v>
      </c>
    </row>
    <row r="160" spans="1:11" x14ac:dyDescent="0.35">
      <c r="A160" s="1">
        <v>45436</v>
      </c>
      <c r="B160" t="s">
        <v>243</v>
      </c>
      <c r="C160" t="s">
        <v>24</v>
      </c>
      <c r="D160" t="s">
        <v>25</v>
      </c>
      <c r="E160" t="s">
        <v>26</v>
      </c>
      <c r="F160" t="s">
        <v>45</v>
      </c>
      <c r="G160" t="s">
        <v>16</v>
      </c>
      <c r="H160">
        <v>12591.67</v>
      </c>
      <c r="I160">
        <v>2</v>
      </c>
      <c r="J160">
        <v>25183.34</v>
      </c>
      <c r="K160">
        <v>1.32</v>
      </c>
    </row>
    <row r="161" spans="1:11" x14ac:dyDescent="0.35">
      <c r="A161" s="1">
        <v>45436</v>
      </c>
      <c r="B161" t="s">
        <v>1674</v>
      </c>
      <c r="C161" t="s">
        <v>42</v>
      </c>
      <c r="D161" t="s">
        <v>25</v>
      </c>
      <c r="E161" t="s">
        <v>43</v>
      </c>
      <c r="F161" t="s">
        <v>21</v>
      </c>
      <c r="G161" t="s">
        <v>39</v>
      </c>
      <c r="H161">
        <v>8248.33</v>
      </c>
      <c r="I161">
        <v>4</v>
      </c>
      <c r="J161">
        <v>32993.32</v>
      </c>
      <c r="K161">
        <v>2.99</v>
      </c>
    </row>
    <row r="162" spans="1:11" x14ac:dyDescent="0.35">
      <c r="A162" s="1">
        <v>45437</v>
      </c>
      <c r="B162" t="s">
        <v>1055</v>
      </c>
      <c r="C162" t="s">
        <v>42</v>
      </c>
      <c r="D162" t="s">
        <v>25</v>
      </c>
      <c r="E162" t="s">
        <v>43</v>
      </c>
      <c r="F162" t="s">
        <v>45</v>
      </c>
      <c r="G162" t="s">
        <v>39</v>
      </c>
      <c r="H162">
        <v>6071.1</v>
      </c>
      <c r="I162">
        <v>3</v>
      </c>
      <c r="J162">
        <v>18213.3</v>
      </c>
      <c r="K162">
        <v>1.04</v>
      </c>
    </row>
    <row r="163" spans="1:11" x14ac:dyDescent="0.35">
      <c r="A163" s="1">
        <v>45439</v>
      </c>
      <c r="B163" t="s">
        <v>23</v>
      </c>
      <c r="C163" t="s">
        <v>24</v>
      </c>
      <c r="D163" t="s">
        <v>25</v>
      </c>
      <c r="E163" t="s">
        <v>26</v>
      </c>
      <c r="F163" t="s">
        <v>21</v>
      </c>
      <c r="G163" t="s">
        <v>27</v>
      </c>
      <c r="H163">
        <v>8882.92</v>
      </c>
      <c r="I163">
        <v>3</v>
      </c>
      <c r="J163">
        <v>26648.76</v>
      </c>
      <c r="K163">
        <v>4.9800000000000004</v>
      </c>
    </row>
    <row r="164" spans="1:11" x14ac:dyDescent="0.35">
      <c r="A164" s="1">
        <v>45440</v>
      </c>
      <c r="B164" t="s">
        <v>1098</v>
      </c>
      <c r="C164" t="s">
        <v>24</v>
      </c>
      <c r="D164" t="s">
        <v>25</v>
      </c>
      <c r="E164" t="s">
        <v>26</v>
      </c>
      <c r="F164" t="s">
        <v>21</v>
      </c>
      <c r="G164" t="s">
        <v>22</v>
      </c>
      <c r="H164">
        <v>10194.32</v>
      </c>
      <c r="I164">
        <v>2</v>
      </c>
      <c r="J164">
        <v>20388.64</v>
      </c>
      <c r="K164">
        <v>1.1599999999999999</v>
      </c>
    </row>
    <row r="165" spans="1:11" x14ac:dyDescent="0.35">
      <c r="A165" s="1">
        <v>45440</v>
      </c>
      <c r="B165" t="s">
        <v>1352</v>
      </c>
      <c r="C165" t="s">
        <v>42</v>
      </c>
      <c r="D165" t="s">
        <v>25</v>
      </c>
      <c r="E165" t="s">
        <v>43</v>
      </c>
      <c r="F165" t="s">
        <v>45</v>
      </c>
      <c r="G165" t="s">
        <v>16</v>
      </c>
      <c r="H165">
        <v>16790.96</v>
      </c>
      <c r="I165">
        <v>4</v>
      </c>
      <c r="J165">
        <v>67163.839999999997</v>
      </c>
      <c r="K165">
        <v>3.17</v>
      </c>
    </row>
    <row r="166" spans="1:11" x14ac:dyDescent="0.35">
      <c r="A166" s="1">
        <v>45441</v>
      </c>
      <c r="B166" t="s">
        <v>906</v>
      </c>
      <c r="C166" t="s">
        <v>24</v>
      </c>
      <c r="D166" t="s">
        <v>25</v>
      </c>
      <c r="E166" t="s">
        <v>26</v>
      </c>
      <c r="F166" t="s">
        <v>15</v>
      </c>
      <c r="G166" t="s">
        <v>16</v>
      </c>
      <c r="H166">
        <v>3051.64</v>
      </c>
      <c r="I166">
        <v>5</v>
      </c>
      <c r="J166">
        <v>15258.2</v>
      </c>
      <c r="K166">
        <v>1.1100000000000001</v>
      </c>
    </row>
    <row r="167" spans="1:11" x14ac:dyDescent="0.35">
      <c r="A167" s="1">
        <v>45442</v>
      </c>
      <c r="B167" t="s">
        <v>854</v>
      </c>
      <c r="C167" t="s">
        <v>24</v>
      </c>
      <c r="D167" t="s">
        <v>25</v>
      </c>
      <c r="E167" t="s">
        <v>26</v>
      </c>
      <c r="F167" t="s">
        <v>45</v>
      </c>
      <c r="G167" t="s">
        <v>32</v>
      </c>
      <c r="H167">
        <v>821.62</v>
      </c>
      <c r="I167">
        <v>2</v>
      </c>
      <c r="J167">
        <v>1643.24</v>
      </c>
      <c r="K167">
        <v>4.33</v>
      </c>
    </row>
    <row r="168" spans="1:11" x14ac:dyDescent="0.35">
      <c r="A168" s="1">
        <v>45442</v>
      </c>
      <c r="B168" t="s">
        <v>1973</v>
      </c>
      <c r="C168" t="s">
        <v>24</v>
      </c>
      <c r="D168" t="s">
        <v>25</v>
      </c>
      <c r="E168" t="s">
        <v>26</v>
      </c>
      <c r="F168" t="s">
        <v>45</v>
      </c>
      <c r="G168" t="s">
        <v>22</v>
      </c>
      <c r="H168">
        <v>7820.92</v>
      </c>
      <c r="I168">
        <v>2</v>
      </c>
      <c r="J168">
        <v>15641.84</v>
      </c>
      <c r="K168">
        <v>2.73</v>
      </c>
    </row>
    <row r="169" spans="1:11" x14ac:dyDescent="0.35">
      <c r="A169" s="1">
        <v>45442</v>
      </c>
      <c r="B169" t="s">
        <v>428</v>
      </c>
      <c r="C169" t="s">
        <v>42</v>
      </c>
      <c r="D169" t="s">
        <v>25</v>
      </c>
      <c r="E169" t="s">
        <v>43</v>
      </c>
      <c r="F169" t="s">
        <v>45</v>
      </c>
      <c r="G169" t="s">
        <v>27</v>
      </c>
      <c r="H169">
        <v>15743.97</v>
      </c>
      <c r="I169">
        <v>2</v>
      </c>
      <c r="J169">
        <v>31487.94</v>
      </c>
      <c r="K169">
        <v>3.11</v>
      </c>
    </row>
    <row r="170" spans="1:11" x14ac:dyDescent="0.35">
      <c r="A170" s="1">
        <v>45443</v>
      </c>
      <c r="B170" t="s">
        <v>1044</v>
      </c>
      <c r="C170" t="s">
        <v>42</v>
      </c>
      <c r="D170" t="s">
        <v>25</v>
      </c>
      <c r="E170" t="s">
        <v>43</v>
      </c>
      <c r="F170" t="s">
        <v>45</v>
      </c>
      <c r="G170" t="s">
        <v>27</v>
      </c>
      <c r="H170">
        <v>17983.27</v>
      </c>
      <c r="I170">
        <v>2</v>
      </c>
      <c r="J170">
        <v>35966.54</v>
      </c>
      <c r="K170">
        <v>3.78</v>
      </c>
    </row>
    <row r="171" spans="1:11" x14ac:dyDescent="0.35">
      <c r="A171" s="1">
        <v>45445</v>
      </c>
      <c r="B171" t="s">
        <v>612</v>
      </c>
      <c r="C171" t="s">
        <v>42</v>
      </c>
      <c r="D171" t="s">
        <v>25</v>
      </c>
      <c r="E171" t="s">
        <v>43</v>
      </c>
      <c r="F171" t="s">
        <v>45</v>
      </c>
      <c r="G171" t="s">
        <v>16</v>
      </c>
      <c r="H171">
        <v>14106.05</v>
      </c>
      <c r="I171">
        <v>2</v>
      </c>
      <c r="J171">
        <v>28212.1</v>
      </c>
      <c r="K171">
        <v>2.3199999999999998</v>
      </c>
    </row>
    <row r="172" spans="1:11" x14ac:dyDescent="0.35">
      <c r="A172" s="1">
        <v>45446</v>
      </c>
      <c r="B172" t="s">
        <v>741</v>
      </c>
      <c r="C172" t="s">
        <v>24</v>
      </c>
      <c r="D172" t="s">
        <v>25</v>
      </c>
      <c r="E172" t="s">
        <v>26</v>
      </c>
      <c r="F172" t="s">
        <v>45</v>
      </c>
      <c r="G172" t="s">
        <v>27</v>
      </c>
      <c r="H172">
        <v>9949.0499999999993</v>
      </c>
      <c r="I172">
        <v>1</v>
      </c>
      <c r="J172">
        <v>9949.0499999999993</v>
      </c>
      <c r="K172">
        <v>1.02</v>
      </c>
    </row>
    <row r="173" spans="1:11" x14ac:dyDescent="0.35">
      <c r="A173" s="1">
        <v>45446</v>
      </c>
      <c r="B173" t="s">
        <v>2013</v>
      </c>
      <c r="C173" t="s">
        <v>42</v>
      </c>
      <c r="D173" t="s">
        <v>25</v>
      </c>
      <c r="E173" t="s">
        <v>43</v>
      </c>
      <c r="F173" t="s">
        <v>21</v>
      </c>
      <c r="G173" t="s">
        <v>16</v>
      </c>
      <c r="H173">
        <v>13938.68</v>
      </c>
      <c r="I173">
        <v>3</v>
      </c>
      <c r="J173">
        <v>41816.04</v>
      </c>
      <c r="K173">
        <v>2.5099999999999998</v>
      </c>
    </row>
    <row r="174" spans="1:11" x14ac:dyDescent="0.35">
      <c r="A174" s="1">
        <v>45448</v>
      </c>
      <c r="B174" t="s">
        <v>2042</v>
      </c>
      <c r="C174" t="s">
        <v>24</v>
      </c>
      <c r="D174" t="s">
        <v>25</v>
      </c>
      <c r="E174" t="s">
        <v>26</v>
      </c>
      <c r="F174" t="s">
        <v>15</v>
      </c>
      <c r="G174" t="s">
        <v>39</v>
      </c>
      <c r="H174">
        <v>8312.75</v>
      </c>
      <c r="I174">
        <v>5</v>
      </c>
      <c r="J174">
        <v>41563.75</v>
      </c>
      <c r="K174">
        <v>4.79</v>
      </c>
    </row>
    <row r="175" spans="1:11" x14ac:dyDescent="0.35">
      <c r="A175" s="1">
        <v>45448</v>
      </c>
      <c r="B175" t="s">
        <v>1717</v>
      </c>
      <c r="C175" t="s">
        <v>42</v>
      </c>
      <c r="D175" t="s">
        <v>25</v>
      </c>
      <c r="E175" t="s">
        <v>43</v>
      </c>
      <c r="F175" t="s">
        <v>21</v>
      </c>
      <c r="G175" t="s">
        <v>27</v>
      </c>
      <c r="H175">
        <v>19566.79</v>
      </c>
      <c r="I175">
        <v>3</v>
      </c>
      <c r="J175">
        <v>58700.37</v>
      </c>
      <c r="K175">
        <v>3.23</v>
      </c>
    </row>
    <row r="176" spans="1:11" x14ac:dyDescent="0.35">
      <c r="A176" s="1">
        <v>45448</v>
      </c>
      <c r="B176" t="s">
        <v>1932</v>
      </c>
      <c r="C176" t="s">
        <v>42</v>
      </c>
      <c r="D176" t="s">
        <v>25</v>
      </c>
      <c r="E176" t="s">
        <v>43</v>
      </c>
      <c r="F176" t="s">
        <v>15</v>
      </c>
      <c r="G176" t="s">
        <v>60</v>
      </c>
      <c r="H176">
        <v>19514.04</v>
      </c>
      <c r="I176">
        <v>1</v>
      </c>
      <c r="J176">
        <v>19514.04</v>
      </c>
      <c r="K176">
        <v>2</v>
      </c>
    </row>
    <row r="177" spans="1:11" x14ac:dyDescent="0.35">
      <c r="A177" s="1">
        <v>45450</v>
      </c>
      <c r="B177" t="s">
        <v>579</v>
      </c>
      <c r="C177" t="s">
        <v>42</v>
      </c>
      <c r="D177" t="s">
        <v>25</v>
      </c>
      <c r="E177" t="s">
        <v>43</v>
      </c>
      <c r="F177" t="s">
        <v>21</v>
      </c>
      <c r="G177" t="s">
        <v>32</v>
      </c>
      <c r="H177">
        <v>17358.28</v>
      </c>
      <c r="I177">
        <v>5</v>
      </c>
      <c r="J177">
        <v>86791.4</v>
      </c>
      <c r="K177">
        <v>4.34</v>
      </c>
    </row>
    <row r="178" spans="1:11" x14ac:dyDescent="0.35">
      <c r="A178" s="1">
        <v>45454</v>
      </c>
      <c r="B178" t="s">
        <v>726</v>
      </c>
      <c r="C178" t="s">
        <v>42</v>
      </c>
      <c r="D178" t="s">
        <v>25</v>
      </c>
      <c r="E178" t="s">
        <v>43</v>
      </c>
      <c r="F178" t="s">
        <v>15</v>
      </c>
      <c r="G178" t="s">
        <v>27</v>
      </c>
      <c r="H178">
        <v>18692.47</v>
      </c>
      <c r="I178">
        <v>5</v>
      </c>
      <c r="J178">
        <v>93462.35</v>
      </c>
      <c r="K178">
        <v>3.79</v>
      </c>
    </row>
    <row r="179" spans="1:11" x14ac:dyDescent="0.35">
      <c r="A179" s="1">
        <v>45456</v>
      </c>
      <c r="B179" t="s">
        <v>1503</v>
      </c>
      <c r="C179" t="s">
        <v>24</v>
      </c>
      <c r="D179" t="s">
        <v>25</v>
      </c>
      <c r="E179" t="s">
        <v>26</v>
      </c>
      <c r="F179" t="s">
        <v>21</v>
      </c>
      <c r="G179" t="s">
        <v>60</v>
      </c>
      <c r="H179">
        <v>19797.96</v>
      </c>
      <c r="I179">
        <v>1</v>
      </c>
      <c r="J179">
        <v>19797.96</v>
      </c>
      <c r="K179">
        <v>2.5</v>
      </c>
    </row>
    <row r="180" spans="1:11" x14ac:dyDescent="0.35">
      <c r="A180" s="1">
        <v>45456</v>
      </c>
      <c r="B180" t="s">
        <v>1454</v>
      </c>
      <c r="C180" t="s">
        <v>42</v>
      </c>
      <c r="D180" t="s">
        <v>25</v>
      </c>
      <c r="E180" t="s">
        <v>43</v>
      </c>
      <c r="F180" t="s">
        <v>21</v>
      </c>
      <c r="G180" t="s">
        <v>32</v>
      </c>
      <c r="H180">
        <v>12151.44</v>
      </c>
      <c r="I180">
        <v>5</v>
      </c>
      <c r="J180">
        <v>60757.2</v>
      </c>
      <c r="K180">
        <v>4.62</v>
      </c>
    </row>
    <row r="181" spans="1:11" x14ac:dyDescent="0.35">
      <c r="A181" s="1">
        <v>45459</v>
      </c>
      <c r="B181" t="s">
        <v>1343</v>
      </c>
      <c r="C181" t="s">
        <v>24</v>
      </c>
      <c r="D181" t="s">
        <v>25</v>
      </c>
      <c r="E181" t="s">
        <v>26</v>
      </c>
      <c r="F181" t="s">
        <v>45</v>
      </c>
      <c r="G181" t="s">
        <v>16</v>
      </c>
      <c r="H181">
        <v>3915.6</v>
      </c>
      <c r="I181">
        <v>1</v>
      </c>
      <c r="J181">
        <v>3915.6</v>
      </c>
      <c r="K181">
        <v>4</v>
      </c>
    </row>
    <row r="182" spans="1:11" x14ac:dyDescent="0.35">
      <c r="A182" s="1">
        <v>45459</v>
      </c>
      <c r="B182" t="s">
        <v>1252</v>
      </c>
      <c r="C182" t="s">
        <v>42</v>
      </c>
      <c r="D182" t="s">
        <v>25</v>
      </c>
      <c r="E182" t="s">
        <v>43</v>
      </c>
      <c r="F182" t="s">
        <v>21</v>
      </c>
      <c r="G182" t="s">
        <v>22</v>
      </c>
      <c r="H182">
        <v>2090.15</v>
      </c>
      <c r="I182">
        <v>5</v>
      </c>
      <c r="J182">
        <v>10450.75</v>
      </c>
      <c r="K182">
        <v>3.03</v>
      </c>
    </row>
    <row r="183" spans="1:11" x14ac:dyDescent="0.35">
      <c r="A183" s="1">
        <v>45461</v>
      </c>
      <c r="B183" t="s">
        <v>1615</v>
      </c>
      <c r="C183" t="s">
        <v>24</v>
      </c>
      <c r="D183" t="s">
        <v>25</v>
      </c>
      <c r="E183" t="s">
        <v>26</v>
      </c>
      <c r="F183" t="s">
        <v>45</v>
      </c>
      <c r="G183" t="s">
        <v>27</v>
      </c>
      <c r="H183">
        <v>10296.36</v>
      </c>
      <c r="I183">
        <v>4</v>
      </c>
      <c r="J183">
        <v>41185.440000000002</v>
      </c>
      <c r="K183">
        <v>3.5</v>
      </c>
    </row>
    <row r="184" spans="1:11" x14ac:dyDescent="0.35">
      <c r="A184" s="1">
        <v>45462</v>
      </c>
      <c r="B184" t="s">
        <v>1202</v>
      </c>
      <c r="C184" t="s">
        <v>42</v>
      </c>
      <c r="D184" t="s">
        <v>25</v>
      </c>
      <c r="E184" t="s">
        <v>43</v>
      </c>
      <c r="F184" t="s">
        <v>45</v>
      </c>
      <c r="G184" t="s">
        <v>16</v>
      </c>
      <c r="H184">
        <v>19908.849999999999</v>
      </c>
      <c r="I184">
        <v>4</v>
      </c>
      <c r="J184">
        <v>79635.399999999994</v>
      </c>
      <c r="K184">
        <v>4.41</v>
      </c>
    </row>
    <row r="185" spans="1:11" x14ac:dyDescent="0.35">
      <c r="A185" s="1">
        <v>45464</v>
      </c>
      <c r="B185" t="s">
        <v>434</v>
      </c>
      <c r="C185" t="s">
        <v>42</v>
      </c>
      <c r="D185" t="s">
        <v>25</v>
      </c>
      <c r="E185" t="s">
        <v>43</v>
      </c>
      <c r="F185" t="s">
        <v>15</v>
      </c>
      <c r="G185" t="s">
        <v>27</v>
      </c>
      <c r="H185">
        <v>15515.07</v>
      </c>
      <c r="I185">
        <v>3</v>
      </c>
      <c r="J185">
        <v>46545.21</v>
      </c>
      <c r="K185">
        <v>2.69</v>
      </c>
    </row>
    <row r="186" spans="1:11" x14ac:dyDescent="0.35">
      <c r="A186" s="1">
        <v>45466</v>
      </c>
      <c r="B186" t="s">
        <v>529</v>
      </c>
      <c r="C186" t="s">
        <v>42</v>
      </c>
      <c r="D186" t="s">
        <v>25</v>
      </c>
      <c r="E186" t="s">
        <v>43</v>
      </c>
      <c r="F186" t="s">
        <v>15</v>
      </c>
      <c r="G186" t="s">
        <v>39</v>
      </c>
      <c r="H186">
        <v>1535.57</v>
      </c>
      <c r="I186">
        <v>3</v>
      </c>
      <c r="J186">
        <v>4606.71</v>
      </c>
      <c r="K186">
        <v>4.12</v>
      </c>
    </row>
    <row r="187" spans="1:11" x14ac:dyDescent="0.35">
      <c r="A187" s="1">
        <v>45467</v>
      </c>
      <c r="B187" t="s">
        <v>705</v>
      </c>
      <c r="C187" t="s">
        <v>42</v>
      </c>
      <c r="D187" t="s">
        <v>25</v>
      </c>
      <c r="E187" t="s">
        <v>43</v>
      </c>
      <c r="F187" t="s">
        <v>21</v>
      </c>
      <c r="G187" t="s">
        <v>32</v>
      </c>
      <c r="H187">
        <v>8135.84</v>
      </c>
      <c r="I187">
        <v>2</v>
      </c>
      <c r="J187">
        <v>16271.68</v>
      </c>
      <c r="K187">
        <v>2.5499999999999998</v>
      </c>
    </row>
    <row r="188" spans="1:11" x14ac:dyDescent="0.35">
      <c r="A188" s="1">
        <v>45467</v>
      </c>
      <c r="B188" t="s">
        <v>1215</v>
      </c>
      <c r="C188" t="s">
        <v>42</v>
      </c>
      <c r="D188" t="s">
        <v>25</v>
      </c>
      <c r="E188" t="s">
        <v>43</v>
      </c>
      <c r="F188" t="s">
        <v>21</v>
      </c>
      <c r="G188" t="s">
        <v>32</v>
      </c>
      <c r="H188">
        <v>17735.009999999998</v>
      </c>
      <c r="I188">
        <v>5</v>
      </c>
      <c r="J188">
        <v>88675.05</v>
      </c>
      <c r="K188">
        <v>4.93</v>
      </c>
    </row>
    <row r="189" spans="1:11" x14ac:dyDescent="0.35">
      <c r="A189" s="1">
        <v>45469</v>
      </c>
      <c r="B189" t="s">
        <v>1960</v>
      </c>
      <c r="C189" t="s">
        <v>42</v>
      </c>
      <c r="D189" t="s">
        <v>25</v>
      </c>
      <c r="E189" t="s">
        <v>43</v>
      </c>
      <c r="F189" t="s">
        <v>21</v>
      </c>
      <c r="G189" t="s">
        <v>22</v>
      </c>
      <c r="H189">
        <v>19371.23</v>
      </c>
      <c r="I189">
        <v>2</v>
      </c>
      <c r="J189">
        <v>38742.46</v>
      </c>
      <c r="K189">
        <v>4.1500000000000004</v>
      </c>
    </row>
    <row r="190" spans="1:11" x14ac:dyDescent="0.35">
      <c r="A190" s="1">
        <v>45470</v>
      </c>
      <c r="B190" t="s">
        <v>1748</v>
      </c>
      <c r="C190" t="s">
        <v>24</v>
      </c>
      <c r="D190" t="s">
        <v>25</v>
      </c>
      <c r="E190" t="s">
        <v>26</v>
      </c>
      <c r="F190" t="s">
        <v>45</v>
      </c>
      <c r="G190" t="s">
        <v>16</v>
      </c>
      <c r="H190">
        <v>19022.580000000002</v>
      </c>
      <c r="I190">
        <v>3</v>
      </c>
      <c r="J190">
        <v>57067.74</v>
      </c>
      <c r="K190">
        <v>4.1900000000000004</v>
      </c>
    </row>
    <row r="191" spans="1:11" x14ac:dyDescent="0.35">
      <c r="A191" s="1">
        <v>45470</v>
      </c>
      <c r="B191" t="s">
        <v>368</v>
      </c>
      <c r="C191" t="s">
        <v>42</v>
      </c>
      <c r="D191" t="s">
        <v>25</v>
      </c>
      <c r="E191" t="s">
        <v>43</v>
      </c>
      <c r="F191" t="s">
        <v>45</v>
      </c>
      <c r="G191" t="s">
        <v>60</v>
      </c>
      <c r="H191">
        <v>10137.11</v>
      </c>
      <c r="I191">
        <v>1</v>
      </c>
      <c r="J191">
        <v>10137.11</v>
      </c>
      <c r="K191">
        <v>1.81</v>
      </c>
    </row>
    <row r="192" spans="1:11" x14ac:dyDescent="0.35">
      <c r="A192" s="1">
        <v>45470</v>
      </c>
      <c r="B192" t="s">
        <v>1462</v>
      </c>
      <c r="C192" t="s">
        <v>42</v>
      </c>
      <c r="D192" t="s">
        <v>25</v>
      </c>
      <c r="E192" t="s">
        <v>43</v>
      </c>
      <c r="F192" t="s">
        <v>45</v>
      </c>
      <c r="G192" t="s">
        <v>16</v>
      </c>
      <c r="H192">
        <v>12060.67</v>
      </c>
      <c r="I192">
        <v>5</v>
      </c>
      <c r="J192">
        <v>60303.35</v>
      </c>
      <c r="K192">
        <v>2.88</v>
      </c>
    </row>
    <row r="193" spans="1:11" x14ac:dyDescent="0.35">
      <c r="A193" s="1">
        <v>45471</v>
      </c>
      <c r="B193" t="s">
        <v>1303</v>
      </c>
      <c r="C193" t="s">
        <v>24</v>
      </c>
      <c r="D193" t="s">
        <v>25</v>
      </c>
      <c r="E193" t="s">
        <v>26</v>
      </c>
      <c r="F193" t="s">
        <v>15</v>
      </c>
      <c r="G193" t="s">
        <v>39</v>
      </c>
      <c r="H193">
        <v>18205.89</v>
      </c>
      <c r="I193">
        <v>4</v>
      </c>
      <c r="J193">
        <v>72823.56</v>
      </c>
      <c r="K193">
        <v>2.56</v>
      </c>
    </row>
    <row r="194" spans="1:11" x14ac:dyDescent="0.35">
      <c r="A194" s="1">
        <v>45471</v>
      </c>
      <c r="B194" t="s">
        <v>1804</v>
      </c>
      <c r="C194" t="s">
        <v>24</v>
      </c>
      <c r="D194" t="s">
        <v>25</v>
      </c>
      <c r="E194" t="s">
        <v>26</v>
      </c>
      <c r="F194" t="s">
        <v>21</v>
      </c>
      <c r="G194" t="s">
        <v>32</v>
      </c>
      <c r="H194">
        <v>3545.32</v>
      </c>
      <c r="I194">
        <v>2</v>
      </c>
      <c r="J194">
        <v>7090.64</v>
      </c>
      <c r="K194">
        <v>4.58</v>
      </c>
    </row>
    <row r="195" spans="1:11" x14ac:dyDescent="0.35">
      <c r="A195" s="1">
        <v>45471</v>
      </c>
      <c r="B195" t="s">
        <v>1092</v>
      </c>
      <c r="C195" t="s">
        <v>42</v>
      </c>
      <c r="D195" t="s">
        <v>25</v>
      </c>
      <c r="E195" t="s">
        <v>43</v>
      </c>
      <c r="F195" t="s">
        <v>15</v>
      </c>
      <c r="G195" t="s">
        <v>60</v>
      </c>
      <c r="H195">
        <v>12478.88</v>
      </c>
      <c r="I195">
        <v>5</v>
      </c>
      <c r="J195">
        <v>62394.400000000001</v>
      </c>
      <c r="K195">
        <v>2.57</v>
      </c>
    </row>
    <row r="196" spans="1:11" x14ac:dyDescent="0.35">
      <c r="A196" s="1">
        <v>45472</v>
      </c>
      <c r="B196" t="s">
        <v>346</v>
      </c>
      <c r="C196" t="s">
        <v>24</v>
      </c>
      <c r="D196" t="s">
        <v>25</v>
      </c>
      <c r="E196" t="s">
        <v>26</v>
      </c>
      <c r="F196" t="s">
        <v>45</v>
      </c>
      <c r="G196" t="s">
        <v>16</v>
      </c>
      <c r="H196">
        <v>11879.15</v>
      </c>
      <c r="I196">
        <v>3</v>
      </c>
      <c r="J196">
        <v>35637.449999999997</v>
      </c>
      <c r="K196">
        <v>2.97</v>
      </c>
    </row>
    <row r="197" spans="1:11" x14ac:dyDescent="0.35">
      <c r="A197" s="1">
        <v>45474</v>
      </c>
      <c r="B197" t="s">
        <v>1355</v>
      </c>
      <c r="C197" t="s">
        <v>42</v>
      </c>
      <c r="D197" t="s">
        <v>25</v>
      </c>
      <c r="E197" t="s">
        <v>43</v>
      </c>
      <c r="F197" t="s">
        <v>21</v>
      </c>
      <c r="G197" t="s">
        <v>22</v>
      </c>
      <c r="H197">
        <v>1843.19</v>
      </c>
      <c r="I197">
        <v>5</v>
      </c>
      <c r="J197">
        <v>9215.9500000000007</v>
      </c>
      <c r="K197">
        <v>4.6399999999999997</v>
      </c>
    </row>
    <row r="198" spans="1:11" x14ac:dyDescent="0.35">
      <c r="A198" s="1">
        <v>45475</v>
      </c>
      <c r="B198" t="s">
        <v>1790</v>
      </c>
      <c r="C198" t="s">
        <v>24</v>
      </c>
      <c r="D198" t="s">
        <v>25</v>
      </c>
      <c r="E198" t="s">
        <v>26</v>
      </c>
      <c r="F198" t="s">
        <v>21</v>
      </c>
      <c r="G198" t="s">
        <v>16</v>
      </c>
      <c r="H198">
        <v>1032.3900000000001</v>
      </c>
      <c r="I198">
        <v>2</v>
      </c>
      <c r="J198">
        <v>2064.7800000000002</v>
      </c>
      <c r="K198">
        <v>1.01</v>
      </c>
    </row>
    <row r="199" spans="1:11" x14ac:dyDescent="0.35">
      <c r="A199" s="1">
        <v>45476</v>
      </c>
      <c r="B199" t="s">
        <v>873</v>
      </c>
      <c r="C199" t="s">
        <v>24</v>
      </c>
      <c r="D199" t="s">
        <v>25</v>
      </c>
      <c r="E199" t="s">
        <v>26</v>
      </c>
      <c r="F199" t="s">
        <v>15</v>
      </c>
      <c r="G199" t="s">
        <v>22</v>
      </c>
      <c r="H199">
        <v>12273.83</v>
      </c>
      <c r="I199">
        <v>1</v>
      </c>
      <c r="J199">
        <v>12273.83</v>
      </c>
      <c r="K199">
        <v>4.37</v>
      </c>
    </row>
    <row r="200" spans="1:11" x14ac:dyDescent="0.35">
      <c r="A200" s="1">
        <v>45476</v>
      </c>
      <c r="B200" t="s">
        <v>895</v>
      </c>
      <c r="C200" t="s">
        <v>24</v>
      </c>
      <c r="D200" t="s">
        <v>25</v>
      </c>
      <c r="E200" t="s">
        <v>26</v>
      </c>
      <c r="F200" t="s">
        <v>15</v>
      </c>
      <c r="G200" t="s">
        <v>39</v>
      </c>
      <c r="H200">
        <v>2618.6799999999998</v>
      </c>
      <c r="I200">
        <v>1</v>
      </c>
      <c r="J200">
        <v>2618.6799999999998</v>
      </c>
      <c r="K200">
        <v>2.89</v>
      </c>
    </row>
    <row r="201" spans="1:11" x14ac:dyDescent="0.35">
      <c r="A201" s="1">
        <v>45480</v>
      </c>
      <c r="B201" t="s">
        <v>811</v>
      </c>
      <c r="C201" t="s">
        <v>24</v>
      </c>
      <c r="D201" t="s">
        <v>25</v>
      </c>
      <c r="E201" t="s">
        <v>26</v>
      </c>
      <c r="F201" t="s">
        <v>15</v>
      </c>
      <c r="G201" t="s">
        <v>39</v>
      </c>
      <c r="H201">
        <v>18354.43</v>
      </c>
      <c r="I201">
        <v>4</v>
      </c>
      <c r="J201">
        <v>73417.72</v>
      </c>
      <c r="K201">
        <v>4.4000000000000004</v>
      </c>
    </row>
    <row r="202" spans="1:11" x14ac:dyDescent="0.35">
      <c r="A202" s="1">
        <v>45481</v>
      </c>
      <c r="B202" t="s">
        <v>1257</v>
      </c>
      <c r="C202" t="s">
        <v>24</v>
      </c>
      <c r="D202" t="s">
        <v>25</v>
      </c>
      <c r="E202" t="s">
        <v>26</v>
      </c>
      <c r="F202" t="s">
        <v>45</v>
      </c>
      <c r="G202" t="s">
        <v>22</v>
      </c>
      <c r="H202">
        <v>13351.69</v>
      </c>
      <c r="I202">
        <v>1</v>
      </c>
      <c r="J202">
        <v>13351.69</v>
      </c>
      <c r="K202">
        <v>4.1100000000000003</v>
      </c>
    </row>
    <row r="203" spans="1:11" x14ac:dyDescent="0.35">
      <c r="A203" s="1">
        <v>45484</v>
      </c>
      <c r="B203" t="s">
        <v>264</v>
      </c>
      <c r="C203" t="s">
        <v>42</v>
      </c>
      <c r="D203" t="s">
        <v>25</v>
      </c>
      <c r="E203" t="s">
        <v>43</v>
      </c>
      <c r="F203" t="s">
        <v>45</v>
      </c>
      <c r="G203" t="s">
        <v>39</v>
      </c>
      <c r="H203">
        <v>15325.33</v>
      </c>
      <c r="I203">
        <v>4</v>
      </c>
      <c r="J203">
        <v>61301.32</v>
      </c>
      <c r="K203">
        <v>4.4800000000000004</v>
      </c>
    </row>
    <row r="204" spans="1:11" x14ac:dyDescent="0.35">
      <c r="A204" s="1">
        <v>45484</v>
      </c>
      <c r="B204" t="s">
        <v>1552</v>
      </c>
      <c r="C204" t="s">
        <v>42</v>
      </c>
      <c r="D204" t="s">
        <v>25</v>
      </c>
      <c r="E204" t="s">
        <v>43</v>
      </c>
      <c r="F204" t="s">
        <v>15</v>
      </c>
      <c r="G204" t="s">
        <v>27</v>
      </c>
      <c r="H204">
        <v>12812.02</v>
      </c>
      <c r="I204">
        <v>1</v>
      </c>
      <c r="J204">
        <v>12812.02</v>
      </c>
      <c r="K204">
        <v>5</v>
      </c>
    </row>
    <row r="205" spans="1:11" x14ac:dyDescent="0.35">
      <c r="A205" s="1">
        <v>45485</v>
      </c>
      <c r="B205" t="s">
        <v>1155</v>
      </c>
      <c r="C205" t="s">
        <v>24</v>
      </c>
      <c r="D205" t="s">
        <v>25</v>
      </c>
      <c r="E205" t="s">
        <v>26</v>
      </c>
      <c r="F205" t="s">
        <v>21</v>
      </c>
      <c r="G205" t="s">
        <v>39</v>
      </c>
      <c r="H205">
        <v>8093.44</v>
      </c>
      <c r="I205">
        <v>2</v>
      </c>
      <c r="J205">
        <v>16186.88</v>
      </c>
      <c r="K205">
        <v>1.47</v>
      </c>
    </row>
    <row r="206" spans="1:11" x14ac:dyDescent="0.35">
      <c r="A206" s="1">
        <v>45485</v>
      </c>
      <c r="B206" t="s">
        <v>1159</v>
      </c>
      <c r="C206" t="s">
        <v>42</v>
      </c>
      <c r="D206" t="s">
        <v>25</v>
      </c>
      <c r="E206" t="s">
        <v>43</v>
      </c>
      <c r="F206" t="s">
        <v>45</v>
      </c>
      <c r="G206" t="s">
        <v>27</v>
      </c>
      <c r="H206">
        <v>17758.330000000002</v>
      </c>
      <c r="I206">
        <v>5</v>
      </c>
      <c r="J206">
        <v>88791.65</v>
      </c>
      <c r="K206">
        <v>1.88</v>
      </c>
    </row>
    <row r="207" spans="1:11" x14ac:dyDescent="0.35">
      <c r="A207" s="1">
        <v>45487</v>
      </c>
      <c r="B207" t="s">
        <v>975</v>
      </c>
      <c r="C207" t="s">
        <v>24</v>
      </c>
      <c r="D207" t="s">
        <v>25</v>
      </c>
      <c r="E207" t="s">
        <v>26</v>
      </c>
      <c r="F207" t="s">
        <v>15</v>
      </c>
      <c r="G207" t="s">
        <v>22</v>
      </c>
      <c r="H207">
        <v>933.67</v>
      </c>
      <c r="I207">
        <v>5</v>
      </c>
      <c r="J207">
        <v>4668.3500000000004</v>
      </c>
      <c r="K207">
        <v>2.29</v>
      </c>
    </row>
    <row r="208" spans="1:11" x14ac:dyDescent="0.35">
      <c r="A208" s="1">
        <v>45490</v>
      </c>
      <c r="B208" t="s">
        <v>1539</v>
      </c>
      <c r="C208" t="s">
        <v>24</v>
      </c>
      <c r="D208" t="s">
        <v>25</v>
      </c>
      <c r="E208" t="s">
        <v>26</v>
      </c>
      <c r="F208" t="s">
        <v>45</v>
      </c>
      <c r="G208" t="s">
        <v>22</v>
      </c>
      <c r="H208">
        <v>4744.8500000000004</v>
      </c>
      <c r="I208">
        <v>1</v>
      </c>
      <c r="J208">
        <v>4744.8500000000004</v>
      </c>
      <c r="K208">
        <v>3.96</v>
      </c>
    </row>
    <row r="209" spans="1:11" x14ac:dyDescent="0.35">
      <c r="A209" s="1">
        <v>45490</v>
      </c>
      <c r="B209" t="s">
        <v>1927</v>
      </c>
      <c r="C209" t="s">
        <v>24</v>
      </c>
      <c r="D209" t="s">
        <v>25</v>
      </c>
      <c r="E209" t="s">
        <v>26</v>
      </c>
      <c r="F209" t="s">
        <v>45</v>
      </c>
      <c r="G209" t="s">
        <v>39</v>
      </c>
      <c r="H209">
        <v>19706.82</v>
      </c>
      <c r="I209">
        <v>1</v>
      </c>
      <c r="J209">
        <v>19706.82</v>
      </c>
      <c r="K209">
        <v>2.16</v>
      </c>
    </row>
    <row r="210" spans="1:11" x14ac:dyDescent="0.35">
      <c r="A210" s="1">
        <v>45491</v>
      </c>
      <c r="B210" t="s">
        <v>1453</v>
      </c>
      <c r="C210" t="s">
        <v>24</v>
      </c>
      <c r="D210" t="s">
        <v>25</v>
      </c>
      <c r="E210" t="s">
        <v>26</v>
      </c>
      <c r="F210" t="s">
        <v>15</v>
      </c>
      <c r="G210" t="s">
        <v>32</v>
      </c>
      <c r="H210">
        <v>2778.57</v>
      </c>
      <c r="I210">
        <v>3</v>
      </c>
      <c r="J210">
        <v>8335.7099999999991</v>
      </c>
      <c r="K210">
        <v>2.2599999999999998</v>
      </c>
    </row>
    <row r="211" spans="1:11" x14ac:dyDescent="0.35">
      <c r="A211" s="1">
        <v>45491</v>
      </c>
      <c r="B211" t="s">
        <v>121</v>
      </c>
      <c r="C211" t="s">
        <v>42</v>
      </c>
      <c r="D211" t="s">
        <v>25</v>
      </c>
      <c r="E211" t="s">
        <v>43</v>
      </c>
      <c r="F211" t="s">
        <v>45</v>
      </c>
      <c r="G211" t="s">
        <v>27</v>
      </c>
      <c r="H211">
        <v>15288.47</v>
      </c>
      <c r="I211">
        <v>2</v>
      </c>
      <c r="J211">
        <v>30576.94</v>
      </c>
      <c r="K211">
        <v>4.57</v>
      </c>
    </row>
    <row r="212" spans="1:11" x14ac:dyDescent="0.35">
      <c r="A212" s="1">
        <v>45492</v>
      </c>
      <c r="B212" t="s">
        <v>188</v>
      </c>
      <c r="C212" t="s">
        <v>24</v>
      </c>
      <c r="D212" t="s">
        <v>25</v>
      </c>
      <c r="E212" t="s">
        <v>26</v>
      </c>
      <c r="F212" t="s">
        <v>21</v>
      </c>
      <c r="G212" t="s">
        <v>27</v>
      </c>
      <c r="H212">
        <v>15434.38</v>
      </c>
      <c r="I212">
        <v>4</v>
      </c>
      <c r="J212">
        <v>61737.52</v>
      </c>
      <c r="K212">
        <v>4.47</v>
      </c>
    </row>
    <row r="213" spans="1:11" x14ac:dyDescent="0.35">
      <c r="A213" s="1">
        <v>45495</v>
      </c>
      <c r="B213" t="s">
        <v>1882</v>
      </c>
      <c r="C213" t="s">
        <v>24</v>
      </c>
      <c r="D213" t="s">
        <v>25</v>
      </c>
      <c r="E213" t="s">
        <v>26</v>
      </c>
      <c r="F213" t="s">
        <v>21</v>
      </c>
      <c r="G213" t="s">
        <v>39</v>
      </c>
      <c r="H213">
        <v>19318.37</v>
      </c>
      <c r="I213">
        <v>4</v>
      </c>
      <c r="J213">
        <v>77273.48</v>
      </c>
      <c r="K213">
        <v>4.18</v>
      </c>
    </row>
    <row r="214" spans="1:11" x14ac:dyDescent="0.35">
      <c r="A214" s="1">
        <v>45495</v>
      </c>
      <c r="B214" t="s">
        <v>263</v>
      </c>
      <c r="C214" t="s">
        <v>42</v>
      </c>
      <c r="D214" t="s">
        <v>25</v>
      </c>
      <c r="E214" t="s">
        <v>43</v>
      </c>
      <c r="F214" t="s">
        <v>45</v>
      </c>
      <c r="G214" t="s">
        <v>32</v>
      </c>
      <c r="H214">
        <v>3373.56</v>
      </c>
      <c r="I214">
        <v>3</v>
      </c>
      <c r="J214">
        <v>10120.68</v>
      </c>
      <c r="K214">
        <v>1.64</v>
      </c>
    </row>
    <row r="215" spans="1:11" x14ac:dyDescent="0.35">
      <c r="A215" s="1">
        <v>45495</v>
      </c>
      <c r="B215" t="s">
        <v>1402</v>
      </c>
      <c r="C215" t="s">
        <v>42</v>
      </c>
      <c r="D215" t="s">
        <v>25</v>
      </c>
      <c r="E215" t="s">
        <v>43</v>
      </c>
      <c r="F215" t="s">
        <v>21</v>
      </c>
      <c r="G215" t="s">
        <v>22</v>
      </c>
      <c r="H215">
        <v>11026.39</v>
      </c>
      <c r="I215">
        <v>3</v>
      </c>
      <c r="J215">
        <v>33079.17</v>
      </c>
      <c r="K215">
        <v>3.39</v>
      </c>
    </row>
    <row r="216" spans="1:11" x14ac:dyDescent="0.35">
      <c r="A216" s="1">
        <v>45496</v>
      </c>
      <c r="B216" t="s">
        <v>1198</v>
      </c>
      <c r="C216" t="s">
        <v>42</v>
      </c>
      <c r="D216" t="s">
        <v>25</v>
      </c>
      <c r="E216" t="s">
        <v>43</v>
      </c>
      <c r="F216" t="s">
        <v>45</v>
      </c>
      <c r="G216" t="s">
        <v>22</v>
      </c>
      <c r="H216">
        <v>15875.19</v>
      </c>
      <c r="I216">
        <v>1</v>
      </c>
      <c r="J216">
        <v>15875.19</v>
      </c>
      <c r="K216">
        <v>2.66</v>
      </c>
    </row>
    <row r="217" spans="1:11" x14ac:dyDescent="0.35">
      <c r="A217" s="1">
        <v>45496</v>
      </c>
      <c r="B217" t="s">
        <v>1316</v>
      </c>
      <c r="C217" t="s">
        <v>42</v>
      </c>
      <c r="D217" t="s">
        <v>25</v>
      </c>
      <c r="E217" t="s">
        <v>43</v>
      </c>
      <c r="F217" t="s">
        <v>15</v>
      </c>
      <c r="G217" t="s">
        <v>16</v>
      </c>
      <c r="H217">
        <v>18864.13</v>
      </c>
      <c r="I217">
        <v>5</v>
      </c>
      <c r="J217">
        <v>94320.65</v>
      </c>
      <c r="K217">
        <v>4.1500000000000004</v>
      </c>
    </row>
    <row r="218" spans="1:11" x14ac:dyDescent="0.35">
      <c r="A218" s="1">
        <v>45496</v>
      </c>
      <c r="B218" t="s">
        <v>1656</v>
      </c>
      <c r="C218" t="s">
        <v>42</v>
      </c>
      <c r="D218" t="s">
        <v>25</v>
      </c>
      <c r="E218" t="s">
        <v>43</v>
      </c>
      <c r="F218" t="s">
        <v>21</v>
      </c>
      <c r="G218" t="s">
        <v>39</v>
      </c>
      <c r="H218">
        <v>13623.47</v>
      </c>
      <c r="I218">
        <v>3</v>
      </c>
      <c r="J218">
        <v>40870.410000000003</v>
      </c>
      <c r="K218">
        <v>1.38</v>
      </c>
    </row>
    <row r="219" spans="1:11" x14ac:dyDescent="0.35">
      <c r="A219" s="1">
        <v>45497</v>
      </c>
      <c r="B219" t="s">
        <v>700</v>
      </c>
      <c r="C219" t="s">
        <v>24</v>
      </c>
      <c r="D219" t="s">
        <v>25</v>
      </c>
      <c r="E219" t="s">
        <v>26</v>
      </c>
      <c r="F219" t="s">
        <v>21</v>
      </c>
      <c r="G219" t="s">
        <v>16</v>
      </c>
      <c r="H219">
        <v>6179.05</v>
      </c>
      <c r="I219">
        <v>5</v>
      </c>
      <c r="J219">
        <v>30895.25</v>
      </c>
      <c r="K219">
        <v>3.79</v>
      </c>
    </row>
    <row r="220" spans="1:11" x14ac:dyDescent="0.35">
      <c r="A220" s="1">
        <v>45497</v>
      </c>
      <c r="B220" t="s">
        <v>137</v>
      </c>
      <c r="C220" t="s">
        <v>42</v>
      </c>
      <c r="D220" t="s">
        <v>25</v>
      </c>
      <c r="E220" t="s">
        <v>43</v>
      </c>
      <c r="F220" t="s">
        <v>21</v>
      </c>
      <c r="G220" t="s">
        <v>22</v>
      </c>
      <c r="H220">
        <v>8923.17</v>
      </c>
      <c r="I220">
        <v>3</v>
      </c>
      <c r="J220">
        <v>26769.51</v>
      </c>
      <c r="K220">
        <v>1.63</v>
      </c>
    </row>
    <row r="221" spans="1:11" x14ac:dyDescent="0.35">
      <c r="A221" s="1">
        <v>45501</v>
      </c>
      <c r="B221" t="s">
        <v>566</v>
      </c>
      <c r="C221" t="s">
        <v>24</v>
      </c>
      <c r="D221" t="s">
        <v>25</v>
      </c>
      <c r="E221" t="s">
        <v>26</v>
      </c>
      <c r="F221" t="s">
        <v>45</v>
      </c>
      <c r="G221" t="s">
        <v>27</v>
      </c>
      <c r="H221">
        <v>18343.28</v>
      </c>
      <c r="I221">
        <v>5</v>
      </c>
      <c r="J221">
        <v>91716.4</v>
      </c>
      <c r="K221">
        <v>4.95</v>
      </c>
    </row>
    <row r="222" spans="1:11" x14ac:dyDescent="0.35">
      <c r="A222" s="1">
        <v>45503</v>
      </c>
      <c r="B222" t="s">
        <v>1518</v>
      </c>
      <c r="C222" t="s">
        <v>42</v>
      </c>
      <c r="D222" t="s">
        <v>25</v>
      </c>
      <c r="E222" t="s">
        <v>43</v>
      </c>
      <c r="F222" t="s">
        <v>21</v>
      </c>
      <c r="G222" t="s">
        <v>32</v>
      </c>
      <c r="H222">
        <v>7982.59</v>
      </c>
      <c r="I222">
        <v>5</v>
      </c>
      <c r="J222">
        <v>39912.949999999997</v>
      </c>
      <c r="K222">
        <v>1.83</v>
      </c>
    </row>
    <row r="223" spans="1:11" x14ac:dyDescent="0.35">
      <c r="A223" s="1">
        <v>45504</v>
      </c>
      <c r="B223" t="s">
        <v>1919</v>
      </c>
      <c r="C223" t="s">
        <v>24</v>
      </c>
      <c r="D223" t="s">
        <v>25</v>
      </c>
      <c r="E223" t="s">
        <v>26</v>
      </c>
      <c r="F223" t="s">
        <v>21</v>
      </c>
      <c r="G223" t="s">
        <v>60</v>
      </c>
      <c r="H223">
        <v>11862.9</v>
      </c>
      <c r="I223">
        <v>5</v>
      </c>
      <c r="J223">
        <v>59314.5</v>
      </c>
      <c r="K223">
        <v>3.38</v>
      </c>
    </row>
    <row r="224" spans="1:11" x14ac:dyDescent="0.35">
      <c r="A224" s="1">
        <v>45504</v>
      </c>
      <c r="B224" t="s">
        <v>1237</v>
      </c>
      <c r="C224" t="s">
        <v>42</v>
      </c>
      <c r="D224" t="s">
        <v>25</v>
      </c>
      <c r="E224" t="s">
        <v>43</v>
      </c>
      <c r="F224" t="s">
        <v>45</v>
      </c>
      <c r="G224" t="s">
        <v>22</v>
      </c>
      <c r="H224">
        <v>19865.14</v>
      </c>
      <c r="I224">
        <v>4</v>
      </c>
      <c r="J224">
        <v>79460.56</v>
      </c>
      <c r="K224">
        <v>2.31</v>
      </c>
    </row>
    <row r="225" spans="1:11" x14ac:dyDescent="0.35">
      <c r="A225" s="1">
        <v>45506</v>
      </c>
      <c r="B225" t="s">
        <v>687</v>
      </c>
      <c r="C225" t="s">
        <v>24</v>
      </c>
      <c r="D225" t="s">
        <v>25</v>
      </c>
      <c r="E225" t="s">
        <v>26</v>
      </c>
      <c r="F225" t="s">
        <v>15</v>
      </c>
      <c r="G225" t="s">
        <v>22</v>
      </c>
      <c r="H225">
        <v>3948.49</v>
      </c>
      <c r="I225">
        <v>1</v>
      </c>
      <c r="J225">
        <v>3948.49</v>
      </c>
      <c r="K225">
        <v>4.8499999999999996</v>
      </c>
    </row>
    <row r="226" spans="1:11" x14ac:dyDescent="0.35">
      <c r="A226" s="1">
        <v>45506</v>
      </c>
      <c r="B226" t="s">
        <v>1441</v>
      </c>
      <c r="C226" t="s">
        <v>24</v>
      </c>
      <c r="D226" t="s">
        <v>25</v>
      </c>
      <c r="E226" t="s">
        <v>26</v>
      </c>
      <c r="F226" t="s">
        <v>21</v>
      </c>
      <c r="G226" t="s">
        <v>22</v>
      </c>
      <c r="H226">
        <v>11420.66</v>
      </c>
      <c r="I226">
        <v>5</v>
      </c>
      <c r="J226">
        <v>57103.3</v>
      </c>
      <c r="K226">
        <v>4.68</v>
      </c>
    </row>
    <row r="227" spans="1:11" x14ac:dyDescent="0.35">
      <c r="A227" s="1">
        <v>45507</v>
      </c>
      <c r="B227" t="s">
        <v>1545</v>
      </c>
      <c r="C227" t="s">
        <v>42</v>
      </c>
      <c r="D227" t="s">
        <v>25</v>
      </c>
      <c r="E227" t="s">
        <v>43</v>
      </c>
      <c r="F227" t="s">
        <v>45</v>
      </c>
      <c r="G227" t="s">
        <v>22</v>
      </c>
      <c r="H227">
        <v>6084.73</v>
      </c>
      <c r="I227">
        <v>2</v>
      </c>
      <c r="J227">
        <v>12169.46</v>
      </c>
      <c r="K227">
        <v>3.71</v>
      </c>
    </row>
    <row r="228" spans="1:11" x14ac:dyDescent="0.35">
      <c r="A228" s="1">
        <v>45507</v>
      </c>
      <c r="B228" t="s">
        <v>1778</v>
      </c>
      <c r="C228" t="s">
        <v>42</v>
      </c>
      <c r="D228" t="s">
        <v>25</v>
      </c>
      <c r="E228" t="s">
        <v>43</v>
      </c>
      <c r="F228" t="s">
        <v>45</v>
      </c>
      <c r="G228" t="s">
        <v>39</v>
      </c>
      <c r="H228">
        <v>8596.82</v>
      </c>
      <c r="I228">
        <v>1</v>
      </c>
      <c r="J228">
        <v>8596.82</v>
      </c>
      <c r="K228">
        <v>3.02</v>
      </c>
    </row>
    <row r="229" spans="1:11" x14ac:dyDescent="0.35">
      <c r="A229" s="1">
        <v>45508</v>
      </c>
      <c r="B229" t="s">
        <v>1658</v>
      </c>
      <c r="C229" t="s">
        <v>24</v>
      </c>
      <c r="D229" t="s">
        <v>25</v>
      </c>
      <c r="E229" t="s">
        <v>26</v>
      </c>
      <c r="F229" t="s">
        <v>21</v>
      </c>
      <c r="G229" t="s">
        <v>16</v>
      </c>
      <c r="H229">
        <v>898.39</v>
      </c>
      <c r="I229">
        <v>1</v>
      </c>
      <c r="J229">
        <v>898.39</v>
      </c>
      <c r="K229">
        <v>2.14</v>
      </c>
    </row>
    <row r="230" spans="1:11" x14ac:dyDescent="0.35">
      <c r="A230" s="1">
        <v>45512</v>
      </c>
      <c r="B230" t="s">
        <v>475</v>
      </c>
      <c r="C230" t="s">
        <v>24</v>
      </c>
      <c r="D230" t="s">
        <v>25</v>
      </c>
      <c r="E230" t="s">
        <v>26</v>
      </c>
      <c r="F230" t="s">
        <v>45</v>
      </c>
      <c r="G230" t="s">
        <v>27</v>
      </c>
      <c r="H230">
        <v>3771.94</v>
      </c>
      <c r="I230">
        <v>5</v>
      </c>
      <c r="J230">
        <v>18859.7</v>
      </c>
      <c r="K230">
        <v>4.03</v>
      </c>
    </row>
    <row r="231" spans="1:11" x14ac:dyDescent="0.35">
      <c r="A231" s="1">
        <v>45514</v>
      </c>
      <c r="B231" t="s">
        <v>1472</v>
      </c>
      <c r="C231" t="s">
        <v>24</v>
      </c>
      <c r="D231" t="s">
        <v>25</v>
      </c>
      <c r="E231" t="s">
        <v>26</v>
      </c>
      <c r="F231" t="s">
        <v>21</v>
      </c>
      <c r="G231" t="s">
        <v>16</v>
      </c>
      <c r="H231">
        <v>1539.96</v>
      </c>
      <c r="I231">
        <v>5</v>
      </c>
      <c r="J231">
        <v>7699.8</v>
      </c>
      <c r="K231">
        <v>4.2</v>
      </c>
    </row>
    <row r="232" spans="1:11" x14ac:dyDescent="0.35">
      <c r="A232" s="1">
        <v>45515</v>
      </c>
      <c r="B232" t="s">
        <v>690</v>
      </c>
      <c r="C232" t="s">
        <v>42</v>
      </c>
      <c r="D232" t="s">
        <v>25</v>
      </c>
      <c r="E232" t="s">
        <v>43</v>
      </c>
      <c r="F232" t="s">
        <v>21</v>
      </c>
      <c r="G232" t="s">
        <v>22</v>
      </c>
      <c r="H232">
        <v>13552.27</v>
      </c>
      <c r="I232">
        <v>3</v>
      </c>
      <c r="J232">
        <v>40656.81</v>
      </c>
      <c r="K232">
        <v>3.51</v>
      </c>
    </row>
    <row r="233" spans="1:11" x14ac:dyDescent="0.35">
      <c r="A233" s="1">
        <v>45516</v>
      </c>
      <c r="B233" t="s">
        <v>414</v>
      </c>
      <c r="C233" t="s">
        <v>24</v>
      </c>
      <c r="D233" t="s">
        <v>25</v>
      </c>
      <c r="E233" t="s">
        <v>26</v>
      </c>
      <c r="F233" t="s">
        <v>15</v>
      </c>
      <c r="G233" t="s">
        <v>16</v>
      </c>
      <c r="H233">
        <v>10165.120000000001</v>
      </c>
      <c r="I233">
        <v>3</v>
      </c>
      <c r="J233">
        <v>30495.360000000001</v>
      </c>
      <c r="K233">
        <v>3</v>
      </c>
    </row>
    <row r="234" spans="1:11" x14ac:dyDescent="0.35">
      <c r="A234" s="1">
        <v>45516</v>
      </c>
      <c r="B234" t="s">
        <v>1156</v>
      </c>
      <c r="C234" t="s">
        <v>24</v>
      </c>
      <c r="D234" t="s">
        <v>25</v>
      </c>
      <c r="E234" t="s">
        <v>26</v>
      </c>
      <c r="F234" t="s">
        <v>45</v>
      </c>
      <c r="G234" t="s">
        <v>39</v>
      </c>
      <c r="H234">
        <v>14590.25</v>
      </c>
      <c r="I234">
        <v>1</v>
      </c>
      <c r="J234">
        <v>14590.25</v>
      </c>
      <c r="K234">
        <v>3.29</v>
      </c>
    </row>
    <row r="235" spans="1:11" x14ac:dyDescent="0.35">
      <c r="A235" s="1">
        <v>45516</v>
      </c>
      <c r="B235" t="s">
        <v>443</v>
      </c>
      <c r="C235" t="s">
        <v>42</v>
      </c>
      <c r="D235" t="s">
        <v>25</v>
      </c>
      <c r="E235" t="s">
        <v>43</v>
      </c>
      <c r="F235" t="s">
        <v>45</v>
      </c>
      <c r="G235" t="s">
        <v>16</v>
      </c>
      <c r="H235">
        <v>12017.65</v>
      </c>
      <c r="I235">
        <v>4</v>
      </c>
      <c r="J235">
        <v>48070.6</v>
      </c>
      <c r="K235">
        <v>3.79</v>
      </c>
    </row>
    <row r="236" spans="1:11" x14ac:dyDescent="0.35">
      <c r="A236" s="1">
        <v>45519</v>
      </c>
      <c r="B236" t="s">
        <v>146</v>
      </c>
      <c r="C236" t="s">
        <v>42</v>
      </c>
      <c r="D236" t="s">
        <v>25</v>
      </c>
      <c r="E236" t="s">
        <v>43</v>
      </c>
      <c r="F236" t="s">
        <v>15</v>
      </c>
      <c r="G236" t="s">
        <v>39</v>
      </c>
      <c r="H236">
        <v>2784.77</v>
      </c>
      <c r="I236">
        <v>2</v>
      </c>
      <c r="J236">
        <v>5569.54</v>
      </c>
      <c r="K236">
        <v>4.92</v>
      </c>
    </row>
    <row r="237" spans="1:11" x14ac:dyDescent="0.35">
      <c r="A237" s="1">
        <v>45519</v>
      </c>
      <c r="B237" t="s">
        <v>1179</v>
      </c>
      <c r="C237" t="s">
        <v>42</v>
      </c>
      <c r="D237" t="s">
        <v>25</v>
      </c>
      <c r="E237" t="s">
        <v>43</v>
      </c>
      <c r="F237" t="s">
        <v>45</v>
      </c>
      <c r="G237" t="s">
        <v>60</v>
      </c>
      <c r="H237">
        <v>7516.24</v>
      </c>
      <c r="I237">
        <v>1</v>
      </c>
      <c r="J237">
        <v>7516.24</v>
      </c>
      <c r="K237">
        <v>3.56</v>
      </c>
    </row>
    <row r="238" spans="1:11" x14ac:dyDescent="0.35">
      <c r="A238" s="1">
        <v>45521</v>
      </c>
      <c r="B238" t="s">
        <v>1512</v>
      </c>
      <c r="C238" t="s">
        <v>42</v>
      </c>
      <c r="D238" t="s">
        <v>25</v>
      </c>
      <c r="E238" t="s">
        <v>43</v>
      </c>
      <c r="F238" t="s">
        <v>45</v>
      </c>
      <c r="G238" t="s">
        <v>27</v>
      </c>
      <c r="H238">
        <v>2498.2800000000002</v>
      </c>
      <c r="I238">
        <v>5</v>
      </c>
      <c r="J238">
        <v>12491.4</v>
      </c>
      <c r="K238">
        <v>4.6500000000000004</v>
      </c>
    </row>
    <row r="239" spans="1:11" x14ac:dyDescent="0.35">
      <c r="A239" s="1">
        <v>45522</v>
      </c>
      <c r="B239" t="s">
        <v>407</v>
      </c>
      <c r="C239" t="s">
        <v>24</v>
      </c>
      <c r="D239" t="s">
        <v>25</v>
      </c>
      <c r="E239" t="s">
        <v>26</v>
      </c>
      <c r="F239" t="s">
        <v>21</v>
      </c>
      <c r="G239" t="s">
        <v>60</v>
      </c>
      <c r="H239">
        <v>18851.650000000001</v>
      </c>
      <c r="I239">
        <v>2</v>
      </c>
      <c r="J239">
        <v>37703.300000000003</v>
      </c>
      <c r="K239">
        <v>2.81</v>
      </c>
    </row>
    <row r="240" spans="1:11" x14ac:dyDescent="0.35">
      <c r="A240" s="1">
        <v>45523</v>
      </c>
      <c r="B240" t="s">
        <v>266</v>
      </c>
      <c r="C240" t="s">
        <v>24</v>
      </c>
      <c r="D240" t="s">
        <v>25</v>
      </c>
      <c r="E240" t="s">
        <v>26</v>
      </c>
      <c r="F240" t="s">
        <v>45</v>
      </c>
      <c r="G240" t="s">
        <v>60</v>
      </c>
      <c r="H240">
        <v>18331.509999999998</v>
      </c>
      <c r="I240">
        <v>3</v>
      </c>
      <c r="J240">
        <v>54994.53</v>
      </c>
      <c r="K240">
        <v>1.1000000000000001</v>
      </c>
    </row>
    <row r="241" spans="1:11" x14ac:dyDescent="0.35">
      <c r="A241" s="1">
        <v>45523</v>
      </c>
      <c r="B241" t="s">
        <v>327</v>
      </c>
      <c r="C241" t="s">
        <v>24</v>
      </c>
      <c r="D241" t="s">
        <v>25</v>
      </c>
      <c r="E241" t="s">
        <v>26</v>
      </c>
      <c r="F241" t="s">
        <v>45</v>
      </c>
      <c r="G241" t="s">
        <v>16</v>
      </c>
      <c r="H241">
        <v>18524.830000000002</v>
      </c>
      <c r="I241">
        <v>1</v>
      </c>
      <c r="J241">
        <v>18524.830000000002</v>
      </c>
      <c r="K241">
        <v>3.55</v>
      </c>
    </row>
    <row r="242" spans="1:11" x14ac:dyDescent="0.35">
      <c r="A242" s="1">
        <v>45523</v>
      </c>
      <c r="B242" t="s">
        <v>1163</v>
      </c>
      <c r="C242" t="s">
        <v>42</v>
      </c>
      <c r="D242" t="s">
        <v>25</v>
      </c>
      <c r="E242" t="s">
        <v>43</v>
      </c>
      <c r="F242" t="s">
        <v>45</v>
      </c>
      <c r="G242" t="s">
        <v>16</v>
      </c>
      <c r="H242">
        <v>18412.560000000001</v>
      </c>
      <c r="I242">
        <v>1</v>
      </c>
      <c r="J242">
        <v>18412.560000000001</v>
      </c>
      <c r="K242">
        <v>3.14</v>
      </c>
    </row>
    <row r="243" spans="1:11" x14ac:dyDescent="0.35">
      <c r="A243" s="1">
        <v>45524</v>
      </c>
      <c r="B243" t="s">
        <v>185</v>
      </c>
      <c r="C243" t="s">
        <v>24</v>
      </c>
      <c r="D243" t="s">
        <v>25</v>
      </c>
      <c r="E243" t="s">
        <v>26</v>
      </c>
      <c r="F243" t="s">
        <v>15</v>
      </c>
      <c r="G243" t="s">
        <v>22</v>
      </c>
      <c r="H243">
        <v>425.23</v>
      </c>
      <c r="I243">
        <v>5</v>
      </c>
      <c r="J243">
        <v>2126.15</v>
      </c>
      <c r="K243">
        <v>3.1</v>
      </c>
    </row>
    <row r="244" spans="1:11" x14ac:dyDescent="0.35">
      <c r="A244" s="1">
        <v>45524</v>
      </c>
      <c r="B244" t="s">
        <v>989</v>
      </c>
      <c r="C244" t="s">
        <v>42</v>
      </c>
      <c r="D244" t="s">
        <v>25</v>
      </c>
      <c r="E244" t="s">
        <v>43</v>
      </c>
      <c r="F244" t="s">
        <v>15</v>
      </c>
      <c r="G244" t="s">
        <v>60</v>
      </c>
      <c r="H244">
        <v>15772.52</v>
      </c>
      <c r="I244">
        <v>1</v>
      </c>
      <c r="J244">
        <v>15772.52</v>
      </c>
      <c r="K244">
        <v>1.31</v>
      </c>
    </row>
    <row r="245" spans="1:11" x14ac:dyDescent="0.35">
      <c r="A245" s="1">
        <v>45524</v>
      </c>
      <c r="B245" t="s">
        <v>1077</v>
      </c>
      <c r="C245" t="s">
        <v>42</v>
      </c>
      <c r="D245" t="s">
        <v>25</v>
      </c>
      <c r="E245" t="s">
        <v>43</v>
      </c>
      <c r="F245" t="s">
        <v>21</v>
      </c>
      <c r="G245" t="s">
        <v>39</v>
      </c>
      <c r="H245">
        <v>19244.97</v>
      </c>
      <c r="I245">
        <v>4</v>
      </c>
      <c r="J245">
        <v>76979.88</v>
      </c>
      <c r="K245">
        <v>1.06</v>
      </c>
    </row>
    <row r="246" spans="1:11" x14ac:dyDescent="0.35">
      <c r="A246" s="1">
        <v>45525</v>
      </c>
      <c r="B246" t="s">
        <v>1613</v>
      </c>
      <c r="C246" t="s">
        <v>42</v>
      </c>
      <c r="D246" t="s">
        <v>25</v>
      </c>
      <c r="E246" t="s">
        <v>43</v>
      </c>
      <c r="F246" t="s">
        <v>21</v>
      </c>
      <c r="G246" t="s">
        <v>60</v>
      </c>
      <c r="H246">
        <v>11212.58</v>
      </c>
      <c r="I246">
        <v>3</v>
      </c>
      <c r="J246">
        <v>33637.74</v>
      </c>
      <c r="K246">
        <v>3.93</v>
      </c>
    </row>
    <row r="247" spans="1:11" x14ac:dyDescent="0.35">
      <c r="A247" s="1">
        <v>45528</v>
      </c>
      <c r="B247" t="s">
        <v>957</v>
      </c>
      <c r="C247" t="s">
        <v>24</v>
      </c>
      <c r="D247" t="s">
        <v>25</v>
      </c>
      <c r="E247" t="s">
        <v>26</v>
      </c>
      <c r="F247" t="s">
        <v>15</v>
      </c>
      <c r="G247" t="s">
        <v>22</v>
      </c>
      <c r="H247">
        <v>2937.38</v>
      </c>
      <c r="I247">
        <v>2</v>
      </c>
      <c r="J247">
        <v>5874.76</v>
      </c>
      <c r="K247">
        <v>2.93</v>
      </c>
    </row>
    <row r="248" spans="1:11" x14ac:dyDescent="0.35">
      <c r="A248" s="1">
        <v>45528</v>
      </c>
      <c r="B248" t="s">
        <v>1302</v>
      </c>
      <c r="C248" t="s">
        <v>42</v>
      </c>
      <c r="D248" t="s">
        <v>25</v>
      </c>
      <c r="E248" t="s">
        <v>43</v>
      </c>
      <c r="F248" t="s">
        <v>15</v>
      </c>
      <c r="G248" t="s">
        <v>39</v>
      </c>
      <c r="H248">
        <v>6125.29</v>
      </c>
      <c r="I248">
        <v>1</v>
      </c>
      <c r="J248">
        <v>6125.29</v>
      </c>
      <c r="K248">
        <v>3.47</v>
      </c>
    </row>
    <row r="249" spans="1:11" x14ac:dyDescent="0.35">
      <c r="A249" s="1">
        <v>45529</v>
      </c>
      <c r="B249" t="s">
        <v>530</v>
      </c>
      <c r="C249" t="s">
        <v>24</v>
      </c>
      <c r="D249" t="s">
        <v>25</v>
      </c>
      <c r="E249" t="s">
        <v>26</v>
      </c>
      <c r="F249" t="s">
        <v>15</v>
      </c>
      <c r="G249" t="s">
        <v>39</v>
      </c>
      <c r="H249">
        <v>2365.88</v>
      </c>
      <c r="I249">
        <v>2</v>
      </c>
      <c r="J249">
        <v>4731.76</v>
      </c>
      <c r="K249">
        <v>2.71</v>
      </c>
    </row>
    <row r="250" spans="1:11" x14ac:dyDescent="0.35">
      <c r="A250" s="1">
        <v>45529</v>
      </c>
      <c r="B250" t="s">
        <v>1991</v>
      </c>
      <c r="C250" t="s">
        <v>42</v>
      </c>
      <c r="D250" t="s">
        <v>25</v>
      </c>
      <c r="E250" t="s">
        <v>43</v>
      </c>
      <c r="F250" t="s">
        <v>45</v>
      </c>
      <c r="G250" t="s">
        <v>39</v>
      </c>
      <c r="H250">
        <v>17461.05</v>
      </c>
      <c r="I250">
        <v>3</v>
      </c>
      <c r="J250">
        <v>52383.15</v>
      </c>
      <c r="K250">
        <v>2.5299999999999998</v>
      </c>
    </row>
    <row r="251" spans="1:11" x14ac:dyDescent="0.35">
      <c r="A251" s="1">
        <v>45530</v>
      </c>
      <c r="B251" t="s">
        <v>250</v>
      </c>
      <c r="C251" t="s">
        <v>24</v>
      </c>
      <c r="D251" t="s">
        <v>25</v>
      </c>
      <c r="E251" t="s">
        <v>26</v>
      </c>
      <c r="F251" t="s">
        <v>15</v>
      </c>
      <c r="G251" t="s">
        <v>60</v>
      </c>
      <c r="H251">
        <v>9725.77</v>
      </c>
      <c r="I251">
        <v>1</v>
      </c>
      <c r="J251">
        <v>9725.77</v>
      </c>
      <c r="K251">
        <v>4.9000000000000004</v>
      </c>
    </row>
    <row r="252" spans="1:11" x14ac:dyDescent="0.35">
      <c r="A252" s="1">
        <v>45530</v>
      </c>
      <c r="B252" t="s">
        <v>762</v>
      </c>
      <c r="C252" t="s">
        <v>24</v>
      </c>
      <c r="D252" t="s">
        <v>25</v>
      </c>
      <c r="E252" t="s">
        <v>26</v>
      </c>
      <c r="F252" t="s">
        <v>15</v>
      </c>
      <c r="G252" t="s">
        <v>39</v>
      </c>
      <c r="H252">
        <v>16813.54</v>
      </c>
      <c r="I252">
        <v>2</v>
      </c>
      <c r="J252">
        <v>33627.08</v>
      </c>
      <c r="K252">
        <v>1.77</v>
      </c>
    </row>
    <row r="253" spans="1:11" x14ac:dyDescent="0.35">
      <c r="A253" s="1">
        <v>45530</v>
      </c>
      <c r="B253" t="s">
        <v>872</v>
      </c>
      <c r="C253" t="s">
        <v>42</v>
      </c>
      <c r="D253" t="s">
        <v>25</v>
      </c>
      <c r="E253" t="s">
        <v>43</v>
      </c>
      <c r="F253" t="s">
        <v>45</v>
      </c>
      <c r="G253" t="s">
        <v>60</v>
      </c>
      <c r="H253">
        <v>10817.44</v>
      </c>
      <c r="I253">
        <v>3</v>
      </c>
      <c r="J253">
        <v>32452.32</v>
      </c>
      <c r="K253">
        <v>3.11</v>
      </c>
    </row>
    <row r="254" spans="1:11" x14ac:dyDescent="0.35">
      <c r="A254" s="1">
        <v>45531</v>
      </c>
      <c r="B254" t="s">
        <v>721</v>
      </c>
      <c r="C254" t="s">
        <v>24</v>
      </c>
      <c r="D254" t="s">
        <v>25</v>
      </c>
      <c r="E254" t="s">
        <v>26</v>
      </c>
      <c r="F254" t="s">
        <v>21</v>
      </c>
      <c r="G254" t="s">
        <v>16</v>
      </c>
      <c r="H254">
        <v>11123.71</v>
      </c>
      <c r="I254">
        <v>5</v>
      </c>
      <c r="J254">
        <v>55618.55</v>
      </c>
      <c r="K254">
        <v>2.56</v>
      </c>
    </row>
    <row r="255" spans="1:11" x14ac:dyDescent="0.35">
      <c r="A255" s="1">
        <v>45532</v>
      </c>
      <c r="B255" t="s">
        <v>72</v>
      </c>
      <c r="C255" t="s">
        <v>24</v>
      </c>
      <c r="D255" t="s">
        <v>25</v>
      </c>
      <c r="E255" t="s">
        <v>26</v>
      </c>
      <c r="F255" t="s">
        <v>45</v>
      </c>
      <c r="G255" t="s">
        <v>60</v>
      </c>
      <c r="H255">
        <v>12094.71</v>
      </c>
      <c r="I255">
        <v>2</v>
      </c>
      <c r="J255">
        <v>24189.42</v>
      </c>
      <c r="K255">
        <v>3.37</v>
      </c>
    </row>
    <row r="256" spans="1:11" x14ac:dyDescent="0.35">
      <c r="A256" s="1">
        <v>45535</v>
      </c>
      <c r="B256" t="s">
        <v>550</v>
      </c>
      <c r="C256" t="s">
        <v>24</v>
      </c>
      <c r="D256" t="s">
        <v>25</v>
      </c>
      <c r="E256" t="s">
        <v>26</v>
      </c>
      <c r="F256" t="s">
        <v>21</v>
      </c>
      <c r="G256" t="s">
        <v>22</v>
      </c>
      <c r="H256">
        <v>128.21</v>
      </c>
      <c r="I256">
        <v>5</v>
      </c>
      <c r="J256">
        <v>641.04999999999995</v>
      </c>
      <c r="K256">
        <v>3.33</v>
      </c>
    </row>
    <row r="257" spans="1:11" x14ac:dyDescent="0.35">
      <c r="A257" s="1">
        <v>45536</v>
      </c>
      <c r="B257" t="s">
        <v>1458</v>
      </c>
      <c r="C257" t="s">
        <v>24</v>
      </c>
      <c r="D257" t="s">
        <v>25</v>
      </c>
      <c r="E257" t="s">
        <v>26</v>
      </c>
      <c r="F257" t="s">
        <v>21</v>
      </c>
      <c r="G257" t="s">
        <v>39</v>
      </c>
      <c r="H257">
        <v>12257.83</v>
      </c>
      <c r="I257">
        <v>4</v>
      </c>
      <c r="J257">
        <v>49031.32</v>
      </c>
      <c r="K257">
        <v>2.54</v>
      </c>
    </row>
    <row r="258" spans="1:11" x14ac:dyDescent="0.35">
      <c r="A258" s="1">
        <v>45537</v>
      </c>
      <c r="B258" t="s">
        <v>1046</v>
      </c>
      <c r="C258" t="s">
        <v>24</v>
      </c>
      <c r="D258" t="s">
        <v>25</v>
      </c>
      <c r="E258" t="s">
        <v>26</v>
      </c>
      <c r="F258" t="s">
        <v>45</v>
      </c>
      <c r="G258" t="s">
        <v>16</v>
      </c>
      <c r="H258">
        <v>9860.2900000000009</v>
      </c>
      <c r="I258">
        <v>2</v>
      </c>
      <c r="J258">
        <v>19720.580000000002</v>
      </c>
      <c r="K258">
        <v>4.33</v>
      </c>
    </row>
    <row r="259" spans="1:11" x14ac:dyDescent="0.35">
      <c r="A259" s="1">
        <v>45538</v>
      </c>
      <c r="B259" t="s">
        <v>1922</v>
      </c>
      <c r="C259" t="s">
        <v>24</v>
      </c>
      <c r="D259" t="s">
        <v>25</v>
      </c>
      <c r="E259" t="s">
        <v>26</v>
      </c>
      <c r="F259" t="s">
        <v>45</v>
      </c>
      <c r="G259" t="s">
        <v>27</v>
      </c>
      <c r="H259">
        <v>1452.38</v>
      </c>
      <c r="I259">
        <v>3</v>
      </c>
      <c r="J259">
        <v>4357.1400000000003</v>
      </c>
      <c r="K259">
        <v>4.5</v>
      </c>
    </row>
    <row r="260" spans="1:11" x14ac:dyDescent="0.35">
      <c r="A260" s="1">
        <v>45538</v>
      </c>
      <c r="B260" t="s">
        <v>296</v>
      </c>
      <c r="C260" t="s">
        <v>42</v>
      </c>
      <c r="D260" t="s">
        <v>25</v>
      </c>
      <c r="E260" t="s">
        <v>43</v>
      </c>
      <c r="F260" t="s">
        <v>45</v>
      </c>
      <c r="G260" t="s">
        <v>60</v>
      </c>
      <c r="H260">
        <v>4860.08</v>
      </c>
      <c r="I260">
        <v>4</v>
      </c>
      <c r="J260">
        <v>19440.32</v>
      </c>
      <c r="K260">
        <v>1.19</v>
      </c>
    </row>
    <row r="261" spans="1:11" x14ac:dyDescent="0.35">
      <c r="A261" s="1">
        <v>45538</v>
      </c>
      <c r="B261" t="s">
        <v>1033</v>
      </c>
      <c r="C261" t="s">
        <v>42</v>
      </c>
      <c r="D261" t="s">
        <v>25</v>
      </c>
      <c r="E261" t="s">
        <v>43</v>
      </c>
      <c r="F261" t="s">
        <v>15</v>
      </c>
      <c r="G261" t="s">
        <v>32</v>
      </c>
      <c r="H261">
        <v>16973.259999999998</v>
      </c>
      <c r="I261">
        <v>3</v>
      </c>
      <c r="J261">
        <v>50919.78</v>
      </c>
      <c r="K261">
        <v>2.06</v>
      </c>
    </row>
    <row r="262" spans="1:11" x14ac:dyDescent="0.35">
      <c r="A262" s="1">
        <v>45539</v>
      </c>
      <c r="B262" t="s">
        <v>1661</v>
      </c>
      <c r="C262" t="s">
        <v>24</v>
      </c>
      <c r="D262" t="s">
        <v>25</v>
      </c>
      <c r="E262" t="s">
        <v>26</v>
      </c>
      <c r="F262" t="s">
        <v>45</v>
      </c>
      <c r="G262" t="s">
        <v>39</v>
      </c>
      <c r="H262">
        <v>7569.21</v>
      </c>
      <c r="I262">
        <v>1</v>
      </c>
      <c r="J262">
        <v>7569.21</v>
      </c>
      <c r="K262">
        <v>4.3499999999999996</v>
      </c>
    </row>
    <row r="263" spans="1:11" x14ac:dyDescent="0.35">
      <c r="A263" s="1">
        <v>45541</v>
      </c>
      <c r="B263" t="s">
        <v>1212</v>
      </c>
      <c r="C263" t="s">
        <v>24</v>
      </c>
      <c r="D263" t="s">
        <v>25</v>
      </c>
      <c r="E263" t="s">
        <v>26</v>
      </c>
      <c r="F263" t="s">
        <v>21</v>
      </c>
      <c r="G263" t="s">
        <v>39</v>
      </c>
      <c r="H263">
        <v>18703.400000000001</v>
      </c>
      <c r="I263">
        <v>4</v>
      </c>
      <c r="J263">
        <v>74813.600000000006</v>
      </c>
      <c r="K263">
        <v>3.57</v>
      </c>
    </row>
    <row r="264" spans="1:11" x14ac:dyDescent="0.35">
      <c r="A264" s="1">
        <v>45541</v>
      </c>
      <c r="B264" t="s">
        <v>1500</v>
      </c>
      <c r="C264" t="s">
        <v>24</v>
      </c>
      <c r="D264" t="s">
        <v>25</v>
      </c>
      <c r="E264" t="s">
        <v>26</v>
      </c>
      <c r="F264" t="s">
        <v>45</v>
      </c>
      <c r="G264" t="s">
        <v>22</v>
      </c>
      <c r="H264">
        <v>12424.66</v>
      </c>
      <c r="I264">
        <v>1</v>
      </c>
      <c r="J264">
        <v>12424.66</v>
      </c>
      <c r="K264">
        <v>1.47</v>
      </c>
    </row>
    <row r="265" spans="1:11" x14ac:dyDescent="0.35">
      <c r="A265" s="1">
        <v>45541</v>
      </c>
      <c r="B265" t="s">
        <v>2038</v>
      </c>
      <c r="C265" t="s">
        <v>24</v>
      </c>
      <c r="D265" t="s">
        <v>25</v>
      </c>
      <c r="E265" t="s">
        <v>26</v>
      </c>
      <c r="F265" t="s">
        <v>45</v>
      </c>
      <c r="G265" t="s">
        <v>39</v>
      </c>
      <c r="H265">
        <v>18703.34</v>
      </c>
      <c r="I265">
        <v>1</v>
      </c>
      <c r="J265">
        <v>18703.34</v>
      </c>
      <c r="K265">
        <v>3.91</v>
      </c>
    </row>
    <row r="266" spans="1:11" x14ac:dyDescent="0.35">
      <c r="A266" s="1">
        <v>45542</v>
      </c>
      <c r="B266" t="s">
        <v>1486</v>
      </c>
      <c r="C266" t="s">
        <v>24</v>
      </c>
      <c r="D266" t="s">
        <v>25</v>
      </c>
      <c r="E266" t="s">
        <v>26</v>
      </c>
      <c r="F266" t="s">
        <v>21</v>
      </c>
      <c r="G266" t="s">
        <v>27</v>
      </c>
      <c r="H266">
        <v>19189.740000000002</v>
      </c>
      <c r="I266">
        <v>5</v>
      </c>
      <c r="J266">
        <v>95948.7</v>
      </c>
      <c r="K266">
        <v>3.58</v>
      </c>
    </row>
    <row r="267" spans="1:11" x14ac:dyDescent="0.35">
      <c r="A267" s="1">
        <v>45542</v>
      </c>
      <c r="B267" t="s">
        <v>1698</v>
      </c>
      <c r="C267" t="s">
        <v>24</v>
      </c>
      <c r="D267" t="s">
        <v>25</v>
      </c>
      <c r="E267" t="s">
        <v>26</v>
      </c>
      <c r="F267" t="s">
        <v>45</v>
      </c>
      <c r="G267" t="s">
        <v>22</v>
      </c>
      <c r="H267">
        <v>12000.92</v>
      </c>
      <c r="I267">
        <v>1</v>
      </c>
      <c r="J267">
        <v>12000.92</v>
      </c>
      <c r="K267">
        <v>2.02</v>
      </c>
    </row>
    <row r="268" spans="1:11" x14ac:dyDescent="0.35">
      <c r="A268" s="1">
        <v>45542</v>
      </c>
      <c r="B268" t="s">
        <v>2033</v>
      </c>
      <c r="C268" t="s">
        <v>24</v>
      </c>
      <c r="D268" t="s">
        <v>25</v>
      </c>
      <c r="E268" t="s">
        <v>26</v>
      </c>
      <c r="F268" t="s">
        <v>15</v>
      </c>
      <c r="G268" t="s">
        <v>27</v>
      </c>
      <c r="H268">
        <v>9334.57</v>
      </c>
      <c r="I268">
        <v>5</v>
      </c>
      <c r="J268">
        <v>46672.85</v>
      </c>
      <c r="K268">
        <v>2.57</v>
      </c>
    </row>
    <row r="269" spans="1:11" x14ac:dyDescent="0.35">
      <c r="A269" s="1">
        <v>45544</v>
      </c>
      <c r="B269" t="s">
        <v>1501</v>
      </c>
      <c r="C269" t="s">
        <v>42</v>
      </c>
      <c r="D269" t="s">
        <v>25</v>
      </c>
      <c r="E269" t="s">
        <v>43</v>
      </c>
      <c r="F269" t="s">
        <v>15</v>
      </c>
      <c r="G269" t="s">
        <v>16</v>
      </c>
      <c r="H269">
        <v>8329.39</v>
      </c>
      <c r="I269">
        <v>5</v>
      </c>
      <c r="J269">
        <v>41646.949999999997</v>
      </c>
      <c r="K269">
        <v>4.9000000000000004</v>
      </c>
    </row>
    <row r="270" spans="1:11" x14ac:dyDescent="0.35">
      <c r="A270" s="1">
        <v>45544</v>
      </c>
      <c r="B270" t="s">
        <v>2041</v>
      </c>
      <c r="C270" t="s">
        <v>42</v>
      </c>
      <c r="D270" t="s">
        <v>25</v>
      </c>
      <c r="E270" t="s">
        <v>43</v>
      </c>
      <c r="F270" t="s">
        <v>15</v>
      </c>
      <c r="G270" t="s">
        <v>22</v>
      </c>
      <c r="H270">
        <v>3279.46</v>
      </c>
      <c r="I270">
        <v>4</v>
      </c>
      <c r="J270">
        <v>13117.84</v>
      </c>
      <c r="K270">
        <v>4.8499999999999996</v>
      </c>
    </row>
    <row r="271" spans="1:11" x14ac:dyDescent="0.35">
      <c r="A271" s="1">
        <v>45546</v>
      </c>
      <c r="B271" t="s">
        <v>521</v>
      </c>
      <c r="C271" t="s">
        <v>42</v>
      </c>
      <c r="D271" t="s">
        <v>25</v>
      </c>
      <c r="E271" t="s">
        <v>43</v>
      </c>
      <c r="F271" t="s">
        <v>45</v>
      </c>
      <c r="G271" t="s">
        <v>60</v>
      </c>
      <c r="H271">
        <v>11383.86</v>
      </c>
      <c r="I271">
        <v>3</v>
      </c>
      <c r="J271">
        <v>34151.58</v>
      </c>
      <c r="K271">
        <v>2.79</v>
      </c>
    </row>
    <row r="272" spans="1:11" x14ac:dyDescent="0.35">
      <c r="A272" s="1">
        <v>45547</v>
      </c>
      <c r="B272" t="s">
        <v>836</v>
      </c>
      <c r="C272" t="s">
        <v>24</v>
      </c>
      <c r="D272" t="s">
        <v>25</v>
      </c>
      <c r="E272" t="s">
        <v>26</v>
      </c>
      <c r="F272" t="s">
        <v>45</v>
      </c>
      <c r="G272" t="s">
        <v>22</v>
      </c>
      <c r="H272">
        <v>1161.23</v>
      </c>
      <c r="I272">
        <v>3</v>
      </c>
      <c r="J272">
        <v>3483.69</v>
      </c>
      <c r="K272">
        <v>3.87</v>
      </c>
    </row>
    <row r="273" spans="1:11" x14ac:dyDescent="0.35">
      <c r="A273" s="1">
        <v>45548</v>
      </c>
      <c r="B273" t="s">
        <v>970</v>
      </c>
      <c r="C273" t="s">
        <v>24</v>
      </c>
      <c r="D273" t="s">
        <v>25</v>
      </c>
      <c r="E273" t="s">
        <v>26</v>
      </c>
      <c r="F273" t="s">
        <v>15</v>
      </c>
      <c r="G273" t="s">
        <v>60</v>
      </c>
      <c r="H273">
        <v>17084.169999999998</v>
      </c>
      <c r="I273">
        <v>4</v>
      </c>
      <c r="J273">
        <v>68336.679999999993</v>
      </c>
      <c r="K273">
        <v>3.62</v>
      </c>
    </row>
    <row r="274" spans="1:11" x14ac:dyDescent="0.35">
      <c r="A274" s="1">
        <v>45550</v>
      </c>
      <c r="B274" t="s">
        <v>282</v>
      </c>
      <c r="C274" t="s">
        <v>24</v>
      </c>
      <c r="D274" t="s">
        <v>25</v>
      </c>
      <c r="E274" t="s">
        <v>26</v>
      </c>
      <c r="F274" t="s">
        <v>21</v>
      </c>
      <c r="G274" t="s">
        <v>60</v>
      </c>
      <c r="H274">
        <v>11996.17</v>
      </c>
      <c r="I274">
        <v>3</v>
      </c>
      <c r="J274">
        <v>35988.51</v>
      </c>
      <c r="K274">
        <v>3.75</v>
      </c>
    </row>
    <row r="275" spans="1:11" x14ac:dyDescent="0.35">
      <c r="A275" s="1">
        <v>45550</v>
      </c>
      <c r="B275" t="s">
        <v>1828</v>
      </c>
      <c r="C275" t="s">
        <v>24</v>
      </c>
      <c r="D275" t="s">
        <v>25</v>
      </c>
      <c r="E275" t="s">
        <v>26</v>
      </c>
      <c r="F275" t="s">
        <v>21</v>
      </c>
      <c r="G275" t="s">
        <v>32</v>
      </c>
      <c r="H275">
        <v>2788.87</v>
      </c>
      <c r="I275">
        <v>1</v>
      </c>
      <c r="J275">
        <v>2788.87</v>
      </c>
      <c r="K275">
        <v>4.2300000000000004</v>
      </c>
    </row>
    <row r="276" spans="1:11" x14ac:dyDescent="0.35">
      <c r="A276" s="1">
        <v>45552</v>
      </c>
      <c r="B276" t="s">
        <v>415</v>
      </c>
      <c r="C276" t="s">
        <v>24</v>
      </c>
      <c r="D276" t="s">
        <v>25</v>
      </c>
      <c r="E276" t="s">
        <v>26</v>
      </c>
      <c r="F276" t="s">
        <v>45</v>
      </c>
      <c r="G276" t="s">
        <v>16</v>
      </c>
      <c r="H276">
        <v>6436.71</v>
      </c>
      <c r="I276">
        <v>1</v>
      </c>
      <c r="J276">
        <v>6436.71</v>
      </c>
      <c r="K276">
        <v>4.6500000000000004</v>
      </c>
    </row>
    <row r="277" spans="1:11" x14ac:dyDescent="0.35">
      <c r="A277" s="1">
        <v>45552</v>
      </c>
      <c r="B277" t="s">
        <v>1061</v>
      </c>
      <c r="C277" t="s">
        <v>42</v>
      </c>
      <c r="D277" t="s">
        <v>25</v>
      </c>
      <c r="E277" t="s">
        <v>43</v>
      </c>
      <c r="F277" t="s">
        <v>15</v>
      </c>
      <c r="G277" t="s">
        <v>39</v>
      </c>
      <c r="H277">
        <v>16360.36</v>
      </c>
      <c r="I277">
        <v>1</v>
      </c>
      <c r="J277">
        <v>16360.36</v>
      </c>
      <c r="K277">
        <v>1.81</v>
      </c>
    </row>
    <row r="278" spans="1:11" x14ac:dyDescent="0.35">
      <c r="A278" s="1">
        <v>45552</v>
      </c>
      <c r="B278" t="s">
        <v>1279</v>
      </c>
      <c r="C278" t="s">
        <v>42</v>
      </c>
      <c r="D278" t="s">
        <v>25</v>
      </c>
      <c r="E278" t="s">
        <v>43</v>
      </c>
      <c r="F278" t="s">
        <v>21</v>
      </c>
      <c r="G278" t="s">
        <v>27</v>
      </c>
      <c r="H278">
        <v>8622.65</v>
      </c>
      <c r="I278">
        <v>5</v>
      </c>
      <c r="J278">
        <v>43113.25</v>
      </c>
      <c r="K278">
        <v>1.37</v>
      </c>
    </row>
    <row r="279" spans="1:11" x14ac:dyDescent="0.35">
      <c r="A279" s="1">
        <v>45555</v>
      </c>
      <c r="B279" t="s">
        <v>1796</v>
      </c>
      <c r="C279" t="s">
        <v>42</v>
      </c>
      <c r="D279" t="s">
        <v>25</v>
      </c>
      <c r="E279" t="s">
        <v>43</v>
      </c>
      <c r="F279" t="s">
        <v>15</v>
      </c>
      <c r="G279" t="s">
        <v>39</v>
      </c>
      <c r="H279">
        <v>12781.28</v>
      </c>
      <c r="I279">
        <v>1</v>
      </c>
      <c r="J279">
        <v>12781.28</v>
      </c>
      <c r="K279">
        <v>2.98</v>
      </c>
    </row>
    <row r="280" spans="1:11" x14ac:dyDescent="0.35">
      <c r="A280" s="1">
        <v>45556</v>
      </c>
      <c r="B280" t="s">
        <v>357</v>
      </c>
      <c r="C280" t="s">
        <v>24</v>
      </c>
      <c r="D280" t="s">
        <v>25</v>
      </c>
      <c r="E280" t="s">
        <v>26</v>
      </c>
      <c r="F280" t="s">
        <v>21</v>
      </c>
      <c r="G280" t="s">
        <v>16</v>
      </c>
      <c r="H280">
        <v>13429.1</v>
      </c>
      <c r="I280">
        <v>2</v>
      </c>
      <c r="J280">
        <v>26858.2</v>
      </c>
      <c r="K280">
        <v>2.86</v>
      </c>
    </row>
    <row r="281" spans="1:11" x14ac:dyDescent="0.35">
      <c r="A281" s="1">
        <v>45558</v>
      </c>
      <c r="B281" t="s">
        <v>73</v>
      </c>
      <c r="C281" t="s">
        <v>42</v>
      </c>
      <c r="D281" t="s">
        <v>25</v>
      </c>
      <c r="E281" t="s">
        <v>43</v>
      </c>
      <c r="F281" t="s">
        <v>21</v>
      </c>
      <c r="G281" t="s">
        <v>32</v>
      </c>
      <c r="H281">
        <v>1682.41</v>
      </c>
      <c r="I281">
        <v>2</v>
      </c>
      <c r="J281">
        <v>3364.82</v>
      </c>
      <c r="K281">
        <v>2.35</v>
      </c>
    </row>
    <row r="282" spans="1:11" x14ac:dyDescent="0.35">
      <c r="A282" s="1">
        <v>45558</v>
      </c>
      <c r="B282" t="s">
        <v>444</v>
      </c>
      <c r="C282" t="s">
        <v>42</v>
      </c>
      <c r="D282" t="s">
        <v>25</v>
      </c>
      <c r="E282" t="s">
        <v>43</v>
      </c>
      <c r="F282" t="s">
        <v>21</v>
      </c>
      <c r="G282" t="s">
        <v>39</v>
      </c>
      <c r="H282">
        <v>16672.91</v>
      </c>
      <c r="I282">
        <v>2</v>
      </c>
      <c r="J282">
        <v>33345.82</v>
      </c>
      <c r="K282">
        <v>3.62</v>
      </c>
    </row>
    <row r="283" spans="1:11" x14ac:dyDescent="0.35">
      <c r="A283" s="1">
        <v>45563</v>
      </c>
      <c r="B283" t="s">
        <v>1885</v>
      </c>
      <c r="C283" t="s">
        <v>24</v>
      </c>
      <c r="D283" t="s">
        <v>25</v>
      </c>
      <c r="E283" t="s">
        <v>26</v>
      </c>
      <c r="F283" t="s">
        <v>21</v>
      </c>
      <c r="G283" t="s">
        <v>27</v>
      </c>
      <c r="H283">
        <v>9589.5400000000009</v>
      </c>
      <c r="I283">
        <v>3</v>
      </c>
      <c r="J283">
        <v>28768.62</v>
      </c>
      <c r="K283">
        <v>2.48</v>
      </c>
    </row>
    <row r="284" spans="1:11" x14ac:dyDescent="0.35">
      <c r="A284" s="1">
        <v>45564</v>
      </c>
      <c r="B284" t="s">
        <v>1456</v>
      </c>
      <c r="C284" t="s">
        <v>42</v>
      </c>
      <c r="D284" t="s">
        <v>25</v>
      </c>
      <c r="E284" t="s">
        <v>43</v>
      </c>
      <c r="F284" t="s">
        <v>21</v>
      </c>
      <c r="G284" t="s">
        <v>22</v>
      </c>
      <c r="H284">
        <v>13095.68</v>
      </c>
      <c r="I284">
        <v>5</v>
      </c>
      <c r="J284">
        <v>65478.400000000001</v>
      </c>
      <c r="K284">
        <v>2.2799999999999998</v>
      </c>
    </row>
    <row r="285" spans="1:11" x14ac:dyDescent="0.35">
      <c r="A285" s="1">
        <v>45564</v>
      </c>
      <c r="B285" t="s">
        <v>1764</v>
      </c>
      <c r="C285" t="s">
        <v>42</v>
      </c>
      <c r="D285" t="s">
        <v>25</v>
      </c>
      <c r="E285" t="s">
        <v>43</v>
      </c>
      <c r="F285" t="s">
        <v>45</v>
      </c>
      <c r="G285" t="s">
        <v>22</v>
      </c>
      <c r="H285">
        <v>11845.83</v>
      </c>
      <c r="I285">
        <v>1</v>
      </c>
      <c r="J285">
        <v>11845.83</v>
      </c>
      <c r="K285">
        <v>4.2699999999999996</v>
      </c>
    </row>
    <row r="286" spans="1:11" x14ac:dyDescent="0.35">
      <c r="A286" s="1">
        <v>45565</v>
      </c>
      <c r="B286" t="s">
        <v>1666</v>
      </c>
      <c r="C286" t="s">
        <v>24</v>
      </c>
      <c r="D286" t="s">
        <v>25</v>
      </c>
      <c r="E286" t="s">
        <v>26</v>
      </c>
      <c r="F286" t="s">
        <v>15</v>
      </c>
      <c r="G286" t="s">
        <v>60</v>
      </c>
      <c r="H286">
        <v>4763.49</v>
      </c>
      <c r="I286">
        <v>2</v>
      </c>
      <c r="J286">
        <v>9526.98</v>
      </c>
      <c r="K286">
        <v>3.79</v>
      </c>
    </row>
    <row r="287" spans="1:11" x14ac:dyDescent="0.35">
      <c r="A287" s="1">
        <v>45565</v>
      </c>
      <c r="B287" t="s">
        <v>576</v>
      </c>
      <c r="C287" t="s">
        <v>42</v>
      </c>
      <c r="D287" t="s">
        <v>25</v>
      </c>
      <c r="E287" t="s">
        <v>43</v>
      </c>
      <c r="F287" t="s">
        <v>15</v>
      </c>
      <c r="G287" t="s">
        <v>39</v>
      </c>
      <c r="H287">
        <v>1816.87</v>
      </c>
      <c r="I287">
        <v>5</v>
      </c>
      <c r="J287">
        <v>9084.35</v>
      </c>
      <c r="K287">
        <v>1.96</v>
      </c>
    </row>
    <row r="288" spans="1:11" x14ac:dyDescent="0.35">
      <c r="A288" s="1">
        <v>45567</v>
      </c>
      <c r="B288" t="s">
        <v>135</v>
      </c>
      <c r="C288" t="s">
        <v>24</v>
      </c>
      <c r="D288" t="s">
        <v>25</v>
      </c>
      <c r="E288" t="s">
        <v>26</v>
      </c>
      <c r="F288" t="s">
        <v>15</v>
      </c>
      <c r="G288" t="s">
        <v>32</v>
      </c>
      <c r="H288">
        <v>1603.38</v>
      </c>
      <c r="I288">
        <v>5</v>
      </c>
      <c r="J288">
        <v>8016.9</v>
      </c>
      <c r="K288">
        <v>3.61</v>
      </c>
    </row>
    <row r="289" spans="1:11" x14ac:dyDescent="0.35">
      <c r="A289" s="1">
        <v>45567</v>
      </c>
      <c r="B289" t="s">
        <v>1935</v>
      </c>
      <c r="C289" t="s">
        <v>42</v>
      </c>
      <c r="D289" t="s">
        <v>25</v>
      </c>
      <c r="E289" t="s">
        <v>43</v>
      </c>
      <c r="F289" t="s">
        <v>15</v>
      </c>
      <c r="G289" t="s">
        <v>60</v>
      </c>
      <c r="H289">
        <v>6358.07</v>
      </c>
      <c r="I289">
        <v>1</v>
      </c>
      <c r="J289">
        <v>6358.07</v>
      </c>
      <c r="K289">
        <v>1.63</v>
      </c>
    </row>
    <row r="290" spans="1:11" x14ac:dyDescent="0.35">
      <c r="A290" s="1">
        <v>45568</v>
      </c>
      <c r="B290" t="s">
        <v>1325</v>
      </c>
      <c r="C290" t="s">
        <v>24</v>
      </c>
      <c r="D290" t="s">
        <v>25</v>
      </c>
      <c r="E290" t="s">
        <v>26</v>
      </c>
      <c r="F290" t="s">
        <v>21</v>
      </c>
      <c r="G290" t="s">
        <v>32</v>
      </c>
      <c r="H290">
        <v>4762.38</v>
      </c>
      <c r="I290">
        <v>5</v>
      </c>
      <c r="J290">
        <v>23811.9</v>
      </c>
      <c r="K290">
        <v>2.4</v>
      </c>
    </row>
    <row r="291" spans="1:11" x14ac:dyDescent="0.35">
      <c r="A291" s="1">
        <v>45569</v>
      </c>
      <c r="B291" t="s">
        <v>1192</v>
      </c>
      <c r="C291" t="s">
        <v>42</v>
      </c>
      <c r="D291" t="s">
        <v>25</v>
      </c>
      <c r="E291" t="s">
        <v>43</v>
      </c>
      <c r="F291" t="s">
        <v>45</v>
      </c>
      <c r="G291" t="s">
        <v>22</v>
      </c>
      <c r="H291">
        <v>12111.5</v>
      </c>
      <c r="I291">
        <v>1</v>
      </c>
      <c r="J291">
        <v>12111.5</v>
      </c>
      <c r="K291">
        <v>2.0499999999999998</v>
      </c>
    </row>
    <row r="292" spans="1:11" x14ac:dyDescent="0.35">
      <c r="A292" s="1">
        <v>45571</v>
      </c>
      <c r="B292" t="s">
        <v>1218</v>
      </c>
      <c r="C292" t="s">
        <v>24</v>
      </c>
      <c r="D292" t="s">
        <v>25</v>
      </c>
      <c r="E292" t="s">
        <v>26</v>
      </c>
      <c r="F292" t="s">
        <v>45</v>
      </c>
      <c r="G292" t="s">
        <v>60</v>
      </c>
      <c r="H292">
        <v>17946.36</v>
      </c>
      <c r="I292">
        <v>4</v>
      </c>
      <c r="J292">
        <v>71785.440000000002</v>
      </c>
      <c r="K292">
        <v>1.36</v>
      </c>
    </row>
    <row r="293" spans="1:11" x14ac:dyDescent="0.35">
      <c r="A293" s="1">
        <v>45572</v>
      </c>
      <c r="B293" t="s">
        <v>162</v>
      </c>
      <c r="C293" t="s">
        <v>24</v>
      </c>
      <c r="D293" t="s">
        <v>25</v>
      </c>
      <c r="E293" t="s">
        <v>26</v>
      </c>
      <c r="F293" t="s">
        <v>15</v>
      </c>
      <c r="G293" t="s">
        <v>60</v>
      </c>
      <c r="H293">
        <v>8397.24</v>
      </c>
      <c r="I293">
        <v>3</v>
      </c>
      <c r="J293">
        <v>25191.72</v>
      </c>
      <c r="K293">
        <v>4.5999999999999996</v>
      </c>
    </row>
    <row r="294" spans="1:11" x14ac:dyDescent="0.35">
      <c r="A294" s="1">
        <v>45573</v>
      </c>
      <c r="B294" t="s">
        <v>1611</v>
      </c>
      <c r="C294" t="s">
        <v>42</v>
      </c>
      <c r="D294" t="s">
        <v>25</v>
      </c>
      <c r="E294" t="s">
        <v>43</v>
      </c>
      <c r="F294" t="s">
        <v>21</v>
      </c>
      <c r="G294" t="s">
        <v>16</v>
      </c>
      <c r="H294">
        <v>15128.97</v>
      </c>
      <c r="I294">
        <v>5</v>
      </c>
      <c r="J294">
        <v>75644.850000000006</v>
      </c>
      <c r="K294">
        <v>3.53</v>
      </c>
    </row>
    <row r="295" spans="1:11" x14ac:dyDescent="0.35">
      <c r="A295" s="1">
        <v>45573</v>
      </c>
      <c r="B295" t="s">
        <v>1813</v>
      </c>
      <c r="C295" t="s">
        <v>42</v>
      </c>
      <c r="D295" t="s">
        <v>25</v>
      </c>
      <c r="E295" t="s">
        <v>43</v>
      </c>
      <c r="F295" t="s">
        <v>45</v>
      </c>
      <c r="G295" t="s">
        <v>39</v>
      </c>
      <c r="H295">
        <v>19246.400000000001</v>
      </c>
      <c r="I295">
        <v>2</v>
      </c>
      <c r="J295">
        <v>38492.800000000003</v>
      </c>
      <c r="K295">
        <v>1.83</v>
      </c>
    </row>
    <row r="296" spans="1:11" x14ac:dyDescent="0.35">
      <c r="A296" s="1">
        <v>45575</v>
      </c>
      <c r="B296" t="s">
        <v>578</v>
      </c>
      <c r="C296" t="s">
        <v>24</v>
      </c>
      <c r="D296" t="s">
        <v>25</v>
      </c>
      <c r="E296" t="s">
        <v>26</v>
      </c>
      <c r="F296" t="s">
        <v>45</v>
      </c>
      <c r="G296" t="s">
        <v>39</v>
      </c>
      <c r="H296">
        <v>13426.18</v>
      </c>
      <c r="I296">
        <v>3</v>
      </c>
      <c r="J296">
        <v>40278.54</v>
      </c>
      <c r="K296">
        <v>4.75</v>
      </c>
    </row>
    <row r="297" spans="1:11" x14ac:dyDescent="0.35">
      <c r="A297" s="1">
        <v>45578</v>
      </c>
      <c r="B297" t="s">
        <v>528</v>
      </c>
      <c r="C297" t="s">
        <v>42</v>
      </c>
      <c r="D297" t="s">
        <v>25</v>
      </c>
      <c r="E297" t="s">
        <v>43</v>
      </c>
      <c r="F297" t="s">
        <v>45</v>
      </c>
      <c r="G297" t="s">
        <v>22</v>
      </c>
      <c r="H297">
        <v>12211.13</v>
      </c>
      <c r="I297">
        <v>4</v>
      </c>
      <c r="J297">
        <v>48844.52</v>
      </c>
      <c r="K297">
        <v>4.45</v>
      </c>
    </row>
    <row r="298" spans="1:11" x14ac:dyDescent="0.35">
      <c r="A298" s="1">
        <v>45579</v>
      </c>
      <c r="B298" t="s">
        <v>1853</v>
      </c>
      <c r="C298" t="s">
        <v>24</v>
      </c>
      <c r="D298" t="s">
        <v>25</v>
      </c>
      <c r="E298" t="s">
        <v>26</v>
      </c>
      <c r="F298" t="s">
        <v>21</v>
      </c>
      <c r="G298" t="s">
        <v>32</v>
      </c>
      <c r="H298">
        <v>4078.96</v>
      </c>
      <c r="I298">
        <v>2</v>
      </c>
      <c r="J298">
        <v>8157.92</v>
      </c>
      <c r="K298">
        <v>2.11</v>
      </c>
    </row>
    <row r="299" spans="1:11" x14ac:dyDescent="0.35">
      <c r="A299" s="1">
        <v>45580</v>
      </c>
      <c r="B299" t="s">
        <v>267</v>
      </c>
      <c r="C299" t="s">
        <v>24</v>
      </c>
      <c r="D299" t="s">
        <v>25</v>
      </c>
      <c r="E299" t="s">
        <v>26</v>
      </c>
      <c r="F299" t="s">
        <v>21</v>
      </c>
      <c r="G299" t="s">
        <v>27</v>
      </c>
      <c r="H299">
        <v>8611.48</v>
      </c>
      <c r="I299">
        <v>5</v>
      </c>
      <c r="J299">
        <v>43057.4</v>
      </c>
      <c r="K299">
        <v>2.35</v>
      </c>
    </row>
    <row r="300" spans="1:11" x14ac:dyDescent="0.35">
      <c r="A300" s="1">
        <v>45580</v>
      </c>
      <c r="B300" t="s">
        <v>1109</v>
      </c>
      <c r="C300" t="s">
        <v>42</v>
      </c>
      <c r="D300" t="s">
        <v>25</v>
      </c>
      <c r="E300" t="s">
        <v>43</v>
      </c>
      <c r="F300" t="s">
        <v>15</v>
      </c>
      <c r="G300" t="s">
        <v>60</v>
      </c>
      <c r="H300">
        <v>12103.59</v>
      </c>
      <c r="I300">
        <v>4</v>
      </c>
      <c r="J300">
        <v>48414.36</v>
      </c>
      <c r="K300">
        <v>1.69</v>
      </c>
    </row>
    <row r="301" spans="1:11" x14ac:dyDescent="0.35">
      <c r="A301" s="1">
        <v>45581</v>
      </c>
      <c r="B301" t="s">
        <v>81</v>
      </c>
      <c r="C301" t="s">
        <v>24</v>
      </c>
      <c r="D301" t="s">
        <v>25</v>
      </c>
      <c r="E301" t="s">
        <v>26</v>
      </c>
      <c r="F301" t="s">
        <v>45</v>
      </c>
      <c r="G301" t="s">
        <v>22</v>
      </c>
      <c r="H301">
        <v>7460.49</v>
      </c>
      <c r="I301">
        <v>5</v>
      </c>
      <c r="J301">
        <v>37302.449999999997</v>
      </c>
      <c r="K301">
        <v>1.76</v>
      </c>
    </row>
    <row r="302" spans="1:11" x14ac:dyDescent="0.35">
      <c r="A302" s="1">
        <v>45582</v>
      </c>
      <c r="B302" t="s">
        <v>537</v>
      </c>
      <c r="C302" t="s">
        <v>42</v>
      </c>
      <c r="D302" t="s">
        <v>25</v>
      </c>
      <c r="E302" t="s">
        <v>43</v>
      </c>
      <c r="F302" t="s">
        <v>21</v>
      </c>
      <c r="G302" t="s">
        <v>22</v>
      </c>
      <c r="H302">
        <v>3637.41</v>
      </c>
      <c r="I302">
        <v>4</v>
      </c>
      <c r="J302">
        <v>14549.64</v>
      </c>
      <c r="K302">
        <v>2.4300000000000002</v>
      </c>
    </row>
    <row r="303" spans="1:11" x14ac:dyDescent="0.35">
      <c r="A303" s="1">
        <v>45582</v>
      </c>
      <c r="B303" t="s">
        <v>1124</v>
      </c>
      <c r="C303" t="s">
        <v>42</v>
      </c>
      <c r="D303" t="s">
        <v>25</v>
      </c>
      <c r="E303" t="s">
        <v>43</v>
      </c>
      <c r="F303" t="s">
        <v>21</v>
      </c>
      <c r="G303" t="s">
        <v>22</v>
      </c>
      <c r="H303">
        <v>14044.12</v>
      </c>
      <c r="I303">
        <v>1</v>
      </c>
      <c r="J303">
        <v>14044.12</v>
      </c>
      <c r="K303">
        <v>2.57</v>
      </c>
    </row>
    <row r="304" spans="1:11" x14ac:dyDescent="0.35">
      <c r="A304" s="1">
        <v>45583</v>
      </c>
      <c r="B304" t="s">
        <v>1530</v>
      </c>
      <c r="C304" t="s">
        <v>24</v>
      </c>
      <c r="D304" t="s">
        <v>25</v>
      </c>
      <c r="E304" t="s">
        <v>26</v>
      </c>
      <c r="F304" t="s">
        <v>45</v>
      </c>
      <c r="G304" t="s">
        <v>39</v>
      </c>
      <c r="H304">
        <v>876.67</v>
      </c>
      <c r="I304">
        <v>4</v>
      </c>
      <c r="J304">
        <v>3506.68</v>
      </c>
      <c r="K304">
        <v>3.23</v>
      </c>
    </row>
    <row r="305" spans="1:11" x14ac:dyDescent="0.35">
      <c r="A305" s="1">
        <v>45583</v>
      </c>
      <c r="B305" t="s">
        <v>1998</v>
      </c>
      <c r="C305" t="s">
        <v>24</v>
      </c>
      <c r="D305" t="s">
        <v>25</v>
      </c>
      <c r="E305" t="s">
        <v>26</v>
      </c>
      <c r="F305" t="s">
        <v>15</v>
      </c>
      <c r="G305" t="s">
        <v>32</v>
      </c>
      <c r="H305">
        <v>3897.31</v>
      </c>
      <c r="I305">
        <v>5</v>
      </c>
      <c r="J305">
        <v>19486.55</v>
      </c>
      <c r="K305">
        <v>4</v>
      </c>
    </row>
    <row r="306" spans="1:11" x14ac:dyDescent="0.35">
      <c r="A306" s="1">
        <v>45583</v>
      </c>
      <c r="B306" t="s">
        <v>504</v>
      </c>
      <c r="C306" t="s">
        <v>42</v>
      </c>
      <c r="D306" t="s">
        <v>25</v>
      </c>
      <c r="E306" t="s">
        <v>43</v>
      </c>
      <c r="F306" t="s">
        <v>15</v>
      </c>
      <c r="G306" t="s">
        <v>16</v>
      </c>
      <c r="H306">
        <v>16422.82</v>
      </c>
      <c r="I306">
        <v>1</v>
      </c>
      <c r="J306">
        <v>16422.82</v>
      </c>
      <c r="K306">
        <v>1.1200000000000001</v>
      </c>
    </row>
    <row r="307" spans="1:11" x14ac:dyDescent="0.35">
      <c r="A307" s="1">
        <v>45584</v>
      </c>
      <c r="B307" t="s">
        <v>1711</v>
      </c>
      <c r="C307" t="s">
        <v>42</v>
      </c>
      <c r="D307" t="s">
        <v>25</v>
      </c>
      <c r="E307" t="s">
        <v>43</v>
      </c>
      <c r="F307" t="s">
        <v>21</v>
      </c>
      <c r="G307" t="s">
        <v>39</v>
      </c>
      <c r="H307">
        <v>12678.7</v>
      </c>
      <c r="I307">
        <v>3</v>
      </c>
      <c r="J307">
        <v>38036.1</v>
      </c>
      <c r="K307">
        <v>1.83</v>
      </c>
    </row>
    <row r="308" spans="1:11" x14ac:dyDescent="0.35">
      <c r="A308" s="1">
        <v>45585</v>
      </c>
      <c r="B308" t="s">
        <v>774</v>
      </c>
      <c r="C308" t="s">
        <v>42</v>
      </c>
      <c r="D308" t="s">
        <v>25</v>
      </c>
      <c r="E308" t="s">
        <v>43</v>
      </c>
      <c r="F308" t="s">
        <v>21</v>
      </c>
      <c r="G308" t="s">
        <v>60</v>
      </c>
      <c r="H308">
        <v>5337.89</v>
      </c>
      <c r="I308">
        <v>3</v>
      </c>
      <c r="J308">
        <v>16013.67</v>
      </c>
      <c r="K308">
        <v>2.77</v>
      </c>
    </row>
    <row r="309" spans="1:11" x14ac:dyDescent="0.35">
      <c r="A309" s="1">
        <v>45587</v>
      </c>
      <c r="B309" t="s">
        <v>1074</v>
      </c>
      <c r="C309" t="s">
        <v>42</v>
      </c>
      <c r="D309" t="s">
        <v>25</v>
      </c>
      <c r="E309" t="s">
        <v>43</v>
      </c>
      <c r="F309" t="s">
        <v>45</v>
      </c>
      <c r="G309" t="s">
        <v>16</v>
      </c>
      <c r="H309">
        <v>16961.03</v>
      </c>
      <c r="I309">
        <v>3</v>
      </c>
      <c r="J309">
        <v>50883.09</v>
      </c>
      <c r="K309">
        <v>2.58</v>
      </c>
    </row>
    <row r="310" spans="1:11" x14ac:dyDescent="0.35">
      <c r="A310" s="1">
        <v>45588</v>
      </c>
      <c r="B310" t="s">
        <v>142</v>
      </c>
      <c r="C310" t="s">
        <v>42</v>
      </c>
      <c r="D310" t="s">
        <v>25</v>
      </c>
      <c r="E310" t="s">
        <v>43</v>
      </c>
      <c r="F310" t="s">
        <v>15</v>
      </c>
      <c r="G310" t="s">
        <v>32</v>
      </c>
      <c r="H310">
        <v>6558.5</v>
      </c>
      <c r="I310">
        <v>2</v>
      </c>
      <c r="J310">
        <v>13117</v>
      </c>
      <c r="K310">
        <v>1.01</v>
      </c>
    </row>
    <row r="311" spans="1:11" x14ac:dyDescent="0.35">
      <c r="A311" s="1">
        <v>45592</v>
      </c>
      <c r="B311" t="s">
        <v>514</v>
      </c>
      <c r="C311" t="s">
        <v>24</v>
      </c>
      <c r="D311" t="s">
        <v>25</v>
      </c>
      <c r="E311" t="s">
        <v>26</v>
      </c>
      <c r="F311" t="s">
        <v>15</v>
      </c>
      <c r="G311" t="s">
        <v>60</v>
      </c>
      <c r="H311">
        <v>2431.37</v>
      </c>
      <c r="I311">
        <v>1</v>
      </c>
      <c r="J311">
        <v>2431.37</v>
      </c>
      <c r="K311">
        <v>2.69</v>
      </c>
    </row>
    <row r="312" spans="1:11" x14ac:dyDescent="0.35">
      <c r="A312" s="1">
        <v>45592</v>
      </c>
      <c r="B312" t="s">
        <v>206</v>
      </c>
      <c r="C312" t="s">
        <v>42</v>
      </c>
      <c r="D312" t="s">
        <v>25</v>
      </c>
      <c r="E312" t="s">
        <v>43</v>
      </c>
      <c r="F312" t="s">
        <v>21</v>
      </c>
      <c r="G312" t="s">
        <v>16</v>
      </c>
      <c r="H312">
        <v>3815.32</v>
      </c>
      <c r="I312">
        <v>3</v>
      </c>
      <c r="J312">
        <v>11445.96</v>
      </c>
      <c r="K312">
        <v>3.34</v>
      </c>
    </row>
    <row r="313" spans="1:11" x14ac:dyDescent="0.35">
      <c r="A313" s="1">
        <v>45594</v>
      </c>
      <c r="B313" t="s">
        <v>424</v>
      </c>
      <c r="C313" t="s">
        <v>24</v>
      </c>
      <c r="D313" t="s">
        <v>25</v>
      </c>
      <c r="E313" t="s">
        <v>26</v>
      </c>
      <c r="F313" t="s">
        <v>45</v>
      </c>
      <c r="G313" t="s">
        <v>16</v>
      </c>
      <c r="H313">
        <v>11868.86</v>
      </c>
      <c r="I313">
        <v>4</v>
      </c>
      <c r="J313">
        <v>47475.44</v>
      </c>
      <c r="K313">
        <v>3.25</v>
      </c>
    </row>
    <row r="314" spans="1:11" x14ac:dyDescent="0.35">
      <c r="A314" s="1">
        <v>45594</v>
      </c>
      <c r="B314" t="s">
        <v>624</v>
      </c>
      <c r="C314" t="s">
        <v>42</v>
      </c>
      <c r="D314" t="s">
        <v>25</v>
      </c>
      <c r="E314" t="s">
        <v>43</v>
      </c>
      <c r="F314" t="s">
        <v>15</v>
      </c>
      <c r="G314" t="s">
        <v>16</v>
      </c>
      <c r="H314">
        <v>19679.759999999998</v>
      </c>
      <c r="I314">
        <v>1</v>
      </c>
      <c r="J314">
        <v>19679.759999999998</v>
      </c>
      <c r="K314">
        <v>3.33</v>
      </c>
    </row>
    <row r="315" spans="1:11" x14ac:dyDescent="0.35">
      <c r="A315" s="1">
        <v>45596</v>
      </c>
      <c r="B315" t="s">
        <v>1887</v>
      </c>
      <c r="C315" t="s">
        <v>42</v>
      </c>
      <c r="D315" t="s">
        <v>25</v>
      </c>
      <c r="E315" t="s">
        <v>43</v>
      </c>
      <c r="F315" t="s">
        <v>15</v>
      </c>
      <c r="G315" t="s">
        <v>39</v>
      </c>
      <c r="H315">
        <v>10733.71</v>
      </c>
      <c r="I315">
        <v>1</v>
      </c>
      <c r="J315">
        <v>10733.71</v>
      </c>
      <c r="K315">
        <v>1.37</v>
      </c>
    </row>
    <row r="316" spans="1:11" x14ac:dyDescent="0.35">
      <c r="A316" s="1">
        <v>45597</v>
      </c>
      <c r="B316" t="s">
        <v>749</v>
      </c>
      <c r="C316" t="s">
        <v>42</v>
      </c>
      <c r="D316" t="s">
        <v>25</v>
      </c>
      <c r="E316" t="s">
        <v>43</v>
      </c>
      <c r="F316" t="s">
        <v>45</v>
      </c>
      <c r="G316" t="s">
        <v>60</v>
      </c>
      <c r="H316">
        <v>19717.25</v>
      </c>
      <c r="I316">
        <v>4</v>
      </c>
      <c r="J316">
        <v>78869</v>
      </c>
      <c r="K316">
        <v>4.42</v>
      </c>
    </row>
    <row r="317" spans="1:11" x14ac:dyDescent="0.35">
      <c r="A317" s="1">
        <v>45598</v>
      </c>
      <c r="B317" t="s">
        <v>589</v>
      </c>
      <c r="C317" t="s">
        <v>42</v>
      </c>
      <c r="D317" t="s">
        <v>25</v>
      </c>
      <c r="E317" t="s">
        <v>43</v>
      </c>
      <c r="F317" t="s">
        <v>15</v>
      </c>
      <c r="G317" t="s">
        <v>16</v>
      </c>
      <c r="H317">
        <v>15260.63</v>
      </c>
      <c r="I317">
        <v>4</v>
      </c>
      <c r="J317">
        <v>61042.52</v>
      </c>
      <c r="K317">
        <v>1.68</v>
      </c>
    </row>
    <row r="318" spans="1:11" x14ac:dyDescent="0.35">
      <c r="A318" s="1">
        <v>45598</v>
      </c>
      <c r="B318" t="s">
        <v>647</v>
      </c>
      <c r="C318" t="s">
        <v>42</v>
      </c>
      <c r="D318" t="s">
        <v>25</v>
      </c>
      <c r="E318" t="s">
        <v>43</v>
      </c>
      <c r="F318" t="s">
        <v>21</v>
      </c>
      <c r="G318" t="s">
        <v>27</v>
      </c>
      <c r="H318">
        <v>8656.98</v>
      </c>
      <c r="I318">
        <v>5</v>
      </c>
      <c r="J318">
        <v>43284.9</v>
      </c>
      <c r="K318">
        <v>4.57</v>
      </c>
    </row>
    <row r="319" spans="1:11" x14ac:dyDescent="0.35">
      <c r="A319" s="1">
        <v>45603</v>
      </c>
      <c r="B319" t="s">
        <v>1489</v>
      </c>
      <c r="C319" t="s">
        <v>42</v>
      </c>
      <c r="D319" t="s">
        <v>25</v>
      </c>
      <c r="E319" t="s">
        <v>43</v>
      </c>
      <c r="F319" t="s">
        <v>45</v>
      </c>
      <c r="G319" t="s">
        <v>22</v>
      </c>
      <c r="H319">
        <v>6348.91</v>
      </c>
      <c r="I319">
        <v>4</v>
      </c>
      <c r="J319">
        <v>25395.64</v>
      </c>
      <c r="K319">
        <v>4.71</v>
      </c>
    </row>
    <row r="320" spans="1:11" x14ac:dyDescent="0.35">
      <c r="A320" s="1">
        <v>45604</v>
      </c>
      <c r="B320" t="s">
        <v>1542</v>
      </c>
      <c r="C320" t="s">
        <v>24</v>
      </c>
      <c r="D320" t="s">
        <v>25</v>
      </c>
      <c r="E320" t="s">
        <v>26</v>
      </c>
      <c r="F320" t="s">
        <v>45</v>
      </c>
      <c r="G320" t="s">
        <v>16</v>
      </c>
      <c r="H320">
        <v>15837.93</v>
      </c>
      <c r="I320">
        <v>2</v>
      </c>
      <c r="J320">
        <v>31675.86</v>
      </c>
      <c r="K320">
        <v>3.12</v>
      </c>
    </row>
    <row r="321" spans="1:11" x14ac:dyDescent="0.35">
      <c r="A321" s="1">
        <v>45604</v>
      </c>
      <c r="B321" t="s">
        <v>1678</v>
      </c>
      <c r="C321" t="s">
        <v>42</v>
      </c>
      <c r="D321" t="s">
        <v>25</v>
      </c>
      <c r="E321" t="s">
        <v>43</v>
      </c>
      <c r="F321" t="s">
        <v>15</v>
      </c>
      <c r="G321" t="s">
        <v>16</v>
      </c>
      <c r="H321">
        <v>15054.59</v>
      </c>
      <c r="I321">
        <v>5</v>
      </c>
      <c r="J321">
        <v>75272.95</v>
      </c>
      <c r="K321">
        <v>4.12</v>
      </c>
    </row>
    <row r="322" spans="1:11" x14ac:dyDescent="0.35">
      <c r="A322" s="1">
        <v>45605</v>
      </c>
      <c r="B322" t="s">
        <v>1030</v>
      </c>
      <c r="C322" t="s">
        <v>24</v>
      </c>
      <c r="D322" t="s">
        <v>25</v>
      </c>
      <c r="E322" t="s">
        <v>26</v>
      </c>
      <c r="F322" t="s">
        <v>15</v>
      </c>
      <c r="G322" t="s">
        <v>22</v>
      </c>
      <c r="H322">
        <v>15859.94</v>
      </c>
      <c r="I322">
        <v>3</v>
      </c>
      <c r="J322">
        <v>47579.82</v>
      </c>
      <c r="K322">
        <v>3.72</v>
      </c>
    </row>
    <row r="323" spans="1:11" x14ac:dyDescent="0.35">
      <c r="A323" s="1">
        <v>45605</v>
      </c>
      <c r="B323" t="s">
        <v>132</v>
      </c>
      <c r="C323" t="s">
        <v>42</v>
      </c>
      <c r="D323" t="s">
        <v>25</v>
      </c>
      <c r="E323" t="s">
        <v>43</v>
      </c>
      <c r="F323" t="s">
        <v>21</v>
      </c>
      <c r="G323" t="s">
        <v>16</v>
      </c>
      <c r="H323">
        <v>14714.58</v>
      </c>
      <c r="I323">
        <v>4</v>
      </c>
      <c r="J323">
        <v>58858.32</v>
      </c>
      <c r="K323">
        <v>4.21</v>
      </c>
    </row>
    <row r="324" spans="1:11" x14ac:dyDescent="0.35">
      <c r="A324" s="1">
        <v>45605</v>
      </c>
      <c r="B324" t="s">
        <v>1689</v>
      </c>
      <c r="C324" t="s">
        <v>42</v>
      </c>
      <c r="D324" t="s">
        <v>25</v>
      </c>
      <c r="E324" t="s">
        <v>43</v>
      </c>
      <c r="F324" t="s">
        <v>15</v>
      </c>
      <c r="G324" t="s">
        <v>16</v>
      </c>
      <c r="H324">
        <v>11466.04</v>
      </c>
      <c r="I324">
        <v>5</v>
      </c>
      <c r="J324">
        <v>57330.2</v>
      </c>
      <c r="K324">
        <v>4.58</v>
      </c>
    </row>
    <row r="325" spans="1:11" x14ac:dyDescent="0.35">
      <c r="A325" s="1">
        <v>45607</v>
      </c>
      <c r="B325" t="s">
        <v>1967</v>
      </c>
      <c r="C325" t="s">
        <v>24</v>
      </c>
      <c r="D325" t="s">
        <v>25</v>
      </c>
      <c r="E325" t="s">
        <v>26</v>
      </c>
      <c r="F325" t="s">
        <v>15</v>
      </c>
      <c r="G325" t="s">
        <v>39</v>
      </c>
      <c r="H325">
        <v>11993.07</v>
      </c>
      <c r="I325">
        <v>5</v>
      </c>
      <c r="J325">
        <v>59965.35</v>
      </c>
      <c r="K325">
        <v>2.97</v>
      </c>
    </row>
    <row r="326" spans="1:11" x14ac:dyDescent="0.35">
      <c r="A326" s="1">
        <v>45609</v>
      </c>
      <c r="B326" t="s">
        <v>919</v>
      </c>
      <c r="C326" t="s">
        <v>24</v>
      </c>
      <c r="D326" t="s">
        <v>25</v>
      </c>
      <c r="E326" t="s">
        <v>26</v>
      </c>
      <c r="F326" t="s">
        <v>45</v>
      </c>
      <c r="G326" t="s">
        <v>16</v>
      </c>
      <c r="H326">
        <v>3504.61</v>
      </c>
      <c r="I326">
        <v>5</v>
      </c>
      <c r="J326">
        <v>17523.05</v>
      </c>
      <c r="K326">
        <v>3.15</v>
      </c>
    </row>
    <row r="327" spans="1:11" x14ac:dyDescent="0.35">
      <c r="A327" s="1">
        <v>45610</v>
      </c>
      <c r="B327" t="s">
        <v>868</v>
      </c>
      <c r="C327" t="s">
        <v>24</v>
      </c>
      <c r="D327" t="s">
        <v>25</v>
      </c>
      <c r="E327" t="s">
        <v>26</v>
      </c>
      <c r="F327" t="s">
        <v>15</v>
      </c>
      <c r="G327" t="s">
        <v>32</v>
      </c>
      <c r="H327">
        <v>12651.4</v>
      </c>
      <c r="I327">
        <v>5</v>
      </c>
      <c r="J327">
        <v>63257</v>
      </c>
      <c r="K327">
        <v>2.96</v>
      </c>
    </row>
    <row r="328" spans="1:11" x14ac:dyDescent="0.35">
      <c r="A328" s="1">
        <v>45610</v>
      </c>
      <c r="B328" t="s">
        <v>1153</v>
      </c>
      <c r="C328" t="s">
        <v>24</v>
      </c>
      <c r="D328" t="s">
        <v>25</v>
      </c>
      <c r="E328" t="s">
        <v>26</v>
      </c>
      <c r="F328" t="s">
        <v>21</v>
      </c>
      <c r="G328" t="s">
        <v>16</v>
      </c>
      <c r="H328">
        <v>2806.58</v>
      </c>
      <c r="I328">
        <v>4</v>
      </c>
      <c r="J328">
        <v>11226.32</v>
      </c>
      <c r="K328">
        <v>4.75</v>
      </c>
    </row>
    <row r="329" spans="1:11" x14ac:dyDescent="0.35">
      <c r="A329" s="1">
        <v>45611</v>
      </c>
      <c r="B329" t="s">
        <v>1906</v>
      </c>
      <c r="C329" t="s">
        <v>24</v>
      </c>
      <c r="D329" t="s">
        <v>25</v>
      </c>
      <c r="E329" t="s">
        <v>26</v>
      </c>
      <c r="F329" t="s">
        <v>15</v>
      </c>
      <c r="G329" t="s">
        <v>60</v>
      </c>
      <c r="H329">
        <v>12015.86</v>
      </c>
      <c r="I329">
        <v>3</v>
      </c>
      <c r="J329">
        <v>36047.58</v>
      </c>
      <c r="K329">
        <v>3.71</v>
      </c>
    </row>
    <row r="330" spans="1:11" x14ac:dyDescent="0.35">
      <c r="A330" s="1">
        <v>45611</v>
      </c>
      <c r="B330" t="s">
        <v>1865</v>
      </c>
      <c r="C330" t="s">
        <v>42</v>
      </c>
      <c r="D330" t="s">
        <v>25</v>
      </c>
      <c r="E330" t="s">
        <v>43</v>
      </c>
      <c r="F330" t="s">
        <v>21</v>
      </c>
      <c r="G330" t="s">
        <v>39</v>
      </c>
      <c r="H330">
        <v>2608.0700000000002</v>
      </c>
      <c r="I330">
        <v>4</v>
      </c>
      <c r="J330">
        <v>10432.280000000001</v>
      </c>
      <c r="K330">
        <v>4.2</v>
      </c>
    </row>
    <row r="331" spans="1:11" x14ac:dyDescent="0.35">
      <c r="A331" s="1">
        <v>45612</v>
      </c>
      <c r="B331" t="s">
        <v>2004</v>
      </c>
      <c r="C331" t="s">
        <v>42</v>
      </c>
      <c r="D331" t="s">
        <v>25</v>
      </c>
      <c r="E331" t="s">
        <v>43</v>
      </c>
      <c r="F331" t="s">
        <v>15</v>
      </c>
      <c r="G331" t="s">
        <v>39</v>
      </c>
      <c r="H331">
        <v>4037.34</v>
      </c>
      <c r="I331">
        <v>1</v>
      </c>
      <c r="J331">
        <v>4037.34</v>
      </c>
      <c r="K331">
        <v>4.05</v>
      </c>
    </row>
    <row r="332" spans="1:11" x14ac:dyDescent="0.35">
      <c r="A332" s="1">
        <v>45615</v>
      </c>
      <c r="B332" t="s">
        <v>400</v>
      </c>
      <c r="C332" t="s">
        <v>24</v>
      </c>
      <c r="D332" t="s">
        <v>25</v>
      </c>
      <c r="E332" t="s">
        <v>26</v>
      </c>
      <c r="F332" t="s">
        <v>21</v>
      </c>
      <c r="G332" t="s">
        <v>39</v>
      </c>
      <c r="H332">
        <v>11857.65</v>
      </c>
      <c r="I332">
        <v>2</v>
      </c>
      <c r="J332">
        <v>23715.3</v>
      </c>
      <c r="K332">
        <v>1.19</v>
      </c>
    </row>
    <row r="333" spans="1:11" x14ac:dyDescent="0.35">
      <c r="A333" s="1">
        <v>45616</v>
      </c>
      <c r="B333" t="s">
        <v>1160</v>
      </c>
      <c r="C333" t="s">
        <v>42</v>
      </c>
      <c r="D333" t="s">
        <v>25</v>
      </c>
      <c r="E333" t="s">
        <v>43</v>
      </c>
      <c r="F333" t="s">
        <v>45</v>
      </c>
      <c r="G333" t="s">
        <v>60</v>
      </c>
      <c r="H333">
        <v>9420.7999999999993</v>
      </c>
      <c r="I333">
        <v>1</v>
      </c>
      <c r="J333">
        <v>9420.7999999999993</v>
      </c>
      <c r="K333">
        <v>4.4800000000000004</v>
      </c>
    </row>
    <row r="334" spans="1:11" x14ac:dyDescent="0.35">
      <c r="A334" s="1">
        <v>45616</v>
      </c>
      <c r="B334" t="s">
        <v>1270</v>
      </c>
      <c r="C334" t="s">
        <v>42</v>
      </c>
      <c r="D334" t="s">
        <v>25</v>
      </c>
      <c r="E334" t="s">
        <v>43</v>
      </c>
      <c r="F334" t="s">
        <v>21</v>
      </c>
      <c r="G334" t="s">
        <v>27</v>
      </c>
      <c r="H334">
        <v>6325.38</v>
      </c>
      <c r="I334">
        <v>3</v>
      </c>
      <c r="J334">
        <v>18976.14</v>
      </c>
      <c r="K334">
        <v>2.89</v>
      </c>
    </row>
    <row r="335" spans="1:11" x14ac:dyDescent="0.35">
      <c r="A335" s="1">
        <v>45617</v>
      </c>
      <c r="B335" t="s">
        <v>215</v>
      </c>
      <c r="C335" t="s">
        <v>42</v>
      </c>
      <c r="D335" t="s">
        <v>25</v>
      </c>
      <c r="E335" t="s">
        <v>43</v>
      </c>
      <c r="F335" t="s">
        <v>45</v>
      </c>
      <c r="G335" t="s">
        <v>22</v>
      </c>
      <c r="H335">
        <v>9065.42</v>
      </c>
      <c r="I335">
        <v>5</v>
      </c>
      <c r="J335">
        <v>45327.1</v>
      </c>
      <c r="K335">
        <v>3.98</v>
      </c>
    </row>
    <row r="336" spans="1:11" x14ac:dyDescent="0.35">
      <c r="A336" s="1">
        <v>45618</v>
      </c>
      <c r="B336" t="s">
        <v>1165</v>
      </c>
      <c r="C336" t="s">
        <v>42</v>
      </c>
      <c r="D336" t="s">
        <v>25</v>
      </c>
      <c r="E336" t="s">
        <v>43</v>
      </c>
      <c r="F336" t="s">
        <v>21</v>
      </c>
      <c r="G336" t="s">
        <v>22</v>
      </c>
      <c r="H336">
        <v>15456.58</v>
      </c>
      <c r="I336">
        <v>3</v>
      </c>
      <c r="J336">
        <v>46369.74</v>
      </c>
      <c r="K336">
        <v>4.66</v>
      </c>
    </row>
    <row r="337" spans="1:11" x14ac:dyDescent="0.35">
      <c r="A337" s="1">
        <v>45620</v>
      </c>
      <c r="B337" t="s">
        <v>1122</v>
      </c>
      <c r="C337" t="s">
        <v>42</v>
      </c>
      <c r="D337" t="s">
        <v>25</v>
      </c>
      <c r="E337" t="s">
        <v>43</v>
      </c>
      <c r="F337" t="s">
        <v>15</v>
      </c>
      <c r="G337" t="s">
        <v>27</v>
      </c>
      <c r="H337">
        <v>16827.23</v>
      </c>
      <c r="I337">
        <v>5</v>
      </c>
      <c r="J337">
        <v>84136.15</v>
      </c>
      <c r="K337">
        <v>2</v>
      </c>
    </row>
    <row r="338" spans="1:11" x14ac:dyDescent="0.35">
      <c r="A338" s="1">
        <v>45622</v>
      </c>
      <c r="B338" t="s">
        <v>1762</v>
      </c>
      <c r="C338" t="s">
        <v>42</v>
      </c>
      <c r="D338" t="s">
        <v>25</v>
      </c>
      <c r="E338" t="s">
        <v>43</v>
      </c>
      <c r="F338" t="s">
        <v>21</v>
      </c>
      <c r="G338" t="s">
        <v>60</v>
      </c>
      <c r="H338">
        <v>9668.7000000000007</v>
      </c>
      <c r="I338">
        <v>5</v>
      </c>
      <c r="J338">
        <v>48343.5</v>
      </c>
      <c r="K338">
        <v>2.5</v>
      </c>
    </row>
    <row r="339" spans="1:11" x14ac:dyDescent="0.35">
      <c r="A339" s="1">
        <v>45623</v>
      </c>
      <c r="B339" t="s">
        <v>298</v>
      </c>
      <c r="C339" t="s">
        <v>24</v>
      </c>
      <c r="D339" t="s">
        <v>25</v>
      </c>
      <c r="E339" t="s">
        <v>26</v>
      </c>
      <c r="F339" t="s">
        <v>21</v>
      </c>
      <c r="G339" t="s">
        <v>22</v>
      </c>
      <c r="H339">
        <v>10531.86</v>
      </c>
      <c r="I339">
        <v>5</v>
      </c>
      <c r="J339">
        <v>52659.3</v>
      </c>
      <c r="K339">
        <v>2.0299999999999998</v>
      </c>
    </row>
    <row r="340" spans="1:11" x14ac:dyDescent="0.35">
      <c r="A340" s="1">
        <v>45623</v>
      </c>
      <c r="B340" t="s">
        <v>779</v>
      </c>
      <c r="C340" t="s">
        <v>42</v>
      </c>
      <c r="D340" t="s">
        <v>25</v>
      </c>
      <c r="E340" t="s">
        <v>43</v>
      </c>
      <c r="F340" t="s">
        <v>15</v>
      </c>
      <c r="G340" t="s">
        <v>22</v>
      </c>
      <c r="H340">
        <v>2183.06</v>
      </c>
      <c r="I340">
        <v>3</v>
      </c>
      <c r="J340">
        <v>6549.18</v>
      </c>
      <c r="K340">
        <v>1.96</v>
      </c>
    </row>
    <row r="341" spans="1:11" x14ac:dyDescent="0.35">
      <c r="A341" s="1">
        <v>45626</v>
      </c>
      <c r="B341" t="s">
        <v>1944</v>
      </c>
      <c r="C341" t="s">
        <v>42</v>
      </c>
      <c r="D341" t="s">
        <v>25</v>
      </c>
      <c r="E341" t="s">
        <v>43</v>
      </c>
      <c r="F341" t="s">
        <v>45</v>
      </c>
      <c r="G341" t="s">
        <v>27</v>
      </c>
      <c r="H341">
        <v>8169.49</v>
      </c>
      <c r="I341">
        <v>3</v>
      </c>
      <c r="J341">
        <v>24508.47</v>
      </c>
      <c r="K341">
        <v>2.4300000000000002</v>
      </c>
    </row>
    <row r="342" spans="1:11" x14ac:dyDescent="0.35">
      <c r="A342" s="1">
        <v>45627</v>
      </c>
      <c r="B342" t="s">
        <v>1295</v>
      </c>
      <c r="C342" t="s">
        <v>24</v>
      </c>
      <c r="D342" t="s">
        <v>25</v>
      </c>
      <c r="E342" t="s">
        <v>26</v>
      </c>
      <c r="F342" t="s">
        <v>21</v>
      </c>
      <c r="G342" t="s">
        <v>16</v>
      </c>
      <c r="H342">
        <v>16241.19</v>
      </c>
      <c r="I342">
        <v>3</v>
      </c>
      <c r="J342">
        <v>48723.57</v>
      </c>
      <c r="K342">
        <v>2.4</v>
      </c>
    </row>
    <row r="343" spans="1:11" x14ac:dyDescent="0.35">
      <c r="A343" s="1">
        <v>45628</v>
      </c>
      <c r="B343" t="s">
        <v>1890</v>
      </c>
      <c r="C343" t="s">
        <v>42</v>
      </c>
      <c r="D343" t="s">
        <v>25</v>
      </c>
      <c r="E343" t="s">
        <v>43</v>
      </c>
      <c r="F343" t="s">
        <v>21</v>
      </c>
      <c r="G343" t="s">
        <v>16</v>
      </c>
      <c r="H343">
        <v>2484.98</v>
      </c>
      <c r="I343">
        <v>4</v>
      </c>
      <c r="J343">
        <v>9939.92</v>
      </c>
      <c r="K343">
        <v>3.99</v>
      </c>
    </row>
    <row r="344" spans="1:11" x14ac:dyDescent="0.35">
      <c r="A344" s="1">
        <v>45629</v>
      </c>
      <c r="B344" t="s">
        <v>240</v>
      </c>
      <c r="C344" t="s">
        <v>42</v>
      </c>
      <c r="D344" t="s">
        <v>25</v>
      </c>
      <c r="E344" t="s">
        <v>43</v>
      </c>
      <c r="F344" t="s">
        <v>21</v>
      </c>
      <c r="G344" t="s">
        <v>16</v>
      </c>
      <c r="H344">
        <v>19852.759999999998</v>
      </c>
      <c r="I344">
        <v>5</v>
      </c>
      <c r="J344">
        <v>99263.8</v>
      </c>
      <c r="K344">
        <v>2.21</v>
      </c>
    </row>
    <row r="345" spans="1:11" x14ac:dyDescent="0.35">
      <c r="A345" s="1">
        <v>45629</v>
      </c>
      <c r="B345" t="s">
        <v>554</v>
      </c>
      <c r="C345" t="s">
        <v>42</v>
      </c>
      <c r="D345" t="s">
        <v>25</v>
      </c>
      <c r="E345" t="s">
        <v>43</v>
      </c>
      <c r="F345" t="s">
        <v>45</v>
      </c>
      <c r="G345" t="s">
        <v>32</v>
      </c>
      <c r="H345">
        <v>17439.8</v>
      </c>
      <c r="I345">
        <v>2</v>
      </c>
      <c r="J345">
        <v>34879.599999999999</v>
      </c>
      <c r="K345">
        <v>4.8899999999999997</v>
      </c>
    </row>
    <row r="346" spans="1:11" x14ac:dyDescent="0.35">
      <c r="A346" s="1">
        <v>45629</v>
      </c>
      <c r="B346" t="s">
        <v>1366</v>
      </c>
      <c r="C346" t="s">
        <v>42</v>
      </c>
      <c r="D346" t="s">
        <v>25</v>
      </c>
      <c r="E346" t="s">
        <v>43</v>
      </c>
      <c r="F346" t="s">
        <v>15</v>
      </c>
      <c r="G346" t="s">
        <v>39</v>
      </c>
      <c r="H346">
        <v>2357.5500000000002</v>
      </c>
      <c r="I346">
        <v>2</v>
      </c>
      <c r="J346">
        <v>4715.1000000000004</v>
      </c>
      <c r="K346">
        <v>2.7</v>
      </c>
    </row>
    <row r="347" spans="1:11" x14ac:dyDescent="0.35">
      <c r="A347" s="1">
        <v>45630</v>
      </c>
      <c r="B347" t="s">
        <v>481</v>
      </c>
      <c r="C347" t="s">
        <v>24</v>
      </c>
      <c r="D347" t="s">
        <v>25</v>
      </c>
      <c r="E347" t="s">
        <v>26</v>
      </c>
      <c r="F347" t="s">
        <v>21</v>
      </c>
      <c r="G347" t="s">
        <v>32</v>
      </c>
      <c r="H347">
        <v>1453.21</v>
      </c>
      <c r="I347">
        <v>3</v>
      </c>
      <c r="J347">
        <v>4359.63</v>
      </c>
      <c r="K347">
        <v>4.2300000000000004</v>
      </c>
    </row>
    <row r="348" spans="1:11" x14ac:dyDescent="0.35">
      <c r="A348" s="1">
        <v>45630</v>
      </c>
      <c r="B348" t="s">
        <v>295</v>
      </c>
      <c r="C348" t="s">
        <v>42</v>
      </c>
      <c r="D348" t="s">
        <v>25</v>
      </c>
      <c r="E348" t="s">
        <v>43</v>
      </c>
      <c r="F348" t="s">
        <v>21</v>
      </c>
      <c r="G348" t="s">
        <v>16</v>
      </c>
      <c r="H348">
        <v>10842.37</v>
      </c>
      <c r="I348">
        <v>5</v>
      </c>
      <c r="J348">
        <v>54211.85</v>
      </c>
      <c r="K348">
        <v>1.28</v>
      </c>
    </row>
    <row r="349" spans="1:11" x14ac:dyDescent="0.35">
      <c r="A349" s="1">
        <v>45631</v>
      </c>
      <c r="B349" t="s">
        <v>829</v>
      </c>
      <c r="C349" t="s">
        <v>24</v>
      </c>
      <c r="D349" t="s">
        <v>25</v>
      </c>
      <c r="E349" t="s">
        <v>26</v>
      </c>
      <c r="F349" t="s">
        <v>45</v>
      </c>
      <c r="G349" t="s">
        <v>16</v>
      </c>
      <c r="H349">
        <v>18258.79</v>
      </c>
      <c r="I349">
        <v>3</v>
      </c>
      <c r="J349">
        <v>54776.37</v>
      </c>
      <c r="K349">
        <v>3.05</v>
      </c>
    </row>
    <row r="350" spans="1:11" x14ac:dyDescent="0.35">
      <c r="A350" s="1">
        <v>45632</v>
      </c>
      <c r="B350" t="s">
        <v>1062</v>
      </c>
      <c r="C350" t="s">
        <v>42</v>
      </c>
      <c r="D350" t="s">
        <v>25</v>
      </c>
      <c r="E350" t="s">
        <v>43</v>
      </c>
      <c r="F350" t="s">
        <v>45</v>
      </c>
      <c r="G350" t="s">
        <v>32</v>
      </c>
      <c r="H350">
        <v>18216.72</v>
      </c>
      <c r="I350">
        <v>2</v>
      </c>
      <c r="J350">
        <v>36433.440000000002</v>
      </c>
      <c r="K350">
        <v>1.26</v>
      </c>
    </row>
    <row r="351" spans="1:11" x14ac:dyDescent="0.35">
      <c r="A351" s="1">
        <v>45632</v>
      </c>
      <c r="B351" t="s">
        <v>1978</v>
      </c>
      <c r="C351" t="s">
        <v>42</v>
      </c>
      <c r="D351" t="s">
        <v>25</v>
      </c>
      <c r="E351" t="s">
        <v>43</v>
      </c>
      <c r="F351" t="s">
        <v>21</v>
      </c>
      <c r="G351" t="s">
        <v>32</v>
      </c>
      <c r="H351">
        <v>13485.53</v>
      </c>
      <c r="I351">
        <v>3</v>
      </c>
      <c r="J351">
        <v>40456.589999999997</v>
      </c>
      <c r="K351">
        <v>3.41</v>
      </c>
    </row>
    <row r="352" spans="1:11" x14ac:dyDescent="0.35">
      <c r="A352" s="1">
        <v>45634</v>
      </c>
      <c r="B352" t="s">
        <v>1350</v>
      </c>
      <c r="C352" t="s">
        <v>42</v>
      </c>
      <c r="D352" t="s">
        <v>25</v>
      </c>
      <c r="E352" t="s">
        <v>43</v>
      </c>
      <c r="F352" t="s">
        <v>15</v>
      </c>
      <c r="G352" t="s">
        <v>16</v>
      </c>
      <c r="H352">
        <v>13368.83</v>
      </c>
      <c r="I352">
        <v>5</v>
      </c>
      <c r="J352">
        <v>66844.149999999994</v>
      </c>
      <c r="K352">
        <v>4.17</v>
      </c>
    </row>
    <row r="353" spans="1:11" x14ac:dyDescent="0.35">
      <c r="A353" s="1">
        <v>45636</v>
      </c>
      <c r="B353" t="s">
        <v>2008</v>
      </c>
      <c r="C353" t="s">
        <v>24</v>
      </c>
      <c r="D353" t="s">
        <v>25</v>
      </c>
      <c r="E353" t="s">
        <v>26</v>
      </c>
      <c r="F353" t="s">
        <v>15</v>
      </c>
      <c r="G353" t="s">
        <v>27</v>
      </c>
      <c r="H353">
        <v>12713.49</v>
      </c>
      <c r="I353">
        <v>3</v>
      </c>
      <c r="J353">
        <v>38140.47</v>
      </c>
      <c r="K353">
        <v>1.19</v>
      </c>
    </row>
    <row r="354" spans="1:11" x14ac:dyDescent="0.35">
      <c r="A354" s="1">
        <v>45636</v>
      </c>
      <c r="B354" t="s">
        <v>1075</v>
      </c>
      <c r="C354" t="s">
        <v>42</v>
      </c>
      <c r="D354" t="s">
        <v>25</v>
      </c>
      <c r="E354" t="s">
        <v>43</v>
      </c>
      <c r="F354" t="s">
        <v>21</v>
      </c>
      <c r="G354" t="s">
        <v>60</v>
      </c>
      <c r="H354">
        <v>9660.59</v>
      </c>
      <c r="I354">
        <v>5</v>
      </c>
      <c r="J354">
        <v>48302.95</v>
      </c>
      <c r="K354">
        <v>4.07</v>
      </c>
    </row>
    <row r="355" spans="1:11" x14ac:dyDescent="0.35">
      <c r="A355" s="1">
        <v>45637</v>
      </c>
      <c r="B355" t="s">
        <v>1050</v>
      </c>
      <c r="C355" t="s">
        <v>24</v>
      </c>
      <c r="D355" t="s">
        <v>25</v>
      </c>
      <c r="E355" t="s">
        <v>26</v>
      </c>
      <c r="F355" t="s">
        <v>21</v>
      </c>
      <c r="G355" t="s">
        <v>16</v>
      </c>
      <c r="H355">
        <v>11866.12</v>
      </c>
      <c r="I355">
        <v>2</v>
      </c>
      <c r="J355">
        <v>23732.240000000002</v>
      </c>
      <c r="K355">
        <v>1.4</v>
      </c>
    </row>
    <row r="356" spans="1:11" x14ac:dyDescent="0.35">
      <c r="A356" s="1">
        <v>45637</v>
      </c>
      <c r="B356" t="s">
        <v>1367</v>
      </c>
      <c r="C356" t="s">
        <v>42</v>
      </c>
      <c r="D356" t="s">
        <v>25</v>
      </c>
      <c r="E356" t="s">
        <v>43</v>
      </c>
      <c r="F356" t="s">
        <v>21</v>
      </c>
      <c r="G356" t="s">
        <v>39</v>
      </c>
      <c r="H356">
        <v>10246.370000000001</v>
      </c>
      <c r="I356">
        <v>3</v>
      </c>
      <c r="J356">
        <v>30739.11</v>
      </c>
      <c r="K356">
        <v>2.89</v>
      </c>
    </row>
    <row r="357" spans="1:11" x14ac:dyDescent="0.35">
      <c r="A357" s="1">
        <v>45640</v>
      </c>
      <c r="B357" t="s">
        <v>1647</v>
      </c>
      <c r="C357" t="s">
        <v>24</v>
      </c>
      <c r="D357" t="s">
        <v>25</v>
      </c>
      <c r="E357" t="s">
        <v>26</v>
      </c>
      <c r="F357" t="s">
        <v>21</v>
      </c>
      <c r="G357" t="s">
        <v>22</v>
      </c>
      <c r="H357">
        <v>8240.7000000000007</v>
      </c>
      <c r="I357">
        <v>4</v>
      </c>
      <c r="J357">
        <v>32962.800000000003</v>
      </c>
      <c r="K357">
        <v>2.14</v>
      </c>
    </row>
    <row r="358" spans="1:11" x14ac:dyDescent="0.35">
      <c r="A358" s="1">
        <v>45641</v>
      </c>
      <c r="B358" t="s">
        <v>1273</v>
      </c>
      <c r="C358" t="s">
        <v>24</v>
      </c>
      <c r="D358" t="s">
        <v>25</v>
      </c>
      <c r="E358" t="s">
        <v>26</v>
      </c>
      <c r="F358" t="s">
        <v>45</v>
      </c>
      <c r="G358" t="s">
        <v>32</v>
      </c>
      <c r="H358">
        <v>9641.56</v>
      </c>
      <c r="I358">
        <v>1</v>
      </c>
      <c r="J358">
        <v>9641.56</v>
      </c>
      <c r="K358">
        <v>4</v>
      </c>
    </row>
    <row r="359" spans="1:11" x14ac:dyDescent="0.35">
      <c r="A359" s="1">
        <v>45641</v>
      </c>
      <c r="B359" t="s">
        <v>897</v>
      </c>
      <c r="C359" t="s">
        <v>42</v>
      </c>
      <c r="D359" t="s">
        <v>25</v>
      </c>
      <c r="E359" t="s">
        <v>43</v>
      </c>
      <c r="F359" t="s">
        <v>15</v>
      </c>
      <c r="G359" t="s">
        <v>60</v>
      </c>
      <c r="H359">
        <v>9344.8700000000008</v>
      </c>
      <c r="I359">
        <v>5</v>
      </c>
      <c r="J359">
        <v>46724.35</v>
      </c>
      <c r="K359">
        <v>4.32</v>
      </c>
    </row>
    <row r="360" spans="1:11" x14ac:dyDescent="0.35">
      <c r="A360" s="1">
        <v>45642</v>
      </c>
      <c r="B360" t="s">
        <v>1852</v>
      </c>
      <c r="C360" t="s">
        <v>24</v>
      </c>
      <c r="D360" t="s">
        <v>25</v>
      </c>
      <c r="E360" t="s">
        <v>26</v>
      </c>
      <c r="F360" t="s">
        <v>21</v>
      </c>
      <c r="G360" t="s">
        <v>16</v>
      </c>
      <c r="H360">
        <v>10180.620000000001</v>
      </c>
      <c r="I360">
        <v>5</v>
      </c>
      <c r="J360">
        <v>50903.1</v>
      </c>
      <c r="K360">
        <v>1.1599999999999999</v>
      </c>
    </row>
    <row r="361" spans="1:11" x14ac:dyDescent="0.35">
      <c r="A361" s="1">
        <v>45643</v>
      </c>
      <c r="B361" t="s">
        <v>1380</v>
      </c>
      <c r="C361" t="s">
        <v>24</v>
      </c>
      <c r="D361" t="s">
        <v>25</v>
      </c>
      <c r="E361" t="s">
        <v>26</v>
      </c>
      <c r="F361" t="s">
        <v>45</v>
      </c>
      <c r="G361" t="s">
        <v>60</v>
      </c>
      <c r="H361">
        <v>5735.75</v>
      </c>
      <c r="I361">
        <v>2</v>
      </c>
      <c r="J361">
        <v>11471.5</v>
      </c>
      <c r="K361">
        <v>1.92</v>
      </c>
    </row>
    <row r="362" spans="1:11" x14ac:dyDescent="0.35">
      <c r="A362" s="1">
        <v>45643</v>
      </c>
      <c r="B362" t="s">
        <v>350</v>
      </c>
      <c r="C362" t="s">
        <v>42</v>
      </c>
      <c r="D362" t="s">
        <v>25</v>
      </c>
      <c r="E362" t="s">
        <v>43</v>
      </c>
      <c r="F362" t="s">
        <v>21</v>
      </c>
      <c r="G362" t="s">
        <v>22</v>
      </c>
      <c r="H362">
        <v>6270.53</v>
      </c>
      <c r="I362">
        <v>3</v>
      </c>
      <c r="J362">
        <v>18811.59</v>
      </c>
      <c r="K362">
        <v>2.36</v>
      </c>
    </row>
    <row r="363" spans="1:11" x14ac:dyDescent="0.35">
      <c r="A363" s="1">
        <v>45647</v>
      </c>
      <c r="B363" t="s">
        <v>1022</v>
      </c>
      <c r="C363" t="s">
        <v>24</v>
      </c>
      <c r="D363" t="s">
        <v>25</v>
      </c>
      <c r="E363" t="s">
        <v>26</v>
      </c>
      <c r="F363" t="s">
        <v>45</v>
      </c>
      <c r="G363" t="s">
        <v>39</v>
      </c>
      <c r="H363">
        <v>11415.86</v>
      </c>
      <c r="I363">
        <v>1</v>
      </c>
      <c r="J363">
        <v>11415.86</v>
      </c>
      <c r="K363">
        <v>1.26</v>
      </c>
    </row>
    <row r="364" spans="1:11" x14ac:dyDescent="0.35">
      <c r="A364" s="1">
        <v>45648</v>
      </c>
      <c r="B364" t="s">
        <v>309</v>
      </c>
      <c r="C364" t="s">
        <v>24</v>
      </c>
      <c r="D364" t="s">
        <v>25</v>
      </c>
      <c r="E364" t="s">
        <v>26</v>
      </c>
      <c r="F364" t="s">
        <v>45</v>
      </c>
      <c r="G364" t="s">
        <v>22</v>
      </c>
      <c r="H364">
        <v>15588.91</v>
      </c>
      <c r="I364">
        <v>3</v>
      </c>
      <c r="J364">
        <v>46766.73</v>
      </c>
      <c r="K364">
        <v>4.37</v>
      </c>
    </row>
    <row r="365" spans="1:11" x14ac:dyDescent="0.35">
      <c r="A365" s="1">
        <v>45648</v>
      </c>
      <c r="B365" t="s">
        <v>946</v>
      </c>
      <c r="C365" t="s">
        <v>24</v>
      </c>
      <c r="D365" t="s">
        <v>25</v>
      </c>
      <c r="E365" t="s">
        <v>26</v>
      </c>
      <c r="F365" t="s">
        <v>15</v>
      </c>
      <c r="G365" t="s">
        <v>32</v>
      </c>
      <c r="H365">
        <v>16688.5</v>
      </c>
      <c r="I365">
        <v>1</v>
      </c>
      <c r="J365">
        <v>16688.5</v>
      </c>
      <c r="K365">
        <v>3.43</v>
      </c>
    </row>
    <row r="366" spans="1:11" x14ac:dyDescent="0.35">
      <c r="A366" s="1">
        <v>45648</v>
      </c>
      <c r="B366" t="s">
        <v>1479</v>
      </c>
      <c r="C366" t="s">
        <v>42</v>
      </c>
      <c r="D366" t="s">
        <v>25</v>
      </c>
      <c r="E366" t="s">
        <v>43</v>
      </c>
      <c r="F366" t="s">
        <v>21</v>
      </c>
      <c r="G366" t="s">
        <v>60</v>
      </c>
      <c r="H366">
        <v>9533.6299999999992</v>
      </c>
      <c r="I366">
        <v>3</v>
      </c>
      <c r="J366">
        <v>28600.89</v>
      </c>
      <c r="K366">
        <v>1.84</v>
      </c>
    </row>
    <row r="367" spans="1:11" x14ac:dyDescent="0.35">
      <c r="A367" s="1">
        <v>45649</v>
      </c>
      <c r="B367" t="s">
        <v>1683</v>
      </c>
      <c r="C367" t="s">
        <v>24</v>
      </c>
      <c r="D367" t="s">
        <v>25</v>
      </c>
      <c r="E367" t="s">
        <v>26</v>
      </c>
      <c r="F367" t="s">
        <v>21</v>
      </c>
      <c r="G367" t="s">
        <v>32</v>
      </c>
      <c r="H367">
        <v>6629.95</v>
      </c>
      <c r="I367">
        <v>2</v>
      </c>
      <c r="J367">
        <v>13259.9</v>
      </c>
      <c r="K367">
        <v>4.9400000000000004</v>
      </c>
    </row>
    <row r="368" spans="1:11" x14ac:dyDescent="0.35">
      <c r="A368" s="1">
        <v>45650</v>
      </c>
      <c r="B368" t="s">
        <v>1412</v>
      </c>
      <c r="C368" t="s">
        <v>42</v>
      </c>
      <c r="D368" t="s">
        <v>25</v>
      </c>
      <c r="E368" t="s">
        <v>43</v>
      </c>
      <c r="F368" t="s">
        <v>15</v>
      </c>
      <c r="G368" t="s">
        <v>32</v>
      </c>
      <c r="H368">
        <v>8575.02</v>
      </c>
      <c r="I368">
        <v>2</v>
      </c>
      <c r="J368">
        <v>17150.04</v>
      </c>
      <c r="K368">
        <v>2.09</v>
      </c>
    </row>
    <row r="369" spans="1:11" x14ac:dyDescent="0.35">
      <c r="A369" s="1">
        <v>45651</v>
      </c>
      <c r="B369" t="s">
        <v>1011</v>
      </c>
      <c r="C369" t="s">
        <v>42</v>
      </c>
      <c r="D369" t="s">
        <v>25</v>
      </c>
      <c r="E369" t="s">
        <v>43</v>
      </c>
      <c r="F369" t="s">
        <v>15</v>
      </c>
      <c r="G369" t="s">
        <v>39</v>
      </c>
      <c r="H369">
        <v>11061.27</v>
      </c>
      <c r="I369">
        <v>2</v>
      </c>
      <c r="J369">
        <v>22122.54</v>
      </c>
      <c r="K369">
        <v>1.37</v>
      </c>
    </row>
    <row r="370" spans="1:11" x14ac:dyDescent="0.35">
      <c r="A370" s="1">
        <v>45652</v>
      </c>
      <c r="B370" t="s">
        <v>875</v>
      </c>
      <c r="C370" t="s">
        <v>42</v>
      </c>
      <c r="D370" t="s">
        <v>25</v>
      </c>
      <c r="E370" t="s">
        <v>43</v>
      </c>
      <c r="F370" t="s">
        <v>15</v>
      </c>
      <c r="G370" t="s">
        <v>39</v>
      </c>
      <c r="H370">
        <v>19610.689999999999</v>
      </c>
      <c r="I370">
        <v>2</v>
      </c>
      <c r="J370">
        <v>39221.379999999997</v>
      </c>
      <c r="K370">
        <v>2.67</v>
      </c>
    </row>
    <row r="371" spans="1:11" x14ac:dyDescent="0.35">
      <c r="A371" s="1">
        <v>45293</v>
      </c>
      <c r="B371" t="s">
        <v>710</v>
      </c>
      <c r="C371" t="s">
        <v>29</v>
      </c>
      <c r="D371" t="s">
        <v>30</v>
      </c>
      <c r="E371" t="s">
        <v>31</v>
      </c>
      <c r="F371" t="s">
        <v>21</v>
      </c>
      <c r="G371" t="s">
        <v>16</v>
      </c>
      <c r="H371">
        <v>18972.86</v>
      </c>
      <c r="I371">
        <v>4</v>
      </c>
      <c r="J371">
        <v>75891.44</v>
      </c>
      <c r="K371">
        <v>4.2300000000000004</v>
      </c>
    </row>
    <row r="372" spans="1:11" x14ac:dyDescent="0.35">
      <c r="A372" s="1">
        <v>45294</v>
      </c>
      <c r="B372" t="s">
        <v>1859</v>
      </c>
      <c r="C372" t="s">
        <v>51</v>
      </c>
      <c r="D372" t="s">
        <v>30</v>
      </c>
      <c r="E372" t="s">
        <v>52</v>
      </c>
      <c r="F372" t="s">
        <v>21</v>
      </c>
      <c r="G372" t="s">
        <v>32</v>
      </c>
      <c r="H372">
        <v>13222.32</v>
      </c>
      <c r="I372">
        <v>4</v>
      </c>
      <c r="J372">
        <v>52889.279999999999</v>
      </c>
      <c r="K372">
        <v>4.38</v>
      </c>
    </row>
    <row r="373" spans="1:11" x14ac:dyDescent="0.35">
      <c r="A373" s="1">
        <v>45296</v>
      </c>
      <c r="B373" t="s">
        <v>995</v>
      </c>
      <c r="C373" t="s">
        <v>51</v>
      </c>
      <c r="D373" t="s">
        <v>30</v>
      </c>
      <c r="E373" t="s">
        <v>52</v>
      </c>
      <c r="F373" t="s">
        <v>21</v>
      </c>
      <c r="G373" t="s">
        <v>16</v>
      </c>
      <c r="H373">
        <v>10514.03</v>
      </c>
      <c r="I373">
        <v>1</v>
      </c>
      <c r="J373">
        <v>10514.03</v>
      </c>
      <c r="K373">
        <v>1.05</v>
      </c>
    </row>
    <row r="374" spans="1:11" x14ac:dyDescent="0.35">
      <c r="A374" s="1">
        <v>45296</v>
      </c>
      <c r="B374" t="s">
        <v>1204</v>
      </c>
      <c r="C374" t="s">
        <v>51</v>
      </c>
      <c r="D374" t="s">
        <v>30</v>
      </c>
      <c r="E374" t="s">
        <v>52</v>
      </c>
      <c r="F374" t="s">
        <v>45</v>
      </c>
      <c r="G374" t="s">
        <v>16</v>
      </c>
      <c r="H374">
        <v>18723.07</v>
      </c>
      <c r="I374">
        <v>5</v>
      </c>
      <c r="J374">
        <v>93615.35</v>
      </c>
      <c r="K374">
        <v>4.83</v>
      </c>
    </row>
    <row r="375" spans="1:11" x14ac:dyDescent="0.35">
      <c r="A375" s="1">
        <v>45296</v>
      </c>
      <c r="B375" t="s">
        <v>1334</v>
      </c>
      <c r="C375" t="s">
        <v>29</v>
      </c>
      <c r="D375" t="s">
        <v>30</v>
      </c>
      <c r="E375" t="s">
        <v>31</v>
      </c>
      <c r="F375" t="s">
        <v>45</v>
      </c>
      <c r="G375" t="s">
        <v>22</v>
      </c>
      <c r="H375">
        <v>12788.86</v>
      </c>
      <c r="I375">
        <v>1</v>
      </c>
      <c r="J375">
        <v>12788.86</v>
      </c>
      <c r="K375">
        <v>3.3</v>
      </c>
    </row>
    <row r="376" spans="1:11" x14ac:dyDescent="0.35">
      <c r="A376" s="1">
        <v>45298</v>
      </c>
      <c r="B376" t="s">
        <v>67</v>
      </c>
      <c r="C376" t="s">
        <v>51</v>
      </c>
      <c r="D376" t="s">
        <v>30</v>
      </c>
      <c r="E376" t="s">
        <v>52</v>
      </c>
      <c r="F376" t="s">
        <v>21</v>
      </c>
      <c r="G376" t="s">
        <v>27</v>
      </c>
      <c r="H376">
        <v>17087.439999999999</v>
      </c>
      <c r="I376">
        <v>3</v>
      </c>
      <c r="J376">
        <v>51262.32</v>
      </c>
      <c r="K376">
        <v>4.75</v>
      </c>
    </row>
    <row r="377" spans="1:11" x14ac:dyDescent="0.35">
      <c r="A377" s="1">
        <v>45298</v>
      </c>
      <c r="B377" t="s">
        <v>714</v>
      </c>
      <c r="C377" t="s">
        <v>29</v>
      </c>
      <c r="D377" t="s">
        <v>30</v>
      </c>
      <c r="E377" t="s">
        <v>31</v>
      </c>
      <c r="F377" t="s">
        <v>15</v>
      </c>
      <c r="G377" t="s">
        <v>22</v>
      </c>
      <c r="H377">
        <v>17949.63</v>
      </c>
      <c r="I377">
        <v>2</v>
      </c>
      <c r="J377">
        <v>35899.26</v>
      </c>
      <c r="K377">
        <v>4.8899999999999997</v>
      </c>
    </row>
    <row r="378" spans="1:11" x14ac:dyDescent="0.35">
      <c r="A378" s="1">
        <v>45298</v>
      </c>
      <c r="B378" t="s">
        <v>1883</v>
      </c>
      <c r="C378" t="s">
        <v>29</v>
      </c>
      <c r="D378" t="s">
        <v>30</v>
      </c>
      <c r="E378" t="s">
        <v>31</v>
      </c>
      <c r="F378" t="s">
        <v>45</v>
      </c>
      <c r="G378" t="s">
        <v>39</v>
      </c>
      <c r="H378">
        <v>479.28</v>
      </c>
      <c r="I378">
        <v>3</v>
      </c>
      <c r="J378">
        <v>1437.84</v>
      </c>
      <c r="K378">
        <v>1.82</v>
      </c>
    </row>
    <row r="379" spans="1:11" x14ac:dyDescent="0.35">
      <c r="A379" s="1">
        <v>45299</v>
      </c>
      <c r="B379" t="s">
        <v>980</v>
      </c>
      <c r="C379" t="s">
        <v>51</v>
      </c>
      <c r="D379" t="s">
        <v>30</v>
      </c>
      <c r="E379" t="s">
        <v>52</v>
      </c>
      <c r="F379" t="s">
        <v>15</v>
      </c>
      <c r="G379" t="s">
        <v>39</v>
      </c>
      <c r="H379">
        <v>1131.56</v>
      </c>
      <c r="I379">
        <v>2</v>
      </c>
      <c r="J379">
        <v>2263.12</v>
      </c>
      <c r="K379">
        <v>4.9400000000000004</v>
      </c>
    </row>
    <row r="380" spans="1:11" x14ac:dyDescent="0.35">
      <c r="A380" s="1">
        <v>45300</v>
      </c>
      <c r="B380" t="s">
        <v>1196</v>
      </c>
      <c r="C380" t="s">
        <v>51</v>
      </c>
      <c r="D380" t="s">
        <v>30</v>
      </c>
      <c r="E380" t="s">
        <v>52</v>
      </c>
      <c r="F380" t="s">
        <v>15</v>
      </c>
      <c r="G380" t="s">
        <v>27</v>
      </c>
      <c r="H380">
        <v>4006.65</v>
      </c>
      <c r="I380">
        <v>2</v>
      </c>
      <c r="J380">
        <v>8013.3</v>
      </c>
      <c r="K380">
        <v>4.26</v>
      </c>
    </row>
    <row r="381" spans="1:11" x14ac:dyDescent="0.35">
      <c r="A381" s="1">
        <v>45301</v>
      </c>
      <c r="B381" t="s">
        <v>582</v>
      </c>
      <c r="C381" t="s">
        <v>51</v>
      </c>
      <c r="D381" t="s">
        <v>30</v>
      </c>
      <c r="E381" t="s">
        <v>52</v>
      </c>
      <c r="F381" t="s">
        <v>45</v>
      </c>
      <c r="G381" t="s">
        <v>27</v>
      </c>
      <c r="H381">
        <v>6733.77</v>
      </c>
      <c r="I381">
        <v>1</v>
      </c>
      <c r="J381">
        <v>6733.77</v>
      </c>
      <c r="K381">
        <v>3.39</v>
      </c>
    </row>
    <row r="382" spans="1:11" x14ac:dyDescent="0.35">
      <c r="A382" s="1">
        <v>45301</v>
      </c>
      <c r="B382" t="s">
        <v>1382</v>
      </c>
      <c r="C382" t="s">
        <v>51</v>
      </c>
      <c r="D382" t="s">
        <v>30</v>
      </c>
      <c r="E382" t="s">
        <v>52</v>
      </c>
      <c r="F382" t="s">
        <v>45</v>
      </c>
      <c r="G382" t="s">
        <v>16</v>
      </c>
      <c r="H382">
        <v>15377.76</v>
      </c>
      <c r="I382">
        <v>3</v>
      </c>
      <c r="J382">
        <v>46133.279999999999</v>
      </c>
      <c r="K382">
        <v>5</v>
      </c>
    </row>
    <row r="383" spans="1:11" x14ac:dyDescent="0.35">
      <c r="A383" s="1">
        <v>45301</v>
      </c>
      <c r="B383" t="s">
        <v>2012</v>
      </c>
      <c r="C383" t="s">
        <v>29</v>
      </c>
      <c r="D383" t="s">
        <v>30</v>
      </c>
      <c r="E383" t="s">
        <v>31</v>
      </c>
      <c r="F383" t="s">
        <v>15</v>
      </c>
      <c r="G383" t="s">
        <v>22</v>
      </c>
      <c r="H383">
        <v>4276.0600000000004</v>
      </c>
      <c r="I383">
        <v>1</v>
      </c>
      <c r="J383">
        <v>4276.0600000000004</v>
      </c>
      <c r="K383">
        <v>4.0199999999999996</v>
      </c>
    </row>
    <row r="384" spans="1:11" x14ac:dyDescent="0.35">
      <c r="A384" s="1">
        <v>45302</v>
      </c>
      <c r="B384" t="s">
        <v>1802</v>
      </c>
      <c r="C384" t="s">
        <v>29</v>
      </c>
      <c r="D384" t="s">
        <v>30</v>
      </c>
      <c r="E384" t="s">
        <v>31</v>
      </c>
      <c r="F384" t="s">
        <v>21</v>
      </c>
      <c r="G384" t="s">
        <v>22</v>
      </c>
      <c r="H384">
        <v>1543.22</v>
      </c>
      <c r="I384">
        <v>2</v>
      </c>
      <c r="J384">
        <v>3086.44</v>
      </c>
      <c r="K384">
        <v>2.75</v>
      </c>
    </row>
    <row r="385" spans="1:11" x14ac:dyDescent="0.35">
      <c r="A385" s="1">
        <v>45303</v>
      </c>
      <c r="B385" t="s">
        <v>1520</v>
      </c>
      <c r="C385" t="s">
        <v>29</v>
      </c>
      <c r="D385" t="s">
        <v>30</v>
      </c>
      <c r="E385" t="s">
        <v>31</v>
      </c>
      <c r="F385" t="s">
        <v>21</v>
      </c>
      <c r="G385" t="s">
        <v>39</v>
      </c>
      <c r="H385">
        <v>8510.31</v>
      </c>
      <c r="I385">
        <v>4</v>
      </c>
      <c r="J385">
        <v>34041.24</v>
      </c>
      <c r="K385">
        <v>2.98</v>
      </c>
    </row>
    <row r="386" spans="1:11" x14ac:dyDescent="0.35">
      <c r="A386" s="1">
        <v>45304</v>
      </c>
      <c r="B386" t="s">
        <v>94</v>
      </c>
      <c r="C386" t="s">
        <v>29</v>
      </c>
      <c r="D386" t="s">
        <v>30</v>
      </c>
      <c r="E386" t="s">
        <v>31</v>
      </c>
      <c r="F386" t="s">
        <v>21</v>
      </c>
      <c r="G386" t="s">
        <v>16</v>
      </c>
      <c r="H386">
        <v>3124.84</v>
      </c>
      <c r="I386">
        <v>5</v>
      </c>
      <c r="J386">
        <v>15624.2</v>
      </c>
      <c r="K386">
        <v>4.13</v>
      </c>
    </row>
    <row r="387" spans="1:11" x14ac:dyDescent="0.35">
      <c r="A387" s="1">
        <v>45305</v>
      </c>
      <c r="B387" t="s">
        <v>486</v>
      </c>
      <c r="C387" t="s">
        <v>29</v>
      </c>
      <c r="D387" t="s">
        <v>30</v>
      </c>
      <c r="E387" t="s">
        <v>31</v>
      </c>
      <c r="F387" t="s">
        <v>21</v>
      </c>
      <c r="G387" t="s">
        <v>22</v>
      </c>
      <c r="H387">
        <v>19973.63</v>
      </c>
      <c r="I387">
        <v>5</v>
      </c>
      <c r="J387">
        <v>99868.15</v>
      </c>
      <c r="K387">
        <v>3.55</v>
      </c>
    </row>
    <row r="388" spans="1:11" x14ac:dyDescent="0.35">
      <c r="A388" s="1">
        <v>45307</v>
      </c>
      <c r="B388" t="s">
        <v>115</v>
      </c>
      <c r="C388" t="s">
        <v>51</v>
      </c>
      <c r="D388" t="s">
        <v>30</v>
      </c>
      <c r="E388" t="s">
        <v>52</v>
      </c>
      <c r="F388" t="s">
        <v>45</v>
      </c>
      <c r="G388" t="s">
        <v>32</v>
      </c>
      <c r="H388">
        <v>15596.39</v>
      </c>
      <c r="I388">
        <v>2</v>
      </c>
      <c r="J388">
        <v>31192.78</v>
      </c>
      <c r="K388">
        <v>4.72</v>
      </c>
    </row>
    <row r="389" spans="1:11" x14ac:dyDescent="0.35">
      <c r="A389" s="1">
        <v>45308</v>
      </c>
      <c r="B389" t="s">
        <v>1269</v>
      </c>
      <c r="C389" t="s">
        <v>51</v>
      </c>
      <c r="D389" t="s">
        <v>30</v>
      </c>
      <c r="E389" t="s">
        <v>52</v>
      </c>
      <c r="F389" t="s">
        <v>45</v>
      </c>
      <c r="G389" t="s">
        <v>27</v>
      </c>
      <c r="H389">
        <v>4813.47</v>
      </c>
      <c r="I389">
        <v>3</v>
      </c>
      <c r="J389">
        <v>14440.41</v>
      </c>
      <c r="K389">
        <v>3.2</v>
      </c>
    </row>
    <row r="390" spans="1:11" x14ac:dyDescent="0.35">
      <c r="A390" s="1">
        <v>45308</v>
      </c>
      <c r="B390" t="s">
        <v>2036</v>
      </c>
      <c r="C390" t="s">
        <v>51</v>
      </c>
      <c r="D390" t="s">
        <v>30</v>
      </c>
      <c r="E390" t="s">
        <v>52</v>
      </c>
      <c r="F390" t="s">
        <v>45</v>
      </c>
      <c r="G390" t="s">
        <v>32</v>
      </c>
      <c r="H390">
        <v>9112.9599999999991</v>
      </c>
      <c r="I390">
        <v>3</v>
      </c>
      <c r="J390">
        <v>27338.880000000001</v>
      </c>
      <c r="K390">
        <v>3.56</v>
      </c>
    </row>
    <row r="391" spans="1:11" x14ac:dyDescent="0.35">
      <c r="A391" s="1">
        <v>45309</v>
      </c>
      <c r="B391" t="s">
        <v>389</v>
      </c>
      <c r="C391" t="s">
        <v>29</v>
      </c>
      <c r="D391" t="s">
        <v>30</v>
      </c>
      <c r="E391" t="s">
        <v>31</v>
      </c>
      <c r="F391" t="s">
        <v>15</v>
      </c>
      <c r="G391" t="s">
        <v>39</v>
      </c>
      <c r="H391">
        <v>4758.87</v>
      </c>
      <c r="I391">
        <v>5</v>
      </c>
      <c r="J391">
        <v>23794.35</v>
      </c>
      <c r="K391">
        <v>4.62</v>
      </c>
    </row>
    <row r="392" spans="1:11" x14ac:dyDescent="0.35">
      <c r="A392" s="1">
        <v>45310</v>
      </c>
      <c r="B392" t="s">
        <v>891</v>
      </c>
      <c r="C392" t="s">
        <v>29</v>
      </c>
      <c r="D392" t="s">
        <v>30</v>
      </c>
      <c r="E392" t="s">
        <v>31</v>
      </c>
      <c r="F392" t="s">
        <v>15</v>
      </c>
      <c r="G392" t="s">
        <v>39</v>
      </c>
      <c r="H392">
        <v>18656.8</v>
      </c>
      <c r="I392">
        <v>1</v>
      </c>
      <c r="J392">
        <v>18656.8</v>
      </c>
      <c r="K392">
        <v>3.18</v>
      </c>
    </row>
    <row r="393" spans="1:11" x14ac:dyDescent="0.35">
      <c r="A393" s="1">
        <v>45311</v>
      </c>
      <c r="B393" t="s">
        <v>1626</v>
      </c>
      <c r="C393" t="s">
        <v>29</v>
      </c>
      <c r="D393" t="s">
        <v>30</v>
      </c>
      <c r="E393" t="s">
        <v>31</v>
      </c>
      <c r="F393" t="s">
        <v>15</v>
      </c>
      <c r="G393" t="s">
        <v>16</v>
      </c>
      <c r="H393">
        <v>13801.26</v>
      </c>
      <c r="I393">
        <v>4</v>
      </c>
      <c r="J393">
        <v>55205.04</v>
      </c>
      <c r="K393">
        <v>4.37</v>
      </c>
    </row>
    <row r="394" spans="1:11" x14ac:dyDescent="0.35">
      <c r="A394" s="1">
        <v>45312</v>
      </c>
      <c r="B394" t="s">
        <v>208</v>
      </c>
      <c r="C394" t="s">
        <v>51</v>
      </c>
      <c r="D394" t="s">
        <v>30</v>
      </c>
      <c r="E394" t="s">
        <v>52</v>
      </c>
      <c r="F394" t="s">
        <v>15</v>
      </c>
      <c r="G394" t="s">
        <v>39</v>
      </c>
      <c r="H394">
        <v>5591.69</v>
      </c>
      <c r="I394">
        <v>2</v>
      </c>
      <c r="J394">
        <v>11183.38</v>
      </c>
      <c r="K394">
        <v>2.58</v>
      </c>
    </row>
    <row r="395" spans="1:11" x14ac:dyDescent="0.35">
      <c r="A395" s="1">
        <v>45314</v>
      </c>
      <c r="B395" t="s">
        <v>174</v>
      </c>
      <c r="C395" t="s">
        <v>51</v>
      </c>
      <c r="D395" t="s">
        <v>30</v>
      </c>
      <c r="E395" t="s">
        <v>52</v>
      </c>
      <c r="F395" t="s">
        <v>15</v>
      </c>
      <c r="G395" t="s">
        <v>39</v>
      </c>
      <c r="H395">
        <v>15389.49</v>
      </c>
      <c r="I395">
        <v>4</v>
      </c>
      <c r="J395">
        <v>61557.96</v>
      </c>
      <c r="K395">
        <v>4.71</v>
      </c>
    </row>
    <row r="396" spans="1:11" x14ac:dyDescent="0.35">
      <c r="A396" s="1">
        <v>45314</v>
      </c>
      <c r="B396" t="s">
        <v>908</v>
      </c>
      <c r="C396" t="s">
        <v>51</v>
      </c>
      <c r="D396" t="s">
        <v>30</v>
      </c>
      <c r="E396" t="s">
        <v>52</v>
      </c>
      <c r="F396" t="s">
        <v>45</v>
      </c>
      <c r="G396" t="s">
        <v>22</v>
      </c>
      <c r="H396">
        <v>2245.23</v>
      </c>
      <c r="I396">
        <v>2</v>
      </c>
      <c r="J396">
        <v>4490.46</v>
      </c>
      <c r="K396">
        <v>1.06</v>
      </c>
    </row>
    <row r="397" spans="1:11" x14ac:dyDescent="0.35">
      <c r="A397" s="1">
        <v>45316</v>
      </c>
      <c r="B397" t="s">
        <v>787</v>
      </c>
      <c r="C397" t="s">
        <v>29</v>
      </c>
      <c r="D397" t="s">
        <v>30</v>
      </c>
      <c r="E397" t="s">
        <v>31</v>
      </c>
      <c r="F397" t="s">
        <v>45</v>
      </c>
      <c r="G397" t="s">
        <v>32</v>
      </c>
      <c r="H397">
        <v>6369.35</v>
      </c>
      <c r="I397">
        <v>5</v>
      </c>
      <c r="J397">
        <v>31846.75</v>
      </c>
      <c r="K397">
        <v>2.9</v>
      </c>
    </row>
    <row r="398" spans="1:11" x14ac:dyDescent="0.35">
      <c r="A398" s="1">
        <v>45316</v>
      </c>
      <c r="B398" t="s">
        <v>1478</v>
      </c>
      <c r="C398" t="s">
        <v>29</v>
      </c>
      <c r="D398" t="s">
        <v>30</v>
      </c>
      <c r="E398" t="s">
        <v>31</v>
      </c>
      <c r="F398" t="s">
        <v>15</v>
      </c>
      <c r="G398" t="s">
        <v>22</v>
      </c>
      <c r="H398">
        <v>10260.879999999999</v>
      </c>
      <c r="I398">
        <v>5</v>
      </c>
      <c r="J398">
        <v>51304.4</v>
      </c>
      <c r="K398">
        <v>1.59</v>
      </c>
    </row>
    <row r="399" spans="1:11" x14ac:dyDescent="0.35">
      <c r="A399" s="1">
        <v>45317</v>
      </c>
      <c r="B399" t="s">
        <v>291</v>
      </c>
      <c r="C399" t="s">
        <v>51</v>
      </c>
      <c r="D399" t="s">
        <v>30</v>
      </c>
      <c r="E399" t="s">
        <v>52</v>
      </c>
      <c r="F399" t="s">
        <v>15</v>
      </c>
      <c r="G399" t="s">
        <v>27</v>
      </c>
      <c r="H399">
        <v>7200.36</v>
      </c>
      <c r="I399">
        <v>1</v>
      </c>
      <c r="J399">
        <v>7200.36</v>
      </c>
      <c r="K399">
        <v>2.56</v>
      </c>
    </row>
    <row r="400" spans="1:11" x14ac:dyDescent="0.35">
      <c r="A400" s="1">
        <v>45317</v>
      </c>
      <c r="B400" t="s">
        <v>535</v>
      </c>
      <c r="C400" t="s">
        <v>29</v>
      </c>
      <c r="D400" t="s">
        <v>30</v>
      </c>
      <c r="E400" t="s">
        <v>31</v>
      </c>
      <c r="F400" t="s">
        <v>21</v>
      </c>
      <c r="G400" t="s">
        <v>39</v>
      </c>
      <c r="H400">
        <v>14430.19</v>
      </c>
      <c r="I400">
        <v>4</v>
      </c>
      <c r="J400">
        <v>57720.76</v>
      </c>
      <c r="K400">
        <v>1.22</v>
      </c>
    </row>
    <row r="401" spans="1:11" x14ac:dyDescent="0.35">
      <c r="A401" s="1">
        <v>45317</v>
      </c>
      <c r="B401" t="s">
        <v>1404</v>
      </c>
      <c r="C401" t="s">
        <v>51</v>
      </c>
      <c r="D401" t="s">
        <v>30</v>
      </c>
      <c r="E401" t="s">
        <v>52</v>
      </c>
      <c r="F401" t="s">
        <v>15</v>
      </c>
      <c r="G401" t="s">
        <v>39</v>
      </c>
      <c r="H401">
        <v>4878.5200000000004</v>
      </c>
      <c r="I401">
        <v>5</v>
      </c>
      <c r="J401">
        <v>24392.6</v>
      </c>
      <c r="K401">
        <v>2.89</v>
      </c>
    </row>
    <row r="402" spans="1:11" x14ac:dyDescent="0.35">
      <c r="A402" s="1">
        <v>45319</v>
      </c>
      <c r="B402" t="s">
        <v>1574</v>
      </c>
      <c r="C402" t="s">
        <v>51</v>
      </c>
      <c r="D402" t="s">
        <v>30</v>
      </c>
      <c r="E402" t="s">
        <v>52</v>
      </c>
      <c r="F402" t="s">
        <v>15</v>
      </c>
      <c r="G402" t="s">
        <v>27</v>
      </c>
      <c r="H402">
        <v>7704.53</v>
      </c>
      <c r="I402">
        <v>5</v>
      </c>
      <c r="J402">
        <v>38522.65</v>
      </c>
      <c r="K402">
        <v>1.88</v>
      </c>
    </row>
    <row r="403" spans="1:11" x14ac:dyDescent="0.35">
      <c r="A403" s="1">
        <v>45320</v>
      </c>
      <c r="B403" t="s">
        <v>436</v>
      </c>
      <c r="C403" t="s">
        <v>29</v>
      </c>
      <c r="D403" t="s">
        <v>30</v>
      </c>
      <c r="E403" t="s">
        <v>31</v>
      </c>
      <c r="F403" t="s">
        <v>21</v>
      </c>
      <c r="G403" t="s">
        <v>60</v>
      </c>
      <c r="H403">
        <v>7052.52</v>
      </c>
      <c r="I403">
        <v>1</v>
      </c>
      <c r="J403">
        <v>7052.52</v>
      </c>
      <c r="K403">
        <v>1.81</v>
      </c>
    </row>
    <row r="404" spans="1:11" x14ac:dyDescent="0.35">
      <c r="A404" s="1">
        <v>45321</v>
      </c>
      <c r="B404" t="s">
        <v>249</v>
      </c>
      <c r="C404" t="s">
        <v>51</v>
      </c>
      <c r="D404" t="s">
        <v>30</v>
      </c>
      <c r="E404" t="s">
        <v>52</v>
      </c>
      <c r="F404" t="s">
        <v>21</v>
      </c>
      <c r="G404" t="s">
        <v>27</v>
      </c>
      <c r="H404">
        <v>5920.8</v>
      </c>
      <c r="I404">
        <v>3</v>
      </c>
      <c r="J404">
        <v>17762.400000000001</v>
      </c>
      <c r="K404">
        <v>4.1399999999999997</v>
      </c>
    </row>
    <row r="405" spans="1:11" x14ac:dyDescent="0.35">
      <c r="A405" s="1">
        <v>45321</v>
      </c>
      <c r="B405" t="s">
        <v>1282</v>
      </c>
      <c r="C405" t="s">
        <v>51</v>
      </c>
      <c r="D405" t="s">
        <v>30</v>
      </c>
      <c r="E405" t="s">
        <v>52</v>
      </c>
      <c r="F405" t="s">
        <v>45</v>
      </c>
      <c r="G405" t="s">
        <v>60</v>
      </c>
      <c r="H405">
        <v>15027.9</v>
      </c>
      <c r="I405">
        <v>4</v>
      </c>
      <c r="J405">
        <v>60111.6</v>
      </c>
      <c r="K405">
        <v>1.37</v>
      </c>
    </row>
    <row r="406" spans="1:11" x14ac:dyDescent="0.35">
      <c r="A406" s="1">
        <v>45323</v>
      </c>
      <c r="B406" t="s">
        <v>252</v>
      </c>
      <c r="C406" t="s">
        <v>51</v>
      </c>
      <c r="D406" t="s">
        <v>30</v>
      </c>
      <c r="E406" t="s">
        <v>52</v>
      </c>
      <c r="F406" t="s">
        <v>21</v>
      </c>
      <c r="G406" t="s">
        <v>32</v>
      </c>
      <c r="H406">
        <v>4760.8599999999997</v>
      </c>
      <c r="I406">
        <v>1</v>
      </c>
      <c r="J406">
        <v>4760.8599999999997</v>
      </c>
      <c r="K406">
        <v>1.01</v>
      </c>
    </row>
    <row r="407" spans="1:11" x14ac:dyDescent="0.35">
      <c r="A407" s="1">
        <v>45324</v>
      </c>
      <c r="B407" t="s">
        <v>536</v>
      </c>
      <c r="C407" t="s">
        <v>29</v>
      </c>
      <c r="D407" t="s">
        <v>30</v>
      </c>
      <c r="E407" t="s">
        <v>31</v>
      </c>
      <c r="F407" t="s">
        <v>21</v>
      </c>
      <c r="G407" t="s">
        <v>22</v>
      </c>
      <c r="H407">
        <v>18868</v>
      </c>
      <c r="I407">
        <v>4</v>
      </c>
      <c r="J407">
        <v>75472</v>
      </c>
      <c r="K407">
        <v>2.2000000000000002</v>
      </c>
    </row>
    <row r="408" spans="1:11" x14ac:dyDescent="0.35">
      <c r="A408" s="1">
        <v>45325</v>
      </c>
      <c r="B408" t="s">
        <v>715</v>
      </c>
      <c r="C408" t="s">
        <v>51</v>
      </c>
      <c r="D408" t="s">
        <v>30</v>
      </c>
      <c r="E408" t="s">
        <v>52</v>
      </c>
      <c r="F408" t="s">
        <v>45</v>
      </c>
      <c r="G408" t="s">
        <v>32</v>
      </c>
      <c r="H408">
        <v>9865.99</v>
      </c>
      <c r="I408">
        <v>5</v>
      </c>
      <c r="J408">
        <v>49329.95</v>
      </c>
      <c r="K408">
        <v>4.8899999999999997</v>
      </c>
    </row>
    <row r="409" spans="1:11" x14ac:dyDescent="0.35">
      <c r="A409" s="1">
        <v>45325</v>
      </c>
      <c r="B409" t="s">
        <v>1048</v>
      </c>
      <c r="C409" t="s">
        <v>51</v>
      </c>
      <c r="D409" t="s">
        <v>30</v>
      </c>
      <c r="E409" t="s">
        <v>52</v>
      </c>
      <c r="F409" t="s">
        <v>21</v>
      </c>
      <c r="G409" t="s">
        <v>39</v>
      </c>
      <c r="H409">
        <v>16580.48</v>
      </c>
      <c r="I409">
        <v>3</v>
      </c>
      <c r="J409">
        <v>49741.440000000002</v>
      </c>
      <c r="K409">
        <v>3.92</v>
      </c>
    </row>
    <row r="410" spans="1:11" x14ac:dyDescent="0.35">
      <c r="A410" s="1">
        <v>45326</v>
      </c>
      <c r="B410" t="s">
        <v>1332</v>
      </c>
      <c r="C410" t="s">
        <v>51</v>
      </c>
      <c r="D410" t="s">
        <v>30</v>
      </c>
      <c r="E410" t="s">
        <v>52</v>
      </c>
      <c r="F410" t="s">
        <v>45</v>
      </c>
      <c r="G410" t="s">
        <v>22</v>
      </c>
      <c r="H410">
        <v>14778.78</v>
      </c>
      <c r="I410">
        <v>4</v>
      </c>
      <c r="J410">
        <v>59115.12</v>
      </c>
      <c r="K410">
        <v>3.09</v>
      </c>
    </row>
    <row r="411" spans="1:11" x14ac:dyDescent="0.35">
      <c r="A411" s="1">
        <v>45326</v>
      </c>
      <c r="B411" t="s">
        <v>1566</v>
      </c>
      <c r="C411" t="s">
        <v>51</v>
      </c>
      <c r="D411" t="s">
        <v>30</v>
      </c>
      <c r="E411" t="s">
        <v>52</v>
      </c>
      <c r="F411" t="s">
        <v>15</v>
      </c>
      <c r="G411" t="s">
        <v>16</v>
      </c>
      <c r="H411">
        <v>16852.73</v>
      </c>
      <c r="I411">
        <v>1</v>
      </c>
      <c r="J411">
        <v>16852.73</v>
      </c>
      <c r="K411">
        <v>4.07</v>
      </c>
    </row>
    <row r="412" spans="1:11" x14ac:dyDescent="0.35">
      <c r="A412" s="1">
        <v>45327</v>
      </c>
      <c r="B412" t="s">
        <v>1553</v>
      </c>
      <c r="C412" t="s">
        <v>29</v>
      </c>
      <c r="D412" t="s">
        <v>30</v>
      </c>
      <c r="E412" t="s">
        <v>31</v>
      </c>
      <c r="F412" t="s">
        <v>45</v>
      </c>
      <c r="G412" t="s">
        <v>22</v>
      </c>
      <c r="H412">
        <v>6714.48</v>
      </c>
      <c r="I412">
        <v>4</v>
      </c>
      <c r="J412">
        <v>26857.919999999998</v>
      </c>
      <c r="K412">
        <v>1.54</v>
      </c>
    </row>
    <row r="413" spans="1:11" x14ac:dyDescent="0.35">
      <c r="A413" s="1">
        <v>45329</v>
      </c>
      <c r="B413" t="s">
        <v>616</v>
      </c>
      <c r="C413" t="s">
        <v>29</v>
      </c>
      <c r="D413" t="s">
        <v>30</v>
      </c>
      <c r="E413" t="s">
        <v>31</v>
      </c>
      <c r="F413" t="s">
        <v>45</v>
      </c>
      <c r="G413" t="s">
        <v>60</v>
      </c>
      <c r="H413">
        <v>11946.98</v>
      </c>
      <c r="I413">
        <v>3</v>
      </c>
      <c r="J413">
        <v>35840.94</v>
      </c>
      <c r="K413">
        <v>1.76</v>
      </c>
    </row>
    <row r="414" spans="1:11" x14ac:dyDescent="0.35">
      <c r="A414" s="1">
        <v>45332</v>
      </c>
      <c r="B414" t="s">
        <v>1694</v>
      </c>
      <c r="C414" t="s">
        <v>29</v>
      </c>
      <c r="D414" t="s">
        <v>30</v>
      </c>
      <c r="E414" t="s">
        <v>31</v>
      </c>
      <c r="F414" t="s">
        <v>21</v>
      </c>
      <c r="G414" t="s">
        <v>22</v>
      </c>
      <c r="H414">
        <v>3334.26</v>
      </c>
      <c r="I414">
        <v>5</v>
      </c>
      <c r="J414">
        <v>16671.3</v>
      </c>
      <c r="K414">
        <v>1.52</v>
      </c>
    </row>
    <row r="415" spans="1:11" x14ac:dyDescent="0.35">
      <c r="A415" s="1">
        <v>45334</v>
      </c>
      <c r="B415" t="s">
        <v>205</v>
      </c>
      <c r="C415" t="s">
        <v>51</v>
      </c>
      <c r="D415" t="s">
        <v>30</v>
      </c>
      <c r="E415" t="s">
        <v>52</v>
      </c>
      <c r="F415" t="s">
        <v>45</v>
      </c>
      <c r="G415" t="s">
        <v>22</v>
      </c>
      <c r="H415">
        <v>18763.55</v>
      </c>
      <c r="I415">
        <v>4</v>
      </c>
      <c r="J415">
        <v>75054.2</v>
      </c>
      <c r="K415">
        <v>3.58</v>
      </c>
    </row>
    <row r="416" spans="1:11" x14ac:dyDescent="0.35">
      <c r="A416" s="1">
        <v>45335</v>
      </c>
      <c r="B416" t="s">
        <v>809</v>
      </c>
      <c r="C416" t="s">
        <v>51</v>
      </c>
      <c r="D416" t="s">
        <v>30</v>
      </c>
      <c r="E416" t="s">
        <v>52</v>
      </c>
      <c r="F416" t="s">
        <v>15</v>
      </c>
      <c r="G416" t="s">
        <v>60</v>
      </c>
      <c r="H416">
        <v>8520.09</v>
      </c>
      <c r="I416">
        <v>3</v>
      </c>
      <c r="J416">
        <v>25560.27</v>
      </c>
      <c r="K416">
        <v>3.84</v>
      </c>
    </row>
    <row r="417" spans="1:11" x14ac:dyDescent="0.35">
      <c r="A417" s="1">
        <v>45335</v>
      </c>
      <c r="B417" t="s">
        <v>894</v>
      </c>
      <c r="C417" t="s">
        <v>51</v>
      </c>
      <c r="D417" t="s">
        <v>30</v>
      </c>
      <c r="E417" t="s">
        <v>52</v>
      </c>
      <c r="F417" t="s">
        <v>45</v>
      </c>
      <c r="G417" t="s">
        <v>22</v>
      </c>
      <c r="H417">
        <v>6074.45</v>
      </c>
      <c r="I417">
        <v>5</v>
      </c>
      <c r="J417">
        <v>30372.25</v>
      </c>
      <c r="K417">
        <v>1.08</v>
      </c>
    </row>
    <row r="418" spans="1:11" x14ac:dyDescent="0.35">
      <c r="A418" s="1">
        <v>45336</v>
      </c>
      <c r="B418" t="s">
        <v>546</v>
      </c>
      <c r="C418" t="s">
        <v>29</v>
      </c>
      <c r="D418" t="s">
        <v>30</v>
      </c>
      <c r="E418" t="s">
        <v>31</v>
      </c>
      <c r="F418" t="s">
        <v>45</v>
      </c>
      <c r="G418" t="s">
        <v>22</v>
      </c>
      <c r="H418">
        <v>5512.01</v>
      </c>
      <c r="I418">
        <v>5</v>
      </c>
      <c r="J418">
        <v>27560.05</v>
      </c>
      <c r="K418">
        <v>2.7</v>
      </c>
    </row>
    <row r="419" spans="1:11" x14ac:dyDescent="0.35">
      <c r="A419" s="1">
        <v>45336</v>
      </c>
      <c r="B419" t="s">
        <v>1297</v>
      </c>
      <c r="C419" t="s">
        <v>29</v>
      </c>
      <c r="D419" t="s">
        <v>30</v>
      </c>
      <c r="E419" t="s">
        <v>31</v>
      </c>
      <c r="F419" t="s">
        <v>21</v>
      </c>
      <c r="G419" t="s">
        <v>27</v>
      </c>
      <c r="H419">
        <v>17380.87</v>
      </c>
      <c r="I419">
        <v>3</v>
      </c>
      <c r="J419">
        <v>52142.61</v>
      </c>
      <c r="K419">
        <v>1.47</v>
      </c>
    </row>
    <row r="420" spans="1:11" x14ac:dyDescent="0.35">
      <c r="A420" s="1">
        <v>45336</v>
      </c>
      <c r="B420" t="s">
        <v>2007</v>
      </c>
      <c r="C420" t="s">
        <v>29</v>
      </c>
      <c r="D420" t="s">
        <v>30</v>
      </c>
      <c r="E420" t="s">
        <v>31</v>
      </c>
      <c r="F420" t="s">
        <v>21</v>
      </c>
      <c r="G420" t="s">
        <v>39</v>
      </c>
      <c r="H420">
        <v>3219.44</v>
      </c>
      <c r="I420">
        <v>2</v>
      </c>
      <c r="J420">
        <v>6438.88</v>
      </c>
      <c r="K420">
        <v>1.2</v>
      </c>
    </row>
    <row r="421" spans="1:11" x14ac:dyDescent="0.35">
      <c r="A421" s="1">
        <v>45338</v>
      </c>
      <c r="B421" t="s">
        <v>1951</v>
      </c>
      <c r="C421" t="s">
        <v>51</v>
      </c>
      <c r="D421" t="s">
        <v>30</v>
      </c>
      <c r="E421" t="s">
        <v>52</v>
      </c>
      <c r="F421" t="s">
        <v>45</v>
      </c>
      <c r="G421" t="s">
        <v>16</v>
      </c>
      <c r="H421">
        <v>1567.87</v>
      </c>
      <c r="I421">
        <v>5</v>
      </c>
      <c r="J421">
        <v>7839.35</v>
      </c>
      <c r="K421">
        <v>4.1900000000000004</v>
      </c>
    </row>
    <row r="422" spans="1:11" x14ac:dyDescent="0.35">
      <c r="A422" s="1">
        <v>45339</v>
      </c>
      <c r="B422" t="s">
        <v>652</v>
      </c>
      <c r="C422" t="s">
        <v>51</v>
      </c>
      <c r="D422" t="s">
        <v>30</v>
      </c>
      <c r="E422" t="s">
        <v>52</v>
      </c>
      <c r="F422" t="s">
        <v>15</v>
      </c>
      <c r="G422" t="s">
        <v>27</v>
      </c>
      <c r="H422">
        <v>6145.6</v>
      </c>
      <c r="I422">
        <v>5</v>
      </c>
      <c r="J422">
        <v>30728</v>
      </c>
      <c r="K422">
        <v>2.27</v>
      </c>
    </row>
    <row r="423" spans="1:11" x14ac:dyDescent="0.35">
      <c r="A423" s="1">
        <v>45339</v>
      </c>
      <c r="B423" t="s">
        <v>937</v>
      </c>
      <c r="C423" t="s">
        <v>51</v>
      </c>
      <c r="D423" t="s">
        <v>30</v>
      </c>
      <c r="E423" t="s">
        <v>52</v>
      </c>
      <c r="F423" t="s">
        <v>45</v>
      </c>
      <c r="G423" t="s">
        <v>22</v>
      </c>
      <c r="H423">
        <v>4032.84</v>
      </c>
      <c r="I423">
        <v>2</v>
      </c>
      <c r="J423">
        <v>8065.68</v>
      </c>
      <c r="K423">
        <v>4.79</v>
      </c>
    </row>
    <row r="424" spans="1:11" x14ac:dyDescent="0.35">
      <c r="A424" s="1">
        <v>45339</v>
      </c>
      <c r="B424" t="s">
        <v>1988</v>
      </c>
      <c r="C424" t="s">
        <v>29</v>
      </c>
      <c r="D424" t="s">
        <v>30</v>
      </c>
      <c r="E424" t="s">
        <v>31</v>
      </c>
      <c r="F424" t="s">
        <v>45</v>
      </c>
      <c r="G424" t="s">
        <v>16</v>
      </c>
      <c r="H424">
        <v>5961.91</v>
      </c>
      <c r="I424">
        <v>2</v>
      </c>
      <c r="J424">
        <v>11923.82</v>
      </c>
      <c r="K424">
        <v>4.25</v>
      </c>
    </row>
    <row r="425" spans="1:11" x14ac:dyDescent="0.35">
      <c r="A425" s="1">
        <v>45341</v>
      </c>
      <c r="B425" t="s">
        <v>84</v>
      </c>
      <c r="C425" t="s">
        <v>29</v>
      </c>
      <c r="D425" t="s">
        <v>30</v>
      </c>
      <c r="E425" t="s">
        <v>31</v>
      </c>
      <c r="F425" t="s">
        <v>15</v>
      </c>
      <c r="G425" t="s">
        <v>60</v>
      </c>
      <c r="H425">
        <v>14053.17</v>
      </c>
      <c r="I425">
        <v>5</v>
      </c>
      <c r="J425">
        <v>70265.850000000006</v>
      </c>
      <c r="K425">
        <v>2.92</v>
      </c>
    </row>
    <row r="426" spans="1:11" x14ac:dyDescent="0.35">
      <c r="A426" s="1">
        <v>45341</v>
      </c>
      <c r="B426" t="s">
        <v>1314</v>
      </c>
      <c r="C426" t="s">
        <v>29</v>
      </c>
      <c r="D426" t="s">
        <v>30</v>
      </c>
      <c r="E426" t="s">
        <v>31</v>
      </c>
      <c r="F426" t="s">
        <v>21</v>
      </c>
      <c r="G426" t="s">
        <v>32</v>
      </c>
      <c r="H426">
        <v>5465.94</v>
      </c>
      <c r="I426">
        <v>5</v>
      </c>
      <c r="J426">
        <v>27329.7</v>
      </c>
      <c r="K426">
        <v>3.21</v>
      </c>
    </row>
    <row r="427" spans="1:11" x14ac:dyDescent="0.35">
      <c r="A427" s="1">
        <v>45342</v>
      </c>
      <c r="B427" t="s">
        <v>401</v>
      </c>
      <c r="C427" t="s">
        <v>51</v>
      </c>
      <c r="D427" t="s">
        <v>30</v>
      </c>
      <c r="E427" t="s">
        <v>52</v>
      </c>
      <c r="F427" t="s">
        <v>21</v>
      </c>
      <c r="G427" t="s">
        <v>32</v>
      </c>
      <c r="H427">
        <v>16708.48</v>
      </c>
      <c r="I427">
        <v>1</v>
      </c>
      <c r="J427">
        <v>16708.48</v>
      </c>
      <c r="K427">
        <v>2.16</v>
      </c>
    </row>
    <row r="428" spans="1:11" x14ac:dyDescent="0.35">
      <c r="A428" s="1">
        <v>45342</v>
      </c>
      <c r="B428" t="s">
        <v>1943</v>
      </c>
      <c r="C428" t="s">
        <v>51</v>
      </c>
      <c r="D428" t="s">
        <v>30</v>
      </c>
      <c r="E428" t="s">
        <v>52</v>
      </c>
      <c r="F428" t="s">
        <v>21</v>
      </c>
      <c r="G428" t="s">
        <v>39</v>
      </c>
      <c r="H428">
        <v>11195.11</v>
      </c>
      <c r="I428">
        <v>5</v>
      </c>
      <c r="J428">
        <v>55975.55</v>
      </c>
      <c r="K428">
        <v>2.09</v>
      </c>
    </row>
    <row r="429" spans="1:11" x14ac:dyDescent="0.35">
      <c r="A429" s="1">
        <v>45343</v>
      </c>
      <c r="B429" t="s">
        <v>1448</v>
      </c>
      <c r="C429" t="s">
        <v>51</v>
      </c>
      <c r="D429" t="s">
        <v>30</v>
      </c>
      <c r="E429" t="s">
        <v>52</v>
      </c>
      <c r="F429" t="s">
        <v>15</v>
      </c>
      <c r="G429" t="s">
        <v>32</v>
      </c>
      <c r="H429">
        <v>18987.62</v>
      </c>
      <c r="I429">
        <v>4</v>
      </c>
      <c r="J429">
        <v>75950.48</v>
      </c>
      <c r="K429">
        <v>2.9</v>
      </c>
    </row>
    <row r="430" spans="1:11" x14ac:dyDescent="0.35">
      <c r="A430" s="1">
        <v>45343</v>
      </c>
      <c r="B430" t="s">
        <v>1753</v>
      </c>
      <c r="C430" t="s">
        <v>29</v>
      </c>
      <c r="D430" t="s">
        <v>30</v>
      </c>
      <c r="E430" t="s">
        <v>31</v>
      </c>
      <c r="F430" t="s">
        <v>21</v>
      </c>
      <c r="G430" t="s">
        <v>60</v>
      </c>
      <c r="H430">
        <v>6241.44</v>
      </c>
      <c r="I430">
        <v>5</v>
      </c>
      <c r="J430">
        <v>31207.200000000001</v>
      </c>
      <c r="K430">
        <v>1.83</v>
      </c>
    </row>
    <row r="431" spans="1:11" x14ac:dyDescent="0.35">
      <c r="A431" s="1">
        <v>45346</v>
      </c>
      <c r="B431" t="s">
        <v>511</v>
      </c>
      <c r="C431" t="s">
        <v>29</v>
      </c>
      <c r="D431" t="s">
        <v>30</v>
      </c>
      <c r="E431" t="s">
        <v>31</v>
      </c>
      <c r="F431" t="s">
        <v>45</v>
      </c>
      <c r="G431" t="s">
        <v>16</v>
      </c>
      <c r="H431">
        <v>364.77</v>
      </c>
      <c r="I431">
        <v>5</v>
      </c>
      <c r="J431">
        <v>1823.85</v>
      </c>
      <c r="K431">
        <v>4.76</v>
      </c>
    </row>
    <row r="432" spans="1:11" x14ac:dyDescent="0.35">
      <c r="A432" s="1">
        <v>45346</v>
      </c>
      <c r="B432" t="s">
        <v>750</v>
      </c>
      <c r="C432" t="s">
        <v>29</v>
      </c>
      <c r="D432" t="s">
        <v>30</v>
      </c>
      <c r="E432" t="s">
        <v>31</v>
      </c>
      <c r="F432" t="s">
        <v>21</v>
      </c>
      <c r="G432" t="s">
        <v>16</v>
      </c>
      <c r="H432">
        <v>1561.3</v>
      </c>
      <c r="I432">
        <v>2</v>
      </c>
      <c r="J432">
        <v>3122.6</v>
      </c>
      <c r="K432">
        <v>2.5099999999999998</v>
      </c>
    </row>
    <row r="433" spans="1:11" x14ac:dyDescent="0.35">
      <c r="A433" s="1">
        <v>45346</v>
      </c>
      <c r="B433" t="s">
        <v>1354</v>
      </c>
      <c r="C433" t="s">
        <v>29</v>
      </c>
      <c r="D433" t="s">
        <v>30</v>
      </c>
      <c r="E433" t="s">
        <v>31</v>
      </c>
      <c r="F433" t="s">
        <v>21</v>
      </c>
      <c r="G433" t="s">
        <v>27</v>
      </c>
      <c r="H433">
        <v>13379.47</v>
      </c>
      <c r="I433">
        <v>2</v>
      </c>
      <c r="J433">
        <v>26758.94</v>
      </c>
      <c r="K433">
        <v>2.78</v>
      </c>
    </row>
    <row r="434" spans="1:11" x14ac:dyDescent="0.35">
      <c r="A434" s="1">
        <v>45348</v>
      </c>
      <c r="B434" t="s">
        <v>109</v>
      </c>
      <c r="C434" t="s">
        <v>51</v>
      </c>
      <c r="D434" t="s">
        <v>30</v>
      </c>
      <c r="E434" t="s">
        <v>52</v>
      </c>
      <c r="F434" t="s">
        <v>15</v>
      </c>
      <c r="G434" t="s">
        <v>39</v>
      </c>
      <c r="H434">
        <v>10538.13</v>
      </c>
      <c r="I434">
        <v>2</v>
      </c>
      <c r="J434">
        <v>21076.26</v>
      </c>
      <c r="K434">
        <v>4.28</v>
      </c>
    </row>
    <row r="435" spans="1:11" x14ac:dyDescent="0.35">
      <c r="A435" s="1">
        <v>45349</v>
      </c>
      <c r="B435" t="s">
        <v>455</v>
      </c>
      <c r="C435" t="s">
        <v>51</v>
      </c>
      <c r="D435" t="s">
        <v>30</v>
      </c>
      <c r="E435" t="s">
        <v>52</v>
      </c>
      <c r="F435" t="s">
        <v>45</v>
      </c>
      <c r="G435" t="s">
        <v>22</v>
      </c>
      <c r="H435">
        <v>14396.56</v>
      </c>
      <c r="I435">
        <v>2</v>
      </c>
      <c r="J435">
        <v>28793.119999999999</v>
      </c>
      <c r="K435">
        <v>1.88</v>
      </c>
    </row>
    <row r="436" spans="1:11" x14ac:dyDescent="0.35">
      <c r="A436" s="1">
        <v>45351</v>
      </c>
      <c r="B436" t="s">
        <v>1492</v>
      </c>
      <c r="C436" t="s">
        <v>51</v>
      </c>
      <c r="D436" t="s">
        <v>30</v>
      </c>
      <c r="E436" t="s">
        <v>52</v>
      </c>
      <c r="F436" t="s">
        <v>45</v>
      </c>
      <c r="G436" t="s">
        <v>60</v>
      </c>
      <c r="H436">
        <v>3772.89</v>
      </c>
      <c r="I436">
        <v>4</v>
      </c>
      <c r="J436">
        <v>15091.56</v>
      </c>
      <c r="K436">
        <v>1.51</v>
      </c>
    </row>
    <row r="437" spans="1:11" x14ac:dyDescent="0.35">
      <c r="A437" s="1">
        <v>45352</v>
      </c>
      <c r="B437" t="s">
        <v>882</v>
      </c>
      <c r="C437" t="s">
        <v>29</v>
      </c>
      <c r="D437" t="s">
        <v>30</v>
      </c>
      <c r="E437" t="s">
        <v>31</v>
      </c>
      <c r="F437" t="s">
        <v>45</v>
      </c>
      <c r="G437" t="s">
        <v>39</v>
      </c>
      <c r="H437">
        <v>12926.37</v>
      </c>
      <c r="I437">
        <v>4</v>
      </c>
      <c r="J437">
        <v>51705.48</v>
      </c>
      <c r="K437">
        <v>3.44</v>
      </c>
    </row>
    <row r="438" spans="1:11" x14ac:dyDescent="0.35">
      <c r="A438" s="1">
        <v>45352</v>
      </c>
      <c r="B438" t="s">
        <v>1794</v>
      </c>
      <c r="C438" t="s">
        <v>51</v>
      </c>
      <c r="D438" t="s">
        <v>30</v>
      </c>
      <c r="E438" t="s">
        <v>52</v>
      </c>
      <c r="F438" t="s">
        <v>21</v>
      </c>
      <c r="G438" t="s">
        <v>27</v>
      </c>
      <c r="H438">
        <v>14807.25</v>
      </c>
      <c r="I438">
        <v>1</v>
      </c>
      <c r="J438">
        <v>14807.25</v>
      </c>
      <c r="K438">
        <v>1.59</v>
      </c>
    </row>
    <row r="439" spans="1:11" x14ac:dyDescent="0.35">
      <c r="A439" s="1">
        <v>45355</v>
      </c>
      <c r="B439" t="s">
        <v>382</v>
      </c>
      <c r="C439" t="s">
        <v>29</v>
      </c>
      <c r="D439" t="s">
        <v>30</v>
      </c>
      <c r="E439" t="s">
        <v>31</v>
      </c>
      <c r="F439" t="s">
        <v>15</v>
      </c>
      <c r="G439" t="s">
        <v>22</v>
      </c>
      <c r="H439">
        <v>1621.88</v>
      </c>
      <c r="I439">
        <v>2</v>
      </c>
      <c r="J439">
        <v>3243.76</v>
      </c>
      <c r="K439">
        <v>4.76</v>
      </c>
    </row>
    <row r="440" spans="1:11" x14ac:dyDescent="0.35">
      <c r="A440" s="1">
        <v>45358</v>
      </c>
      <c r="B440" t="s">
        <v>874</v>
      </c>
      <c r="C440" t="s">
        <v>29</v>
      </c>
      <c r="D440" t="s">
        <v>30</v>
      </c>
      <c r="E440" t="s">
        <v>31</v>
      </c>
      <c r="F440" t="s">
        <v>45</v>
      </c>
      <c r="G440" t="s">
        <v>27</v>
      </c>
      <c r="H440">
        <v>5437.17</v>
      </c>
      <c r="I440">
        <v>3</v>
      </c>
      <c r="J440">
        <v>16311.51</v>
      </c>
      <c r="K440">
        <v>3.85</v>
      </c>
    </row>
    <row r="441" spans="1:11" x14ac:dyDescent="0.35">
      <c r="A441" s="1">
        <v>45359</v>
      </c>
      <c r="B441" t="s">
        <v>1971</v>
      </c>
      <c r="C441" t="s">
        <v>29</v>
      </c>
      <c r="D441" t="s">
        <v>30</v>
      </c>
      <c r="E441" t="s">
        <v>31</v>
      </c>
      <c r="F441" t="s">
        <v>21</v>
      </c>
      <c r="G441" t="s">
        <v>60</v>
      </c>
      <c r="H441">
        <v>16663.14</v>
      </c>
      <c r="I441">
        <v>5</v>
      </c>
      <c r="J441">
        <v>83315.7</v>
      </c>
      <c r="K441">
        <v>4.25</v>
      </c>
    </row>
    <row r="442" spans="1:11" x14ac:dyDescent="0.35">
      <c r="A442" s="1">
        <v>45363</v>
      </c>
      <c r="B442" t="s">
        <v>910</v>
      </c>
      <c r="C442" t="s">
        <v>29</v>
      </c>
      <c r="D442" t="s">
        <v>30</v>
      </c>
      <c r="E442" t="s">
        <v>31</v>
      </c>
      <c r="F442" t="s">
        <v>21</v>
      </c>
      <c r="G442" t="s">
        <v>27</v>
      </c>
      <c r="H442">
        <v>19701.27</v>
      </c>
      <c r="I442">
        <v>1</v>
      </c>
      <c r="J442">
        <v>19701.27</v>
      </c>
      <c r="K442">
        <v>4.4000000000000004</v>
      </c>
    </row>
    <row r="443" spans="1:11" x14ac:dyDescent="0.35">
      <c r="A443" s="1">
        <v>45363</v>
      </c>
      <c r="B443" t="s">
        <v>1942</v>
      </c>
      <c r="C443" t="s">
        <v>51</v>
      </c>
      <c r="D443" t="s">
        <v>30</v>
      </c>
      <c r="E443" t="s">
        <v>52</v>
      </c>
      <c r="F443" t="s">
        <v>15</v>
      </c>
      <c r="G443" t="s">
        <v>22</v>
      </c>
      <c r="H443">
        <v>9127.8700000000008</v>
      </c>
      <c r="I443">
        <v>4</v>
      </c>
      <c r="J443">
        <v>36511.480000000003</v>
      </c>
      <c r="K443">
        <v>2.29</v>
      </c>
    </row>
    <row r="444" spans="1:11" x14ac:dyDescent="0.35">
      <c r="A444" s="1">
        <v>45365</v>
      </c>
      <c r="B444" t="s">
        <v>506</v>
      </c>
      <c r="C444" t="s">
        <v>29</v>
      </c>
      <c r="D444" t="s">
        <v>30</v>
      </c>
      <c r="E444" t="s">
        <v>31</v>
      </c>
      <c r="F444" t="s">
        <v>21</v>
      </c>
      <c r="G444" t="s">
        <v>32</v>
      </c>
      <c r="H444">
        <v>6021.64</v>
      </c>
      <c r="I444">
        <v>2</v>
      </c>
      <c r="J444">
        <v>12043.28</v>
      </c>
      <c r="K444">
        <v>4.42</v>
      </c>
    </row>
    <row r="445" spans="1:11" x14ac:dyDescent="0.35">
      <c r="A445" s="1">
        <v>45365</v>
      </c>
      <c r="B445" t="s">
        <v>810</v>
      </c>
      <c r="C445" t="s">
        <v>51</v>
      </c>
      <c r="D445" t="s">
        <v>30</v>
      </c>
      <c r="E445" t="s">
        <v>52</v>
      </c>
      <c r="F445" t="s">
        <v>15</v>
      </c>
      <c r="G445" t="s">
        <v>39</v>
      </c>
      <c r="H445">
        <v>3138.25</v>
      </c>
      <c r="I445">
        <v>5</v>
      </c>
      <c r="J445">
        <v>15691.25</v>
      </c>
      <c r="K445">
        <v>4.38</v>
      </c>
    </row>
    <row r="446" spans="1:11" x14ac:dyDescent="0.35">
      <c r="A446" s="1">
        <v>45366</v>
      </c>
      <c r="B446" t="s">
        <v>1650</v>
      </c>
      <c r="C446" t="s">
        <v>51</v>
      </c>
      <c r="D446" t="s">
        <v>30</v>
      </c>
      <c r="E446" t="s">
        <v>52</v>
      </c>
      <c r="F446" t="s">
        <v>21</v>
      </c>
      <c r="G446" t="s">
        <v>32</v>
      </c>
      <c r="H446">
        <v>12569.75</v>
      </c>
      <c r="I446">
        <v>4</v>
      </c>
      <c r="J446">
        <v>50279</v>
      </c>
      <c r="K446">
        <v>2.4300000000000002</v>
      </c>
    </row>
    <row r="447" spans="1:11" x14ac:dyDescent="0.35">
      <c r="A447" s="1">
        <v>45369</v>
      </c>
      <c r="B447" t="s">
        <v>474</v>
      </c>
      <c r="C447" t="s">
        <v>29</v>
      </c>
      <c r="D447" t="s">
        <v>30</v>
      </c>
      <c r="E447" t="s">
        <v>31</v>
      </c>
      <c r="F447" t="s">
        <v>15</v>
      </c>
      <c r="G447" t="s">
        <v>27</v>
      </c>
      <c r="H447">
        <v>3801.85</v>
      </c>
      <c r="I447">
        <v>3</v>
      </c>
      <c r="J447">
        <v>11405.55</v>
      </c>
      <c r="K447">
        <v>1.87</v>
      </c>
    </row>
    <row r="448" spans="1:11" x14ac:dyDescent="0.35">
      <c r="A448" s="1">
        <v>45369</v>
      </c>
      <c r="B448" t="s">
        <v>1414</v>
      </c>
      <c r="C448" t="s">
        <v>51</v>
      </c>
      <c r="D448" t="s">
        <v>30</v>
      </c>
      <c r="E448" t="s">
        <v>52</v>
      </c>
      <c r="F448" t="s">
        <v>21</v>
      </c>
      <c r="G448" t="s">
        <v>27</v>
      </c>
      <c r="H448">
        <v>9418.4699999999993</v>
      </c>
      <c r="I448">
        <v>5</v>
      </c>
      <c r="J448">
        <v>47092.35</v>
      </c>
      <c r="K448">
        <v>1.1499999999999999</v>
      </c>
    </row>
    <row r="449" spans="1:11" x14ac:dyDescent="0.35">
      <c r="A449" s="1">
        <v>45369</v>
      </c>
      <c r="B449" t="s">
        <v>1592</v>
      </c>
      <c r="C449" t="s">
        <v>29</v>
      </c>
      <c r="D449" t="s">
        <v>30</v>
      </c>
      <c r="E449" t="s">
        <v>31</v>
      </c>
      <c r="F449" t="s">
        <v>21</v>
      </c>
      <c r="G449" t="s">
        <v>22</v>
      </c>
      <c r="H449">
        <v>8323.8799999999992</v>
      </c>
      <c r="I449">
        <v>1</v>
      </c>
      <c r="J449">
        <v>8323.8799999999992</v>
      </c>
      <c r="K449">
        <v>4.95</v>
      </c>
    </row>
    <row r="450" spans="1:11" x14ac:dyDescent="0.35">
      <c r="A450" s="1">
        <v>45370</v>
      </c>
      <c r="B450" t="s">
        <v>545</v>
      </c>
      <c r="C450" t="s">
        <v>29</v>
      </c>
      <c r="D450" t="s">
        <v>30</v>
      </c>
      <c r="E450" t="s">
        <v>31</v>
      </c>
      <c r="F450" t="s">
        <v>21</v>
      </c>
      <c r="G450" t="s">
        <v>39</v>
      </c>
      <c r="H450">
        <v>15939.42</v>
      </c>
      <c r="I450">
        <v>2</v>
      </c>
      <c r="J450">
        <v>31878.84</v>
      </c>
      <c r="K450">
        <v>4.3899999999999997</v>
      </c>
    </row>
    <row r="451" spans="1:11" x14ac:dyDescent="0.35">
      <c r="A451" s="1">
        <v>45370</v>
      </c>
      <c r="B451" t="s">
        <v>795</v>
      </c>
      <c r="C451" t="s">
        <v>29</v>
      </c>
      <c r="D451" t="s">
        <v>30</v>
      </c>
      <c r="E451" t="s">
        <v>31</v>
      </c>
      <c r="F451" t="s">
        <v>45</v>
      </c>
      <c r="G451" t="s">
        <v>32</v>
      </c>
      <c r="H451">
        <v>4678.96</v>
      </c>
      <c r="I451">
        <v>4</v>
      </c>
      <c r="J451">
        <v>18715.84</v>
      </c>
      <c r="K451">
        <v>2.67</v>
      </c>
    </row>
    <row r="452" spans="1:11" x14ac:dyDescent="0.35">
      <c r="A452" s="1">
        <v>45372</v>
      </c>
      <c r="B452" t="s">
        <v>748</v>
      </c>
      <c r="C452" t="s">
        <v>29</v>
      </c>
      <c r="D452" t="s">
        <v>30</v>
      </c>
      <c r="E452" t="s">
        <v>31</v>
      </c>
      <c r="F452" t="s">
        <v>15</v>
      </c>
      <c r="G452" t="s">
        <v>22</v>
      </c>
      <c r="H452">
        <v>13982.62</v>
      </c>
      <c r="I452">
        <v>1</v>
      </c>
      <c r="J452">
        <v>13982.62</v>
      </c>
      <c r="K452">
        <v>2.52</v>
      </c>
    </row>
    <row r="453" spans="1:11" x14ac:dyDescent="0.35">
      <c r="A453" s="1">
        <v>45372</v>
      </c>
      <c r="B453" t="s">
        <v>1335</v>
      </c>
      <c r="C453" t="s">
        <v>29</v>
      </c>
      <c r="D453" t="s">
        <v>30</v>
      </c>
      <c r="E453" t="s">
        <v>31</v>
      </c>
      <c r="F453" t="s">
        <v>15</v>
      </c>
      <c r="G453" t="s">
        <v>39</v>
      </c>
      <c r="H453">
        <v>2200.87</v>
      </c>
      <c r="I453">
        <v>5</v>
      </c>
      <c r="J453">
        <v>11004.35</v>
      </c>
      <c r="K453">
        <v>4.16</v>
      </c>
    </row>
    <row r="454" spans="1:11" x14ac:dyDescent="0.35">
      <c r="A454" s="1">
        <v>45374</v>
      </c>
      <c r="B454" t="s">
        <v>280</v>
      </c>
      <c r="C454" t="s">
        <v>29</v>
      </c>
      <c r="D454" t="s">
        <v>30</v>
      </c>
      <c r="E454" t="s">
        <v>31</v>
      </c>
      <c r="F454" t="s">
        <v>45</v>
      </c>
      <c r="G454" t="s">
        <v>22</v>
      </c>
      <c r="H454">
        <v>9309.31</v>
      </c>
      <c r="I454">
        <v>5</v>
      </c>
      <c r="J454">
        <v>46546.55</v>
      </c>
      <c r="K454">
        <v>4.97</v>
      </c>
    </row>
    <row r="455" spans="1:11" x14ac:dyDescent="0.35">
      <c r="A455" s="1">
        <v>45374</v>
      </c>
      <c r="B455" t="s">
        <v>585</v>
      </c>
      <c r="C455" t="s">
        <v>51</v>
      </c>
      <c r="D455" t="s">
        <v>30</v>
      </c>
      <c r="E455" t="s">
        <v>52</v>
      </c>
      <c r="F455" t="s">
        <v>21</v>
      </c>
      <c r="G455" t="s">
        <v>60</v>
      </c>
      <c r="H455">
        <v>19483.71</v>
      </c>
      <c r="I455">
        <v>4</v>
      </c>
      <c r="J455">
        <v>77934.84</v>
      </c>
      <c r="K455">
        <v>1.19</v>
      </c>
    </row>
    <row r="456" spans="1:11" x14ac:dyDescent="0.35">
      <c r="A456" s="1">
        <v>45378</v>
      </c>
      <c r="B456" t="s">
        <v>454</v>
      </c>
      <c r="C456" t="s">
        <v>29</v>
      </c>
      <c r="D456" t="s">
        <v>30</v>
      </c>
      <c r="E456" t="s">
        <v>31</v>
      </c>
      <c r="F456" t="s">
        <v>15</v>
      </c>
      <c r="G456" t="s">
        <v>60</v>
      </c>
      <c r="H456">
        <v>19944.849999999999</v>
      </c>
      <c r="I456">
        <v>3</v>
      </c>
      <c r="J456">
        <v>59834.55</v>
      </c>
      <c r="K456">
        <v>2.66</v>
      </c>
    </row>
    <row r="457" spans="1:11" x14ac:dyDescent="0.35">
      <c r="A457" s="1">
        <v>45378</v>
      </c>
      <c r="B457" t="s">
        <v>1376</v>
      </c>
      <c r="C457" t="s">
        <v>29</v>
      </c>
      <c r="D457" t="s">
        <v>30</v>
      </c>
      <c r="E457" t="s">
        <v>31</v>
      </c>
      <c r="F457" t="s">
        <v>21</v>
      </c>
      <c r="G457" t="s">
        <v>27</v>
      </c>
      <c r="H457">
        <v>16674.64</v>
      </c>
      <c r="I457">
        <v>1</v>
      </c>
      <c r="J457">
        <v>16674.64</v>
      </c>
      <c r="K457">
        <v>3.84</v>
      </c>
    </row>
    <row r="458" spans="1:11" x14ac:dyDescent="0.35">
      <c r="A458" s="1">
        <v>45378</v>
      </c>
      <c r="B458" t="s">
        <v>1577</v>
      </c>
      <c r="C458" t="s">
        <v>29</v>
      </c>
      <c r="D458" t="s">
        <v>30</v>
      </c>
      <c r="E458" t="s">
        <v>31</v>
      </c>
      <c r="F458" t="s">
        <v>21</v>
      </c>
      <c r="G458" t="s">
        <v>22</v>
      </c>
      <c r="H458">
        <v>10220.77</v>
      </c>
      <c r="I458">
        <v>2</v>
      </c>
      <c r="J458">
        <v>20441.54</v>
      </c>
      <c r="K458">
        <v>1.68</v>
      </c>
    </row>
    <row r="459" spans="1:11" x14ac:dyDescent="0.35">
      <c r="A459" s="1">
        <v>45381</v>
      </c>
      <c r="B459" t="s">
        <v>883</v>
      </c>
      <c r="C459" t="s">
        <v>29</v>
      </c>
      <c r="D459" t="s">
        <v>30</v>
      </c>
      <c r="E459" t="s">
        <v>31</v>
      </c>
      <c r="F459" t="s">
        <v>15</v>
      </c>
      <c r="G459" t="s">
        <v>22</v>
      </c>
      <c r="H459">
        <v>2551.1799999999998</v>
      </c>
      <c r="I459">
        <v>2</v>
      </c>
      <c r="J459">
        <v>5102.3599999999997</v>
      </c>
      <c r="K459">
        <v>2.08</v>
      </c>
    </row>
    <row r="460" spans="1:11" x14ac:dyDescent="0.35">
      <c r="A460" s="1">
        <v>45381</v>
      </c>
      <c r="B460" t="s">
        <v>929</v>
      </c>
      <c r="C460" t="s">
        <v>29</v>
      </c>
      <c r="D460" t="s">
        <v>30</v>
      </c>
      <c r="E460" t="s">
        <v>31</v>
      </c>
      <c r="F460" t="s">
        <v>45</v>
      </c>
      <c r="G460" t="s">
        <v>32</v>
      </c>
      <c r="H460">
        <v>12309.01</v>
      </c>
      <c r="I460">
        <v>1</v>
      </c>
      <c r="J460">
        <v>12309.01</v>
      </c>
      <c r="K460">
        <v>4.09</v>
      </c>
    </row>
    <row r="461" spans="1:11" x14ac:dyDescent="0.35">
      <c r="A461" s="1">
        <v>45382</v>
      </c>
      <c r="B461" t="s">
        <v>1596</v>
      </c>
      <c r="C461" t="s">
        <v>51</v>
      </c>
      <c r="D461" t="s">
        <v>30</v>
      </c>
      <c r="E461" t="s">
        <v>52</v>
      </c>
      <c r="F461" t="s">
        <v>45</v>
      </c>
      <c r="G461" t="s">
        <v>39</v>
      </c>
      <c r="H461">
        <v>9603.16</v>
      </c>
      <c r="I461">
        <v>3</v>
      </c>
      <c r="J461">
        <v>28809.48</v>
      </c>
      <c r="K461">
        <v>1.0900000000000001</v>
      </c>
    </row>
    <row r="462" spans="1:11" x14ac:dyDescent="0.35">
      <c r="A462" s="1">
        <v>45384</v>
      </c>
      <c r="B462" t="s">
        <v>451</v>
      </c>
      <c r="C462" t="s">
        <v>29</v>
      </c>
      <c r="D462" t="s">
        <v>30</v>
      </c>
      <c r="E462" t="s">
        <v>31</v>
      </c>
      <c r="F462" t="s">
        <v>21</v>
      </c>
      <c r="G462" t="s">
        <v>32</v>
      </c>
      <c r="H462">
        <v>17988.62</v>
      </c>
      <c r="I462">
        <v>4</v>
      </c>
      <c r="J462">
        <v>71954.48</v>
      </c>
      <c r="K462">
        <v>1.62</v>
      </c>
    </row>
    <row r="463" spans="1:11" x14ac:dyDescent="0.35">
      <c r="A463" s="1">
        <v>45384</v>
      </c>
      <c r="B463" t="s">
        <v>1321</v>
      </c>
      <c r="C463" t="s">
        <v>51</v>
      </c>
      <c r="D463" t="s">
        <v>30</v>
      </c>
      <c r="E463" t="s">
        <v>52</v>
      </c>
      <c r="F463" t="s">
        <v>15</v>
      </c>
      <c r="G463" t="s">
        <v>39</v>
      </c>
      <c r="H463">
        <v>6043.62</v>
      </c>
      <c r="I463">
        <v>5</v>
      </c>
      <c r="J463">
        <v>30218.1</v>
      </c>
      <c r="K463">
        <v>2.0299999999999998</v>
      </c>
    </row>
    <row r="464" spans="1:11" x14ac:dyDescent="0.35">
      <c r="A464" s="1">
        <v>45386</v>
      </c>
      <c r="B464" t="s">
        <v>1889</v>
      </c>
      <c r="C464" t="s">
        <v>29</v>
      </c>
      <c r="D464" t="s">
        <v>30</v>
      </c>
      <c r="E464" t="s">
        <v>31</v>
      </c>
      <c r="F464" t="s">
        <v>15</v>
      </c>
      <c r="G464" t="s">
        <v>16</v>
      </c>
      <c r="H464">
        <v>2693.03</v>
      </c>
      <c r="I464">
        <v>4</v>
      </c>
      <c r="J464">
        <v>10772.12</v>
      </c>
      <c r="K464">
        <v>1.1299999999999999</v>
      </c>
    </row>
    <row r="465" spans="1:11" x14ac:dyDescent="0.35">
      <c r="A465" s="1">
        <v>45388</v>
      </c>
      <c r="B465" t="s">
        <v>54</v>
      </c>
      <c r="C465" t="s">
        <v>29</v>
      </c>
      <c r="D465" t="s">
        <v>30</v>
      </c>
      <c r="E465" t="s">
        <v>31</v>
      </c>
      <c r="F465" t="s">
        <v>21</v>
      </c>
      <c r="G465" t="s">
        <v>32</v>
      </c>
      <c r="H465">
        <v>19853.189999999999</v>
      </c>
      <c r="I465">
        <v>4</v>
      </c>
      <c r="J465">
        <v>79412.759999999995</v>
      </c>
      <c r="K465">
        <v>3.46</v>
      </c>
    </row>
    <row r="466" spans="1:11" x14ac:dyDescent="0.35">
      <c r="A466" s="1">
        <v>45388</v>
      </c>
      <c r="B466" t="s">
        <v>1387</v>
      </c>
      <c r="C466" t="s">
        <v>51</v>
      </c>
      <c r="D466" t="s">
        <v>30</v>
      </c>
      <c r="E466" t="s">
        <v>52</v>
      </c>
      <c r="F466" t="s">
        <v>15</v>
      </c>
      <c r="G466" t="s">
        <v>32</v>
      </c>
      <c r="H466">
        <v>1155.72</v>
      </c>
      <c r="I466">
        <v>5</v>
      </c>
      <c r="J466">
        <v>5778.6</v>
      </c>
      <c r="K466">
        <v>1.49</v>
      </c>
    </row>
    <row r="467" spans="1:11" x14ac:dyDescent="0.35">
      <c r="A467" s="1">
        <v>45389</v>
      </c>
      <c r="B467" t="s">
        <v>974</v>
      </c>
      <c r="C467" t="s">
        <v>51</v>
      </c>
      <c r="D467" t="s">
        <v>30</v>
      </c>
      <c r="E467" t="s">
        <v>52</v>
      </c>
      <c r="F467" t="s">
        <v>45</v>
      </c>
      <c r="G467" t="s">
        <v>22</v>
      </c>
      <c r="H467">
        <v>4478.51</v>
      </c>
      <c r="I467">
        <v>1</v>
      </c>
      <c r="J467">
        <v>4478.51</v>
      </c>
      <c r="K467">
        <v>2.15</v>
      </c>
    </row>
    <row r="468" spans="1:11" x14ac:dyDescent="0.35">
      <c r="A468" s="1">
        <v>45390</v>
      </c>
      <c r="B468" t="s">
        <v>615</v>
      </c>
      <c r="C468" t="s">
        <v>51</v>
      </c>
      <c r="D468" t="s">
        <v>30</v>
      </c>
      <c r="E468" t="s">
        <v>52</v>
      </c>
      <c r="F468" t="s">
        <v>15</v>
      </c>
      <c r="G468" t="s">
        <v>60</v>
      </c>
      <c r="H468">
        <v>7007.89</v>
      </c>
      <c r="I468">
        <v>4</v>
      </c>
      <c r="J468">
        <v>28031.56</v>
      </c>
      <c r="K468">
        <v>4.01</v>
      </c>
    </row>
    <row r="469" spans="1:11" x14ac:dyDescent="0.35">
      <c r="A469" s="1">
        <v>45391</v>
      </c>
      <c r="B469" t="s">
        <v>97</v>
      </c>
      <c r="C469" t="s">
        <v>51</v>
      </c>
      <c r="D469" t="s">
        <v>30</v>
      </c>
      <c r="E469" t="s">
        <v>52</v>
      </c>
      <c r="F469" t="s">
        <v>21</v>
      </c>
      <c r="G469" t="s">
        <v>32</v>
      </c>
      <c r="H469">
        <v>18273.23</v>
      </c>
      <c r="I469">
        <v>1</v>
      </c>
      <c r="J469">
        <v>18273.23</v>
      </c>
      <c r="K469">
        <v>1.46</v>
      </c>
    </row>
    <row r="470" spans="1:11" x14ac:dyDescent="0.35">
      <c r="A470" s="1">
        <v>45392</v>
      </c>
      <c r="B470" t="s">
        <v>941</v>
      </c>
      <c r="C470" t="s">
        <v>29</v>
      </c>
      <c r="D470" t="s">
        <v>30</v>
      </c>
      <c r="E470" t="s">
        <v>31</v>
      </c>
      <c r="F470" t="s">
        <v>45</v>
      </c>
      <c r="G470" t="s">
        <v>32</v>
      </c>
      <c r="H470">
        <v>4273.58</v>
      </c>
      <c r="I470">
        <v>5</v>
      </c>
      <c r="J470">
        <v>21367.9</v>
      </c>
      <c r="K470">
        <v>2.4500000000000002</v>
      </c>
    </row>
    <row r="471" spans="1:11" x14ac:dyDescent="0.35">
      <c r="A471" s="1">
        <v>45393</v>
      </c>
      <c r="B471" t="s">
        <v>581</v>
      </c>
      <c r="C471" t="s">
        <v>29</v>
      </c>
      <c r="D471" t="s">
        <v>30</v>
      </c>
      <c r="E471" t="s">
        <v>31</v>
      </c>
      <c r="F471" t="s">
        <v>21</v>
      </c>
      <c r="G471" t="s">
        <v>32</v>
      </c>
      <c r="H471">
        <v>2279.25</v>
      </c>
      <c r="I471">
        <v>3</v>
      </c>
      <c r="J471">
        <v>6837.75</v>
      </c>
      <c r="K471">
        <v>3.79</v>
      </c>
    </row>
    <row r="472" spans="1:11" x14ac:dyDescent="0.35">
      <c r="A472" s="1">
        <v>45393</v>
      </c>
      <c r="B472" t="s">
        <v>813</v>
      </c>
      <c r="C472" t="s">
        <v>29</v>
      </c>
      <c r="D472" t="s">
        <v>30</v>
      </c>
      <c r="E472" t="s">
        <v>31</v>
      </c>
      <c r="F472" t="s">
        <v>45</v>
      </c>
      <c r="G472" t="s">
        <v>16</v>
      </c>
      <c r="H472">
        <v>16655.669999999998</v>
      </c>
      <c r="I472">
        <v>2</v>
      </c>
      <c r="J472">
        <v>33311.339999999997</v>
      </c>
      <c r="K472">
        <v>3.96</v>
      </c>
    </row>
    <row r="473" spans="1:11" x14ac:dyDescent="0.35">
      <c r="A473" s="1">
        <v>45394</v>
      </c>
      <c r="B473" t="s">
        <v>708</v>
      </c>
      <c r="C473" t="s">
        <v>29</v>
      </c>
      <c r="D473" t="s">
        <v>30</v>
      </c>
      <c r="E473" t="s">
        <v>31</v>
      </c>
      <c r="F473" t="s">
        <v>21</v>
      </c>
      <c r="G473" t="s">
        <v>60</v>
      </c>
      <c r="H473">
        <v>5743.85</v>
      </c>
      <c r="I473">
        <v>5</v>
      </c>
      <c r="J473">
        <v>28719.25</v>
      </c>
      <c r="K473">
        <v>2.65</v>
      </c>
    </row>
    <row r="474" spans="1:11" x14ac:dyDescent="0.35">
      <c r="A474" s="1">
        <v>45395</v>
      </c>
      <c r="B474" t="s">
        <v>189</v>
      </c>
      <c r="C474" t="s">
        <v>51</v>
      </c>
      <c r="D474" t="s">
        <v>30</v>
      </c>
      <c r="E474" t="s">
        <v>52</v>
      </c>
      <c r="F474" t="s">
        <v>45</v>
      </c>
      <c r="G474" t="s">
        <v>60</v>
      </c>
      <c r="H474">
        <v>6983.31</v>
      </c>
      <c r="I474">
        <v>3</v>
      </c>
      <c r="J474">
        <v>20949.93</v>
      </c>
      <c r="K474">
        <v>1.23</v>
      </c>
    </row>
    <row r="475" spans="1:11" x14ac:dyDescent="0.35">
      <c r="A475" s="1">
        <v>45395</v>
      </c>
      <c r="B475" t="s">
        <v>1189</v>
      </c>
      <c r="C475" t="s">
        <v>29</v>
      </c>
      <c r="D475" t="s">
        <v>30</v>
      </c>
      <c r="E475" t="s">
        <v>31</v>
      </c>
      <c r="F475" t="s">
        <v>21</v>
      </c>
      <c r="G475" t="s">
        <v>60</v>
      </c>
      <c r="H475">
        <v>10211.44</v>
      </c>
      <c r="I475">
        <v>4</v>
      </c>
      <c r="J475">
        <v>40845.760000000002</v>
      </c>
      <c r="K475">
        <v>1.23</v>
      </c>
    </row>
    <row r="476" spans="1:11" x14ac:dyDescent="0.35">
      <c r="A476" s="1">
        <v>45395</v>
      </c>
      <c r="B476" t="s">
        <v>1888</v>
      </c>
      <c r="C476" t="s">
        <v>51</v>
      </c>
      <c r="D476" t="s">
        <v>30</v>
      </c>
      <c r="E476" t="s">
        <v>52</v>
      </c>
      <c r="F476" t="s">
        <v>21</v>
      </c>
      <c r="G476" t="s">
        <v>60</v>
      </c>
      <c r="H476">
        <v>12233.81</v>
      </c>
      <c r="I476">
        <v>5</v>
      </c>
      <c r="J476">
        <v>61169.05</v>
      </c>
      <c r="K476">
        <v>2.58</v>
      </c>
    </row>
    <row r="477" spans="1:11" x14ac:dyDescent="0.35">
      <c r="A477" s="1">
        <v>45398</v>
      </c>
      <c r="B477" t="s">
        <v>668</v>
      </c>
      <c r="C477" t="s">
        <v>51</v>
      </c>
      <c r="D477" t="s">
        <v>30</v>
      </c>
      <c r="E477" t="s">
        <v>52</v>
      </c>
      <c r="F477" t="s">
        <v>21</v>
      </c>
      <c r="G477" t="s">
        <v>32</v>
      </c>
      <c r="H477">
        <v>14246</v>
      </c>
      <c r="I477">
        <v>3</v>
      </c>
      <c r="J477">
        <v>42738</v>
      </c>
      <c r="K477">
        <v>1.55</v>
      </c>
    </row>
    <row r="478" spans="1:11" x14ac:dyDescent="0.35">
      <c r="A478" s="1">
        <v>45400</v>
      </c>
      <c r="B478" t="s">
        <v>534</v>
      </c>
      <c r="C478" t="s">
        <v>51</v>
      </c>
      <c r="D478" t="s">
        <v>30</v>
      </c>
      <c r="E478" t="s">
        <v>52</v>
      </c>
      <c r="F478" t="s">
        <v>15</v>
      </c>
      <c r="G478" t="s">
        <v>39</v>
      </c>
      <c r="H478">
        <v>2811.81</v>
      </c>
      <c r="I478">
        <v>1</v>
      </c>
      <c r="J478">
        <v>2811.81</v>
      </c>
      <c r="K478">
        <v>4.17</v>
      </c>
    </row>
    <row r="479" spans="1:11" x14ac:dyDescent="0.35">
      <c r="A479" s="1">
        <v>45400</v>
      </c>
      <c r="B479" t="s">
        <v>609</v>
      </c>
      <c r="C479" t="s">
        <v>51</v>
      </c>
      <c r="D479" t="s">
        <v>30</v>
      </c>
      <c r="E479" t="s">
        <v>52</v>
      </c>
      <c r="F479" t="s">
        <v>15</v>
      </c>
      <c r="G479" t="s">
        <v>27</v>
      </c>
      <c r="H479">
        <v>12371.37</v>
      </c>
      <c r="I479">
        <v>5</v>
      </c>
      <c r="J479">
        <v>61856.85</v>
      </c>
      <c r="K479">
        <v>1.18</v>
      </c>
    </row>
    <row r="480" spans="1:11" x14ac:dyDescent="0.35">
      <c r="A480" s="1">
        <v>45401</v>
      </c>
      <c r="B480" t="s">
        <v>179</v>
      </c>
      <c r="C480" t="s">
        <v>29</v>
      </c>
      <c r="D480" t="s">
        <v>30</v>
      </c>
      <c r="E480" t="s">
        <v>31</v>
      </c>
      <c r="F480" t="s">
        <v>45</v>
      </c>
      <c r="G480" t="s">
        <v>39</v>
      </c>
      <c r="H480">
        <v>18294.37</v>
      </c>
      <c r="I480">
        <v>3</v>
      </c>
      <c r="J480">
        <v>54883.11</v>
      </c>
      <c r="K480">
        <v>4.54</v>
      </c>
    </row>
    <row r="481" spans="1:11" x14ac:dyDescent="0.35">
      <c r="A481" s="1">
        <v>45402</v>
      </c>
      <c r="B481" t="s">
        <v>322</v>
      </c>
      <c r="C481" t="s">
        <v>29</v>
      </c>
      <c r="D481" t="s">
        <v>30</v>
      </c>
      <c r="E481" t="s">
        <v>31</v>
      </c>
      <c r="F481" t="s">
        <v>21</v>
      </c>
      <c r="G481" t="s">
        <v>39</v>
      </c>
      <c r="H481">
        <v>3995.12</v>
      </c>
      <c r="I481">
        <v>3</v>
      </c>
      <c r="J481">
        <v>11985.36</v>
      </c>
      <c r="K481">
        <v>4.08</v>
      </c>
    </row>
    <row r="482" spans="1:11" x14ac:dyDescent="0.35">
      <c r="A482" s="1">
        <v>45402</v>
      </c>
      <c r="B482" t="s">
        <v>923</v>
      </c>
      <c r="C482" t="s">
        <v>51</v>
      </c>
      <c r="D482" t="s">
        <v>30</v>
      </c>
      <c r="E482" t="s">
        <v>52</v>
      </c>
      <c r="F482" t="s">
        <v>21</v>
      </c>
      <c r="G482" t="s">
        <v>27</v>
      </c>
      <c r="H482">
        <v>14218.88</v>
      </c>
      <c r="I482">
        <v>3</v>
      </c>
      <c r="J482">
        <v>42656.639999999999</v>
      </c>
      <c r="K482">
        <v>2.13</v>
      </c>
    </row>
    <row r="483" spans="1:11" x14ac:dyDescent="0.35">
      <c r="A483" s="1">
        <v>45402</v>
      </c>
      <c r="B483" t="s">
        <v>1484</v>
      </c>
      <c r="C483" t="s">
        <v>51</v>
      </c>
      <c r="D483" t="s">
        <v>30</v>
      </c>
      <c r="E483" t="s">
        <v>52</v>
      </c>
      <c r="F483" t="s">
        <v>45</v>
      </c>
      <c r="G483" t="s">
        <v>16</v>
      </c>
      <c r="H483">
        <v>9724.77</v>
      </c>
      <c r="I483">
        <v>3</v>
      </c>
      <c r="J483">
        <v>29174.31</v>
      </c>
      <c r="K483">
        <v>2.81</v>
      </c>
    </row>
    <row r="484" spans="1:11" x14ac:dyDescent="0.35">
      <c r="A484" s="1">
        <v>45404</v>
      </c>
      <c r="B484" t="s">
        <v>772</v>
      </c>
      <c r="C484" t="s">
        <v>51</v>
      </c>
      <c r="D484" t="s">
        <v>30</v>
      </c>
      <c r="E484" t="s">
        <v>52</v>
      </c>
      <c r="F484" t="s">
        <v>21</v>
      </c>
      <c r="G484" t="s">
        <v>32</v>
      </c>
      <c r="H484">
        <v>10132.82</v>
      </c>
      <c r="I484">
        <v>5</v>
      </c>
      <c r="J484">
        <v>50664.1</v>
      </c>
      <c r="K484">
        <v>2.5</v>
      </c>
    </row>
    <row r="485" spans="1:11" x14ac:dyDescent="0.35">
      <c r="A485" s="1">
        <v>45405</v>
      </c>
      <c r="B485" t="s">
        <v>1648</v>
      </c>
      <c r="C485" t="s">
        <v>51</v>
      </c>
      <c r="D485" t="s">
        <v>30</v>
      </c>
      <c r="E485" t="s">
        <v>52</v>
      </c>
      <c r="F485" t="s">
        <v>21</v>
      </c>
      <c r="G485" t="s">
        <v>60</v>
      </c>
      <c r="H485">
        <v>7864.3</v>
      </c>
      <c r="I485">
        <v>3</v>
      </c>
      <c r="J485">
        <v>23592.9</v>
      </c>
      <c r="K485">
        <v>1.88</v>
      </c>
    </row>
    <row r="486" spans="1:11" x14ac:dyDescent="0.35">
      <c r="A486" s="1">
        <v>45405</v>
      </c>
      <c r="B486" t="s">
        <v>1881</v>
      </c>
      <c r="C486" t="s">
        <v>51</v>
      </c>
      <c r="D486" t="s">
        <v>30</v>
      </c>
      <c r="E486" t="s">
        <v>52</v>
      </c>
      <c r="F486" t="s">
        <v>15</v>
      </c>
      <c r="G486" t="s">
        <v>22</v>
      </c>
      <c r="H486">
        <v>18371.36</v>
      </c>
      <c r="I486">
        <v>3</v>
      </c>
      <c r="J486">
        <v>55114.080000000002</v>
      </c>
      <c r="K486">
        <v>1.99</v>
      </c>
    </row>
    <row r="487" spans="1:11" x14ac:dyDescent="0.35">
      <c r="A487" s="1">
        <v>45406</v>
      </c>
      <c r="B487" t="s">
        <v>1743</v>
      </c>
      <c r="C487" t="s">
        <v>51</v>
      </c>
      <c r="D487" t="s">
        <v>30</v>
      </c>
      <c r="E487" t="s">
        <v>52</v>
      </c>
      <c r="F487" t="s">
        <v>21</v>
      </c>
      <c r="G487" t="s">
        <v>27</v>
      </c>
      <c r="H487">
        <v>3848.17</v>
      </c>
      <c r="I487">
        <v>5</v>
      </c>
      <c r="J487">
        <v>19240.849999999999</v>
      </c>
      <c r="K487">
        <v>4.37</v>
      </c>
    </row>
    <row r="488" spans="1:11" x14ac:dyDescent="0.35">
      <c r="A488" s="1">
        <v>45410</v>
      </c>
      <c r="B488" t="s">
        <v>1123</v>
      </c>
      <c r="C488" t="s">
        <v>51</v>
      </c>
      <c r="D488" t="s">
        <v>30</v>
      </c>
      <c r="E488" t="s">
        <v>52</v>
      </c>
      <c r="F488" t="s">
        <v>45</v>
      </c>
      <c r="G488" t="s">
        <v>60</v>
      </c>
      <c r="H488">
        <v>16140.94</v>
      </c>
      <c r="I488">
        <v>3</v>
      </c>
      <c r="J488">
        <v>48422.82</v>
      </c>
      <c r="K488">
        <v>1.24</v>
      </c>
    </row>
    <row r="489" spans="1:11" x14ac:dyDescent="0.35">
      <c r="A489" s="1">
        <v>45411</v>
      </c>
      <c r="B489" t="s">
        <v>485</v>
      </c>
      <c r="C489" t="s">
        <v>29</v>
      </c>
      <c r="D489" t="s">
        <v>30</v>
      </c>
      <c r="E489" t="s">
        <v>31</v>
      </c>
      <c r="F489" t="s">
        <v>45</v>
      </c>
      <c r="G489" t="s">
        <v>22</v>
      </c>
      <c r="H489">
        <v>19638.28</v>
      </c>
      <c r="I489">
        <v>3</v>
      </c>
      <c r="J489">
        <v>58914.84</v>
      </c>
      <c r="K489">
        <v>1.1299999999999999</v>
      </c>
    </row>
    <row r="490" spans="1:11" x14ac:dyDescent="0.35">
      <c r="A490" s="1">
        <v>45411</v>
      </c>
      <c r="B490" t="s">
        <v>571</v>
      </c>
      <c r="C490" t="s">
        <v>51</v>
      </c>
      <c r="D490" t="s">
        <v>30</v>
      </c>
      <c r="E490" t="s">
        <v>52</v>
      </c>
      <c r="F490" t="s">
        <v>45</v>
      </c>
      <c r="G490" t="s">
        <v>60</v>
      </c>
      <c r="H490">
        <v>13931.67</v>
      </c>
      <c r="I490">
        <v>3</v>
      </c>
      <c r="J490">
        <v>41795.01</v>
      </c>
      <c r="K490">
        <v>2.09</v>
      </c>
    </row>
    <row r="491" spans="1:11" x14ac:dyDescent="0.35">
      <c r="A491" s="1">
        <v>45412</v>
      </c>
      <c r="B491" t="s">
        <v>371</v>
      </c>
      <c r="C491" t="s">
        <v>29</v>
      </c>
      <c r="D491" t="s">
        <v>30</v>
      </c>
      <c r="E491" t="s">
        <v>31</v>
      </c>
      <c r="F491" t="s">
        <v>15</v>
      </c>
      <c r="G491" t="s">
        <v>16</v>
      </c>
      <c r="H491">
        <v>9412.4500000000007</v>
      </c>
      <c r="I491">
        <v>5</v>
      </c>
      <c r="J491">
        <v>47062.25</v>
      </c>
      <c r="K491">
        <v>2.54</v>
      </c>
    </row>
    <row r="492" spans="1:11" x14ac:dyDescent="0.35">
      <c r="A492" s="1">
        <v>45412</v>
      </c>
      <c r="B492" t="s">
        <v>445</v>
      </c>
      <c r="C492" t="s">
        <v>29</v>
      </c>
      <c r="D492" t="s">
        <v>30</v>
      </c>
      <c r="E492" t="s">
        <v>31</v>
      </c>
      <c r="F492" t="s">
        <v>45</v>
      </c>
      <c r="G492" t="s">
        <v>60</v>
      </c>
      <c r="H492">
        <v>3050.01</v>
      </c>
      <c r="I492">
        <v>5</v>
      </c>
      <c r="J492">
        <v>15250.05</v>
      </c>
      <c r="K492">
        <v>1.01</v>
      </c>
    </row>
    <row r="493" spans="1:11" x14ac:dyDescent="0.35">
      <c r="A493" s="1">
        <v>45412</v>
      </c>
      <c r="B493" t="s">
        <v>752</v>
      </c>
      <c r="C493" t="s">
        <v>29</v>
      </c>
      <c r="D493" t="s">
        <v>30</v>
      </c>
      <c r="E493" t="s">
        <v>31</v>
      </c>
      <c r="F493" t="s">
        <v>45</v>
      </c>
      <c r="G493" t="s">
        <v>22</v>
      </c>
      <c r="H493">
        <v>16806.64</v>
      </c>
      <c r="I493">
        <v>2</v>
      </c>
      <c r="J493">
        <v>33613.279999999999</v>
      </c>
      <c r="K493">
        <v>2.61</v>
      </c>
    </row>
    <row r="494" spans="1:11" x14ac:dyDescent="0.35">
      <c r="A494" s="1">
        <v>45413</v>
      </c>
      <c r="B494" t="s">
        <v>712</v>
      </c>
      <c r="C494" t="s">
        <v>29</v>
      </c>
      <c r="D494" t="s">
        <v>30</v>
      </c>
      <c r="E494" t="s">
        <v>31</v>
      </c>
      <c r="F494" t="s">
        <v>21</v>
      </c>
      <c r="G494" t="s">
        <v>39</v>
      </c>
      <c r="H494">
        <v>15612.39</v>
      </c>
      <c r="I494">
        <v>4</v>
      </c>
      <c r="J494">
        <v>62449.56</v>
      </c>
      <c r="K494">
        <v>4.5</v>
      </c>
    </row>
    <row r="495" spans="1:11" x14ac:dyDescent="0.35">
      <c r="A495" s="1">
        <v>45414</v>
      </c>
      <c r="B495" t="s">
        <v>1284</v>
      </c>
      <c r="C495" t="s">
        <v>51</v>
      </c>
      <c r="D495" t="s">
        <v>30</v>
      </c>
      <c r="E495" t="s">
        <v>52</v>
      </c>
      <c r="F495" t="s">
        <v>21</v>
      </c>
      <c r="G495" t="s">
        <v>22</v>
      </c>
      <c r="H495">
        <v>11357.49</v>
      </c>
      <c r="I495">
        <v>2</v>
      </c>
      <c r="J495">
        <v>22714.98</v>
      </c>
      <c r="K495">
        <v>2.08</v>
      </c>
    </row>
    <row r="496" spans="1:11" x14ac:dyDescent="0.35">
      <c r="A496" s="1">
        <v>45415</v>
      </c>
      <c r="B496" t="s">
        <v>347</v>
      </c>
      <c r="C496" t="s">
        <v>51</v>
      </c>
      <c r="D496" t="s">
        <v>30</v>
      </c>
      <c r="E496" t="s">
        <v>52</v>
      </c>
      <c r="F496" t="s">
        <v>21</v>
      </c>
      <c r="G496" t="s">
        <v>39</v>
      </c>
      <c r="H496">
        <v>10134.299999999999</v>
      </c>
      <c r="I496">
        <v>1</v>
      </c>
      <c r="J496">
        <v>10134.299999999999</v>
      </c>
      <c r="K496">
        <v>2.52</v>
      </c>
    </row>
    <row r="497" spans="1:11" x14ac:dyDescent="0.35">
      <c r="A497" s="1">
        <v>45416</v>
      </c>
      <c r="B497" t="s">
        <v>75</v>
      </c>
      <c r="C497" t="s">
        <v>29</v>
      </c>
      <c r="D497" t="s">
        <v>30</v>
      </c>
      <c r="E497" t="s">
        <v>31</v>
      </c>
      <c r="F497" t="s">
        <v>15</v>
      </c>
      <c r="G497" t="s">
        <v>60</v>
      </c>
      <c r="H497">
        <v>3760.61</v>
      </c>
      <c r="I497">
        <v>2</v>
      </c>
      <c r="J497">
        <v>7521.22</v>
      </c>
      <c r="K497">
        <v>3.05</v>
      </c>
    </row>
    <row r="498" spans="1:11" x14ac:dyDescent="0.35">
      <c r="A498" s="1">
        <v>45416</v>
      </c>
      <c r="B498" t="s">
        <v>220</v>
      </c>
      <c r="C498" t="s">
        <v>29</v>
      </c>
      <c r="D498" t="s">
        <v>30</v>
      </c>
      <c r="E498" t="s">
        <v>31</v>
      </c>
      <c r="F498" t="s">
        <v>21</v>
      </c>
      <c r="G498" t="s">
        <v>60</v>
      </c>
      <c r="H498">
        <v>17068.37</v>
      </c>
      <c r="I498">
        <v>3</v>
      </c>
      <c r="J498">
        <v>51205.11</v>
      </c>
      <c r="K498">
        <v>4.4000000000000004</v>
      </c>
    </row>
    <row r="499" spans="1:11" x14ac:dyDescent="0.35">
      <c r="A499" s="1">
        <v>45416</v>
      </c>
      <c r="B499" t="s">
        <v>1142</v>
      </c>
      <c r="C499" t="s">
        <v>29</v>
      </c>
      <c r="D499" t="s">
        <v>30</v>
      </c>
      <c r="E499" t="s">
        <v>31</v>
      </c>
      <c r="F499" t="s">
        <v>21</v>
      </c>
      <c r="G499" t="s">
        <v>32</v>
      </c>
      <c r="H499">
        <v>10353.5</v>
      </c>
      <c r="I499">
        <v>3</v>
      </c>
      <c r="J499">
        <v>31060.5</v>
      </c>
      <c r="K499">
        <v>1.55</v>
      </c>
    </row>
    <row r="500" spans="1:11" x14ac:dyDescent="0.35">
      <c r="A500" s="1">
        <v>45417</v>
      </c>
      <c r="B500" t="s">
        <v>659</v>
      </c>
      <c r="C500" t="s">
        <v>51</v>
      </c>
      <c r="D500" t="s">
        <v>30</v>
      </c>
      <c r="E500" t="s">
        <v>52</v>
      </c>
      <c r="F500" t="s">
        <v>45</v>
      </c>
      <c r="G500" t="s">
        <v>16</v>
      </c>
      <c r="H500">
        <v>19097.05</v>
      </c>
      <c r="I500">
        <v>1</v>
      </c>
      <c r="J500">
        <v>19097.05</v>
      </c>
      <c r="K500">
        <v>3.55</v>
      </c>
    </row>
    <row r="501" spans="1:11" x14ac:dyDescent="0.35">
      <c r="A501" s="1">
        <v>45418</v>
      </c>
      <c r="B501" t="s">
        <v>604</v>
      </c>
      <c r="C501" t="s">
        <v>29</v>
      </c>
      <c r="D501" t="s">
        <v>30</v>
      </c>
      <c r="E501" t="s">
        <v>31</v>
      </c>
      <c r="F501" t="s">
        <v>15</v>
      </c>
      <c r="G501" t="s">
        <v>60</v>
      </c>
      <c r="H501">
        <v>16327.43</v>
      </c>
      <c r="I501">
        <v>3</v>
      </c>
      <c r="J501">
        <v>48982.29</v>
      </c>
      <c r="K501">
        <v>4.68</v>
      </c>
    </row>
    <row r="502" spans="1:11" x14ac:dyDescent="0.35">
      <c r="A502" s="1">
        <v>45419</v>
      </c>
      <c r="B502" t="s">
        <v>2005</v>
      </c>
      <c r="C502" t="s">
        <v>29</v>
      </c>
      <c r="D502" t="s">
        <v>30</v>
      </c>
      <c r="E502" t="s">
        <v>31</v>
      </c>
      <c r="F502" t="s">
        <v>15</v>
      </c>
      <c r="G502" t="s">
        <v>60</v>
      </c>
      <c r="H502">
        <v>12996.48</v>
      </c>
      <c r="I502">
        <v>5</v>
      </c>
      <c r="J502">
        <v>64982.400000000001</v>
      </c>
      <c r="K502">
        <v>1.38</v>
      </c>
    </row>
    <row r="503" spans="1:11" x14ac:dyDescent="0.35">
      <c r="A503" s="1">
        <v>45420</v>
      </c>
      <c r="B503" t="s">
        <v>896</v>
      </c>
      <c r="C503" t="s">
        <v>29</v>
      </c>
      <c r="D503" t="s">
        <v>30</v>
      </c>
      <c r="E503" t="s">
        <v>31</v>
      </c>
      <c r="F503" t="s">
        <v>45</v>
      </c>
      <c r="G503" t="s">
        <v>16</v>
      </c>
      <c r="H503">
        <v>19229.36</v>
      </c>
      <c r="I503">
        <v>1</v>
      </c>
      <c r="J503">
        <v>19229.36</v>
      </c>
      <c r="K503">
        <v>1.34</v>
      </c>
    </row>
    <row r="504" spans="1:11" x14ac:dyDescent="0.35">
      <c r="A504" s="1">
        <v>45421</v>
      </c>
      <c r="B504" t="s">
        <v>495</v>
      </c>
      <c r="C504" t="s">
        <v>29</v>
      </c>
      <c r="D504" t="s">
        <v>30</v>
      </c>
      <c r="E504" t="s">
        <v>31</v>
      </c>
      <c r="F504" t="s">
        <v>21</v>
      </c>
      <c r="G504" t="s">
        <v>32</v>
      </c>
      <c r="H504">
        <v>2253.75</v>
      </c>
      <c r="I504">
        <v>5</v>
      </c>
      <c r="J504">
        <v>11268.75</v>
      </c>
      <c r="K504">
        <v>3.77</v>
      </c>
    </row>
    <row r="505" spans="1:11" x14ac:dyDescent="0.35">
      <c r="A505" s="1">
        <v>45422</v>
      </c>
      <c r="B505" t="s">
        <v>603</v>
      </c>
      <c r="C505" t="s">
        <v>29</v>
      </c>
      <c r="D505" t="s">
        <v>30</v>
      </c>
      <c r="E505" t="s">
        <v>31</v>
      </c>
      <c r="F505" t="s">
        <v>15</v>
      </c>
      <c r="G505" t="s">
        <v>16</v>
      </c>
      <c r="H505">
        <v>4753.45</v>
      </c>
      <c r="I505">
        <v>4</v>
      </c>
      <c r="J505">
        <v>19013.8</v>
      </c>
      <c r="K505">
        <v>4.7</v>
      </c>
    </row>
    <row r="506" spans="1:11" x14ac:dyDescent="0.35">
      <c r="A506" s="1">
        <v>45423</v>
      </c>
      <c r="B506" t="s">
        <v>736</v>
      </c>
      <c r="C506" t="s">
        <v>51</v>
      </c>
      <c r="D506" t="s">
        <v>30</v>
      </c>
      <c r="E506" t="s">
        <v>52</v>
      </c>
      <c r="F506" t="s">
        <v>45</v>
      </c>
      <c r="G506" t="s">
        <v>39</v>
      </c>
      <c r="H506">
        <v>7146.74</v>
      </c>
      <c r="I506">
        <v>5</v>
      </c>
      <c r="J506">
        <v>35733.699999999997</v>
      </c>
      <c r="K506">
        <v>1.1399999999999999</v>
      </c>
    </row>
    <row r="507" spans="1:11" x14ac:dyDescent="0.35">
      <c r="A507" s="1">
        <v>45424</v>
      </c>
      <c r="B507" t="s">
        <v>410</v>
      </c>
      <c r="C507" t="s">
        <v>51</v>
      </c>
      <c r="D507" t="s">
        <v>30</v>
      </c>
      <c r="E507" t="s">
        <v>52</v>
      </c>
      <c r="F507" t="s">
        <v>15</v>
      </c>
      <c r="G507" t="s">
        <v>16</v>
      </c>
      <c r="H507">
        <v>6225.82</v>
      </c>
      <c r="I507">
        <v>4</v>
      </c>
      <c r="J507">
        <v>24903.279999999999</v>
      </c>
      <c r="K507">
        <v>2.27</v>
      </c>
    </row>
    <row r="508" spans="1:11" x14ac:dyDescent="0.35">
      <c r="A508" s="1">
        <v>45424</v>
      </c>
      <c r="B508" t="s">
        <v>1379</v>
      </c>
      <c r="C508" t="s">
        <v>51</v>
      </c>
      <c r="D508" t="s">
        <v>30</v>
      </c>
      <c r="E508" t="s">
        <v>52</v>
      </c>
      <c r="F508" t="s">
        <v>15</v>
      </c>
      <c r="G508" t="s">
        <v>60</v>
      </c>
      <c r="H508">
        <v>7670.95</v>
      </c>
      <c r="I508">
        <v>5</v>
      </c>
      <c r="J508">
        <v>38354.75</v>
      </c>
      <c r="K508">
        <v>4.3600000000000003</v>
      </c>
    </row>
    <row r="509" spans="1:11" x14ac:dyDescent="0.35">
      <c r="A509" s="1">
        <v>45425</v>
      </c>
      <c r="B509" t="s">
        <v>984</v>
      </c>
      <c r="C509" t="s">
        <v>51</v>
      </c>
      <c r="D509" t="s">
        <v>30</v>
      </c>
      <c r="E509" t="s">
        <v>52</v>
      </c>
      <c r="F509" t="s">
        <v>45</v>
      </c>
      <c r="G509" t="s">
        <v>60</v>
      </c>
      <c r="H509">
        <v>8805.8700000000008</v>
      </c>
      <c r="I509">
        <v>4</v>
      </c>
      <c r="J509">
        <v>35223.480000000003</v>
      </c>
      <c r="K509">
        <v>1.56</v>
      </c>
    </row>
    <row r="510" spans="1:11" x14ac:dyDescent="0.35">
      <c r="A510" s="1">
        <v>45425</v>
      </c>
      <c r="B510" t="s">
        <v>1649</v>
      </c>
      <c r="C510" t="s">
        <v>29</v>
      </c>
      <c r="D510" t="s">
        <v>30</v>
      </c>
      <c r="E510" t="s">
        <v>31</v>
      </c>
      <c r="F510" t="s">
        <v>21</v>
      </c>
      <c r="G510" t="s">
        <v>60</v>
      </c>
      <c r="H510">
        <v>7298.69</v>
      </c>
      <c r="I510">
        <v>5</v>
      </c>
      <c r="J510">
        <v>36493.449999999997</v>
      </c>
      <c r="K510">
        <v>1.02</v>
      </c>
    </row>
    <row r="511" spans="1:11" x14ac:dyDescent="0.35">
      <c r="A511" s="1">
        <v>45425</v>
      </c>
      <c r="B511" t="s">
        <v>1701</v>
      </c>
      <c r="C511" t="s">
        <v>51</v>
      </c>
      <c r="D511" t="s">
        <v>30</v>
      </c>
      <c r="E511" t="s">
        <v>52</v>
      </c>
      <c r="F511" t="s">
        <v>21</v>
      </c>
      <c r="G511" t="s">
        <v>16</v>
      </c>
      <c r="H511">
        <v>12540.54</v>
      </c>
      <c r="I511">
        <v>3</v>
      </c>
      <c r="J511">
        <v>37621.620000000003</v>
      </c>
      <c r="K511">
        <v>4.49</v>
      </c>
    </row>
    <row r="512" spans="1:11" x14ac:dyDescent="0.35">
      <c r="A512" s="1">
        <v>45427</v>
      </c>
      <c r="B512" t="s">
        <v>563</v>
      </c>
      <c r="C512" t="s">
        <v>29</v>
      </c>
      <c r="D512" t="s">
        <v>30</v>
      </c>
      <c r="E512" t="s">
        <v>31</v>
      </c>
      <c r="F512" t="s">
        <v>15</v>
      </c>
      <c r="G512" t="s">
        <v>16</v>
      </c>
      <c r="H512">
        <v>5498.55</v>
      </c>
      <c r="I512">
        <v>5</v>
      </c>
      <c r="J512">
        <v>27492.75</v>
      </c>
      <c r="K512">
        <v>1.2</v>
      </c>
    </row>
    <row r="513" spans="1:11" x14ac:dyDescent="0.35">
      <c r="A513" s="1">
        <v>45427</v>
      </c>
      <c r="B513" t="s">
        <v>1377</v>
      </c>
      <c r="C513" t="s">
        <v>51</v>
      </c>
      <c r="D513" t="s">
        <v>30</v>
      </c>
      <c r="E513" t="s">
        <v>52</v>
      </c>
      <c r="F513" t="s">
        <v>15</v>
      </c>
      <c r="G513" t="s">
        <v>60</v>
      </c>
      <c r="H513">
        <v>4002.78</v>
      </c>
      <c r="I513">
        <v>5</v>
      </c>
      <c r="J513">
        <v>20013.900000000001</v>
      </c>
      <c r="K513">
        <v>4.8</v>
      </c>
    </row>
    <row r="514" spans="1:11" x14ac:dyDescent="0.35">
      <c r="A514" s="1">
        <v>45428</v>
      </c>
      <c r="B514" t="s">
        <v>1740</v>
      </c>
      <c r="C514" t="s">
        <v>29</v>
      </c>
      <c r="D514" t="s">
        <v>30</v>
      </c>
      <c r="E514" t="s">
        <v>31</v>
      </c>
      <c r="F514" t="s">
        <v>21</v>
      </c>
      <c r="G514" t="s">
        <v>16</v>
      </c>
      <c r="H514">
        <v>8001.4</v>
      </c>
      <c r="I514">
        <v>1</v>
      </c>
      <c r="J514">
        <v>8001.4</v>
      </c>
      <c r="K514">
        <v>4.62</v>
      </c>
    </row>
    <row r="515" spans="1:11" x14ac:dyDescent="0.35">
      <c r="A515" s="1">
        <v>45429</v>
      </c>
      <c r="B515" t="s">
        <v>377</v>
      </c>
      <c r="C515" t="s">
        <v>29</v>
      </c>
      <c r="D515" t="s">
        <v>30</v>
      </c>
      <c r="E515" t="s">
        <v>31</v>
      </c>
      <c r="F515" t="s">
        <v>45</v>
      </c>
      <c r="G515" t="s">
        <v>27</v>
      </c>
      <c r="H515">
        <v>10870.25</v>
      </c>
      <c r="I515">
        <v>1</v>
      </c>
      <c r="J515">
        <v>10870.25</v>
      </c>
      <c r="K515">
        <v>4.03</v>
      </c>
    </row>
    <row r="516" spans="1:11" x14ac:dyDescent="0.35">
      <c r="A516" s="1">
        <v>45430</v>
      </c>
      <c r="B516" t="s">
        <v>50</v>
      </c>
      <c r="C516" t="s">
        <v>51</v>
      </c>
      <c r="D516" t="s">
        <v>30</v>
      </c>
      <c r="E516" t="s">
        <v>52</v>
      </c>
      <c r="F516" t="s">
        <v>21</v>
      </c>
      <c r="G516" t="s">
        <v>27</v>
      </c>
      <c r="H516">
        <v>451.79</v>
      </c>
      <c r="I516">
        <v>2</v>
      </c>
      <c r="J516">
        <v>903.58</v>
      </c>
      <c r="K516">
        <v>4.28</v>
      </c>
    </row>
    <row r="517" spans="1:11" x14ac:dyDescent="0.35">
      <c r="A517" s="1">
        <v>45430</v>
      </c>
      <c r="B517" t="s">
        <v>286</v>
      </c>
      <c r="C517" t="s">
        <v>51</v>
      </c>
      <c r="D517" t="s">
        <v>30</v>
      </c>
      <c r="E517" t="s">
        <v>52</v>
      </c>
      <c r="F517" t="s">
        <v>21</v>
      </c>
      <c r="G517" t="s">
        <v>16</v>
      </c>
      <c r="H517">
        <v>2258.84</v>
      </c>
      <c r="I517">
        <v>2</v>
      </c>
      <c r="J517">
        <v>4517.68</v>
      </c>
      <c r="K517">
        <v>2.2400000000000002</v>
      </c>
    </row>
    <row r="518" spans="1:11" x14ac:dyDescent="0.35">
      <c r="A518" s="1">
        <v>45431</v>
      </c>
      <c r="B518" t="s">
        <v>1258</v>
      </c>
      <c r="C518" t="s">
        <v>51</v>
      </c>
      <c r="D518" t="s">
        <v>30</v>
      </c>
      <c r="E518" t="s">
        <v>52</v>
      </c>
      <c r="F518" t="s">
        <v>15</v>
      </c>
      <c r="G518" t="s">
        <v>16</v>
      </c>
      <c r="H518">
        <v>7587.95</v>
      </c>
      <c r="I518">
        <v>4</v>
      </c>
      <c r="J518">
        <v>30351.8</v>
      </c>
      <c r="K518">
        <v>4.84</v>
      </c>
    </row>
    <row r="519" spans="1:11" x14ac:dyDescent="0.35">
      <c r="A519" s="1">
        <v>45432</v>
      </c>
      <c r="B519" t="s">
        <v>1846</v>
      </c>
      <c r="C519" t="s">
        <v>51</v>
      </c>
      <c r="D519" t="s">
        <v>30</v>
      </c>
      <c r="E519" t="s">
        <v>52</v>
      </c>
      <c r="F519" t="s">
        <v>45</v>
      </c>
      <c r="G519" t="s">
        <v>16</v>
      </c>
      <c r="H519">
        <v>4131.42</v>
      </c>
      <c r="I519">
        <v>1</v>
      </c>
      <c r="J519">
        <v>4131.42</v>
      </c>
      <c r="K519">
        <v>3.11</v>
      </c>
    </row>
    <row r="520" spans="1:11" x14ac:dyDescent="0.35">
      <c r="A520" s="1">
        <v>45433</v>
      </c>
      <c r="B520" t="s">
        <v>770</v>
      </c>
      <c r="C520" t="s">
        <v>29</v>
      </c>
      <c r="D520" t="s">
        <v>30</v>
      </c>
      <c r="E520" t="s">
        <v>31</v>
      </c>
      <c r="F520" t="s">
        <v>15</v>
      </c>
      <c r="G520" t="s">
        <v>32</v>
      </c>
      <c r="H520">
        <v>322.05</v>
      </c>
      <c r="I520">
        <v>2</v>
      </c>
      <c r="J520">
        <v>644.1</v>
      </c>
      <c r="K520">
        <v>1.1100000000000001</v>
      </c>
    </row>
    <row r="521" spans="1:11" x14ac:dyDescent="0.35">
      <c r="A521" s="1">
        <v>45433</v>
      </c>
      <c r="B521" t="s">
        <v>963</v>
      </c>
      <c r="C521" t="s">
        <v>51</v>
      </c>
      <c r="D521" t="s">
        <v>30</v>
      </c>
      <c r="E521" t="s">
        <v>52</v>
      </c>
      <c r="F521" t="s">
        <v>21</v>
      </c>
      <c r="G521" t="s">
        <v>32</v>
      </c>
      <c r="H521">
        <v>9777.9500000000007</v>
      </c>
      <c r="I521">
        <v>3</v>
      </c>
      <c r="J521">
        <v>29333.85</v>
      </c>
      <c r="K521">
        <v>1.58</v>
      </c>
    </row>
    <row r="522" spans="1:11" x14ac:dyDescent="0.35">
      <c r="A522" s="1">
        <v>45433</v>
      </c>
      <c r="B522" t="s">
        <v>1018</v>
      </c>
      <c r="C522" t="s">
        <v>29</v>
      </c>
      <c r="D522" t="s">
        <v>30</v>
      </c>
      <c r="E522" t="s">
        <v>31</v>
      </c>
      <c r="F522" t="s">
        <v>45</v>
      </c>
      <c r="G522" t="s">
        <v>16</v>
      </c>
      <c r="H522">
        <v>1318.94</v>
      </c>
      <c r="I522">
        <v>3</v>
      </c>
      <c r="J522">
        <v>3956.82</v>
      </c>
      <c r="K522">
        <v>3.18</v>
      </c>
    </row>
    <row r="523" spans="1:11" x14ac:dyDescent="0.35">
      <c r="A523" s="1">
        <v>45437</v>
      </c>
      <c r="B523" t="s">
        <v>246</v>
      </c>
      <c r="C523" t="s">
        <v>29</v>
      </c>
      <c r="D523" t="s">
        <v>30</v>
      </c>
      <c r="E523" t="s">
        <v>31</v>
      </c>
      <c r="F523" t="s">
        <v>15</v>
      </c>
      <c r="G523" t="s">
        <v>32</v>
      </c>
      <c r="H523">
        <v>6882.75</v>
      </c>
      <c r="I523">
        <v>5</v>
      </c>
      <c r="J523">
        <v>34413.75</v>
      </c>
      <c r="K523">
        <v>3.7</v>
      </c>
    </row>
    <row r="524" spans="1:11" x14ac:dyDescent="0.35">
      <c r="A524" s="1">
        <v>45437</v>
      </c>
      <c r="B524" t="s">
        <v>1296</v>
      </c>
      <c r="C524" t="s">
        <v>51</v>
      </c>
      <c r="D524" t="s">
        <v>30</v>
      </c>
      <c r="E524" t="s">
        <v>52</v>
      </c>
      <c r="F524" t="s">
        <v>21</v>
      </c>
      <c r="G524" t="s">
        <v>27</v>
      </c>
      <c r="H524">
        <v>3663.35</v>
      </c>
      <c r="I524">
        <v>4</v>
      </c>
      <c r="J524">
        <v>14653.4</v>
      </c>
      <c r="K524">
        <v>4.28</v>
      </c>
    </row>
    <row r="525" spans="1:11" x14ac:dyDescent="0.35">
      <c r="A525" s="1">
        <v>45438</v>
      </c>
      <c r="B525" t="s">
        <v>525</v>
      </c>
      <c r="C525" t="s">
        <v>29</v>
      </c>
      <c r="D525" t="s">
        <v>30</v>
      </c>
      <c r="E525" t="s">
        <v>31</v>
      </c>
      <c r="F525" t="s">
        <v>21</v>
      </c>
      <c r="G525" t="s">
        <v>22</v>
      </c>
      <c r="H525">
        <v>2871.12</v>
      </c>
      <c r="I525">
        <v>4</v>
      </c>
      <c r="J525">
        <v>11484.48</v>
      </c>
      <c r="K525">
        <v>1.71</v>
      </c>
    </row>
    <row r="526" spans="1:11" x14ac:dyDescent="0.35">
      <c r="A526" s="1">
        <v>45438</v>
      </c>
      <c r="B526" t="s">
        <v>1028</v>
      </c>
      <c r="C526" t="s">
        <v>29</v>
      </c>
      <c r="D526" t="s">
        <v>30</v>
      </c>
      <c r="E526" t="s">
        <v>31</v>
      </c>
      <c r="F526" t="s">
        <v>45</v>
      </c>
      <c r="G526" t="s">
        <v>39</v>
      </c>
      <c r="H526">
        <v>10083.73</v>
      </c>
      <c r="I526">
        <v>1</v>
      </c>
      <c r="J526">
        <v>10083.73</v>
      </c>
      <c r="K526">
        <v>3.74</v>
      </c>
    </row>
    <row r="527" spans="1:11" x14ac:dyDescent="0.35">
      <c r="A527" s="1">
        <v>45438</v>
      </c>
      <c r="B527" t="s">
        <v>1699</v>
      </c>
      <c r="C527" t="s">
        <v>29</v>
      </c>
      <c r="D527" t="s">
        <v>30</v>
      </c>
      <c r="E527" t="s">
        <v>31</v>
      </c>
      <c r="F527" t="s">
        <v>45</v>
      </c>
      <c r="G527" t="s">
        <v>22</v>
      </c>
      <c r="H527">
        <v>3385.92</v>
      </c>
      <c r="I527">
        <v>3</v>
      </c>
      <c r="J527">
        <v>10157.76</v>
      </c>
      <c r="K527">
        <v>4.25</v>
      </c>
    </row>
    <row r="528" spans="1:11" x14ac:dyDescent="0.35">
      <c r="A528" s="1">
        <v>45438</v>
      </c>
      <c r="B528" t="s">
        <v>1895</v>
      </c>
      <c r="C528" t="s">
        <v>51</v>
      </c>
      <c r="D528" t="s">
        <v>30</v>
      </c>
      <c r="E528" t="s">
        <v>52</v>
      </c>
      <c r="F528" t="s">
        <v>15</v>
      </c>
      <c r="G528" t="s">
        <v>22</v>
      </c>
      <c r="H528">
        <v>13311.33</v>
      </c>
      <c r="I528">
        <v>5</v>
      </c>
      <c r="J528">
        <v>66556.649999999994</v>
      </c>
      <c r="K528">
        <v>3.19</v>
      </c>
    </row>
    <row r="529" spans="1:11" x14ac:dyDescent="0.35">
      <c r="A529" s="1">
        <v>45440</v>
      </c>
      <c r="B529" t="s">
        <v>713</v>
      </c>
      <c r="C529" t="s">
        <v>29</v>
      </c>
      <c r="D529" t="s">
        <v>30</v>
      </c>
      <c r="E529" t="s">
        <v>31</v>
      </c>
      <c r="F529" t="s">
        <v>45</v>
      </c>
      <c r="G529" t="s">
        <v>16</v>
      </c>
      <c r="H529">
        <v>2299.13</v>
      </c>
      <c r="I529">
        <v>3</v>
      </c>
      <c r="J529">
        <v>6897.39</v>
      </c>
      <c r="K529">
        <v>2.79</v>
      </c>
    </row>
    <row r="530" spans="1:11" x14ac:dyDescent="0.35">
      <c r="A530" s="1">
        <v>45441</v>
      </c>
      <c r="B530" t="s">
        <v>1968</v>
      </c>
      <c r="C530" t="s">
        <v>29</v>
      </c>
      <c r="D530" t="s">
        <v>30</v>
      </c>
      <c r="E530" t="s">
        <v>31</v>
      </c>
      <c r="F530" t="s">
        <v>15</v>
      </c>
      <c r="G530" t="s">
        <v>27</v>
      </c>
      <c r="H530">
        <v>5119.1000000000004</v>
      </c>
      <c r="I530">
        <v>2</v>
      </c>
      <c r="J530">
        <v>10238.200000000001</v>
      </c>
      <c r="K530">
        <v>3.74</v>
      </c>
    </row>
    <row r="531" spans="1:11" x14ac:dyDescent="0.35">
      <c r="A531" s="1">
        <v>45443</v>
      </c>
      <c r="B531" t="s">
        <v>336</v>
      </c>
      <c r="C531" t="s">
        <v>29</v>
      </c>
      <c r="D531" t="s">
        <v>30</v>
      </c>
      <c r="E531" t="s">
        <v>31</v>
      </c>
      <c r="F531" t="s">
        <v>21</v>
      </c>
      <c r="G531" t="s">
        <v>16</v>
      </c>
      <c r="H531">
        <v>12267.61</v>
      </c>
      <c r="I531">
        <v>4</v>
      </c>
      <c r="J531">
        <v>49070.44</v>
      </c>
      <c r="K531">
        <v>3.28</v>
      </c>
    </row>
    <row r="532" spans="1:11" x14ac:dyDescent="0.35">
      <c r="A532" s="1">
        <v>45443</v>
      </c>
      <c r="B532" t="s">
        <v>543</v>
      </c>
      <c r="C532" t="s">
        <v>51</v>
      </c>
      <c r="D532" t="s">
        <v>30</v>
      </c>
      <c r="E532" t="s">
        <v>52</v>
      </c>
      <c r="F532" t="s">
        <v>21</v>
      </c>
      <c r="G532" t="s">
        <v>16</v>
      </c>
      <c r="H532">
        <v>6246.81</v>
      </c>
      <c r="I532">
        <v>2</v>
      </c>
      <c r="J532">
        <v>12493.62</v>
      </c>
      <c r="K532">
        <v>2.93</v>
      </c>
    </row>
    <row r="533" spans="1:11" x14ac:dyDescent="0.35">
      <c r="A533" s="1">
        <v>45443</v>
      </c>
      <c r="B533" t="s">
        <v>1260</v>
      </c>
      <c r="C533" t="s">
        <v>29</v>
      </c>
      <c r="D533" t="s">
        <v>30</v>
      </c>
      <c r="E533" t="s">
        <v>31</v>
      </c>
      <c r="F533" t="s">
        <v>21</v>
      </c>
      <c r="G533" t="s">
        <v>27</v>
      </c>
      <c r="H533">
        <v>11071.04</v>
      </c>
      <c r="I533">
        <v>5</v>
      </c>
      <c r="J533">
        <v>55355.199999999997</v>
      </c>
      <c r="K533">
        <v>1.47</v>
      </c>
    </row>
    <row r="534" spans="1:11" x14ac:dyDescent="0.35">
      <c r="A534" s="1">
        <v>45444</v>
      </c>
      <c r="B534" t="s">
        <v>1219</v>
      </c>
      <c r="C534" t="s">
        <v>51</v>
      </c>
      <c r="D534" t="s">
        <v>30</v>
      </c>
      <c r="E534" t="s">
        <v>52</v>
      </c>
      <c r="F534" t="s">
        <v>15</v>
      </c>
      <c r="G534" t="s">
        <v>22</v>
      </c>
      <c r="H534">
        <v>10920.84</v>
      </c>
      <c r="I534">
        <v>3</v>
      </c>
      <c r="J534">
        <v>32762.52</v>
      </c>
      <c r="K534">
        <v>4.25</v>
      </c>
    </row>
    <row r="535" spans="1:11" x14ac:dyDescent="0.35">
      <c r="A535" s="1">
        <v>45444</v>
      </c>
      <c r="B535" t="s">
        <v>1546</v>
      </c>
      <c r="C535" t="s">
        <v>51</v>
      </c>
      <c r="D535" t="s">
        <v>30</v>
      </c>
      <c r="E535" t="s">
        <v>52</v>
      </c>
      <c r="F535" t="s">
        <v>21</v>
      </c>
      <c r="G535" t="s">
        <v>39</v>
      </c>
      <c r="H535">
        <v>15347.32</v>
      </c>
      <c r="I535">
        <v>2</v>
      </c>
      <c r="J535">
        <v>30694.639999999999</v>
      </c>
      <c r="K535">
        <v>3.36</v>
      </c>
    </row>
    <row r="536" spans="1:11" x14ac:dyDescent="0.35">
      <c r="A536" s="1">
        <v>45447</v>
      </c>
      <c r="B536" t="s">
        <v>558</v>
      </c>
      <c r="C536" t="s">
        <v>51</v>
      </c>
      <c r="D536" t="s">
        <v>30</v>
      </c>
      <c r="E536" t="s">
        <v>52</v>
      </c>
      <c r="F536" t="s">
        <v>45</v>
      </c>
      <c r="G536" t="s">
        <v>16</v>
      </c>
      <c r="H536">
        <v>13841.21</v>
      </c>
      <c r="I536">
        <v>4</v>
      </c>
      <c r="J536">
        <v>55364.84</v>
      </c>
      <c r="K536">
        <v>3.79</v>
      </c>
    </row>
    <row r="537" spans="1:11" x14ac:dyDescent="0.35">
      <c r="A537" s="1">
        <v>45449</v>
      </c>
      <c r="B537" t="s">
        <v>1034</v>
      </c>
      <c r="C537" t="s">
        <v>29</v>
      </c>
      <c r="D537" t="s">
        <v>30</v>
      </c>
      <c r="E537" t="s">
        <v>31</v>
      </c>
      <c r="F537" t="s">
        <v>21</v>
      </c>
      <c r="G537" t="s">
        <v>27</v>
      </c>
      <c r="H537">
        <v>1849.6</v>
      </c>
      <c r="I537">
        <v>2</v>
      </c>
      <c r="J537">
        <v>3699.2</v>
      </c>
      <c r="K537">
        <v>1.81</v>
      </c>
    </row>
    <row r="538" spans="1:11" x14ac:dyDescent="0.35">
      <c r="A538" s="1">
        <v>45450</v>
      </c>
      <c r="B538" t="s">
        <v>835</v>
      </c>
      <c r="C538" t="s">
        <v>29</v>
      </c>
      <c r="D538" t="s">
        <v>30</v>
      </c>
      <c r="E538" t="s">
        <v>31</v>
      </c>
      <c r="F538" t="s">
        <v>21</v>
      </c>
      <c r="G538" t="s">
        <v>39</v>
      </c>
      <c r="H538">
        <v>14075.26</v>
      </c>
      <c r="I538">
        <v>2</v>
      </c>
      <c r="J538">
        <v>28150.52</v>
      </c>
      <c r="K538">
        <v>4.83</v>
      </c>
    </row>
    <row r="539" spans="1:11" x14ac:dyDescent="0.35">
      <c r="A539" s="1">
        <v>45450</v>
      </c>
      <c r="B539" t="s">
        <v>880</v>
      </c>
      <c r="C539" t="s">
        <v>29</v>
      </c>
      <c r="D539" t="s">
        <v>30</v>
      </c>
      <c r="E539" t="s">
        <v>31</v>
      </c>
      <c r="F539" t="s">
        <v>45</v>
      </c>
      <c r="G539" t="s">
        <v>32</v>
      </c>
      <c r="H539">
        <v>13856.47</v>
      </c>
      <c r="I539">
        <v>2</v>
      </c>
      <c r="J539">
        <v>27712.94</v>
      </c>
      <c r="K539">
        <v>4.26</v>
      </c>
    </row>
    <row r="540" spans="1:11" x14ac:dyDescent="0.35">
      <c r="A540" s="1">
        <v>45452</v>
      </c>
      <c r="B540" t="s">
        <v>512</v>
      </c>
      <c r="C540" t="s">
        <v>51</v>
      </c>
      <c r="D540" t="s">
        <v>30</v>
      </c>
      <c r="E540" t="s">
        <v>52</v>
      </c>
      <c r="F540" t="s">
        <v>15</v>
      </c>
      <c r="G540" t="s">
        <v>22</v>
      </c>
      <c r="H540">
        <v>6664.37</v>
      </c>
      <c r="I540">
        <v>5</v>
      </c>
      <c r="J540">
        <v>33321.85</v>
      </c>
      <c r="K540">
        <v>2.96</v>
      </c>
    </row>
    <row r="541" spans="1:11" x14ac:dyDescent="0.35">
      <c r="A541" s="1">
        <v>45452</v>
      </c>
      <c r="B541" t="s">
        <v>1317</v>
      </c>
      <c r="C541" t="s">
        <v>51</v>
      </c>
      <c r="D541" t="s">
        <v>30</v>
      </c>
      <c r="E541" t="s">
        <v>52</v>
      </c>
      <c r="F541" t="s">
        <v>45</v>
      </c>
      <c r="G541" t="s">
        <v>27</v>
      </c>
      <c r="H541">
        <v>13180.47</v>
      </c>
      <c r="I541">
        <v>3</v>
      </c>
      <c r="J541">
        <v>39541.410000000003</v>
      </c>
      <c r="K541">
        <v>2.93</v>
      </c>
    </row>
    <row r="542" spans="1:11" x14ac:dyDescent="0.35">
      <c r="A542" s="1">
        <v>45453</v>
      </c>
      <c r="B542" t="s">
        <v>711</v>
      </c>
      <c r="C542" t="s">
        <v>51</v>
      </c>
      <c r="D542" t="s">
        <v>30</v>
      </c>
      <c r="E542" t="s">
        <v>52</v>
      </c>
      <c r="F542" t="s">
        <v>21</v>
      </c>
      <c r="G542" t="s">
        <v>39</v>
      </c>
      <c r="H542">
        <v>12914.62</v>
      </c>
      <c r="I542">
        <v>3</v>
      </c>
      <c r="J542">
        <v>38743.86</v>
      </c>
      <c r="K542">
        <v>1.71</v>
      </c>
    </row>
    <row r="543" spans="1:11" x14ac:dyDescent="0.35">
      <c r="A543" s="1">
        <v>45456</v>
      </c>
      <c r="B543" t="s">
        <v>362</v>
      </c>
      <c r="C543" t="s">
        <v>29</v>
      </c>
      <c r="D543" t="s">
        <v>30</v>
      </c>
      <c r="E543" t="s">
        <v>31</v>
      </c>
      <c r="F543" t="s">
        <v>45</v>
      </c>
      <c r="G543" t="s">
        <v>32</v>
      </c>
      <c r="H543">
        <v>18693.849999999999</v>
      </c>
      <c r="I543">
        <v>1</v>
      </c>
      <c r="J543">
        <v>18693.849999999999</v>
      </c>
      <c r="K543">
        <v>1.3</v>
      </c>
    </row>
    <row r="544" spans="1:11" x14ac:dyDescent="0.35">
      <c r="A544" s="1">
        <v>45458</v>
      </c>
      <c r="B544" t="s">
        <v>403</v>
      </c>
      <c r="C544" t="s">
        <v>51</v>
      </c>
      <c r="D544" t="s">
        <v>30</v>
      </c>
      <c r="E544" t="s">
        <v>52</v>
      </c>
      <c r="F544" t="s">
        <v>15</v>
      </c>
      <c r="G544" t="s">
        <v>16</v>
      </c>
      <c r="H544">
        <v>16702.13</v>
      </c>
      <c r="I544">
        <v>1</v>
      </c>
      <c r="J544">
        <v>16702.13</v>
      </c>
      <c r="K544">
        <v>4.99</v>
      </c>
    </row>
    <row r="545" spans="1:11" x14ac:dyDescent="0.35">
      <c r="A545" s="1">
        <v>45458</v>
      </c>
      <c r="B545" t="s">
        <v>821</v>
      </c>
      <c r="C545" t="s">
        <v>29</v>
      </c>
      <c r="D545" t="s">
        <v>30</v>
      </c>
      <c r="E545" t="s">
        <v>31</v>
      </c>
      <c r="F545" t="s">
        <v>15</v>
      </c>
      <c r="G545" t="s">
        <v>27</v>
      </c>
      <c r="H545">
        <v>19199.830000000002</v>
      </c>
      <c r="I545">
        <v>1</v>
      </c>
      <c r="J545">
        <v>19199.830000000002</v>
      </c>
      <c r="K545">
        <v>2.66</v>
      </c>
    </row>
    <row r="546" spans="1:11" x14ac:dyDescent="0.35">
      <c r="A546" s="1">
        <v>45459</v>
      </c>
      <c r="B546" t="s">
        <v>780</v>
      </c>
      <c r="C546" t="s">
        <v>29</v>
      </c>
      <c r="D546" t="s">
        <v>30</v>
      </c>
      <c r="E546" t="s">
        <v>31</v>
      </c>
      <c r="F546" t="s">
        <v>21</v>
      </c>
      <c r="G546" t="s">
        <v>39</v>
      </c>
      <c r="H546">
        <v>17782.77</v>
      </c>
      <c r="I546">
        <v>2</v>
      </c>
      <c r="J546">
        <v>35565.54</v>
      </c>
      <c r="K546">
        <v>4.1900000000000004</v>
      </c>
    </row>
    <row r="547" spans="1:11" x14ac:dyDescent="0.35">
      <c r="A547" s="1">
        <v>45460</v>
      </c>
      <c r="B547" t="s">
        <v>1861</v>
      </c>
      <c r="C547" t="s">
        <v>29</v>
      </c>
      <c r="D547" t="s">
        <v>30</v>
      </c>
      <c r="E547" t="s">
        <v>31</v>
      </c>
      <c r="F547" t="s">
        <v>45</v>
      </c>
      <c r="G547" t="s">
        <v>16</v>
      </c>
      <c r="H547">
        <v>10207.31</v>
      </c>
      <c r="I547">
        <v>1</v>
      </c>
      <c r="J547">
        <v>10207.31</v>
      </c>
      <c r="K547">
        <v>2.9</v>
      </c>
    </row>
    <row r="548" spans="1:11" x14ac:dyDescent="0.35">
      <c r="A548" s="1">
        <v>45462</v>
      </c>
      <c r="B548" t="s">
        <v>316</v>
      </c>
      <c r="C548" t="s">
        <v>29</v>
      </c>
      <c r="D548" t="s">
        <v>30</v>
      </c>
      <c r="E548" t="s">
        <v>31</v>
      </c>
      <c r="F548" t="s">
        <v>21</v>
      </c>
      <c r="G548" t="s">
        <v>27</v>
      </c>
      <c r="H548">
        <v>12853.49</v>
      </c>
      <c r="I548">
        <v>1</v>
      </c>
      <c r="J548">
        <v>12853.49</v>
      </c>
      <c r="K548">
        <v>1.25</v>
      </c>
    </row>
    <row r="549" spans="1:11" x14ac:dyDescent="0.35">
      <c r="A549" s="1">
        <v>45462</v>
      </c>
      <c r="B549" t="s">
        <v>1464</v>
      </c>
      <c r="C549" t="s">
        <v>29</v>
      </c>
      <c r="D549" t="s">
        <v>30</v>
      </c>
      <c r="E549" t="s">
        <v>31</v>
      </c>
      <c r="F549" t="s">
        <v>21</v>
      </c>
      <c r="G549" t="s">
        <v>27</v>
      </c>
      <c r="H549">
        <v>9912.2900000000009</v>
      </c>
      <c r="I549">
        <v>4</v>
      </c>
      <c r="J549">
        <v>39649.160000000003</v>
      </c>
      <c r="K549">
        <v>1.42</v>
      </c>
    </row>
    <row r="550" spans="1:11" x14ac:dyDescent="0.35">
      <c r="A550" s="1">
        <v>45463</v>
      </c>
      <c r="B550" t="s">
        <v>157</v>
      </c>
      <c r="C550" t="s">
        <v>29</v>
      </c>
      <c r="D550" t="s">
        <v>30</v>
      </c>
      <c r="E550" t="s">
        <v>31</v>
      </c>
      <c r="F550" t="s">
        <v>21</v>
      </c>
      <c r="G550" t="s">
        <v>27</v>
      </c>
      <c r="H550">
        <v>2071.3200000000002</v>
      </c>
      <c r="I550">
        <v>4</v>
      </c>
      <c r="J550">
        <v>8285.2800000000007</v>
      </c>
      <c r="K550">
        <v>3.9</v>
      </c>
    </row>
    <row r="551" spans="1:11" x14ac:dyDescent="0.35">
      <c r="A551" s="1">
        <v>45463</v>
      </c>
      <c r="B551" t="s">
        <v>1499</v>
      </c>
      <c r="C551" t="s">
        <v>51</v>
      </c>
      <c r="D551" t="s">
        <v>30</v>
      </c>
      <c r="E551" t="s">
        <v>52</v>
      </c>
      <c r="F551" t="s">
        <v>21</v>
      </c>
      <c r="G551" t="s">
        <v>60</v>
      </c>
      <c r="H551">
        <v>16946.73</v>
      </c>
      <c r="I551">
        <v>5</v>
      </c>
      <c r="J551">
        <v>84733.65</v>
      </c>
      <c r="K551">
        <v>1.1299999999999999</v>
      </c>
    </row>
    <row r="552" spans="1:11" x14ac:dyDescent="0.35">
      <c r="A552" s="1">
        <v>45467</v>
      </c>
      <c r="B552" t="s">
        <v>85</v>
      </c>
      <c r="C552" t="s">
        <v>51</v>
      </c>
      <c r="D552" t="s">
        <v>30</v>
      </c>
      <c r="E552" t="s">
        <v>52</v>
      </c>
      <c r="F552" t="s">
        <v>45</v>
      </c>
      <c r="G552" t="s">
        <v>27</v>
      </c>
      <c r="H552">
        <v>5551.93</v>
      </c>
      <c r="I552">
        <v>5</v>
      </c>
      <c r="J552">
        <v>27759.65</v>
      </c>
      <c r="K552">
        <v>3.65</v>
      </c>
    </row>
    <row r="553" spans="1:11" x14ac:dyDescent="0.35">
      <c r="A553" s="1">
        <v>45467</v>
      </c>
      <c r="B553" t="s">
        <v>460</v>
      </c>
      <c r="C553" t="s">
        <v>29</v>
      </c>
      <c r="D553" t="s">
        <v>30</v>
      </c>
      <c r="E553" t="s">
        <v>31</v>
      </c>
      <c r="F553" t="s">
        <v>21</v>
      </c>
      <c r="G553" t="s">
        <v>16</v>
      </c>
      <c r="H553">
        <v>9322.42</v>
      </c>
      <c r="I553">
        <v>5</v>
      </c>
      <c r="J553">
        <v>46612.1</v>
      </c>
      <c r="K553">
        <v>1.28</v>
      </c>
    </row>
    <row r="554" spans="1:11" x14ac:dyDescent="0.35">
      <c r="A554" s="1">
        <v>45468</v>
      </c>
      <c r="B554" t="s">
        <v>1231</v>
      </c>
      <c r="C554" t="s">
        <v>29</v>
      </c>
      <c r="D554" t="s">
        <v>30</v>
      </c>
      <c r="E554" t="s">
        <v>31</v>
      </c>
      <c r="F554" t="s">
        <v>15</v>
      </c>
      <c r="G554" t="s">
        <v>27</v>
      </c>
      <c r="H554">
        <v>14565.63</v>
      </c>
      <c r="I554">
        <v>2</v>
      </c>
      <c r="J554">
        <v>29131.26</v>
      </c>
      <c r="K554">
        <v>4.38</v>
      </c>
    </row>
    <row r="555" spans="1:11" x14ac:dyDescent="0.35">
      <c r="A555" s="1">
        <v>45468</v>
      </c>
      <c r="B555" t="s">
        <v>1410</v>
      </c>
      <c r="C555" t="s">
        <v>29</v>
      </c>
      <c r="D555" t="s">
        <v>30</v>
      </c>
      <c r="E555" t="s">
        <v>31</v>
      </c>
      <c r="F555" t="s">
        <v>21</v>
      </c>
      <c r="G555" t="s">
        <v>16</v>
      </c>
      <c r="H555">
        <v>8655.5300000000007</v>
      </c>
      <c r="I555">
        <v>1</v>
      </c>
      <c r="J555">
        <v>8655.5300000000007</v>
      </c>
      <c r="K555">
        <v>3.6</v>
      </c>
    </row>
    <row r="556" spans="1:11" x14ac:dyDescent="0.35">
      <c r="A556" s="1">
        <v>45468</v>
      </c>
      <c r="B556" t="s">
        <v>1710</v>
      </c>
      <c r="C556" t="s">
        <v>29</v>
      </c>
      <c r="D556" t="s">
        <v>30</v>
      </c>
      <c r="E556" t="s">
        <v>31</v>
      </c>
      <c r="F556" t="s">
        <v>15</v>
      </c>
      <c r="G556" t="s">
        <v>22</v>
      </c>
      <c r="H556">
        <v>2819.8</v>
      </c>
      <c r="I556">
        <v>4</v>
      </c>
      <c r="J556">
        <v>11279.2</v>
      </c>
      <c r="K556">
        <v>1.7</v>
      </c>
    </row>
    <row r="557" spans="1:11" x14ac:dyDescent="0.35">
      <c r="A557" s="1">
        <v>45468</v>
      </c>
      <c r="B557" t="s">
        <v>2006</v>
      </c>
      <c r="C557" t="s">
        <v>29</v>
      </c>
      <c r="D557" t="s">
        <v>30</v>
      </c>
      <c r="E557" t="s">
        <v>31</v>
      </c>
      <c r="F557" t="s">
        <v>15</v>
      </c>
      <c r="G557" t="s">
        <v>22</v>
      </c>
      <c r="H557">
        <v>1797.57</v>
      </c>
      <c r="I557">
        <v>2</v>
      </c>
      <c r="J557">
        <v>3595.14</v>
      </c>
      <c r="K557">
        <v>4.46</v>
      </c>
    </row>
    <row r="558" spans="1:11" x14ac:dyDescent="0.35">
      <c r="A558" s="1">
        <v>45469</v>
      </c>
      <c r="B558" t="s">
        <v>759</v>
      </c>
      <c r="C558" t="s">
        <v>29</v>
      </c>
      <c r="D558" t="s">
        <v>30</v>
      </c>
      <c r="E558" t="s">
        <v>31</v>
      </c>
      <c r="F558" t="s">
        <v>21</v>
      </c>
      <c r="G558" t="s">
        <v>27</v>
      </c>
      <c r="H558">
        <v>6475.03</v>
      </c>
      <c r="I558">
        <v>4</v>
      </c>
      <c r="J558">
        <v>25900.12</v>
      </c>
      <c r="K558">
        <v>4.3499999999999996</v>
      </c>
    </row>
    <row r="559" spans="1:11" x14ac:dyDescent="0.35">
      <c r="A559" s="1">
        <v>45470</v>
      </c>
      <c r="B559" t="s">
        <v>134</v>
      </c>
      <c r="C559" t="s">
        <v>51</v>
      </c>
      <c r="D559" t="s">
        <v>30</v>
      </c>
      <c r="E559" t="s">
        <v>52</v>
      </c>
      <c r="F559" t="s">
        <v>15</v>
      </c>
      <c r="G559" t="s">
        <v>16</v>
      </c>
      <c r="H559">
        <v>14164.14</v>
      </c>
      <c r="I559">
        <v>4</v>
      </c>
      <c r="J559">
        <v>56656.56</v>
      </c>
      <c r="K559">
        <v>2.0099999999999998</v>
      </c>
    </row>
    <row r="560" spans="1:11" x14ac:dyDescent="0.35">
      <c r="A560" s="1">
        <v>45470</v>
      </c>
      <c r="B560" t="s">
        <v>608</v>
      </c>
      <c r="C560" t="s">
        <v>51</v>
      </c>
      <c r="D560" t="s">
        <v>30</v>
      </c>
      <c r="E560" t="s">
        <v>52</v>
      </c>
      <c r="F560" t="s">
        <v>21</v>
      </c>
      <c r="G560" t="s">
        <v>27</v>
      </c>
      <c r="H560">
        <v>4272.93</v>
      </c>
      <c r="I560">
        <v>4</v>
      </c>
      <c r="J560">
        <v>17091.72</v>
      </c>
      <c r="K560">
        <v>3.89</v>
      </c>
    </row>
    <row r="561" spans="1:11" x14ac:dyDescent="0.35">
      <c r="A561" s="1">
        <v>45470</v>
      </c>
      <c r="B561" t="s">
        <v>1093</v>
      </c>
      <c r="C561" t="s">
        <v>51</v>
      </c>
      <c r="D561" t="s">
        <v>30</v>
      </c>
      <c r="E561" t="s">
        <v>52</v>
      </c>
      <c r="F561" t="s">
        <v>21</v>
      </c>
      <c r="G561" t="s">
        <v>22</v>
      </c>
      <c r="H561">
        <v>4516.6400000000003</v>
      </c>
      <c r="I561">
        <v>4</v>
      </c>
      <c r="J561">
        <v>18066.560000000001</v>
      </c>
      <c r="K561">
        <v>4.17</v>
      </c>
    </row>
    <row r="562" spans="1:11" x14ac:dyDescent="0.35">
      <c r="A562" s="1">
        <v>45470</v>
      </c>
      <c r="B562" t="s">
        <v>1599</v>
      </c>
      <c r="C562" t="s">
        <v>29</v>
      </c>
      <c r="D562" t="s">
        <v>30</v>
      </c>
      <c r="E562" t="s">
        <v>31</v>
      </c>
      <c r="F562" t="s">
        <v>45</v>
      </c>
      <c r="G562" t="s">
        <v>27</v>
      </c>
      <c r="H562">
        <v>13605.94</v>
      </c>
      <c r="I562">
        <v>1</v>
      </c>
      <c r="J562">
        <v>13605.94</v>
      </c>
      <c r="K562">
        <v>3.93</v>
      </c>
    </row>
    <row r="563" spans="1:11" x14ac:dyDescent="0.35">
      <c r="A563" s="1">
        <v>45471</v>
      </c>
      <c r="B563" t="s">
        <v>1643</v>
      </c>
      <c r="C563" t="s">
        <v>29</v>
      </c>
      <c r="D563" t="s">
        <v>30</v>
      </c>
      <c r="E563" t="s">
        <v>31</v>
      </c>
      <c r="F563" t="s">
        <v>45</v>
      </c>
      <c r="G563" t="s">
        <v>60</v>
      </c>
      <c r="H563">
        <v>5817.02</v>
      </c>
      <c r="I563">
        <v>4</v>
      </c>
      <c r="J563">
        <v>23268.080000000002</v>
      </c>
      <c r="K563">
        <v>4.2</v>
      </c>
    </row>
    <row r="564" spans="1:11" x14ac:dyDescent="0.35">
      <c r="A564" s="1">
        <v>45472</v>
      </c>
      <c r="B564" t="s">
        <v>691</v>
      </c>
      <c r="C564" t="s">
        <v>51</v>
      </c>
      <c r="D564" t="s">
        <v>30</v>
      </c>
      <c r="E564" t="s">
        <v>52</v>
      </c>
      <c r="F564" t="s">
        <v>21</v>
      </c>
      <c r="G564" t="s">
        <v>22</v>
      </c>
      <c r="H564">
        <v>4112.72</v>
      </c>
      <c r="I564">
        <v>4</v>
      </c>
      <c r="J564">
        <v>16450.88</v>
      </c>
      <c r="K564">
        <v>2.15</v>
      </c>
    </row>
    <row r="565" spans="1:11" x14ac:dyDescent="0.35">
      <c r="A565" s="1">
        <v>45472</v>
      </c>
      <c r="B565" t="s">
        <v>1723</v>
      </c>
      <c r="C565" t="s">
        <v>29</v>
      </c>
      <c r="D565" t="s">
        <v>30</v>
      </c>
      <c r="E565" t="s">
        <v>31</v>
      </c>
      <c r="F565" t="s">
        <v>45</v>
      </c>
      <c r="G565" t="s">
        <v>39</v>
      </c>
      <c r="H565">
        <v>4462.42</v>
      </c>
      <c r="I565">
        <v>2</v>
      </c>
      <c r="J565">
        <v>8924.84</v>
      </c>
      <c r="K565">
        <v>1.18</v>
      </c>
    </row>
    <row r="566" spans="1:11" x14ac:dyDescent="0.35">
      <c r="A566" s="1">
        <v>45473</v>
      </c>
      <c r="B566" t="s">
        <v>1461</v>
      </c>
      <c r="C566" t="s">
        <v>29</v>
      </c>
      <c r="D566" t="s">
        <v>30</v>
      </c>
      <c r="E566" t="s">
        <v>31</v>
      </c>
      <c r="F566" t="s">
        <v>21</v>
      </c>
      <c r="G566" t="s">
        <v>16</v>
      </c>
      <c r="H566">
        <v>8570.93</v>
      </c>
      <c r="I566">
        <v>1</v>
      </c>
      <c r="J566">
        <v>8570.93</v>
      </c>
      <c r="K566">
        <v>4.34</v>
      </c>
    </row>
    <row r="567" spans="1:11" x14ac:dyDescent="0.35">
      <c r="A567" s="1">
        <v>45473</v>
      </c>
      <c r="B567" t="s">
        <v>2016</v>
      </c>
      <c r="C567" t="s">
        <v>29</v>
      </c>
      <c r="D567" t="s">
        <v>30</v>
      </c>
      <c r="E567" t="s">
        <v>31</v>
      </c>
      <c r="F567" t="s">
        <v>45</v>
      </c>
      <c r="G567" t="s">
        <v>16</v>
      </c>
      <c r="H567">
        <v>10574.6</v>
      </c>
      <c r="I567">
        <v>2</v>
      </c>
      <c r="J567">
        <v>21149.200000000001</v>
      </c>
      <c r="K567">
        <v>1.96</v>
      </c>
    </row>
    <row r="568" spans="1:11" x14ac:dyDescent="0.35">
      <c r="A568" s="1">
        <v>45474</v>
      </c>
      <c r="B568" t="s">
        <v>180</v>
      </c>
      <c r="C568" t="s">
        <v>29</v>
      </c>
      <c r="D568" t="s">
        <v>30</v>
      </c>
      <c r="E568" t="s">
        <v>31</v>
      </c>
      <c r="F568" t="s">
        <v>21</v>
      </c>
      <c r="G568" t="s">
        <v>39</v>
      </c>
      <c r="H568">
        <v>13555.2</v>
      </c>
      <c r="I568">
        <v>1</v>
      </c>
      <c r="J568">
        <v>13555.2</v>
      </c>
      <c r="K568">
        <v>4.33</v>
      </c>
    </row>
    <row r="569" spans="1:11" x14ac:dyDescent="0.35">
      <c r="A569" s="1">
        <v>45474</v>
      </c>
      <c r="B569" t="s">
        <v>838</v>
      </c>
      <c r="C569" t="s">
        <v>51</v>
      </c>
      <c r="D569" t="s">
        <v>30</v>
      </c>
      <c r="E569" t="s">
        <v>52</v>
      </c>
      <c r="F569" t="s">
        <v>45</v>
      </c>
      <c r="G569" t="s">
        <v>16</v>
      </c>
      <c r="H569">
        <v>5729.76</v>
      </c>
      <c r="I569">
        <v>2</v>
      </c>
      <c r="J569">
        <v>11459.52</v>
      </c>
      <c r="K569">
        <v>2.27</v>
      </c>
    </row>
    <row r="570" spans="1:11" x14ac:dyDescent="0.35">
      <c r="A570" s="1">
        <v>45475</v>
      </c>
      <c r="B570" t="s">
        <v>102</v>
      </c>
      <c r="C570" t="s">
        <v>29</v>
      </c>
      <c r="D570" t="s">
        <v>30</v>
      </c>
      <c r="E570" t="s">
        <v>31</v>
      </c>
      <c r="F570" t="s">
        <v>45</v>
      </c>
      <c r="G570" t="s">
        <v>60</v>
      </c>
      <c r="H570">
        <v>1482.74</v>
      </c>
      <c r="I570">
        <v>4</v>
      </c>
      <c r="J570">
        <v>5930.96</v>
      </c>
      <c r="K570">
        <v>3.64</v>
      </c>
    </row>
    <row r="571" spans="1:11" x14ac:dyDescent="0.35">
      <c r="A571" s="1">
        <v>45475</v>
      </c>
      <c r="B571" t="s">
        <v>932</v>
      </c>
      <c r="C571" t="s">
        <v>51</v>
      </c>
      <c r="D571" t="s">
        <v>30</v>
      </c>
      <c r="E571" t="s">
        <v>52</v>
      </c>
      <c r="F571" t="s">
        <v>15</v>
      </c>
      <c r="G571" t="s">
        <v>60</v>
      </c>
      <c r="H571">
        <v>5486.77</v>
      </c>
      <c r="I571">
        <v>2</v>
      </c>
      <c r="J571">
        <v>10973.54</v>
      </c>
      <c r="K571">
        <v>4.18</v>
      </c>
    </row>
    <row r="572" spans="1:11" x14ac:dyDescent="0.35">
      <c r="A572" s="1">
        <v>45475</v>
      </c>
      <c r="B572" t="s">
        <v>1233</v>
      </c>
      <c r="C572" t="s">
        <v>51</v>
      </c>
      <c r="D572" t="s">
        <v>30</v>
      </c>
      <c r="E572" t="s">
        <v>52</v>
      </c>
      <c r="F572" t="s">
        <v>45</v>
      </c>
      <c r="G572" t="s">
        <v>39</v>
      </c>
      <c r="H572">
        <v>12064.62</v>
      </c>
      <c r="I572">
        <v>1</v>
      </c>
      <c r="J572">
        <v>12064.62</v>
      </c>
      <c r="K572">
        <v>1.05</v>
      </c>
    </row>
    <row r="573" spans="1:11" x14ac:dyDescent="0.35">
      <c r="A573" s="1">
        <v>45475</v>
      </c>
      <c r="B573" t="s">
        <v>1531</v>
      </c>
      <c r="C573" t="s">
        <v>29</v>
      </c>
      <c r="D573" t="s">
        <v>30</v>
      </c>
      <c r="E573" t="s">
        <v>31</v>
      </c>
      <c r="F573" t="s">
        <v>45</v>
      </c>
      <c r="G573" t="s">
        <v>60</v>
      </c>
      <c r="H573">
        <v>2846.01</v>
      </c>
      <c r="I573">
        <v>5</v>
      </c>
      <c r="J573">
        <v>14230.05</v>
      </c>
      <c r="K573">
        <v>4.18</v>
      </c>
    </row>
    <row r="574" spans="1:11" x14ac:dyDescent="0.35">
      <c r="A574" s="1">
        <v>45475</v>
      </c>
      <c r="B574" t="s">
        <v>1826</v>
      </c>
      <c r="C574" t="s">
        <v>29</v>
      </c>
      <c r="D574" t="s">
        <v>30</v>
      </c>
      <c r="E574" t="s">
        <v>31</v>
      </c>
      <c r="F574" t="s">
        <v>45</v>
      </c>
      <c r="G574" t="s">
        <v>39</v>
      </c>
      <c r="H574">
        <v>8111.45</v>
      </c>
      <c r="I574">
        <v>1</v>
      </c>
      <c r="J574">
        <v>8111.45</v>
      </c>
      <c r="K574">
        <v>1.26</v>
      </c>
    </row>
    <row r="575" spans="1:11" x14ac:dyDescent="0.35">
      <c r="A575" s="1">
        <v>45476</v>
      </c>
      <c r="B575" t="s">
        <v>832</v>
      </c>
      <c r="C575" t="s">
        <v>29</v>
      </c>
      <c r="D575" t="s">
        <v>30</v>
      </c>
      <c r="E575" t="s">
        <v>31</v>
      </c>
      <c r="F575" t="s">
        <v>21</v>
      </c>
      <c r="G575" t="s">
        <v>39</v>
      </c>
      <c r="H575">
        <v>1930.98</v>
      </c>
      <c r="I575">
        <v>4</v>
      </c>
      <c r="J575">
        <v>7723.92</v>
      </c>
      <c r="K575">
        <v>3.34</v>
      </c>
    </row>
    <row r="576" spans="1:11" x14ac:dyDescent="0.35">
      <c r="A576" s="1">
        <v>45476</v>
      </c>
      <c r="B576" t="s">
        <v>1541</v>
      </c>
      <c r="C576" t="s">
        <v>51</v>
      </c>
      <c r="D576" t="s">
        <v>30</v>
      </c>
      <c r="E576" t="s">
        <v>52</v>
      </c>
      <c r="F576" t="s">
        <v>21</v>
      </c>
      <c r="G576" t="s">
        <v>60</v>
      </c>
      <c r="H576">
        <v>11126.38</v>
      </c>
      <c r="I576">
        <v>2</v>
      </c>
      <c r="J576">
        <v>22252.76</v>
      </c>
      <c r="K576">
        <v>4.6900000000000004</v>
      </c>
    </row>
    <row r="577" spans="1:11" x14ac:dyDescent="0.35">
      <c r="A577" s="1">
        <v>45476</v>
      </c>
      <c r="B577" t="s">
        <v>1783</v>
      </c>
      <c r="C577" t="s">
        <v>51</v>
      </c>
      <c r="D577" t="s">
        <v>30</v>
      </c>
      <c r="E577" t="s">
        <v>52</v>
      </c>
      <c r="F577" t="s">
        <v>45</v>
      </c>
      <c r="G577" t="s">
        <v>60</v>
      </c>
      <c r="H577">
        <v>6368.84</v>
      </c>
      <c r="I577">
        <v>4</v>
      </c>
      <c r="J577">
        <v>25475.360000000001</v>
      </c>
      <c r="K577">
        <v>3.96</v>
      </c>
    </row>
    <row r="578" spans="1:11" x14ac:dyDescent="0.35">
      <c r="A578" s="1">
        <v>45476</v>
      </c>
      <c r="B578" t="s">
        <v>1999</v>
      </c>
      <c r="C578" t="s">
        <v>29</v>
      </c>
      <c r="D578" t="s">
        <v>30</v>
      </c>
      <c r="E578" t="s">
        <v>31</v>
      </c>
      <c r="F578" t="s">
        <v>45</v>
      </c>
      <c r="G578" t="s">
        <v>60</v>
      </c>
      <c r="H578">
        <v>13400.52</v>
      </c>
      <c r="I578">
        <v>2</v>
      </c>
      <c r="J578">
        <v>26801.040000000001</v>
      </c>
      <c r="K578">
        <v>4.9800000000000004</v>
      </c>
    </row>
    <row r="579" spans="1:11" x14ac:dyDescent="0.35">
      <c r="A579" s="1">
        <v>45477</v>
      </c>
      <c r="B579" t="s">
        <v>1177</v>
      </c>
      <c r="C579" t="s">
        <v>29</v>
      </c>
      <c r="D579" t="s">
        <v>30</v>
      </c>
      <c r="E579" t="s">
        <v>31</v>
      </c>
      <c r="F579" t="s">
        <v>21</v>
      </c>
      <c r="G579" t="s">
        <v>22</v>
      </c>
      <c r="H579">
        <v>18211.7</v>
      </c>
      <c r="I579">
        <v>2</v>
      </c>
      <c r="J579">
        <v>36423.4</v>
      </c>
      <c r="K579">
        <v>4.32</v>
      </c>
    </row>
    <row r="580" spans="1:11" x14ac:dyDescent="0.35">
      <c r="A580" s="1">
        <v>45478</v>
      </c>
      <c r="B580" t="s">
        <v>881</v>
      </c>
      <c r="C580" t="s">
        <v>51</v>
      </c>
      <c r="D580" t="s">
        <v>30</v>
      </c>
      <c r="E580" t="s">
        <v>52</v>
      </c>
      <c r="F580" t="s">
        <v>21</v>
      </c>
      <c r="G580" t="s">
        <v>32</v>
      </c>
      <c r="H580">
        <v>3373.48</v>
      </c>
      <c r="I580">
        <v>4</v>
      </c>
      <c r="J580">
        <v>13493.92</v>
      </c>
      <c r="K580">
        <v>3.54</v>
      </c>
    </row>
    <row r="581" spans="1:11" x14ac:dyDescent="0.35">
      <c r="A581" s="1">
        <v>45480</v>
      </c>
      <c r="B581" t="s">
        <v>304</v>
      </c>
      <c r="C581" t="s">
        <v>51</v>
      </c>
      <c r="D581" t="s">
        <v>30</v>
      </c>
      <c r="E581" t="s">
        <v>52</v>
      </c>
      <c r="F581" t="s">
        <v>45</v>
      </c>
      <c r="G581" t="s">
        <v>39</v>
      </c>
      <c r="H581">
        <v>19923.16</v>
      </c>
      <c r="I581">
        <v>3</v>
      </c>
      <c r="J581">
        <v>59769.48</v>
      </c>
      <c r="K581">
        <v>1.56</v>
      </c>
    </row>
    <row r="582" spans="1:11" x14ac:dyDescent="0.35">
      <c r="A582" s="1">
        <v>45483</v>
      </c>
      <c r="B582" t="s">
        <v>164</v>
      </c>
      <c r="C582" t="s">
        <v>51</v>
      </c>
      <c r="D582" t="s">
        <v>30</v>
      </c>
      <c r="E582" t="s">
        <v>52</v>
      </c>
      <c r="F582" t="s">
        <v>15</v>
      </c>
      <c r="G582" t="s">
        <v>60</v>
      </c>
      <c r="H582">
        <v>912.15</v>
      </c>
      <c r="I582">
        <v>5</v>
      </c>
      <c r="J582">
        <v>4560.75</v>
      </c>
      <c r="K582">
        <v>2.42</v>
      </c>
    </row>
    <row r="583" spans="1:11" x14ac:dyDescent="0.35">
      <c r="A583" s="1">
        <v>45484</v>
      </c>
      <c r="B583" t="s">
        <v>55</v>
      </c>
      <c r="C583" t="s">
        <v>29</v>
      </c>
      <c r="D583" t="s">
        <v>30</v>
      </c>
      <c r="E583" t="s">
        <v>31</v>
      </c>
      <c r="F583" t="s">
        <v>21</v>
      </c>
      <c r="G583" t="s">
        <v>22</v>
      </c>
      <c r="H583">
        <v>17920.82</v>
      </c>
      <c r="I583">
        <v>4</v>
      </c>
      <c r="J583">
        <v>71683.28</v>
      </c>
      <c r="K583">
        <v>4.84</v>
      </c>
    </row>
    <row r="584" spans="1:11" x14ac:dyDescent="0.35">
      <c r="A584" s="1">
        <v>45484</v>
      </c>
      <c r="B584" t="s">
        <v>1884</v>
      </c>
      <c r="C584" t="s">
        <v>51</v>
      </c>
      <c r="D584" t="s">
        <v>30</v>
      </c>
      <c r="E584" t="s">
        <v>52</v>
      </c>
      <c r="F584" t="s">
        <v>21</v>
      </c>
      <c r="G584" t="s">
        <v>39</v>
      </c>
      <c r="H584">
        <v>12627.79</v>
      </c>
      <c r="I584">
        <v>5</v>
      </c>
      <c r="J584">
        <v>63138.95</v>
      </c>
      <c r="K584">
        <v>3.18</v>
      </c>
    </row>
    <row r="585" spans="1:11" x14ac:dyDescent="0.35">
      <c r="A585" s="1">
        <v>45485</v>
      </c>
      <c r="B585" t="s">
        <v>664</v>
      </c>
      <c r="C585" t="s">
        <v>29</v>
      </c>
      <c r="D585" t="s">
        <v>30</v>
      </c>
      <c r="E585" t="s">
        <v>31</v>
      </c>
      <c r="F585" t="s">
        <v>15</v>
      </c>
      <c r="G585" t="s">
        <v>39</v>
      </c>
      <c r="H585">
        <v>18698.7</v>
      </c>
      <c r="I585">
        <v>1</v>
      </c>
      <c r="J585">
        <v>18698.7</v>
      </c>
      <c r="K585">
        <v>2.75</v>
      </c>
    </row>
    <row r="586" spans="1:11" x14ac:dyDescent="0.35">
      <c r="A586" s="1">
        <v>45485</v>
      </c>
      <c r="B586" t="s">
        <v>1106</v>
      </c>
      <c r="C586" t="s">
        <v>51</v>
      </c>
      <c r="D586" t="s">
        <v>30</v>
      </c>
      <c r="E586" t="s">
        <v>52</v>
      </c>
      <c r="F586" t="s">
        <v>15</v>
      </c>
      <c r="G586" t="s">
        <v>27</v>
      </c>
      <c r="H586">
        <v>872.56</v>
      </c>
      <c r="I586">
        <v>4</v>
      </c>
      <c r="J586">
        <v>3490.24</v>
      </c>
      <c r="K586">
        <v>4.37</v>
      </c>
    </row>
    <row r="587" spans="1:11" x14ac:dyDescent="0.35">
      <c r="A587" s="1">
        <v>45486</v>
      </c>
      <c r="B587" t="s">
        <v>734</v>
      </c>
      <c r="C587" t="s">
        <v>29</v>
      </c>
      <c r="D587" t="s">
        <v>30</v>
      </c>
      <c r="E587" t="s">
        <v>31</v>
      </c>
      <c r="F587" t="s">
        <v>21</v>
      </c>
      <c r="G587" t="s">
        <v>16</v>
      </c>
      <c r="H587">
        <v>16288.79</v>
      </c>
      <c r="I587">
        <v>1</v>
      </c>
      <c r="J587">
        <v>16288.79</v>
      </c>
      <c r="K587">
        <v>4.37</v>
      </c>
    </row>
    <row r="588" spans="1:11" x14ac:dyDescent="0.35">
      <c r="A588" s="1">
        <v>45486</v>
      </c>
      <c r="B588" t="s">
        <v>863</v>
      </c>
      <c r="C588" t="s">
        <v>29</v>
      </c>
      <c r="D588" t="s">
        <v>30</v>
      </c>
      <c r="E588" t="s">
        <v>31</v>
      </c>
      <c r="F588" t="s">
        <v>15</v>
      </c>
      <c r="G588" t="s">
        <v>16</v>
      </c>
      <c r="H588">
        <v>13531.7</v>
      </c>
      <c r="I588">
        <v>4</v>
      </c>
      <c r="J588">
        <v>54126.8</v>
      </c>
      <c r="K588">
        <v>4.9400000000000004</v>
      </c>
    </row>
    <row r="589" spans="1:11" x14ac:dyDescent="0.35">
      <c r="A589" s="1">
        <v>45486</v>
      </c>
      <c r="B589" t="s">
        <v>2031</v>
      </c>
      <c r="C589" t="s">
        <v>51</v>
      </c>
      <c r="D589" t="s">
        <v>30</v>
      </c>
      <c r="E589" t="s">
        <v>52</v>
      </c>
      <c r="F589" t="s">
        <v>45</v>
      </c>
      <c r="G589" t="s">
        <v>39</v>
      </c>
      <c r="H589">
        <v>12211.52</v>
      </c>
      <c r="I589">
        <v>4</v>
      </c>
      <c r="J589">
        <v>48846.080000000002</v>
      </c>
      <c r="K589">
        <v>2.21</v>
      </c>
    </row>
    <row r="590" spans="1:11" x14ac:dyDescent="0.35">
      <c r="A590" s="1">
        <v>45487</v>
      </c>
      <c r="B590" t="s">
        <v>237</v>
      </c>
      <c r="C590" t="s">
        <v>51</v>
      </c>
      <c r="D590" t="s">
        <v>30</v>
      </c>
      <c r="E590" t="s">
        <v>52</v>
      </c>
      <c r="F590" t="s">
        <v>15</v>
      </c>
      <c r="G590" t="s">
        <v>32</v>
      </c>
      <c r="H590">
        <v>4941.8100000000004</v>
      </c>
      <c r="I590">
        <v>1</v>
      </c>
      <c r="J590">
        <v>4941.8100000000004</v>
      </c>
      <c r="K590">
        <v>2.88</v>
      </c>
    </row>
    <row r="591" spans="1:11" x14ac:dyDescent="0.35">
      <c r="A591" s="1">
        <v>45487</v>
      </c>
      <c r="B591" t="s">
        <v>642</v>
      </c>
      <c r="C591" t="s">
        <v>51</v>
      </c>
      <c r="D591" t="s">
        <v>30</v>
      </c>
      <c r="E591" t="s">
        <v>52</v>
      </c>
      <c r="F591" t="s">
        <v>21</v>
      </c>
      <c r="G591" t="s">
        <v>60</v>
      </c>
      <c r="H591">
        <v>5634.87</v>
      </c>
      <c r="I591">
        <v>3</v>
      </c>
      <c r="J591">
        <v>16904.61</v>
      </c>
      <c r="K591">
        <v>1.34</v>
      </c>
    </row>
    <row r="592" spans="1:11" x14ac:dyDescent="0.35">
      <c r="A592" s="1">
        <v>45487</v>
      </c>
      <c r="B592" t="s">
        <v>936</v>
      </c>
      <c r="C592" t="s">
        <v>51</v>
      </c>
      <c r="D592" t="s">
        <v>30</v>
      </c>
      <c r="E592" t="s">
        <v>52</v>
      </c>
      <c r="F592" t="s">
        <v>45</v>
      </c>
      <c r="G592" t="s">
        <v>27</v>
      </c>
      <c r="H592">
        <v>5504.42</v>
      </c>
      <c r="I592">
        <v>5</v>
      </c>
      <c r="J592">
        <v>27522.1</v>
      </c>
      <c r="K592">
        <v>4.97</v>
      </c>
    </row>
    <row r="593" spans="1:11" x14ac:dyDescent="0.35">
      <c r="A593" s="1">
        <v>45488</v>
      </c>
      <c r="B593" t="s">
        <v>1908</v>
      </c>
      <c r="C593" t="s">
        <v>51</v>
      </c>
      <c r="D593" t="s">
        <v>30</v>
      </c>
      <c r="E593" t="s">
        <v>52</v>
      </c>
      <c r="F593" t="s">
        <v>15</v>
      </c>
      <c r="G593" t="s">
        <v>39</v>
      </c>
      <c r="H593">
        <v>8279.89</v>
      </c>
      <c r="I593">
        <v>1</v>
      </c>
      <c r="J593">
        <v>8279.89</v>
      </c>
      <c r="K593">
        <v>4.79</v>
      </c>
    </row>
    <row r="594" spans="1:11" x14ac:dyDescent="0.35">
      <c r="A594" s="1">
        <v>45491</v>
      </c>
      <c r="B594" t="s">
        <v>830</v>
      </c>
      <c r="C594" t="s">
        <v>29</v>
      </c>
      <c r="D594" t="s">
        <v>30</v>
      </c>
      <c r="E594" t="s">
        <v>31</v>
      </c>
      <c r="F594" t="s">
        <v>21</v>
      </c>
      <c r="G594" t="s">
        <v>39</v>
      </c>
      <c r="H594">
        <v>3435.11</v>
      </c>
      <c r="I594">
        <v>2</v>
      </c>
      <c r="J594">
        <v>6870.22</v>
      </c>
      <c r="K594">
        <v>1.54</v>
      </c>
    </row>
    <row r="595" spans="1:11" x14ac:dyDescent="0.35">
      <c r="A595" s="1">
        <v>45491</v>
      </c>
      <c r="B595" t="s">
        <v>1246</v>
      </c>
      <c r="C595" t="s">
        <v>29</v>
      </c>
      <c r="D595" t="s">
        <v>30</v>
      </c>
      <c r="E595" t="s">
        <v>31</v>
      </c>
      <c r="F595" t="s">
        <v>15</v>
      </c>
      <c r="G595" t="s">
        <v>39</v>
      </c>
      <c r="H595">
        <v>14045.35</v>
      </c>
      <c r="I595">
        <v>1</v>
      </c>
      <c r="J595">
        <v>14045.35</v>
      </c>
      <c r="K595">
        <v>3.5</v>
      </c>
    </row>
    <row r="596" spans="1:11" x14ac:dyDescent="0.35">
      <c r="A596" s="1">
        <v>45495</v>
      </c>
      <c r="B596" t="s">
        <v>171</v>
      </c>
      <c r="C596" t="s">
        <v>29</v>
      </c>
      <c r="D596" t="s">
        <v>30</v>
      </c>
      <c r="E596" t="s">
        <v>31</v>
      </c>
      <c r="F596" t="s">
        <v>15</v>
      </c>
      <c r="G596" t="s">
        <v>39</v>
      </c>
      <c r="H596">
        <v>10953.53</v>
      </c>
      <c r="I596">
        <v>5</v>
      </c>
      <c r="J596">
        <v>54767.65</v>
      </c>
      <c r="K596">
        <v>1.78</v>
      </c>
    </row>
    <row r="597" spans="1:11" x14ac:dyDescent="0.35">
      <c r="A597" s="1">
        <v>45495</v>
      </c>
      <c r="B597" t="s">
        <v>392</v>
      </c>
      <c r="C597" t="s">
        <v>51</v>
      </c>
      <c r="D597" t="s">
        <v>30</v>
      </c>
      <c r="E597" t="s">
        <v>52</v>
      </c>
      <c r="F597" t="s">
        <v>45</v>
      </c>
      <c r="G597" t="s">
        <v>39</v>
      </c>
      <c r="H597">
        <v>5074.08</v>
      </c>
      <c r="I597">
        <v>3</v>
      </c>
      <c r="J597">
        <v>15222.24</v>
      </c>
      <c r="K597">
        <v>4.2</v>
      </c>
    </row>
    <row r="598" spans="1:11" x14ac:dyDescent="0.35">
      <c r="A598" s="1">
        <v>45496</v>
      </c>
      <c r="B598" t="s">
        <v>1819</v>
      </c>
      <c r="C598" t="s">
        <v>51</v>
      </c>
      <c r="D598" t="s">
        <v>30</v>
      </c>
      <c r="E598" t="s">
        <v>52</v>
      </c>
      <c r="F598" t="s">
        <v>15</v>
      </c>
      <c r="G598" t="s">
        <v>27</v>
      </c>
      <c r="H598">
        <v>13710.06</v>
      </c>
      <c r="I598">
        <v>5</v>
      </c>
      <c r="J598">
        <v>68550.3</v>
      </c>
      <c r="K598">
        <v>3.85</v>
      </c>
    </row>
    <row r="599" spans="1:11" x14ac:dyDescent="0.35">
      <c r="A599" s="1">
        <v>45498</v>
      </c>
      <c r="B599" t="s">
        <v>28</v>
      </c>
      <c r="C599" t="s">
        <v>29</v>
      </c>
      <c r="D599" t="s">
        <v>30</v>
      </c>
      <c r="E599" t="s">
        <v>31</v>
      </c>
      <c r="F599" t="s">
        <v>15</v>
      </c>
      <c r="G599" t="s">
        <v>32</v>
      </c>
      <c r="H599">
        <v>3665.44</v>
      </c>
      <c r="I599">
        <v>1</v>
      </c>
      <c r="J599">
        <v>3665.44</v>
      </c>
      <c r="K599">
        <v>1.44</v>
      </c>
    </row>
    <row r="600" spans="1:11" x14ac:dyDescent="0.35">
      <c r="A600" s="1">
        <v>45498</v>
      </c>
      <c r="B600" t="s">
        <v>1533</v>
      </c>
      <c r="C600" t="s">
        <v>29</v>
      </c>
      <c r="D600" t="s">
        <v>30</v>
      </c>
      <c r="E600" t="s">
        <v>31</v>
      </c>
      <c r="F600" t="s">
        <v>15</v>
      </c>
      <c r="G600" t="s">
        <v>32</v>
      </c>
      <c r="H600">
        <v>19165.28</v>
      </c>
      <c r="I600">
        <v>1</v>
      </c>
      <c r="J600">
        <v>19165.28</v>
      </c>
      <c r="K600">
        <v>3.98</v>
      </c>
    </row>
    <row r="601" spans="1:11" x14ac:dyDescent="0.35">
      <c r="A601" s="1">
        <v>45498</v>
      </c>
      <c r="B601" t="s">
        <v>1744</v>
      </c>
      <c r="C601" t="s">
        <v>51</v>
      </c>
      <c r="D601" t="s">
        <v>30</v>
      </c>
      <c r="E601" t="s">
        <v>52</v>
      </c>
      <c r="F601" t="s">
        <v>21</v>
      </c>
      <c r="G601" t="s">
        <v>22</v>
      </c>
      <c r="H601">
        <v>13702.89</v>
      </c>
      <c r="I601">
        <v>1</v>
      </c>
      <c r="J601">
        <v>13702.89</v>
      </c>
      <c r="K601">
        <v>3.8</v>
      </c>
    </row>
    <row r="602" spans="1:11" x14ac:dyDescent="0.35">
      <c r="A602" s="1">
        <v>45499</v>
      </c>
      <c r="B602" t="s">
        <v>290</v>
      </c>
      <c r="C602" t="s">
        <v>51</v>
      </c>
      <c r="D602" t="s">
        <v>30</v>
      </c>
      <c r="E602" t="s">
        <v>52</v>
      </c>
      <c r="F602" t="s">
        <v>21</v>
      </c>
      <c r="G602" t="s">
        <v>32</v>
      </c>
      <c r="H602">
        <v>8458.06</v>
      </c>
      <c r="I602">
        <v>1</v>
      </c>
      <c r="J602">
        <v>8458.06</v>
      </c>
      <c r="K602">
        <v>2.34</v>
      </c>
    </row>
    <row r="603" spans="1:11" x14ac:dyDescent="0.35">
      <c r="A603" s="1">
        <v>45499</v>
      </c>
      <c r="B603" t="s">
        <v>556</v>
      </c>
      <c r="C603" t="s">
        <v>29</v>
      </c>
      <c r="D603" t="s">
        <v>30</v>
      </c>
      <c r="E603" t="s">
        <v>31</v>
      </c>
      <c r="F603" t="s">
        <v>21</v>
      </c>
      <c r="G603" t="s">
        <v>60</v>
      </c>
      <c r="H603">
        <v>14497.38</v>
      </c>
      <c r="I603">
        <v>2</v>
      </c>
      <c r="J603">
        <v>28994.76</v>
      </c>
      <c r="K603">
        <v>3.65</v>
      </c>
    </row>
    <row r="604" spans="1:11" x14ac:dyDescent="0.35">
      <c r="A604" s="1">
        <v>45499</v>
      </c>
      <c r="B604" t="s">
        <v>1473</v>
      </c>
      <c r="C604" t="s">
        <v>29</v>
      </c>
      <c r="D604" t="s">
        <v>30</v>
      </c>
      <c r="E604" t="s">
        <v>31</v>
      </c>
      <c r="F604" t="s">
        <v>15</v>
      </c>
      <c r="G604" t="s">
        <v>22</v>
      </c>
      <c r="H604">
        <v>11112.44</v>
      </c>
      <c r="I604">
        <v>1</v>
      </c>
      <c r="J604">
        <v>11112.44</v>
      </c>
      <c r="K604">
        <v>4.25</v>
      </c>
    </row>
    <row r="605" spans="1:11" x14ac:dyDescent="0.35">
      <c r="A605" s="1">
        <v>45499</v>
      </c>
      <c r="B605" t="s">
        <v>1557</v>
      </c>
      <c r="C605" t="s">
        <v>29</v>
      </c>
      <c r="D605" t="s">
        <v>30</v>
      </c>
      <c r="E605" t="s">
        <v>31</v>
      </c>
      <c r="F605" t="s">
        <v>45</v>
      </c>
      <c r="G605" t="s">
        <v>39</v>
      </c>
      <c r="H605">
        <v>17012.310000000001</v>
      </c>
      <c r="I605">
        <v>3</v>
      </c>
      <c r="J605">
        <v>51036.93</v>
      </c>
      <c r="K605">
        <v>4.7</v>
      </c>
    </row>
    <row r="606" spans="1:11" x14ac:dyDescent="0.35">
      <c r="A606" s="1">
        <v>45502</v>
      </c>
      <c r="B606" t="s">
        <v>847</v>
      </c>
      <c r="C606" t="s">
        <v>29</v>
      </c>
      <c r="D606" t="s">
        <v>30</v>
      </c>
      <c r="E606" t="s">
        <v>31</v>
      </c>
      <c r="F606" t="s">
        <v>21</v>
      </c>
      <c r="G606" t="s">
        <v>27</v>
      </c>
      <c r="H606">
        <v>5690.91</v>
      </c>
      <c r="I606">
        <v>2</v>
      </c>
      <c r="J606">
        <v>11381.82</v>
      </c>
      <c r="K606">
        <v>2.0499999999999998</v>
      </c>
    </row>
    <row r="607" spans="1:11" x14ac:dyDescent="0.35">
      <c r="A607" s="1">
        <v>45503</v>
      </c>
      <c r="B607" t="s">
        <v>1398</v>
      </c>
      <c r="C607" t="s">
        <v>51</v>
      </c>
      <c r="D607" t="s">
        <v>30</v>
      </c>
      <c r="E607" t="s">
        <v>52</v>
      </c>
      <c r="F607" t="s">
        <v>45</v>
      </c>
      <c r="G607" t="s">
        <v>60</v>
      </c>
      <c r="H607">
        <v>10862.93</v>
      </c>
      <c r="I607">
        <v>5</v>
      </c>
      <c r="J607">
        <v>54314.65</v>
      </c>
      <c r="K607">
        <v>3.64</v>
      </c>
    </row>
    <row r="608" spans="1:11" x14ac:dyDescent="0.35">
      <c r="A608" s="1">
        <v>45504</v>
      </c>
      <c r="B608" t="s">
        <v>300</v>
      </c>
      <c r="C608" t="s">
        <v>29</v>
      </c>
      <c r="D608" t="s">
        <v>30</v>
      </c>
      <c r="E608" t="s">
        <v>31</v>
      </c>
      <c r="F608" t="s">
        <v>21</v>
      </c>
      <c r="G608" t="s">
        <v>22</v>
      </c>
      <c r="H608">
        <v>3800.17</v>
      </c>
      <c r="I608">
        <v>4</v>
      </c>
      <c r="J608">
        <v>15200.68</v>
      </c>
      <c r="K608">
        <v>4.2300000000000004</v>
      </c>
    </row>
    <row r="609" spans="1:11" x14ac:dyDescent="0.35">
      <c r="A609" s="1">
        <v>45504</v>
      </c>
      <c r="B609" t="s">
        <v>405</v>
      </c>
      <c r="C609" t="s">
        <v>51</v>
      </c>
      <c r="D609" t="s">
        <v>30</v>
      </c>
      <c r="E609" t="s">
        <v>52</v>
      </c>
      <c r="F609" t="s">
        <v>15</v>
      </c>
      <c r="G609" t="s">
        <v>60</v>
      </c>
      <c r="H609">
        <v>2853.64</v>
      </c>
      <c r="I609">
        <v>1</v>
      </c>
      <c r="J609">
        <v>2853.64</v>
      </c>
      <c r="K609">
        <v>3.88</v>
      </c>
    </row>
    <row r="610" spans="1:11" x14ac:dyDescent="0.35">
      <c r="A610" s="1">
        <v>45505</v>
      </c>
      <c r="B610" t="s">
        <v>1209</v>
      </c>
      <c r="C610" t="s">
        <v>51</v>
      </c>
      <c r="D610" t="s">
        <v>30</v>
      </c>
      <c r="E610" t="s">
        <v>52</v>
      </c>
      <c r="F610" t="s">
        <v>21</v>
      </c>
      <c r="G610" t="s">
        <v>60</v>
      </c>
      <c r="H610">
        <v>17458.009999999998</v>
      </c>
      <c r="I610">
        <v>3</v>
      </c>
      <c r="J610">
        <v>52374.03</v>
      </c>
      <c r="K610">
        <v>4.71</v>
      </c>
    </row>
    <row r="611" spans="1:11" x14ac:dyDescent="0.35">
      <c r="A611" s="1">
        <v>45505</v>
      </c>
      <c r="B611" t="s">
        <v>1620</v>
      </c>
      <c r="C611" t="s">
        <v>29</v>
      </c>
      <c r="D611" t="s">
        <v>30</v>
      </c>
      <c r="E611" t="s">
        <v>31</v>
      </c>
      <c r="F611" t="s">
        <v>15</v>
      </c>
      <c r="G611" t="s">
        <v>16</v>
      </c>
      <c r="H611">
        <v>8609.93</v>
      </c>
      <c r="I611">
        <v>1</v>
      </c>
      <c r="J611">
        <v>8609.93</v>
      </c>
      <c r="K611">
        <v>2.68</v>
      </c>
    </row>
    <row r="612" spans="1:11" x14ac:dyDescent="0.35">
      <c r="A612" s="1">
        <v>45505</v>
      </c>
      <c r="B612" t="s">
        <v>2027</v>
      </c>
      <c r="C612" t="s">
        <v>29</v>
      </c>
      <c r="D612" t="s">
        <v>30</v>
      </c>
      <c r="E612" t="s">
        <v>31</v>
      </c>
      <c r="F612" t="s">
        <v>15</v>
      </c>
      <c r="G612" t="s">
        <v>32</v>
      </c>
      <c r="H612">
        <v>7647.55</v>
      </c>
      <c r="I612">
        <v>4</v>
      </c>
      <c r="J612">
        <v>30590.2</v>
      </c>
      <c r="K612">
        <v>3.86</v>
      </c>
    </row>
    <row r="613" spans="1:11" x14ac:dyDescent="0.35">
      <c r="A613" s="1">
        <v>45506</v>
      </c>
      <c r="B613" t="s">
        <v>706</v>
      </c>
      <c r="C613" t="s">
        <v>51</v>
      </c>
      <c r="D613" t="s">
        <v>30</v>
      </c>
      <c r="E613" t="s">
        <v>52</v>
      </c>
      <c r="F613" t="s">
        <v>45</v>
      </c>
      <c r="G613" t="s">
        <v>22</v>
      </c>
      <c r="H613">
        <v>14509.37</v>
      </c>
      <c r="I613">
        <v>5</v>
      </c>
      <c r="J613">
        <v>72546.850000000006</v>
      </c>
      <c r="K613">
        <v>4.96</v>
      </c>
    </row>
    <row r="614" spans="1:11" x14ac:dyDescent="0.35">
      <c r="A614" s="1">
        <v>45506</v>
      </c>
      <c r="B614" t="s">
        <v>1136</v>
      </c>
      <c r="C614" t="s">
        <v>29</v>
      </c>
      <c r="D614" t="s">
        <v>30</v>
      </c>
      <c r="E614" t="s">
        <v>31</v>
      </c>
      <c r="F614" t="s">
        <v>45</v>
      </c>
      <c r="G614" t="s">
        <v>27</v>
      </c>
      <c r="H614">
        <v>4853.03</v>
      </c>
      <c r="I614">
        <v>5</v>
      </c>
      <c r="J614">
        <v>24265.15</v>
      </c>
      <c r="K614">
        <v>1.76</v>
      </c>
    </row>
    <row r="615" spans="1:11" x14ac:dyDescent="0.35">
      <c r="A615" s="1">
        <v>45506</v>
      </c>
      <c r="B615" t="s">
        <v>1474</v>
      </c>
      <c r="C615" t="s">
        <v>29</v>
      </c>
      <c r="D615" t="s">
        <v>30</v>
      </c>
      <c r="E615" t="s">
        <v>31</v>
      </c>
      <c r="F615" t="s">
        <v>15</v>
      </c>
      <c r="G615" t="s">
        <v>27</v>
      </c>
      <c r="H615">
        <v>15996.6</v>
      </c>
      <c r="I615">
        <v>4</v>
      </c>
      <c r="J615">
        <v>63986.400000000001</v>
      </c>
      <c r="K615">
        <v>2.85</v>
      </c>
    </row>
    <row r="616" spans="1:11" x14ac:dyDescent="0.35">
      <c r="A616" s="1">
        <v>45508</v>
      </c>
      <c r="B616" t="s">
        <v>1070</v>
      </c>
      <c r="C616" t="s">
        <v>51</v>
      </c>
      <c r="D616" t="s">
        <v>30</v>
      </c>
      <c r="E616" t="s">
        <v>52</v>
      </c>
      <c r="F616" t="s">
        <v>15</v>
      </c>
      <c r="G616" t="s">
        <v>27</v>
      </c>
      <c r="H616">
        <v>15737.56</v>
      </c>
      <c r="I616">
        <v>1</v>
      </c>
      <c r="J616">
        <v>15737.56</v>
      </c>
      <c r="K616">
        <v>3.86</v>
      </c>
    </row>
    <row r="617" spans="1:11" x14ac:dyDescent="0.35">
      <c r="A617" s="1">
        <v>45509</v>
      </c>
      <c r="B617" t="s">
        <v>1591</v>
      </c>
      <c r="C617" t="s">
        <v>29</v>
      </c>
      <c r="D617" t="s">
        <v>30</v>
      </c>
      <c r="E617" t="s">
        <v>31</v>
      </c>
      <c r="F617" t="s">
        <v>45</v>
      </c>
      <c r="G617" t="s">
        <v>16</v>
      </c>
      <c r="H617">
        <v>4907.0200000000004</v>
      </c>
      <c r="I617">
        <v>4</v>
      </c>
      <c r="J617">
        <v>19628.080000000002</v>
      </c>
      <c r="K617">
        <v>3.94</v>
      </c>
    </row>
    <row r="618" spans="1:11" x14ac:dyDescent="0.35">
      <c r="A618" s="1">
        <v>45510</v>
      </c>
      <c r="B618" t="s">
        <v>1675</v>
      </c>
      <c r="C618" t="s">
        <v>51</v>
      </c>
      <c r="D618" t="s">
        <v>30</v>
      </c>
      <c r="E618" t="s">
        <v>52</v>
      </c>
      <c r="F618" t="s">
        <v>45</v>
      </c>
      <c r="G618" t="s">
        <v>39</v>
      </c>
      <c r="H618">
        <v>16060.65</v>
      </c>
      <c r="I618">
        <v>2</v>
      </c>
      <c r="J618">
        <v>32121.3</v>
      </c>
      <c r="K618">
        <v>3.5</v>
      </c>
    </row>
    <row r="619" spans="1:11" x14ac:dyDescent="0.35">
      <c r="A619" s="1">
        <v>45512</v>
      </c>
      <c r="B619" t="s">
        <v>76</v>
      </c>
      <c r="C619" t="s">
        <v>51</v>
      </c>
      <c r="D619" t="s">
        <v>30</v>
      </c>
      <c r="E619" t="s">
        <v>52</v>
      </c>
      <c r="F619" t="s">
        <v>45</v>
      </c>
      <c r="G619" t="s">
        <v>22</v>
      </c>
      <c r="H619">
        <v>15781.15</v>
      </c>
      <c r="I619">
        <v>4</v>
      </c>
      <c r="J619">
        <v>63124.6</v>
      </c>
      <c r="K619">
        <v>2.04</v>
      </c>
    </row>
    <row r="620" spans="1:11" x14ac:dyDescent="0.35">
      <c r="A620" s="1">
        <v>45512</v>
      </c>
      <c r="B620" t="s">
        <v>1428</v>
      </c>
      <c r="C620" t="s">
        <v>51</v>
      </c>
      <c r="D620" t="s">
        <v>30</v>
      </c>
      <c r="E620" t="s">
        <v>52</v>
      </c>
      <c r="F620" t="s">
        <v>15</v>
      </c>
      <c r="G620" t="s">
        <v>60</v>
      </c>
      <c r="H620">
        <v>19973.830000000002</v>
      </c>
      <c r="I620">
        <v>5</v>
      </c>
      <c r="J620">
        <v>99869.15</v>
      </c>
      <c r="K620">
        <v>4.7</v>
      </c>
    </row>
    <row r="621" spans="1:11" x14ac:dyDescent="0.35">
      <c r="A621" s="1">
        <v>45513</v>
      </c>
      <c r="B621" t="s">
        <v>53</v>
      </c>
      <c r="C621" t="s">
        <v>29</v>
      </c>
      <c r="D621" t="s">
        <v>30</v>
      </c>
      <c r="E621" t="s">
        <v>31</v>
      </c>
      <c r="F621" t="s">
        <v>15</v>
      </c>
      <c r="G621" t="s">
        <v>32</v>
      </c>
      <c r="H621">
        <v>5904.49</v>
      </c>
      <c r="I621">
        <v>3</v>
      </c>
      <c r="J621">
        <v>17713.47</v>
      </c>
      <c r="K621">
        <v>2.6</v>
      </c>
    </row>
    <row r="622" spans="1:11" x14ac:dyDescent="0.35">
      <c r="A622" s="1">
        <v>45513</v>
      </c>
      <c r="B622" t="s">
        <v>99</v>
      </c>
      <c r="C622" t="s">
        <v>29</v>
      </c>
      <c r="D622" t="s">
        <v>30</v>
      </c>
      <c r="E622" t="s">
        <v>31</v>
      </c>
      <c r="F622" t="s">
        <v>45</v>
      </c>
      <c r="G622" t="s">
        <v>22</v>
      </c>
      <c r="H622">
        <v>4126.25</v>
      </c>
      <c r="I622">
        <v>4</v>
      </c>
      <c r="J622">
        <v>16505</v>
      </c>
      <c r="K622">
        <v>3.27</v>
      </c>
    </row>
    <row r="623" spans="1:11" x14ac:dyDescent="0.35">
      <c r="A623" s="1">
        <v>45513</v>
      </c>
      <c r="B623" t="s">
        <v>997</v>
      </c>
      <c r="C623" t="s">
        <v>29</v>
      </c>
      <c r="D623" t="s">
        <v>30</v>
      </c>
      <c r="E623" t="s">
        <v>31</v>
      </c>
      <c r="F623" t="s">
        <v>21</v>
      </c>
      <c r="G623" t="s">
        <v>60</v>
      </c>
      <c r="H623">
        <v>6458.66</v>
      </c>
      <c r="I623">
        <v>5</v>
      </c>
      <c r="J623">
        <v>32293.3</v>
      </c>
      <c r="K623">
        <v>2.57</v>
      </c>
    </row>
    <row r="624" spans="1:11" x14ac:dyDescent="0.35">
      <c r="A624" s="1">
        <v>45514</v>
      </c>
      <c r="B624" t="s">
        <v>797</v>
      </c>
      <c r="C624" t="s">
        <v>29</v>
      </c>
      <c r="D624" t="s">
        <v>30</v>
      </c>
      <c r="E624" t="s">
        <v>31</v>
      </c>
      <c r="F624" t="s">
        <v>21</v>
      </c>
      <c r="G624" t="s">
        <v>60</v>
      </c>
      <c r="H624">
        <v>510.72</v>
      </c>
      <c r="I624">
        <v>2</v>
      </c>
      <c r="J624">
        <v>1021.44</v>
      </c>
      <c r="K624">
        <v>1.07</v>
      </c>
    </row>
    <row r="625" spans="1:11" x14ac:dyDescent="0.35">
      <c r="A625" s="1">
        <v>45516</v>
      </c>
      <c r="B625" t="s">
        <v>950</v>
      </c>
      <c r="C625" t="s">
        <v>51</v>
      </c>
      <c r="D625" t="s">
        <v>30</v>
      </c>
      <c r="E625" t="s">
        <v>52</v>
      </c>
      <c r="F625" t="s">
        <v>21</v>
      </c>
      <c r="G625" t="s">
        <v>16</v>
      </c>
      <c r="H625">
        <v>12067.86</v>
      </c>
      <c r="I625">
        <v>1</v>
      </c>
      <c r="J625">
        <v>12067.86</v>
      </c>
      <c r="K625">
        <v>2.66</v>
      </c>
    </row>
    <row r="626" spans="1:11" x14ac:dyDescent="0.35">
      <c r="A626" s="1">
        <v>45516</v>
      </c>
      <c r="B626" t="s">
        <v>1874</v>
      </c>
      <c r="C626" t="s">
        <v>29</v>
      </c>
      <c r="D626" t="s">
        <v>30</v>
      </c>
      <c r="E626" t="s">
        <v>31</v>
      </c>
      <c r="F626" t="s">
        <v>45</v>
      </c>
      <c r="G626" t="s">
        <v>39</v>
      </c>
      <c r="H626">
        <v>12478.32</v>
      </c>
      <c r="I626">
        <v>5</v>
      </c>
      <c r="J626">
        <v>62391.6</v>
      </c>
      <c r="K626">
        <v>3.83</v>
      </c>
    </row>
    <row r="627" spans="1:11" x14ac:dyDescent="0.35">
      <c r="A627" s="1">
        <v>45518</v>
      </c>
      <c r="B627" t="s">
        <v>1487</v>
      </c>
      <c r="C627" t="s">
        <v>51</v>
      </c>
      <c r="D627" t="s">
        <v>30</v>
      </c>
      <c r="E627" t="s">
        <v>52</v>
      </c>
      <c r="F627" t="s">
        <v>45</v>
      </c>
      <c r="G627" t="s">
        <v>32</v>
      </c>
      <c r="H627">
        <v>19436.36</v>
      </c>
      <c r="I627">
        <v>5</v>
      </c>
      <c r="J627">
        <v>97181.8</v>
      </c>
      <c r="K627">
        <v>2.39</v>
      </c>
    </row>
    <row r="628" spans="1:11" x14ac:dyDescent="0.35">
      <c r="A628" s="1">
        <v>45519</v>
      </c>
      <c r="B628" t="s">
        <v>1014</v>
      </c>
      <c r="C628" t="s">
        <v>29</v>
      </c>
      <c r="D628" t="s">
        <v>30</v>
      </c>
      <c r="E628" t="s">
        <v>31</v>
      </c>
      <c r="F628" t="s">
        <v>45</v>
      </c>
      <c r="G628" t="s">
        <v>60</v>
      </c>
      <c r="H628">
        <v>18245.5</v>
      </c>
      <c r="I628">
        <v>1</v>
      </c>
      <c r="J628">
        <v>18245.5</v>
      </c>
      <c r="K628">
        <v>4.47</v>
      </c>
    </row>
    <row r="629" spans="1:11" x14ac:dyDescent="0.35">
      <c r="A629" s="1">
        <v>45522</v>
      </c>
      <c r="B629" t="s">
        <v>539</v>
      </c>
      <c r="C629" t="s">
        <v>51</v>
      </c>
      <c r="D629" t="s">
        <v>30</v>
      </c>
      <c r="E629" t="s">
        <v>52</v>
      </c>
      <c r="F629" t="s">
        <v>21</v>
      </c>
      <c r="G629" t="s">
        <v>22</v>
      </c>
      <c r="H629">
        <v>2778.7</v>
      </c>
      <c r="I629">
        <v>4</v>
      </c>
      <c r="J629">
        <v>11114.8</v>
      </c>
      <c r="K629">
        <v>2.06</v>
      </c>
    </row>
    <row r="630" spans="1:11" x14ac:dyDescent="0.35">
      <c r="A630" s="1">
        <v>45522</v>
      </c>
      <c r="B630" t="s">
        <v>553</v>
      </c>
      <c r="C630" t="s">
        <v>51</v>
      </c>
      <c r="D630" t="s">
        <v>30</v>
      </c>
      <c r="E630" t="s">
        <v>52</v>
      </c>
      <c r="F630" t="s">
        <v>21</v>
      </c>
      <c r="G630" t="s">
        <v>60</v>
      </c>
      <c r="H630">
        <v>2415.96</v>
      </c>
      <c r="I630">
        <v>3</v>
      </c>
      <c r="J630">
        <v>7247.88</v>
      </c>
      <c r="K630">
        <v>3.43</v>
      </c>
    </row>
    <row r="631" spans="1:11" x14ac:dyDescent="0.35">
      <c r="A631" s="1">
        <v>45522</v>
      </c>
      <c r="B631" t="s">
        <v>1407</v>
      </c>
      <c r="C631" t="s">
        <v>51</v>
      </c>
      <c r="D631" t="s">
        <v>30</v>
      </c>
      <c r="E631" t="s">
        <v>52</v>
      </c>
      <c r="F631" t="s">
        <v>21</v>
      </c>
      <c r="G631" t="s">
        <v>60</v>
      </c>
      <c r="H631">
        <v>12031.89</v>
      </c>
      <c r="I631">
        <v>2</v>
      </c>
      <c r="J631">
        <v>24063.78</v>
      </c>
      <c r="K631">
        <v>1.95</v>
      </c>
    </row>
    <row r="632" spans="1:11" x14ac:dyDescent="0.35">
      <c r="A632" s="1">
        <v>45522</v>
      </c>
      <c r="B632" t="s">
        <v>1899</v>
      </c>
      <c r="C632" t="s">
        <v>51</v>
      </c>
      <c r="D632" t="s">
        <v>30</v>
      </c>
      <c r="E632" t="s">
        <v>52</v>
      </c>
      <c r="F632" t="s">
        <v>21</v>
      </c>
      <c r="G632" t="s">
        <v>22</v>
      </c>
      <c r="H632">
        <v>311.3</v>
      </c>
      <c r="I632">
        <v>2</v>
      </c>
      <c r="J632">
        <v>622.6</v>
      </c>
      <c r="K632">
        <v>3.29</v>
      </c>
    </row>
    <row r="633" spans="1:11" x14ac:dyDescent="0.35">
      <c r="A633" s="1">
        <v>45523</v>
      </c>
      <c r="B633" t="s">
        <v>136</v>
      </c>
      <c r="C633" t="s">
        <v>29</v>
      </c>
      <c r="D633" t="s">
        <v>30</v>
      </c>
      <c r="E633" t="s">
        <v>31</v>
      </c>
      <c r="F633" t="s">
        <v>45</v>
      </c>
      <c r="G633" t="s">
        <v>27</v>
      </c>
      <c r="H633">
        <v>2604.4</v>
      </c>
      <c r="I633">
        <v>1</v>
      </c>
      <c r="J633">
        <v>2604.4</v>
      </c>
      <c r="K633">
        <v>3.07</v>
      </c>
    </row>
    <row r="634" spans="1:11" x14ac:dyDescent="0.35">
      <c r="A634" s="1">
        <v>45523</v>
      </c>
      <c r="B634" t="s">
        <v>320</v>
      </c>
      <c r="C634" t="s">
        <v>51</v>
      </c>
      <c r="D634" t="s">
        <v>30</v>
      </c>
      <c r="E634" t="s">
        <v>52</v>
      </c>
      <c r="F634" t="s">
        <v>15</v>
      </c>
      <c r="G634" t="s">
        <v>27</v>
      </c>
      <c r="H634">
        <v>113.55</v>
      </c>
      <c r="I634">
        <v>1</v>
      </c>
      <c r="J634">
        <v>113.55</v>
      </c>
      <c r="K634">
        <v>1.88</v>
      </c>
    </row>
    <row r="635" spans="1:11" x14ac:dyDescent="0.35">
      <c r="A635" s="1">
        <v>45523</v>
      </c>
      <c r="B635" t="s">
        <v>858</v>
      </c>
      <c r="C635" t="s">
        <v>51</v>
      </c>
      <c r="D635" t="s">
        <v>30</v>
      </c>
      <c r="E635" t="s">
        <v>52</v>
      </c>
      <c r="F635" t="s">
        <v>15</v>
      </c>
      <c r="G635" t="s">
        <v>39</v>
      </c>
      <c r="H635">
        <v>5560.83</v>
      </c>
      <c r="I635">
        <v>1</v>
      </c>
      <c r="J635">
        <v>5560.83</v>
      </c>
      <c r="K635">
        <v>2.3199999999999998</v>
      </c>
    </row>
    <row r="636" spans="1:11" x14ac:dyDescent="0.35">
      <c r="A636" s="1">
        <v>45530</v>
      </c>
      <c r="B636" t="s">
        <v>1099</v>
      </c>
      <c r="C636" t="s">
        <v>29</v>
      </c>
      <c r="D636" t="s">
        <v>30</v>
      </c>
      <c r="E636" t="s">
        <v>31</v>
      </c>
      <c r="F636" t="s">
        <v>21</v>
      </c>
      <c r="G636" t="s">
        <v>22</v>
      </c>
      <c r="H636">
        <v>15533.94</v>
      </c>
      <c r="I636">
        <v>1</v>
      </c>
      <c r="J636">
        <v>15533.94</v>
      </c>
      <c r="K636">
        <v>1.66</v>
      </c>
    </row>
    <row r="637" spans="1:11" x14ac:dyDescent="0.35">
      <c r="A637" s="1">
        <v>45531</v>
      </c>
      <c r="B637" t="s">
        <v>1623</v>
      </c>
      <c r="C637" t="s">
        <v>29</v>
      </c>
      <c r="D637" t="s">
        <v>30</v>
      </c>
      <c r="E637" t="s">
        <v>31</v>
      </c>
      <c r="F637" t="s">
        <v>45</v>
      </c>
      <c r="G637" t="s">
        <v>39</v>
      </c>
      <c r="H637">
        <v>461.05</v>
      </c>
      <c r="I637">
        <v>2</v>
      </c>
      <c r="J637">
        <v>922.1</v>
      </c>
      <c r="K637">
        <v>2.4900000000000002</v>
      </c>
    </row>
    <row r="638" spans="1:11" x14ac:dyDescent="0.35">
      <c r="A638" s="1">
        <v>45532</v>
      </c>
      <c r="B638" t="s">
        <v>817</v>
      </c>
      <c r="C638" t="s">
        <v>29</v>
      </c>
      <c r="D638" t="s">
        <v>30</v>
      </c>
      <c r="E638" t="s">
        <v>31</v>
      </c>
      <c r="F638" t="s">
        <v>21</v>
      </c>
      <c r="G638" t="s">
        <v>60</v>
      </c>
      <c r="H638">
        <v>601.70000000000005</v>
      </c>
      <c r="I638">
        <v>5</v>
      </c>
      <c r="J638">
        <v>3008.5</v>
      </c>
      <c r="K638">
        <v>3.88</v>
      </c>
    </row>
    <row r="639" spans="1:11" x14ac:dyDescent="0.35">
      <c r="A639" s="1">
        <v>45532</v>
      </c>
      <c r="B639" t="s">
        <v>1096</v>
      </c>
      <c r="C639" t="s">
        <v>29</v>
      </c>
      <c r="D639" t="s">
        <v>30</v>
      </c>
      <c r="E639" t="s">
        <v>31</v>
      </c>
      <c r="F639" t="s">
        <v>15</v>
      </c>
      <c r="G639" t="s">
        <v>27</v>
      </c>
      <c r="H639">
        <v>11343.98</v>
      </c>
      <c r="I639">
        <v>4</v>
      </c>
      <c r="J639">
        <v>45375.92</v>
      </c>
      <c r="K639">
        <v>3.5</v>
      </c>
    </row>
    <row r="640" spans="1:11" x14ac:dyDescent="0.35">
      <c r="A640" s="1">
        <v>45532</v>
      </c>
      <c r="B640" t="s">
        <v>1685</v>
      </c>
      <c r="C640" t="s">
        <v>29</v>
      </c>
      <c r="D640" t="s">
        <v>30</v>
      </c>
      <c r="E640" t="s">
        <v>31</v>
      </c>
      <c r="F640" t="s">
        <v>15</v>
      </c>
      <c r="G640" t="s">
        <v>39</v>
      </c>
      <c r="H640">
        <v>13990.02</v>
      </c>
      <c r="I640">
        <v>2</v>
      </c>
      <c r="J640">
        <v>27980.04</v>
      </c>
      <c r="K640">
        <v>4.01</v>
      </c>
    </row>
    <row r="641" spans="1:11" x14ac:dyDescent="0.35">
      <c r="A641" s="1">
        <v>45533</v>
      </c>
      <c r="B641" t="s">
        <v>757</v>
      </c>
      <c r="C641" t="s">
        <v>29</v>
      </c>
      <c r="D641" t="s">
        <v>30</v>
      </c>
      <c r="E641" t="s">
        <v>31</v>
      </c>
      <c r="F641" t="s">
        <v>45</v>
      </c>
      <c r="G641" t="s">
        <v>22</v>
      </c>
      <c r="H641">
        <v>10908.84</v>
      </c>
      <c r="I641">
        <v>2</v>
      </c>
      <c r="J641">
        <v>21817.68</v>
      </c>
      <c r="K641">
        <v>4.63</v>
      </c>
    </row>
    <row r="642" spans="1:11" x14ac:dyDescent="0.35">
      <c r="A642" s="1">
        <v>45533</v>
      </c>
      <c r="B642" t="s">
        <v>1378</v>
      </c>
      <c r="C642" t="s">
        <v>51</v>
      </c>
      <c r="D642" t="s">
        <v>30</v>
      </c>
      <c r="E642" t="s">
        <v>52</v>
      </c>
      <c r="F642" t="s">
        <v>45</v>
      </c>
      <c r="G642" t="s">
        <v>60</v>
      </c>
      <c r="H642">
        <v>3655.3</v>
      </c>
      <c r="I642">
        <v>1</v>
      </c>
      <c r="J642">
        <v>3655.3</v>
      </c>
      <c r="K642">
        <v>1.32</v>
      </c>
    </row>
    <row r="643" spans="1:11" x14ac:dyDescent="0.35">
      <c r="A643" s="1">
        <v>45533</v>
      </c>
      <c r="B643" t="s">
        <v>1420</v>
      </c>
      <c r="C643" t="s">
        <v>51</v>
      </c>
      <c r="D643" t="s">
        <v>30</v>
      </c>
      <c r="E643" t="s">
        <v>52</v>
      </c>
      <c r="F643" t="s">
        <v>21</v>
      </c>
      <c r="G643" t="s">
        <v>39</v>
      </c>
      <c r="H643">
        <v>13110.27</v>
      </c>
      <c r="I643">
        <v>3</v>
      </c>
      <c r="J643">
        <v>39330.81</v>
      </c>
      <c r="K643">
        <v>4.78</v>
      </c>
    </row>
    <row r="644" spans="1:11" x14ac:dyDescent="0.35">
      <c r="A644" s="1">
        <v>45534</v>
      </c>
      <c r="B644" t="s">
        <v>203</v>
      </c>
      <c r="C644" t="s">
        <v>29</v>
      </c>
      <c r="D644" t="s">
        <v>30</v>
      </c>
      <c r="E644" t="s">
        <v>31</v>
      </c>
      <c r="F644" t="s">
        <v>21</v>
      </c>
      <c r="G644" t="s">
        <v>32</v>
      </c>
      <c r="H644">
        <v>9759.3799999999992</v>
      </c>
      <c r="I644">
        <v>5</v>
      </c>
      <c r="J644">
        <v>48796.9</v>
      </c>
      <c r="K644">
        <v>2.1</v>
      </c>
    </row>
    <row r="645" spans="1:11" x14ac:dyDescent="0.35">
      <c r="A645" s="1">
        <v>45536</v>
      </c>
      <c r="B645" t="s">
        <v>944</v>
      </c>
      <c r="C645" t="s">
        <v>51</v>
      </c>
      <c r="D645" t="s">
        <v>30</v>
      </c>
      <c r="E645" t="s">
        <v>52</v>
      </c>
      <c r="F645" t="s">
        <v>15</v>
      </c>
      <c r="G645" t="s">
        <v>27</v>
      </c>
      <c r="H645">
        <v>9807.15</v>
      </c>
      <c r="I645">
        <v>2</v>
      </c>
      <c r="J645">
        <v>19614.3</v>
      </c>
      <c r="K645">
        <v>3.39</v>
      </c>
    </row>
    <row r="646" spans="1:11" x14ac:dyDescent="0.35">
      <c r="A646" s="1">
        <v>45536</v>
      </c>
      <c r="B646" t="s">
        <v>1140</v>
      </c>
      <c r="C646" t="s">
        <v>51</v>
      </c>
      <c r="D646" t="s">
        <v>30</v>
      </c>
      <c r="E646" t="s">
        <v>52</v>
      </c>
      <c r="F646" t="s">
        <v>45</v>
      </c>
      <c r="G646" t="s">
        <v>22</v>
      </c>
      <c r="H646">
        <v>12797.99</v>
      </c>
      <c r="I646">
        <v>4</v>
      </c>
      <c r="J646">
        <v>51191.96</v>
      </c>
      <c r="K646">
        <v>1.61</v>
      </c>
    </row>
    <row r="647" spans="1:11" x14ac:dyDescent="0.35">
      <c r="A647" s="1">
        <v>45536</v>
      </c>
      <c r="B647" t="s">
        <v>1381</v>
      </c>
      <c r="C647" t="s">
        <v>29</v>
      </c>
      <c r="D647" t="s">
        <v>30</v>
      </c>
      <c r="E647" t="s">
        <v>31</v>
      </c>
      <c r="F647" t="s">
        <v>21</v>
      </c>
      <c r="G647" t="s">
        <v>60</v>
      </c>
      <c r="H647">
        <v>2770.75</v>
      </c>
      <c r="I647">
        <v>2</v>
      </c>
      <c r="J647">
        <v>5541.5</v>
      </c>
      <c r="K647">
        <v>2.2999999999999998</v>
      </c>
    </row>
    <row r="648" spans="1:11" x14ac:dyDescent="0.35">
      <c r="A648" s="1">
        <v>45539</v>
      </c>
      <c r="B648" t="s">
        <v>446</v>
      </c>
      <c r="C648" t="s">
        <v>51</v>
      </c>
      <c r="D648" t="s">
        <v>30</v>
      </c>
      <c r="E648" t="s">
        <v>52</v>
      </c>
      <c r="F648" t="s">
        <v>15</v>
      </c>
      <c r="G648" t="s">
        <v>27</v>
      </c>
      <c r="H648">
        <v>13433.76</v>
      </c>
      <c r="I648">
        <v>5</v>
      </c>
      <c r="J648">
        <v>67168.800000000003</v>
      </c>
      <c r="K648">
        <v>2.84</v>
      </c>
    </row>
    <row r="649" spans="1:11" x14ac:dyDescent="0.35">
      <c r="A649" s="1">
        <v>45539</v>
      </c>
      <c r="B649" t="s">
        <v>686</v>
      </c>
      <c r="C649" t="s">
        <v>51</v>
      </c>
      <c r="D649" t="s">
        <v>30</v>
      </c>
      <c r="E649" t="s">
        <v>52</v>
      </c>
      <c r="F649" t="s">
        <v>45</v>
      </c>
      <c r="G649" t="s">
        <v>32</v>
      </c>
      <c r="H649">
        <v>4733.34</v>
      </c>
      <c r="I649">
        <v>3</v>
      </c>
      <c r="J649">
        <v>14200.02</v>
      </c>
      <c r="K649">
        <v>2.44</v>
      </c>
    </row>
    <row r="650" spans="1:11" x14ac:dyDescent="0.35">
      <c r="A650" s="1">
        <v>45540</v>
      </c>
      <c r="B650" t="s">
        <v>1059</v>
      </c>
      <c r="C650" t="s">
        <v>29</v>
      </c>
      <c r="D650" t="s">
        <v>30</v>
      </c>
      <c r="E650" t="s">
        <v>31</v>
      </c>
      <c r="F650" t="s">
        <v>21</v>
      </c>
      <c r="G650" t="s">
        <v>22</v>
      </c>
      <c r="H650">
        <v>12113.73</v>
      </c>
      <c r="I650">
        <v>1</v>
      </c>
      <c r="J650">
        <v>12113.73</v>
      </c>
      <c r="K650">
        <v>4.6500000000000004</v>
      </c>
    </row>
    <row r="651" spans="1:11" x14ac:dyDescent="0.35">
      <c r="A651" s="1">
        <v>45542</v>
      </c>
      <c r="B651" t="s">
        <v>229</v>
      </c>
      <c r="C651" t="s">
        <v>29</v>
      </c>
      <c r="D651" t="s">
        <v>30</v>
      </c>
      <c r="E651" t="s">
        <v>31</v>
      </c>
      <c r="F651" t="s">
        <v>45</v>
      </c>
      <c r="G651" t="s">
        <v>60</v>
      </c>
      <c r="H651">
        <v>10944.66</v>
      </c>
      <c r="I651">
        <v>2</v>
      </c>
      <c r="J651">
        <v>21889.32</v>
      </c>
      <c r="K651">
        <v>3.32</v>
      </c>
    </row>
    <row r="652" spans="1:11" x14ac:dyDescent="0.35">
      <c r="A652" s="1">
        <v>45542</v>
      </c>
      <c r="B652" t="s">
        <v>1362</v>
      </c>
      <c r="C652" t="s">
        <v>29</v>
      </c>
      <c r="D652" t="s">
        <v>30</v>
      </c>
      <c r="E652" t="s">
        <v>31</v>
      </c>
      <c r="F652" t="s">
        <v>21</v>
      </c>
      <c r="G652" t="s">
        <v>27</v>
      </c>
      <c r="H652">
        <v>19289</v>
      </c>
      <c r="I652">
        <v>1</v>
      </c>
      <c r="J652">
        <v>19289</v>
      </c>
      <c r="K652">
        <v>2.78</v>
      </c>
    </row>
    <row r="653" spans="1:11" x14ac:dyDescent="0.35">
      <c r="A653" s="1">
        <v>45543</v>
      </c>
      <c r="B653" t="s">
        <v>82</v>
      </c>
      <c r="C653" t="s">
        <v>51</v>
      </c>
      <c r="D653" t="s">
        <v>30</v>
      </c>
      <c r="E653" t="s">
        <v>52</v>
      </c>
      <c r="F653" t="s">
        <v>21</v>
      </c>
      <c r="G653" t="s">
        <v>32</v>
      </c>
      <c r="H653">
        <v>8959.0499999999993</v>
      </c>
      <c r="I653">
        <v>3</v>
      </c>
      <c r="J653">
        <v>26877.15</v>
      </c>
      <c r="K653">
        <v>3.54</v>
      </c>
    </row>
    <row r="654" spans="1:11" x14ac:dyDescent="0.35">
      <c r="A654" s="1">
        <v>45544</v>
      </c>
      <c r="B654" t="s">
        <v>1497</v>
      </c>
      <c r="C654" t="s">
        <v>51</v>
      </c>
      <c r="D654" t="s">
        <v>30</v>
      </c>
      <c r="E654" t="s">
        <v>52</v>
      </c>
      <c r="F654" t="s">
        <v>45</v>
      </c>
      <c r="G654" t="s">
        <v>27</v>
      </c>
      <c r="H654">
        <v>18680.11</v>
      </c>
      <c r="I654">
        <v>4</v>
      </c>
      <c r="J654">
        <v>74720.44</v>
      </c>
      <c r="K654">
        <v>2.2400000000000002</v>
      </c>
    </row>
    <row r="655" spans="1:11" x14ac:dyDescent="0.35">
      <c r="A655" s="1">
        <v>45546</v>
      </c>
      <c r="B655" t="s">
        <v>419</v>
      </c>
      <c r="C655" t="s">
        <v>29</v>
      </c>
      <c r="D655" t="s">
        <v>30</v>
      </c>
      <c r="E655" t="s">
        <v>31</v>
      </c>
      <c r="F655" t="s">
        <v>45</v>
      </c>
      <c r="G655" t="s">
        <v>22</v>
      </c>
      <c r="H655">
        <v>9015.9699999999993</v>
      </c>
      <c r="I655">
        <v>2</v>
      </c>
      <c r="J655">
        <v>18031.939999999999</v>
      </c>
      <c r="K655">
        <v>1.38</v>
      </c>
    </row>
    <row r="656" spans="1:11" x14ac:dyDescent="0.35">
      <c r="A656" s="1">
        <v>45548</v>
      </c>
      <c r="B656" t="s">
        <v>1630</v>
      </c>
      <c r="C656" t="s">
        <v>29</v>
      </c>
      <c r="D656" t="s">
        <v>30</v>
      </c>
      <c r="E656" t="s">
        <v>31</v>
      </c>
      <c r="F656" t="s">
        <v>15</v>
      </c>
      <c r="G656" t="s">
        <v>27</v>
      </c>
      <c r="H656">
        <v>14199.58</v>
      </c>
      <c r="I656">
        <v>3</v>
      </c>
      <c r="J656">
        <v>42598.74</v>
      </c>
      <c r="K656">
        <v>4.1500000000000004</v>
      </c>
    </row>
    <row r="657" spans="1:11" x14ac:dyDescent="0.35">
      <c r="A657" s="1">
        <v>45551</v>
      </c>
      <c r="B657" t="s">
        <v>423</v>
      </c>
      <c r="C657" t="s">
        <v>29</v>
      </c>
      <c r="D657" t="s">
        <v>30</v>
      </c>
      <c r="E657" t="s">
        <v>31</v>
      </c>
      <c r="F657" t="s">
        <v>15</v>
      </c>
      <c r="G657" t="s">
        <v>60</v>
      </c>
      <c r="H657">
        <v>16654.91</v>
      </c>
      <c r="I657">
        <v>4</v>
      </c>
      <c r="J657">
        <v>66619.64</v>
      </c>
      <c r="K657">
        <v>2.2200000000000002</v>
      </c>
    </row>
    <row r="658" spans="1:11" x14ac:dyDescent="0.35">
      <c r="A658" s="1">
        <v>45551</v>
      </c>
      <c r="B658" t="s">
        <v>815</v>
      </c>
      <c r="C658" t="s">
        <v>51</v>
      </c>
      <c r="D658" t="s">
        <v>30</v>
      </c>
      <c r="E658" t="s">
        <v>52</v>
      </c>
      <c r="F658" t="s">
        <v>21</v>
      </c>
      <c r="G658" t="s">
        <v>22</v>
      </c>
      <c r="H658">
        <v>5381.34</v>
      </c>
      <c r="I658">
        <v>1</v>
      </c>
      <c r="J658">
        <v>5381.34</v>
      </c>
      <c r="K658">
        <v>3.88</v>
      </c>
    </row>
    <row r="659" spans="1:11" x14ac:dyDescent="0.35">
      <c r="A659" s="1">
        <v>45551</v>
      </c>
      <c r="B659" t="s">
        <v>1958</v>
      </c>
      <c r="C659" t="s">
        <v>29</v>
      </c>
      <c r="D659" t="s">
        <v>30</v>
      </c>
      <c r="E659" t="s">
        <v>31</v>
      </c>
      <c r="F659" t="s">
        <v>21</v>
      </c>
      <c r="G659" t="s">
        <v>60</v>
      </c>
      <c r="H659">
        <v>7163.92</v>
      </c>
      <c r="I659">
        <v>4</v>
      </c>
      <c r="J659">
        <v>28655.68</v>
      </c>
      <c r="K659">
        <v>3.22</v>
      </c>
    </row>
    <row r="660" spans="1:11" x14ac:dyDescent="0.35">
      <c r="A660" s="1">
        <v>45552</v>
      </c>
      <c r="B660" t="s">
        <v>1860</v>
      </c>
      <c r="C660" t="s">
        <v>29</v>
      </c>
      <c r="D660" t="s">
        <v>30</v>
      </c>
      <c r="E660" t="s">
        <v>31</v>
      </c>
      <c r="F660" t="s">
        <v>21</v>
      </c>
      <c r="G660" t="s">
        <v>39</v>
      </c>
      <c r="H660">
        <v>19659.63</v>
      </c>
      <c r="I660">
        <v>4</v>
      </c>
      <c r="J660">
        <v>78638.52</v>
      </c>
      <c r="K660">
        <v>1.38</v>
      </c>
    </row>
    <row r="661" spans="1:11" x14ac:dyDescent="0.35">
      <c r="A661" s="1">
        <v>45554</v>
      </c>
      <c r="B661" t="s">
        <v>1528</v>
      </c>
      <c r="C661" t="s">
        <v>29</v>
      </c>
      <c r="D661" t="s">
        <v>30</v>
      </c>
      <c r="E661" t="s">
        <v>31</v>
      </c>
      <c r="F661" t="s">
        <v>21</v>
      </c>
      <c r="G661" t="s">
        <v>39</v>
      </c>
      <c r="H661">
        <v>13867.08</v>
      </c>
      <c r="I661">
        <v>5</v>
      </c>
      <c r="J661">
        <v>69335.399999999994</v>
      </c>
      <c r="K661">
        <v>4.37</v>
      </c>
    </row>
    <row r="662" spans="1:11" x14ac:dyDescent="0.35">
      <c r="A662" s="1">
        <v>45555</v>
      </c>
      <c r="B662" t="s">
        <v>633</v>
      </c>
      <c r="C662" t="s">
        <v>29</v>
      </c>
      <c r="D662" t="s">
        <v>30</v>
      </c>
      <c r="E662" t="s">
        <v>31</v>
      </c>
      <c r="F662" t="s">
        <v>21</v>
      </c>
      <c r="G662" t="s">
        <v>16</v>
      </c>
      <c r="H662">
        <v>12686.17</v>
      </c>
      <c r="I662">
        <v>1</v>
      </c>
      <c r="J662">
        <v>12686.17</v>
      </c>
      <c r="K662">
        <v>2.38</v>
      </c>
    </row>
    <row r="663" spans="1:11" x14ac:dyDescent="0.35">
      <c r="A663" s="1">
        <v>45555</v>
      </c>
      <c r="B663" t="s">
        <v>964</v>
      </c>
      <c r="C663" t="s">
        <v>29</v>
      </c>
      <c r="D663" t="s">
        <v>30</v>
      </c>
      <c r="E663" t="s">
        <v>31</v>
      </c>
      <c r="F663" t="s">
        <v>45</v>
      </c>
      <c r="G663" t="s">
        <v>27</v>
      </c>
      <c r="H663">
        <v>293.19</v>
      </c>
      <c r="I663">
        <v>1</v>
      </c>
      <c r="J663">
        <v>293.19</v>
      </c>
      <c r="K663">
        <v>2.74</v>
      </c>
    </row>
    <row r="664" spans="1:11" x14ac:dyDescent="0.35">
      <c r="A664" s="1">
        <v>45555</v>
      </c>
      <c r="B664" t="s">
        <v>1445</v>
      </c>
      <c r="C664" t="s">
        <v>29</v>
      </c>
      <c r="D664" t="s">
        <v>30</v>
      </c>
      <c r="E664" t="s">
        <v>31</v>
      </c>
      <c r="F664" t="s">
        <v>21</v>
      </c>
      <c r="G664" t="s">
        <v>39</v>
      </c>
      <c r="H664">
        <v>16444.939999999999</v>
      </c>
      <c r="I664">
        <v>1</v>
      </c>
      <c r="J664">
        <v>16444.939999999999</v>
      </c>
      <c r="K664">
        <v>4.51</v>
      </c>
    </row>
    <row r="665" spans="1:11" x14ac:dyDescent="0.35">
      <c r="A665" s="1">
        <v>45556</v>
      </c>
      <c r="B665" t="s">
        <v>1418</v>
      </c>
      <c r="C665" t="s">
        <v>29</v>
      </c>
      <c r="D665" t="s">
        <v>30</v>
      </c>
      <c r="E665" t="s">
        <v>31</v>
      </c>
      <c r="F665" t="s">
        <v>15</v>
      </c>
      <c r="G665" t="s">
        <v>60</v>
      </c>
      <c r="H665">
        <v>10976.56</v>
      </c>
      <c r="I665">
        <v>2</v>
      </c>
      <c r="J665">
        <v>21953.119999999999</v>
      </c>
      <c r="K665">
        <v>4.03</v>
      </c>
    </row>
    <row r="666" spans="1:11" x14ac:dyDescent="0.35">
      <c r="A666" s="1">
        <v>45557</v>
      </c>
      <c r="B666" t="s">
        <v>777</v>
      </c>
      <c r="C666" t="s">
        <v>51</v>
      </c>
      <c r="D666" t="s">
        <v>30</v>
      </c>
      <c r="E666" t="s">
        <v>52</v>
      </c>
      <c r="F666" t="s">
        <v>15</v>
      </c>
      <c r="G666" t="s">
        <v>60</v>
      </c>
      <c r="H666">
        <v>11829.33</v>
      </c>
      <c r="I666">
        <v>5</v>
      </c>
      <c r="J666">
        <v>59146.65</v>
      </c>
      <c r="K666">
        <v>1.53</v>
      </c>
    </row>
    <row r="667" spans="1:11" x14ac:dyDescent="0.35">
      <c r="A667" s="1">
        <v>45558</v>
      </c>
      <c r="B667" t="s">
        <v>476</v>
      </c>
      <c r="C667" t="s">
        <v>51</v>
      </c>
      <c r="D667" t="s">
        <v>30</v>
      </c>
      <c r="E667" t="s">
        <v>52</v>
      </c>
      <c r="F667" t="s">
        <v>45</v>
      </c>
      <c r="G667" t="s">
        <v>39</v>
      </c>
      <c r="H667">
        <v>17698.919999999998</v>
      </c>
      <c r="I667">
        <v>3</v>
      </c>
      <c r="J667">
        <v>53096.76</v>
      </c>
      <c r="K667">
        <v>4.82</v>
      </c>
    </row>
    <row r="668" spans="1:11" x14ac:dyDescent="0.35">
      <c r="A668" s="1">
        <v>45559</v>
      </c>
      <c r="B668" t="s">
        <v>843</v>
      </c>
      <c r="C668" t="s">
        <v>51</v>
      </c>
      <c r="D668" t="s">
        <v>30</v>
      </c>
      <c r="E668" t="s">
        <v>52</v>
      </c>
      <c r="F668" t="s">
        <v>45</v>
      </c>
      <c r="G668" t="s">
        <v>16</v>
      </c>
      <c r="H668">
        <v>2332.81</v>
      </c>
      <c r="I668">
        <v>3</v>
      </c>
      <c r="J668">
        <v>6998.43</v>
      </c>
      <c r="K668">
        <v>4.67</v>
      </c>
    </row>
    <row r="669" spans="1:11" x14ac:dyDescent="0.35">
      <c r="A669" s="1">
        <v>45559</v>
      </c>
      <c r="B669" t="s">
        <v>1069</v>
      </c>
      <c r="C669" t="s">
        <v>51</v>
      </c>
      <c r="D669" t="s">
        <v>30</v>
      </c>
      <c r="E669" t="s">
        <v>52</v>
      </c>
      <c r="F669" t="s">
        <v>21</v>
      </c>
      <c r="G669" t="s">
        <v>32</v>
      </c>
      <c r="H669">
        <v>19592.89</v>
      </c>
      <c r="I669">
        <v>3</v>
      </c>
      <c r="J669">
        <v>58778.67</v>
      </c>
      <c r="K669">
        <v>1.88</v>
      </c>
    </row>
    <row r="670" spans="1:11" x14ac:dyDescent="0.35">
      <c r="A670" s="1">
        <v>45560</v>
      </c>
      <c r="B670" t="s">
        <v>361</v>
      </c>
      <c r="C670" t="s">
        <v>29</v>
      </c>
      <c r="D670" t="s">
        <v>30</v>
      </c>
      <c r="E670" t="s">
        <v>31</v>
      </c>
      <c r="F670" t="s">
        <v>21</v>
      </c>
      <c r="G670" t="s">
        <v>60</v>
      </c>
      <c r="H670">
        <v>19158.310000000001</v>
      </c>
      <c r="I670">
        <v>1</v>
      </c>
      <c r="J670">
        <v>19158.310000000001</v>
      </c>
      <c r="K670">
        <v>2.4300000000000002</v>
      </c>
    </row>
    <row r="671" spans="1:11" x14ac:dyDescent="0.35">
      <c r="A671" s="1">
        <v>45562</v>
      </c>
      <c r="B671" t="s">
        <v>867</v>
      </c>
      <c r="C671" t="s">
        <v>51</v>
      </c>
      <c r="D671" t="s">
        <v>30</v>
      </c>
      <c r="E671" t="s">
        <v>52</v>
      </c>
      <c r="F671" t="s">
        <v>45</v>
      </c>
      <c r="G671" t="s">
        <v>27</v>
      </c>
      <c r="H671">
        <v>19708.47</v>
      </c>
      <c r="I671">
        <v>4</v>
      </c>
      <c r="J671">
        <v>78833.88</v>
      </c>
      <c r="K671">
        <v>1.96</v>
      </c>
    </row>
    <row r="672" spans="1:11" x14ac:dyDescent="0.35">
      <c r="A672" s="1">
        <v>45562</v>
      </c>
      <c r="B672" t="s">
        <v>1015</v>
      </c>
      <c r="C672" t="s">
        <v>29</v>
      </c>
      <c r="D672" t="s">
        <v>30</v>
      </c>
      <c r="E672" t="s">
        <v>31</v>
      </c>
      <c r="F672" t="s">
        <v>15</v>
      </c>
      <c r="G672" t="s">
        <v>27</v>
      </c>
      <c r="H672">
        <v>16339.46</v>
      </c>
      <c r="I672">
        <v>1</v>
      </c>
      <c r="J672">
        <v>16339.46</v>
      </c>
      <c r="K672">
        <v>4.74</v>
      </c>
    </row>
    <row r="673" spans="1:11" x14ac:dyDescent="0.35">
      <c r="A673" s="1">
        <v>45562</v>
      </c>
      <c r="B673" t="s">
        <v>1187</v>
      </c>
      <c r="C673" t="s">
        <v>29</v>
      </c>
      <c r="D673" t="s">
        <v>30</v>
      </c>
      <c r="E673" t="s">
        <v>31</v>
      </c>
      <c r="F673" t="s">
        <v>21</v>
      </c>
      <c r="G673" t="s">
        <v>60</v>
      </c>
      <c r="H673">
        <v>18169.71</v>
      </c>
      <c r="I673">
        <v>2</v>
      </c>
      <c r="J673">
        <v>36339.42</v>
      </c>
      <c r="K673">
        <v>1.29</v>
      </c>
    </row>
    <row r="674" spans="1:11" x14ac:dyDescent="0.35">
      <c r="A674" s="1">
        <v>45564</v>
      </c>
      <c r="B674" t="s">
        <v>2029</v>
      </c>
      <c r="C674" t="s">
        <v>51</v>
      </c>
      <c r="D674" t="s">
        <v>30</v>
      </c>
      <c r="E674" t="s">
        <v>52</v>
      </c>
      <c r="F674" t="s">
        <v>15</v>
      </c>
      <c r="G674" t="s">
        <v>27</v>
      </c>
      <c r="H674">
        <v>17321.560000000001</v>
      </c>
      <c r="I674">
        <v>4</v>
      </c>
      <c r="J674">
        <v>69286.240000000005</v>
      </c>
      <c r="K674">
        <v>3.15</v>
      </c>
    </row>
    <row r="675" spans="1:11" x14ac:dyDescent="0.35">
      <c r="A675" s="1">
        <v>45568</v>
      </c>
      <c r="B675" t="s">
        <v>194</v>
      </c>
      <c r="C675" t="s">
        <v>29</v>
      </c>
      <c r="D675" t="s">
        <v>30</v>
      </c>
      <c r="E675" t="s">
        <v>31</v>
      </c>
      <c r="F675" t="s">
        <v>15</v>
      </c>
      <c r="G675" t="s">
        <v>27</v>
      </c>
      <c r="H675">
        <v>19703.54</v>
      </c>
      <c r="I675">
        <v>4</v>
      </c>
      <c r="J675">
        <v>78814.16</v>
      </c>
      <c r="K675">
        <v>3.27</v>
      </c>
    </row>
    <row r="676" spans="1:11" x14ac:dyDescent="0.35">
      <c r="A676" s="1">
        <v>45568</v>
      </c>
      <c r="B676" t="s">
        <v>518</v>
      </c>
      <c r="C676" t="s">
        <v>51</v>
      </c>
      <c r="D676" t="s">
        <v>30</v>
      </c>
      <c r="E676" t="s">
        <v>52</v>
      </c>
      <c r="F676" t="s">
        <v>45</v>
      </c>
      <c r="G676" t="s">
        <v>60</v>
      </c>
      <c r="H676">
        <v>11279.42</v>
      </c>
      <c r="I676">
        <v>5</v>
      </c>
      <c r="J676">
        <v>56397.1</v>
      </c>
      <c r="K676">
        <v>3.91</v>
      </c>
    </row>
    <row r="677" spans="1:11" x14ac:dyDescent="0.35">
      <c r="A677" s="1">
        <v>45569</v>
      </c>
      <c r="B677" t="s">
        <v>1019</v>
      </c>
      <c r="C677" t="s">
        <v>29</v>
      </c>
      <c r="D677" t="s">
        <v>30</v>
      </c>
      <c r="E677" t="s">
        <v>31</v>
      </c>
      <c r="F677" t="s">
        <v>45</v>
      </c>
      <c r="G677" t="s">
        <v>27</v>
      </c>
      <c r="H677">
        <v>10785.89</v>
      </c>
      <c r="I677">
        <v>3</v>
      </c>
      <c r="J677">
        <v>32357.67</v>
      </c>
      <c r="K677">
        <v>2.5</v>
      </c>
    </row>
    <row r="678" spans="1:11" x14ac:dyDescent="0.35">
      <c r="A678" s="1">
        <v>45569</v>
      </c>
      <c r="B678" t="s">
        <v>1056</v>
      </c>
      <c r="C678" t="s">
        <v>51</v>
      </c>
      <c r="D678" t="s">
        <v>30</v>
      </c>
      <c r="E678" t="s">
        <v>52</v>
      </c>
      <c r="F678" t="s">
        <v>15</v>
      </c>
      <c r="G678" t="s">
        <v>32</v>
      </c>
      <c r="H678">
        <v>2605.1</v>
      </c>
      <c r="I678">
        <v>4</v>
      </c>
      <c r="J678">
        <v>10420.4</v>
      </c>
      <c r="K678">
        <v>1.21</v>
      </c>
    </row>
    <row r="679" spans="1:11" x14ac:dyDescent="0.35">
      <c r="A679" s="1">
        <v>45571</v>
      </c>
      <c r="B679" t="s">
        <v>153</v>
      </c>
      <c r="C679" t="s">
        <v>29</v>
      </c>
      <c r="D679" t="s">
        <v>30</v>
      </c>
      <c r="E679" t="s">
        <v>31</v>
      </c>
      <c r="F679" t="s">
        <v>15</v>
      </c>
      <c r="G679" t="s">
        <v>60</v>
      </c>
      <c r="H679">
        <v>7572.32</v>
      </c>
      <c r="I679">
        <v>3</v>
      </c>
      <c r="J679">
        <v>22716.959999999999</v>
      </c>
      <c r="K679">
        <v>3.62</v>
      </c>
    </row>
    <row r="680" spans="1:11" x14ac:dyDescent="0.35">
      <c r="A680" s="1">
        <v>45573</v>
      </c>
      <c r="B680" t="s">
        <v>359</v>
      </c>
      <c r="C680" t="s">
        <v>29</v>
      </c>
      <c r="D680" t="s">
        <v>30</v>
      </c>
      <c r="E680" t="s">
        <v>31</v>
      </c>
      <c r="F680" t="s">
        <v>21</v>
      </c>
      <c r="G680" t="s">
        <v>60</v>
      </c>
      <c r="H680">
        <v>10150.9</v>
      </c>
      <c r="I680">
        <v>2</v>
      </c>
      <c r="J680">
        <v>20301.8</v>
      </c>
      <c r="K680">
        <v>4.45</v>
      </c>
    </row>
    <row r="681" spans="1:11" x14ac:dyDescent="0.35">
      <c r="A681" s="1">
        <v>45573</v>
      </c>
      <c r="B681" t="s">
        <v>374</v>
      </c>
      <c r="C681" t="s">
        <v>29</v>
      </c>
      <c r="D681" t="s">
        <v>30</v>
      </c>
      <c r="E681" t="s">
        <v>31</v>
      </c>
      <c r="F681" t="s">
        <v>15</v>
      </c>
      <c r="G681" t="s">
        <v>32</v>
      </c>
      <c r="H681">
        <v>19376.72</v>
      </c>
      <c r="I681">
        <v>4</v>
      </c>
      <c r="J681">
        <v>77506.880000000005</v>
      </c>
      <c r="K681">
        <v>3.81</v>
      </c>
    </row>
    <row r="682" spans="1:11" x14ac:dyDescent="0.35">
      <c r="A682" s="1">
        <v>45573</v>
      </c>
      <c r="B682" t="s">
        <v>1502</v>
      </c>
      <c r="C682" t="s">
        <v>29</v>
      </c>
      <c r="D682" t="s">
        <v>30</v>
      </c>
      <c r="E682" t="s">
        <v>31</v>
      </c>
      <c r="F682" t="s">
        <v>45</v>
      </c>
      <c r="G682" t="s">
        <v>32</v>
      </c>
      <c r="H682">
        <v>5573.82</v>
      </c>
      <c r="I682">
        <v>3</v>
      </c>
      <c r="J682">
        <v>16721.46</v>
      </c>
      <c r="K682">
        <v>4.96</v>
      </c>
    </row>
    <row r="683" spans="1:11" x14ac:dyDescent="0.35">
      <c r="A683" s="1">
        <v>45573</v>
      </c>
      <c r="B683" t="s">
        <v>1627</v>
      </c>
      <c r="C683" t="s">
        <v>51</v>
      </c>
      <c r="D683" t="s">
        <v>30</v>
      </c>
      <c r="E683" t="s">
        <v>52</v>
      </c>
      <c r="F683" t="s">
        <v>21</v>
      </c>
      <c r="G683" t="s">
        <v>27</v>
      </c>
      <c r="H683">
        <v>7027.26</v>
      </c>
      <c r="I683">
        <v>2</v>
      </c>
      <c r="J683">
        <v>14054.52</v>
      </c>
      <c r="K683">
        <v>2.16</v>
      </c>
    </row>
    <row r="684" spans="1:11" x14ac:dyDescent="0.35">
      <c r="A684" s="1">
        <v>45573</v>
      </c>
      <c r="B684" t="s">
        <v>1994</v>
      </c>
      <c r="C684" t="s">
        <v>29</v>
      </c>
      <c r="D684" t="s">
        <v>30</v>
      </c>
      <c r="E684" t="s">
        <v>31</v>
      </c>
      <c r="F684" t="s">
        <v>15</v>
      </c>
      <c r="G684" t="s">
        <v>60</v>
      </c>
      <c r="H684">
        <v>18445.43</v>
      </c>
      <c r="I684">
        <v>5</v>
      </c>
      <c r="J684">
        <v>92227.15</v>
      </c>
      <c r="K684">
        <v>4.2</v>
      </c>
    </row>
    <row r="685" spans="1:11" x14ac:dyDescent="0.35">
      <c r="A685" s="1">
        <v>45574</v>
      </c>
      <c r="B685" t="s">
        <v>1025</v>
      </c>
      <c r="C685" t="s">
        <v>51</v>
      </c>
      <c r="D685" t="s">
        <v>30</v>
      </c>
      <c r="E685" t="s">
        <v>52</v>
      </c>
      <c r="F685" t="s">
        <v>15</v>
      </c>
      <c r="G685" t="s">
        <v>22</v>
      </c>
      <c r="H685">
        <v>2447.92</v>
      </c>
      <c r="I685">
        <v>2</v>
      </c>
      <c r="J685">
        <v>4895.84</v>
      </c>
      <c r="K685">
        <v>2.0299999999999998</v>
      </c>
    </row>
    <row r="686" spans="1:11" x14ac:dyDescent="0.35">
      <c r="A686" s="1">
        <v>45575</v>
      </c>
      <c r="B686" t="s">
        <v>557</v>
      </c>
      <c r="C686" t="s">
        <v>29</v>
      </c>
      <c r="D686" t="s">
        <v>30</v>
      </c>
      <c r="E686" t="s">
        <v>31</v>
      </c>
      <c r="F686" t="s">
        <v>15</v>
      </c>
      <c r="G686" t="s">
        <v>32</v>
      </c>
      <c r="H686">
        <v>979.15</v>
      </c>
      <c r="I686">
        <v>4</v>
      </c>
      <c r="J686">
        <v>3916.6</v>
      </c>
      <c r="K686">
        <v>1.38</v>
      </c>
    </row>
    <row r="687" spans="1:11" x14ac:dyDescent="0.35">
      <c r="A687" s="1">
        <v>45578</v>
      </c>
      <c r="B687" t="s">
        <v>1482</v>
      </c>
      <c r="C687" t="s">
        <v>29</v>
      </c>
      <c r="D687" t="s">
        <v>30</v>
      </c>
      <c r="E687" t="s">
        <v>31</v>
      </c>
      <c r="F687" t="s">
        <v>21</v>
      </c>
      <c r="G687" t="s">
        <v>27</v>
      </c>
      <c r="H687">
        <v>1549.09</v>
      </c>
      <c r="I687">
        <v>4</v>
      </c>
      <c r="J687">
        <v>6196.36</v>
      </c>
      <c r="K687">
        <v>4.9000000000000004</v>
      </c>
    </row>
    <row r="688" spans="1:11" x14ac:dyDescent="0.35">
      <c r="A688" s="1">
        <v>45579</v>
      </c>
      <c r="B688" t="s">
        <v>277</v>
      </c>
      <c r="C688" t="s">
        <v>51</v>
      </c>
      <c r="D688" t="s">
        <v>30</v>
      </c>
      <c r="E688" t="s">
        <v>52</v>
      </c>
      <c r="F688" t="s">
        <v>21</v>
      </c>
      <c r="G688" t="s">
        <v>39</v>
      </c>
      <c r="H688">
        <v>16348.42</v>
      </c>
      <c r="I688">
        <v>4</v>
      </c>
      <c r="J688">
        <v>65393.68</v>
      </c>
      <c r="K688">
        <v>3.96</v>
      </c>
    </row>
    <row r="689" spans="1:11" x14ac:dyDescent="0.35">
      <c r="A689" s="1">
        <v>45579</v>
      </c>
      <c r="B689" t="s">
        <v>1510</v>
      </c>
      <c r="C689" t="s">
        <v>29</v>
      </c>
      <c r="D689" t="s">
        <v>30</v>
      </c>
      <c r="E689" t="s">
        <v>31</v>
      </c>
      <c r="F689" t="s">
        <v>45</v>
      </c>
      <c r="G689" t="s">
        <v>22</v>
      </c>
      <c r="H689">
        <v>18642.78</v>
      </c>
      <c r="I689">
        <v>5</v>
      </c>
      <c r="J689">
        <v>93213.9</v>
      </c>
      <c r="K689">
        <v>3.85</v>
      </c>
    </row>
    <row r="690" spans="1:11" x14ac:dyDescent="0.35">
      <c r="A690" s="1">
        <v>45580</v>
      </c>
      <c r="B690" t="s">
        <v>331</v>
      </c>
      <c r="C690" t="s">
        <v>29</v>
      </c>
      <c r="D690" t="s">
        <v>30</v>
      </c>
      <c r="E690" t="s">
        <v>31</v>
      </c>
      <c r="F690" t="s">
        <v>45</v>
      </c>
      <c r="G690" t="s">
        <v>16</v>
      </c>
      <c r="H690">
        <v>3819.06</v>
      </c>
      <c r="I690">
        <v>4</v>
      </c>
      <c r="J690">
        <v>15276.24</v>
      </c>
      <c r="K690">
        <v>4.41</v>
      </c>
    </row>
    <row r="691" spans="1:11" x14ac:dyDescent="0.35">
      <c r="A691" s="1">
        <v>45581</v>
      </c>
      <c r="B691" t="s">
        <v>462</v>
      </c>
      <c r="C691" t="s">
        <v>29</v>
      </c>
      <c r="D691" t="s">
        <v>30</v>
      </c>
      <c r="E691" t="s">
        <v>31</v>
      </c>
      <c r="F691" t="s">
        <v>15</v>
      </c>
      <c r="G691" t="s">
        <v>22</v>
      </c>
      <c r="H691">
        <v>13461.35</v>
      </c>
      <c r="I691">
        <v>4</v>
      </c>
      <c r="J691">
        <v>53845.4</v>
      </c>
      <c r="K691">
        <v>4.72</v>
      </c>
    </row>
    <row r="692" spans="1:11" x14ac:dyDescent="0.35">
      <c r="A692" s="1">
        <v>45582</v>
      </c>
      <c r="B692" t="s">
        <v>312</v>
      </c>
      <c r="C692" t="s">
        <v>51</v>
      </c>
      <c r="D692" t="s">
        <v>30</v>
      </c>
      <c r="E692" t="s">
        <v>52</v>
      </c>
      <c r="F692" t="s">
        <v>15</v>
      </c>
      <c r="G692" t="s">
        <v>60</v>
      </c>
      <c r="H692">
        <v>7238.02</v>
      </c>
      <c r="I692">
        <v>4</v>
      </c>
      <c r="J692">
        <v>28952.080000000002</v>
      </c>
      <c r="K692">
        <v>2.56</v>
      </c>
    </row>
    <row r="693" spans="1:11" x14ac:dyDescent="0.35">
      <c r="A693" s="1">
        <v>45583</v>
      </c>
      <c r="B693" t="s">
        <v>175</v>
      </c>
      <c r="C693" t="s">
        <v>29</v>
      </c>
      <c r="D693" t="s">
        <v>30</v>
      </c>
      <c r="E693" t="s">
        <v>31</v>
      </c>
      <c r="F693" t="s">
        <v>15</v>
      </c>
      <c r="G693" t="s">
        <v>60</v>
      </c>
      <c r="H693">
        <v>15054.63</v>
      </c>
      <c r="I693">
        <v>1</v>
      </c>
      <c r="J693">
        <v>15054.63</v>
      </c>
      <c r="K693">
        <v>2.29</v>
      </c>
    </row>
    <row r="694" spans="1:11" x14ac:dyDescent="0.35">
      <c r="A694" s="1">
        <v>45584</v>
      </c>
      <c r="B694" t="s">
        <v>641</v>
      </c>
      <c r="C694" t="s">
        <v>29</v>
      </c>
      <c r="D694" t="s">
        <v>30</v>
      </c>
      <c r="E694" t="s">
        <v>31</v>
      </c>
      <c r="F694" t="s">
        <v>21</v>
      </c>
      <c r="G694" t="s">
        <v>32</v>
      </c>
      <c r="H694">
        <v>6989.41</v>
      </c>
      <c r="I694">
        <v>2</v>
      </c>
      <c r="J694">
        <v>13978.82</v>
      </c>
      <c r="K694">
        <v>3.66</v>
      </c>
    </row>
    <row r="695" spans="1:11" x14ac:dyDescent="0.35">
      <c r="A695" s="1">
        <v>45584</v>
      </c>
      <c r="B695" t="s">
        <v>1197</v>
      </c>
      <c r="C695" t="s">
        <v>29</v>
      </c>
      <c r="D695" t="s">
        <v>30</v>
      </c>
      <c r="E695" t="s">
        <v>31</v>
      </c>
      <c r="F695" t="s">
        <v>45</v>
      </c>
      <c r="G695" t="s">
        <v>16</v>
      </c>
      <c r="H695">
        <v>698.91</v>
      </c>
      <c r="I695">
        <v>3</v>
      </c>
      <c r="J695">
        <v>2096.73</v>
      </c>
      <c r="K695">
        <v>3.44</v>
      </c>
    </row>
    <row r="696" spans="1:11" x14ac:dyDescent="0.35">
      <c r="A696" s="1">
        <v>45585</v>
      </c>
      <c r="B696" t="s">
        <v>1131</v>
      </c>
      <c r="C696" t="s">
        <v>29</v>
      </c>
      <c r="D696" t="s">
        <v>30</v>
      </c>
      <c r="E696" t="s">
        <v>31</v>
      </c>
      <c r="F696" t="s">
        <v>15</v>
      </c>
      <c r="G696" t="s">
        <v>60</v>
      </c>
      <c r="H696">
        <v>6663.18</v>
      </c>
      <c r="I696">
        <v>3</v>
      </c>
      <c r="J696">
        <v>19989.54</v>
      </c>
      <c r="K696">
        <v>1.58</v>
      </c>
    </row>
    <row r="697" spans="1:11" x14ac:dyDescent="0.35">
      <c r="A697" s="1">
        <v>45585</v>
      </c>
      <c r="B697" t="s">
        <v>1267</v>
      </c>
      <c r="C697" t="s">
        <v>51</v>
      </c>
      <c r="D697" t="s">
        <v>30</v>
      </c>
      <c r="E697" t="s">
        <v>52</v>
      </c>
      <c r="F697" t="s">
        <v>15</v>
      </c>
      <c r="G697" t="s">
        <v>60</v>
      </c>
      <c r="H697">
        <v>10914.14</v>
      </c>
      <c r="I697">
        <v>1</v>
      </c>
      <c r="J697">
        <v>10914.14</v>
      </c>
      <c r="K697">
        <v>2.89</v>
      </c>
    </row>
    <row r="698" spans="1:11" x14ac:dyDescent="0.35">
      <c r="A698" s="1">
        <v>45586</v>
      </c>
      <c r="B698" t="s">
        <v>928</v>
      </c>
      <c r="C698" t="s">
        <v>29</v>
      </c>
      <c r="D698" t="s">
        <v>30</v>
      </c>
      <c r="E698" t="s">
        <v>31</v>
      </c>
      <c r="F698" t="s">
        <v>45</v>
      </c>
      <c r="G698" t="s">
        <v>60</v>
      </c>
      <c r="H698">
        <v>4283.2299999999996</v>
      </c>
      <c r="I698">
        <v>1</v>
      </c>
      <c r="J698">
        <v>4283.2299999999996</v>
      </c>
      <c r="K698">
        <v>4.72</v>
      </c>
    </row>
    <row r="699" spans="1:11" x14ac:dyDescent="0.35">
      <c r="A699" s="1">
        <v>45586</v>
      </c>
      <c r="B699" t="s">
        <v>977</v>
      </c>
      <c r="C699" t="s">
        <v>29</v>
      </c>
      <c r="D699" t="s">
        <v>30</v>
      </c>
      <c r="E699" t="s">
        <v>31</v>
      </c>
      <c r="F699" t="s">
        <v>21</v>
      </c>
      <c r="G699" t="s">
        <v>22</v>
      </c>
      <c r="H699">
        <v>18579.560000000001</v>
      </c>
      <c r="I699">
        <v>2</v>
      </c>
      <c r="J699">
        <v>37159.120000000003</v>
      </c>
      <c r="K699">
        <v>4.97</v>
      </c>
    </row>
    <row r="700" spans="1:11" x14ac:dyDescent="0.35">
      <c r="A700" s="1">
        <v>45586</v>
      </c>
      <c r="B700" t="s">
        <v>1525</v>
      </c>
      <c r="C700" t="s">
        <v>51</v>
      </c>
      <c r="D700" t="s">
        <v>30</v>
      </c>
      <c r="E700" t="s">
        <v>52</v>
      </c>
      <c r="F700" t="s">
        <v>45</v>
      </c>
      <c r="G700" t="s">
        <v>22</v>
      </c>
      <c r="H700">
        <v>18262.38</v>
      </c>
      <c r="I700">
        <v>4</v>
      </c>
      <c r="J700">
        <v>73049.52</v>
      </c>
      <c r="K700">
        <v>3.91</v>
      </c>
    </row>
    <row r="701" spans="1:11" x14ac:dyDescent="0.35">
      <c r="A701" s="1">
        <v>45590</v>
      </c>
      <c r="B701" t="s">
        <v>1372</v>
      </c>
      <c r="C701" t="s">
        <v>51</v>
      </c>
      <c r="D701" t="s">
        <v>30</v>
      </c>
      <c r="E701" t="s">
        <v>52</v>
      </c>
      <c r="F701" t="s">
        <v>15</v>
      </c>
      <c r="G701" t="s">
        <v>16</v>
      </c>
      <c r="H701">
        <v>8187.77</v>
      </c>
      <c r="I701">
        <v>3</v>
      </c>
      <c r="J701">
        <v>24563.31</v>
      </c>
      <c r="K701">
        <v>2.27</v>
      </c>
    </row>
    <row r="702" spans="1:11" x14ac:dyDescent="0.35">
      <c r="A702" s="1">
        <v>45591</v>
      </c>
      <c r="B702" t="s">
        <v>328</v>
      </c>
      <c r="C702" t="s">
        <v>29</v>
      </c>
      <c r="D702" t="s">
        <v>30</v>
      </c>
      <c r="E702" t="s">
        <v>31</v>
      </c>
      <c r="F702" t="s">
        <v>21</v>
      </c>
      <c r="G702" t="s">
        <v>39</v>
      </c>
      <c r="H702">
        <v>3214.88</v>
      </c>
      <c r="I702">
        <v>1</v>
      </c>
      <c r="J702">
        <v>3214.88</v>
      </c>
      <c r="K702">
        <v>1.41</v>
      </c>
    </row>
    <row r="703" spans="1:11" x14ac:dyDescent="0.35">
      <c r="A703" s="1">
        <v>45591</v>
      </c>
      <c r="B703" t="s">
        <v>1066</v>
      </c>
      <c r="C703" t="s">
        <v>51</v>
      </c>
      <c r="D703" t="s">
        <v>30</v>
      </c>
      <c r="E703" t="s">
        <v>52</v>
      </c>
      <c r="F703" t="s">
        <v>45</v>
      </c>
      <c r="G703" t="s">
        <v>32</v>
      </c>
      <c r="H703">
        <v>15500.27</v>
      </c>
      <c r="I703">
        <v>3</v>
      </c>
      <c r="J703">
        <v>46500.81</v>
      </c>
      <c r="K703">
        <v>1.1599999999999999</v>
      </c>
    </row>
    <row r="704" spans="1:11" x14ac:dyDescent="0.35">
      <c r="A704" s="1">
        <v>45594</v>
      </c>
      <c r="B704" t="s">
        <v>1864</v>
      </c>
      <c r="C704" t="s">
        <v>51</v>
      </c>
      <c r="D704" t="s">
        <v>30</v>
      </c>
      <c r="E704" t="s">
        <v>52</v>
      </c>
      <c r="F704" t="s">
        <v>21</v>
      </c>
      <c r="G704" t="s">
        <v>39</v>
      </c>
      <c r="H704">
        <v>3365.43</v>
      </c>
      <c r="I704">
        <v>5</v>
      </c>
      <c r="J704">
        <v>16827.150000000001</v>
      </c>
      <c r="K704">
        <v>2.54</v>
      </c>
    </row>
    <row r="705" spans="1:11" x14ac:dyDescent="0.35">
      <c r="A705" s="1">
        <v>45595</v>
      </c>
      <c r="B705" t="s">
        <v>1561</v>
      </c>
      <c r="C705" t="s">
        <v>29</v>
      </c>
      <c r="D705" t="s">
        <v>30</v>
      </c>
      <c r="E705" t="s">
        <v>31</v>
      </c>
      <c r="F705" t="s">
        <v>15</v>
      </c>
      <c r="G705" t="s">
        <v>32</v>
      </c>
      <c r="H705">
        <v>8175.13</v>
      </c>
      <c r="I705">
        <v>3</v>
      </c>
      <c r="J705">
        <v>24525.39</v>
      </c>
      <c r="K705">
        <v>4.72</v>
      </c>
    </row>
    <row r="706" spans="1:11" x14ac:dyDescent="0.35">
      <c r="A706" s="1">
        <v>45596</v>
      </c>
      <c r="B706" t="s">
        <v>391</v>
      </c>
      <c r="C706" t="s">
        <v>29</v>
      </c>
      <c r="D706" t="s">
        <v>30</v>
      </c>
      <c r="E706" t="s">
        <v>31</v>
      </c>
      <c r="F706" t="s">
        <v>21</v>
      </c>
      <c r="G706" t="s">
        <v>39</v>
      </c>
      <c r="H706">
        <v>6050.3</v>
      </c>
      <c r="I706">
        <v>4</v>
      </c>
      <c r="J706">
        <v>24201.200000000001</v>
      </c>
      <c r="K706">
        <v>4.3899999999999997</v>
      </c>
    </row>
    <row r="707" spans="1:11" x14ac:dyDescent="0.35">
      <c r="A707" s="1">
        <v>45596</v>
      </c>
      <c r="B707" t="s">
        <v>1660</v>
      </c>
      <c r="C707" t="s">
        <v>51</v>
      </c>
      <c r="D707" t="s">
        <v>30</v>
      </c>
      <c r="E707" t="s">
        <v>52</v>
      </c>
      <c r="F707" t="s">
        <v>45</v>
      </c>
      <c r="G707" t="s">
        <v>39</v>
      </c>
      <c r="H707">
        <v>3671.05</v>
      </c>
      <c r="I707">
        <v>3</v>
      </c>
      <c r="J707">
        <v>11013.15</v>
      </c>
      <c r="K707">
        <v>1.75</v>
      </c>
    </row>
    <row r="708" spans="1:11" x14ac:dyDescent="0.35">
      <c r="A708" s="1">
        <v>45599</v>
      </c>
      <c r="B708" t="s">
        <v>1149</v>
      </c>
      <c r="C708" t="s">
        <v>51</v>
      </c>
      <c r="D708" t="s">
        <v>30</v>
      </c>
      <c r="E708" t="s">
        <v>52</v>
      </c>
      <c r="F708" t="s">
        <v>15</v>
      </c>
      <c r="G708" t="s">
        <v>39</v>
      </c>
      <c r="H708">
        <v>5385.51</v>
      </c>
      <c r="I708">
        <v>1</v>
      </c>
      <c r="J708">
        <v>5385.51</v>
      </c>
      <c r="K708">
        <v>4.96</v>
      </c>
    </row>
    <row r="709" spans="1:11" x14ac:dyDescent="0.35">
      <c r="A709" s="1">
        <v>45603</v>
      </c>
      <c r="B709" t="s">
        <v>1399</v>
      </c>
      <c r="C709" t="s">
        <v>29</v>
      </c>
      <c r="D709" t="s">
        <v>30</v>
      </c>
      <c r="E709" t="s">
        <v>31</v>
      </c>
      <c r="F709" t="s">
        <v>21</v>
      </c>
      <c r="G709" t="s">
        <v>22</v>
      </c>
      <c r="H709">
        <v>19398.03</v>
      </c>
      <c r="I709">
        <v>5</v>
      </c>
      <c r="J709">
        <v>96990.15</v>
      </c>
      <c r="K709">
        <v>2.25</v>
      </c>
    </row>
    <row r="710" spans="1:11" x14ac:dyDescent="0.35">
      <c r="A710" s="1">
        <v>45607</v>
      </c>
      <c r="B710" t="s">
        <v>783</v>
      </c>
      <c r="C710" t="s">
        <v>51</v>
      </c>
      <c r="D710" t="s">
        <v>30</v>
      </c>
      <c r="E710" t="s">
        <v>52</v>
      </c>
      <c r="F710" t="s">
        <v>21</v>
      </c>
      <c r="G710" t="s">
        <v>27</v>
      </c>
      <c r="H710">
        <v>3950.83</v>
      </c>
      <c r="I710">
        <v>1</v>
      </c>
      <c r="J710">
        <v>3950.83</v>
      </c>
      <c r="K710">
        <v>4.63</v>
      </c>
    </row>
    <row r="711" spans="1:11" x14ac:dyDescent="0.35">
      <c r="A711" s="1">
        <v>45607</v>
      </c>
      <c r="B711" t="s">
        <v>1125</v>
      </c>
      <c r="C711" t="s">
        <v>51</v>
      </c>
      <c r="D711" t="s">
        <v>30</v>
      </c>
      <c r="E711" t="s">
        <v>52</v>
      </c>
      <c r="F711" t="s">
        <v>15</v>
      </c>
      <c r="G711" t="s">
        <v>27</v>
      </c>
      <c r="H711">
        <v>19270.5</v>
      </c>
      <c r="I711">
        <v>1</v>
      </c>
      <c r="J711">
        <v>19270.5</v>
      </c>
      <c r="K711">
        <v>3.41</v>
      </c>
    </row>
    <row r="712" spans="1:11" x14ac:dyDescent="0.35">
      <c r="A712" s="1">
        <v>45608</v>
      </c>
      <c r="B712" t="s">
        <v>1995</v>
      </c>
      <c r="C712" t="s">
        <v>51</v>
      </c>
      <c r="D712" t="s">
        <v>30</v>
      </c>
      <c r="E712" t="s">
        <v>52</v>
      </c>
      <c r="F712" t="s">
        <v>45</v>
      </c>
      <c r="G712" t="s">
        <v>60</v>
      </c>
      <c r="H712">
        <v>4359.1000000000004</v>
      </c>
      <c r="I712">
        <v>3</v>
      </c>
      <c r="J712">
        <v>13077.3</v>
      </c>
      <c r="K712">
        <v>4.71</v>
      </c>
    </row>
    <row r="713" spans="1:11" x14ac:dyDescent="0.35">
      <c r="A713" s="1">
        <v>45609</v>
      </c>
      <c r="B713" t="s">
        <v>496</v>
      </c>
      <c r="C713" t="s">
        <v>29</v>
      </c>
      <c r="D713" t="s">
        <v>30</v>
      </c>
      <c r="E713" t="s">
        <v>31</v>
      </c>
      <c r="F713" t="s">
        <v>15</v>
      </c>
      <c r="G713" t="s">
        <v>22</v>
      </c>
      <c r="H713">
        <v>19978.64</v>
      </c>
      <c r="I713">
        <v>1</v>
      </c>
      <c r="J713">
        <v>19978.64</v>
      </c>
      <c r="K713">
        <v>4.54</v>
      </c>
    </row>
    <row r="714" spans="1:11" x14ac:dyDescent="0.35">
      <c r="A714" s="1">
        <v>45609</v>
      </c>
      <c r="B714" t="s">
        <v>531</v>
      </c>
      <c r="C714" t="s">
        <v>29</v>
      </c>
      <c r="D714" t="s">
        <v>30</v>
      </c>
      <c r="E714" t="s">
        <v>31</v>
      </c>
      <c r="F714" t="s">
        <v>15</v>
      </c>
      <c r="G714" t="s">
        <v>27</v>
      </c>
      <c r="H714">
        <v>4378.0200000000004</v>
      </c>
      <c r="I714">
        <v>2</v>
      </c>
      <c r="J714">
        <v>8756.0400000000009</v>
      </c>
      <c r="K714">
        <v>1.21</v>
      </c>
    </row>
    <row r="715" spans="1:11" x14ac:dyDescent="0.35">
      <c r="A715" s="1">
        <v>45610</v>
      </c>
      <c r="B715" t="s">
        <v>457</v>
      </c>
      <c r="C715" t="s">
        <v>51</v>
      </c>
      <c r="D715" t="s">
        <v>30</v>
      </c>
      <c r="E715" t="s">
        <v>52</v>
      </c>
      <c r="F715" t="s">
        <v>21</v>
      </c>
      <c r="G715" t="s">
        <v>60</v>
      </c>
      <c r="H715">
        <v>4153.08</v>
      </c>
      <c r="I715">
        <v>4</v>
      </c>
      <c r="J715">
        <v>16612.32</v>
      </c>
      <c r="K715">
        <v>2.2999999999999998</v>
      </c>
    </row>
    <row r="716" spans="1:11" x14ac:dyDescent="0.35">
      <c r="A716" s="1">
        <v>45611</v>
      </c>
      <c r="B716" t="s">
        <v>1423</v>
      </c>
      <c r="C716" t="s">
        <v>51</v>
      </c>
      <c r="D716" t="s">
        <v>30</v>
      </c>
      <c r="E716" t="s">
        <v>52</v>
      </c>
      <c r="F716" t="s">
        <v>45</v>
      </c>
      <c r="G716" t="s">
        <v>16</v>
      </c>
      <c r="H716">
        <v>10994.13</v>
      </c>
      <c r="I716">
        <v>3</v>
      </c>
      <c r="J716">
        <v>32982.39</v>
      </c>
      <c r="K716">
        <v>4.5</v>
      </c>
    </row>
    <row r="717" spans="1:11" x14ac:dyDescent="0.35">
      <c r="A717" s="1">
        <v>45612</v>
      </c>
      <c r="B717" t="s">
        <v>1536</v>
      </c>
      <c r="C717" t="s">
        <v>29</v>
      </c>
      <c r="D717" t="s">
        <v>30</v>
      </c>
      <c r="E717" t="s">
        <v>31</v>
      </c>
      <c r="F717" t="s">
        <v>45</v>
      </c>
      <c r="G717" t="s">
        <v>27</v>
      </c>
      <c r="H717">
        <v>18083.97</v>
      </c>
      <c r="I717">
        <v>5</v>
      </c>
      <c r="J717">
        <v>90419.85</v>
      </c>
      <c r="K717">
        <v>2.77</v>
      </c>
    </row>
    <row r="718" spans="1:11" x14ac:dyDescent="0.35">
      <c r="A718" s="1">
        <v>45613</v>
      </c>
      <c r="B718" t="s">
        <v>420</v>
      </c>
      <c r="C718" t="s">
        <v>29</v>
      </c>
      <c r="D718" t="s">
        <v>30</v>
      </c>
      <c r="E718" t="s">
        <v>31</v>
      </c>
      <c r="F718" t="s">
        <v>15</v>
      </c>
      <c r="G718" t="s">
        <v>39</v>
      </c>
      <c r="H718">
        <v>16066.23</v>
      </c>
      <c r="I718">
        <v>4</v>
      </c>
      <c r="J718">
        <v>64264.92</v>
      </c>
      <c r="K718">
        <v>3.88</v>
      </c>
    </row>
    <row r="719" spans="1:11" x14ac:dyDescent="0.35">
      <c r="A719" s="1">
        <v>45614</v>
      </c>
      <c r="B719" t="s">
        <v>1618</v>
      </c>
      <c r="C719" t="s">
        <v>29</v>
      </c>
      <c r="D719" t="s">
        <v>30</v>
      </c>
      <c r="E719" t="s">
        <v>31</v>
      </c>
      <c r="F719" t="s">
        <v>21</v>
      </c>
      <c r="G719" t="s">
        <v>32</v>
      </c>
      <c r="H719">
        <v>10345.52</v>
      </c>
      <c r="I719">
        <v>5</v>
      </c>
      <c r="J719">
        <v>51727.6</v>
      </c>
      <c r="K719">
        <v>4.4800000000000004</v>
      </c>
    </row>
    <row r="720" spans="1:11" x14ac:dyDescent="0.35">
      <c r="A720" s="1">
        <v>45614</v>
      </c>
      <c r="B720" t="s">
        <v>1739</v>
      </c>
      <c r="C720" t="s">
        <v>51</v>
      </c>
      <c r="D720" t="s">
        <v>30</v>
      </c>
      <c r="E720" t="s">
        <v>52</v>
      </c>
      <c r="F720" t="s">
        <v>15</v>
      </c>
      <c r="G720" t="s">
        <v>39</v>
      </c>
      <c r="H720">
        <v>10251.69</v>
      </c>
      <c r="I720">
        <v>2</v>
      </c>
      <c r="J720">
        <v>20503.38</v>
      </c>
      <c r="K720">
        <v>4.32</v>
      </c>
    </row>
    <row r="721" spans="1:11" x14ac:dyDescent="0.35">
      <c r="A721" s="1">
        <v>45617</v>
      </c>
      <c r="B721" t="s">
        <v>671</v>
      </c>
      <c r="C721" t="s">
        <v>29</v>
      </c>
      <c r="D721" t="s">
        <v>30</v>
      </c>
      <c r="E721" t="s">
        <v>31</v>
      </c>
      <c r="F721" t="s">
        <v>21</v>
      </c>
      <c r="G721" t="s">
        <v>16</v>
      </c>
      <c r="H721">
        <v>4717.53</v>
      </c>
      <c r="I721">
        <v>2</v>
      </c>
      <c r="J721">
        <v>9435.06</v>
      </c>
      <c r="K721">
        <v>4.6100000000000003</v>
      </c>
    </row>
    <row r="722" spans="1:11" x14ac:dyDescent="0.35">
      <c r="A722" s="1">
        <v>45617</v>
      </c>
      <c r="B722" t="s">
        <v>1190</v>
      </c>
      <c r="C722" t="s">
        <v>29</v>
      </c>
      <c r="D722" t="s">
        <v>30</v>
      </c>
      <c r="E722" t="s">
        <v>31</v>
      </c>
      <c r="F722" t="s">
        <v>15</v>
      </c>
      <c r="G722" t="s">
        <v>27</v>
      </c>
      <c r="H722">
        <v>3652.01</v>
      </c>
      <c r="I722">
        <v>4</v>
      </c>
      <c r="J722">
        <v>14608.04</v>
      </c>
      <c r="K722">
        <v>4.7</v>
      </c>
    </row>
    <row r="723" spans="1:11" x14ac:dyDescent="0.35">
      <c r="A723" s="1">
        <v>45618</v>
      </c>
      <c r="B723" t="s">
        <v>147</v>
      </c>
      <c r="C723" t="s">
        <v>29</v>
      </c>
      <c r="D723" t="s">
        <v>30</v>
      </c>
      <c r="E723" t="s">
        <v>31</v>
      </c>
      <c r="F723" t="s">
        <v>21</v>
      </c>
      <c r="G723" t="s">
        <v>16</v>
      </c>
      <c r="H723">
        <v>19025.43</v>
      </c>
      <c r="I723">
        <v>5</v>
      </c>
      <c r="J723">
        <v>95127.15</v>
      </c>
      <c r="K723">
        <v>1.54</v>
      </c>
    </row>
    <row r="724" spans="1:11" x14ac:dyDescent="0.35">
      <c r="A724" s="1">
        <v>45619</v>
      </c>
      <c r="B724" t="s">
        <v>1834</v>
      </c>
      <c r="C724" t="s">
        <v>29</v>
      </c>
      <c r="D724" t="s">
        <v>30</v>
      </c>
      <c r="E724" t="s">
        <v>31</v>
      </c>
      <c r="F724" t="s">
        <v>21</v>
      </c>
      <c r="G724" t="s">
        <v>22</v>
      </c>
      <c r="H724">
        <v>624.45000000000005</v>
      </c>
      <c r="I724">
        <v>3</v>
      </c>
      <c r="J724">
        <v>1873.35</v>
      </c>
      <c r="K724">
        <v>2.54</v>
      </c>
    </row>
    <row r="725" spans="1:11" x14ac:dyDescent="0.35">
      <c r="A725" s="1">
        <v>45621</v>
      </c>
      <c r="B725" t="s">
        <v>1130</v>
      </c>
      <c r="C725" t="s">
        <v>51</v>
      </c>
      <c r="D725" t="s">
        <v>30</v>
      </c>
      <c r="E725" t="s">
        <v>52</v>
      </c>
      <c r="F725" t="s">
        <v>15</v>
      </c>
      <c r="G725" t="s">
        <v>60</v>
      </c>
      <c r="H725">
        <v>17626.84</v>
      </c>
      <c r="I725">
        <v>4</v>
      </c>
      <c r="J725">
        <v>70507.360000000001</v>
      </c>
      <c r="K725">
        <v>4.83</v>
      </c>
    </row>
    <row r="726" spans="1:11" x14ac:dyDescent="0.35">
      <c r="A726" s="1">
        <v>45622</v>
      </c>
      <c r="B726" t="s">
        <v>1277</v>
      </c>
      <c r="C726" t="s">
        <v>51</v>
      </c>
      <c r="D726" t="s">
        <v>30</v>
      </c>
      <c r="E726" t="s">
        <v>52</v>
      </c>
      <c r="F726" t="s">
        <v>21</v>
      </c>
      <c r="G726" t="s">
        <v>16</v>
      </c>
      <c r="H726">
        <v>17180.36</v>
      </c>
      <c r="I726">
        <v>4</v>
      </c>
      <c r="J726">
        <v>68721.440000000002</v>
      </c>
      <c r="K726">
        <v>2.08</v>
      </c>
    </row>
    <row r="727" spans="1:11" x14ac:dyDescent="0.35">
      <c r="A727" s="1">
        <v>45622</v>
      </c>
      <c r="B727" t="s">
        <v>1364</v>
      </c>
      <c r="C727" t="s">
        <v>51</v>
      </c>
      <c r="D727" t="s">
        <v>30</v>
      </c>
      <c r="E727" t="s">
        <v>52</v>
      </c>
      <c r="F727" t="s">
        <v>15</v>
      </c>
      <c r="G727" t="s">
        <v>22</v>
      </c>
      <c r="H727">
        <v>11375.41</v>
      </c>
      <c r="I727">
        <v>5</v>
      </c>
      <c r="J727">
        <v>56877.05</v>
      </c>
      <c r="K727">
        <v>2.2000000000000002</v>
      </c>
    </row>
    <row r="728" spans="1:11" x14ac:dyDescent="0.35">
      <c r="A728" s="1">
        <v>45622</v>
      </c>
      <c r="B728" t="s">
        <v>1565</v>
      </c>
      <c r="C728" t="s">
        <v>51</v>
      </c>
      <c r="D728" t="s">
        <v>30</v>
      </c>
      <c r="E728" t="s">
        <v>52</v>
      </c>
      <c r="F728" t="s">
        <v>45</v>
      </c>
      <c r="G728" t="s">
        <v>27</v>
      </c>
      <c r="H728">
        <v>7272.04</v>
      </c>
      <c r="I728">
        <v>4</v>
      </c>
      <c r="J728">
        <v>29088.16</v>
      </c>
      <c r="K728">
        <v>4.8</v>
      </c>
    </row>
    <row r="729" spans="1:11" x14ac:dyDescent="0.35">
      <c r="A729" s="1">
        <v>45623</v>
      </c>
      <c r="B729" t="s">
        <v>166</v>
      </c>
      <c r="C729" t="s">
        <v>29</v>
      </c>
      <c r="D729" t="s">
        <v>30</v>
      </c>
      <c r="E729" t="s">
        <v>31</v>
      </c>
      <c r="F729" t="s">
        <v>15</v>
      </c>
      <c r="G729" t="s">
        <v>16</v>
      </c>
      <c r="H729">
        <v>9574.2099999999991</v>
      </c>
      <c r="I729">
        <v>4</v>
      </c>
      <c r="J729">
        <v>38296.839999999997</v>
      </c>
      <c r="K729">
        <v>4.99</v>
      </c>
    </row>
    <row r="730" spans="1:11" x14ac:dyDescent="0.35">
      <c r="A730" s="1">
        <v>45623</v>
      </c>
      <c r="B730" t="s">
        <v>262</v>
      </c>
      <c r="C730" t="s">
        <v>29</v>
      </c>
      <c r="D730" t="s">
        <v>30</v>
      </c>
      <c r="E730" t="s">
        <v>31</v>
      </c>
      <c r="F730" t="s">
        <v>15</v>
      </c>
      <c r="G730" t="s">
        <v>60</v>
      </c>
      <c r="H730">
        <v>9957.25</v>
      </c>
      <c r="I730">
        <v>3</v>
      </c>
      <c r="J730">
        <v>29871.75</v>
      </c>
      <c r="K730">
        <v>3.33</v>
      </c>
    </row>
    <row r="731" spans="1:11" x14ac:dyDescent="0.35">
      <c r="A731" s="1">
        <v>45623</v>
      </c>
      <c r="B731" t="s">
        <v>798</v>
      </c>
      <c r="C731" t="s">
        <v>29</v>
      </c>
      <c r="D731" t="s">
        <v>30</v>
      </c>
      <c r="E731" t="s">
        <v>31</v>
      </c>
      <c r="F731" t="s">
        <v>15</v>
      </c>
      <c r="G731" t="s">
        <v>39</v>
      </c>
      <c r="H731">
        <v>19507.259999999998</v>
      </c>
      <c r="I731">
        <v>1</v>
      </c>
      <c r="J731">
        <v>19507.259999999998</v>
      </c>
      <c r="K731">
        <v>2.0299999999999998</v>
      </c>
    </row>
    <row r="732" spans="1:11" x14ac:dyDescent="0.35">
      <c r="A732" s="1">
        <v>45623</v>
      </c>
      <c r="B732" t="s">
        <v>1670</v>
      </c>
      <c r="C732" t="s">
        <v>51</v>
      </c>
      <c r="D732" t="s">
        <v>30</v>
      </c>
      <c r="E732" t="s">
        <v>52</v>
      </c>
      <c r="F732" t="s">
        <v>15</v>
      </c>
      <c r="G732" t="s">
        <v>22</v>
      </c>
      <c r="H732">
        <v>9040.57</v>
      </c>
      <c r="I732">
        <v>2</v>
      </c>
      <c r="J732">
        <v>18081.14</v>
      </c>
      <c r="K732">
        <v>1.91</v>
      </c>
    </row>
    <row r="733" spans="1:11" x14ac:dyDescent="0.35">
      <c r="A733" s="1">
        <v>45624</v>
      </c>
      <c r="B733" t="s">
        <v>344</v>
      </c>
      <c r="C733" t="s">
        <v>51</v>
      </c>
      <c r="D733" t="s">
        <v>30</v>
      </c>
      <c r="E733" t="s">
        <v>52</v>
      </c>
      <c r="F733" t="s">
        <v>15</v>
      </c>
      <c r="G733" t="s">
        <v>39</v>
      </c>
      <c r="H733">
        <v>18013.14</v>
      </c>
      <c r="I733">
        <v>1</v>
      </c>
      <c r="J733">
        <v>18013.14</v>
      </c>
      <c r="K733">
        <v>2.71</v>
      </c>
    </row>
    <row r="734" spans="1:11" x14ac:dyDescent="0.35">
      <c r="A734" s="1">
        <v>45624</v>
      </c>
      <c r="B734" t="s">
        <v>1741</v>
      </c>
      <c r="C734" t="s">
        <v>29</v>
      </c>
      <c r="D734" t="s">
        <v>30</v>
      </c>
      <c r="E734" t="s">
        <v>31</v>
      </c>
      <c r="F734" t="s">
        <v>15</v>
      </c>
      <c r="G734" t="s">
        <v>32</v>
      </c>
      <c r="H734">
        <v>6623.22</v>
      </c>
      <c r="I734">
        <v>1</v>
      </c>
      <c r="J734">
        <v>6623.22</v>
      </c>
      <c r="K734">
        <v>4.32</v>
      </c>
    </row>
    <row r="735" spans="1:11" x14ac:dyDescent="0.35">
      <c r="A735" s="1">
        <v>45626</v>
      </c>
      <c r="B735" t="s">
        <v>2017</v>
      </c>
      <c r="C735" t="s">
        <v>29</v>
      </c>
      <c r="D735" t="s">
        <v>30</v>
      </c>
      <c r="E735" t="s">
        <v>31</v>
      </c>
      <c r="F735" t="s">
        <v>45</v>
      </c>
      <c r="G735" t="s">
        <v>22</v>
      </c>
      <c r="H735">
        <v>19054.5</v>
      </c>
      <c r="I735">
        <v>2</v>
      </c>
      <c r="J735">
        <v>38109</v>
      </c>
      <c r="K735">
        <v>1.97</v>
      </c>
    </row>
    <row r="736" spans="1:11" x14ac:dyDescent="0.35">
      <c r="A736" s="1">
        <v>45627</v>
      </c>
      <c r="B736" t="s">
        <v>842</v>
      </c>
      <c r="C736" t="s">
        <v>51</v>
      </c>
      <c r="D736" t="s">
        <v>30</v>
      </c>
      <c r="E736" t="s">
        <v>52</v>
      </c>
      <c r="F736" t="s">
        <v>45</v>
      </c>
      <c r="G736" t="s">
        <v>60</v>
      </c>
      <c r="H736">
        <v>9859.99</v>
      </c>
      <c r="I736">
        <v>3</v>
      </c>
      <c r="J736">
        <v>29579.97</v>
      </c>
      <c r="K736">
        <v>2.38</v>
      </c>
    </row>
    <row r="737" spans="1:11" x14ac:dyDescent="0.35">
      <c r="A737" s="1">
        <v>45627</v>
      </c>
      <c r="B737" t="s">
        <v>1060</v>
      </c>
      <c r="C737" t="s">
        <v>51</v>
      </c>
      <c r="D737" t="s">
        <v>30</v>
      </c>
      <c r="E737" t="s">
        <v>52</v>
      </c>
      <c r="F737" t="s">
        <v>45</v>
      </c>
      <c r="G737" t="s">
        <v>32</v>
      </c>
      <c r="H737">
        <v>2302.66</v>
      </c>
      <c r="I737">
        <v>5</v>
      </c>
      <c r="J737">
        <v>11513.3</v>
      </c>
      <c r="K737">
        <v>4.01</v>
      </c>
    </row>
    <row r="738" spans="1:11" x14ac:dyDescent="0.35">
      <c r="A738" s="1">
        <v>45630</v>
      </c>
      <c r="B738" t="s">
        <v>161</v>
      </c>
      <c r="C738" t="s">
        <v>51</v>
      </c>
      <c r="D738" t="s">
        <v>30</v>
      </c>
      <c r="E738" t="s">
        <v>52</v>
      </c>
      <c r="F738" t="s">
        <v>21</v>
      </c>
      <c r="G738" t="s">
        <v>32</v>
      </c>
      <c r="H738">
        <v>12941.86</v>
      </c>
      <c r="I738">
        <v>1</v>
      </c>
      <c r="J738">
        <v>12941.86</v>
      </c>
      <c r="K738">
        <v>2.33</v>
      </c>
    </row>
    <row r="739" spans="1:11" x14ac:dyDescent="0.35">
      <c r="A739" s="1">
        <v>45630</v>
      </c>
      <c r="B739" t="s">
        <v>1954</v>
      </c>
      <c r="C739" t="s">
        <v>51</v>
      </c>
      <c r="D739" t="s">
        <v>30</v>
      </c>
      <c r="E739" t="s">
        <v>52</v>
      </c>
      <c r="F739" t="s">
        <v>21</v>
      </c>
      <c r="G739" t="s">
        <v>16</v>
      </c>
      <c r="H739">
        <v>9551.73</v>
      </c>
      <c r="I739">
        <v>4</v>
      </c>
      <c r="J739">
        <v>38206.92</v>
      </c>
      <c r="K739">
        <v>4.34</v>
      </c>
    </row>
    <row r="740" spans="1:11" x14ac:dyDescent="0.35">
      <c r="A740" s="1">
        <v>45630</v>
      </c>
      <c r="B740" t="s">
        <v>2035</v>
      </c>
      <c r="C740" t="s">
        <v>51</v>
      </c>
      <c r="D740" t="s">
        <v>30</v>
      </c>
      <c r="E740" t="s">
        <v>52</v>
      </c>
      <c r="F740" t="s">
        <v>15</v>
      </c>
      <c r="G740" t="s">
        <v>32</v>
      </c>
      <c r="H740">
        <v>15287.67</v>
      </c>
      <c r="I740">
        <v>1</v>
      </c>
      <c r="J740">
        <v>15287.67</v>
      </c>
      <c r="K740">
        <v>1.05</v>
      </c>
    </row>
    <row r="741" spans="1:11" x14ac:dyDescent="0.35">
      <c r="A741" s="1">
        <v>45631</v>
      </c>
      <c r="B741" t="s">
        <v>364</v>
      </c>
      <c r="C741" t="s">
        <v>51</v>
      </c>
      <c r="D741" t="s">
        <v>30</v>
      </c>
      <c r="E741" t="s">
        <v>52</v>
      </c>
      <c r="F741" t="s">
        <v>21</v>
      </c>
      <c r="G741" t="s">
        <v>27</v>
      </c>
      <c r="H741">
        <v>8305.08</v>
      </c>
      <c r="I741">
        <v>1</v>
      </c>
      <c r="J741">
        <v>8305.08</v>
      </c>
      <c r="K741">
        <v>4.8</v>
      </c>
    </row>
    <row r="742" spans="1:11" x14ac:dyDescent="0.35">
      <c r="A742" s="1">
        <v>45631</v>
      </c>
      <c r="B742" t="s">
        <v>1761</v>
      </c>
      <c r="C742" t="s">
        <v>29</v>
      </c>
      <c r="D742" t="s">
        <v>30</v>
      </c>
      <c r="E742" t="s">
        <v>31</v>
      </c>
      <c r="F742" t="s">
        <v>21</v>
      </c>
      <c r="G742" t="s">
        <v>60</v>
      </c>
      <c r="H742">
        <v>15976.94</v>
      </c>
      <c r="I742">
        <v>4</v>
      </c>
      <c r="J742">
        <v>63907.76</v>
      </c>
      <c r="K742">
        <v>3.89</v>
      </c>
    </row>
    <row r="743" spans="1:11" x14ac:dyDescent="0.35">
      <c r="A743" s="1">
        <v>45631</v>
      </c>
      <c r="B743" t="s">
        <v>1945</v>
      </c>
      <c r="C743" t="s">
        <v>51</v>
      </c>
      <c r="D743" t="s">
        <v>30</v>
      </c>
      <c r="E743" t="s">
        <v>52</v>
      </c>
      <c r="F743" t="s">
        <v>15</v>
      </c>
      <c r="G743" t="s">
        <v>22</v>
      </c>
      <c r="H743">
        <v>10635.4</v>
      </c>
      <c r="I743">
        <v>2</v>
      </c>
      <c r="J743">
        <v>21270.799999999999</v>
      </c>
      <c r="K743">
        <v>3</v>
      </c>
    </row>
    <row r="744" spans="1:11" x14ac:dyDescent="0.35">
      <c r="A744" s="1">
        <v>45631</v>
      </c>
      <c r="B744" t="s">
        <v>2014</v>
      </c>
      <c r="C744" t="s">
        <v>29</v>
      </c>
      <c r="D744" t="s">
        <v>30</v>
      </c>
      <c r="E744" t="s">
        <v>31</v>
      </c>
      <c r="F744" t="s">
        <v>21</v>
      </c>
      <c r="G744" t="s">
        <v>60</v>
      </c>
      <c r="H744">
        <v>10406.790000000001</v>
      </c>
      <c r="I744">
        <v>4</v>
      </c>
      <c r="J744">
        <v>41627.160000000003</v>
      </c>
      <c r="K744">
        <v>4.58</v>
      </c>
    </row>
    <row r="745" spans="1:11" x14ac:dyDescent="0.35">
      <c r="A745" s="1">
        <v>45632</v>
      </c>
      <c r="B745" t="s">
        <v>1171</v>
      </c>
      <c r="C745" t="s">
        <v>51</v>
      </c>
      <c r="D745" t="s">
        <v>30</v>
      </c>
      <c r="E745" t="s">
        <v>52</v>
      </c>
      <c r="F745" t="s">
        <v>21</v>
      </c>
      <c r="G745" t="s">
        <v>32</v>
      </c>
      <c r="H745">
        <v>14772.76</v>
      </c>
      <c r="I745">
        <v>5</v>
      </c>
      <c r="J745">
        <v>73863.8</v>
      </c>
      <c r="K745">
        <v>3.83</v>
      </c>
    </row>
    <row r="746" spans="1:11" x14ac:dyDescent="0.35">
      <c r="A746" s="1">
        <v>45636</v>
      </c>
      <c r="B746" t="s">
        <v>1424</v>
      </c>
      <c r="C746" t="s">
        <v>29</v>
      </c>
      <c r="D746" t="s">
        <v>30</v>
      </c>
      <c r="E746" t="s">
        <v>31</v>
      </c>
      <c r="F746" t="s">
        <v>15</v>
      </c>
      <c r="G746" t="s">
        <v>27</v>
      </c>
      <c r="H746">
        <v>15796.59</v>
      </c>
      <c r="I746">
        <v>3</v>
      </c>
      <c r="J746">
        <v>47389.77</v>
      </c>
      <c r="K746">
        <v>4.59</v>
      </c>
    </row>
    <row r="747" spans="1:11" x14ac:dyDescent="0.35">
      <c r="A747" s="1">
        <v>45638</v>
      </c>
      <c r="B747" t="s">
        <v>384</v>
      </c>
      <c r="C747" t="s">
        <v>29</v>
      </c>
      <c r="D747" t="s">
        <v>30</v>
      </c>
      <c r="E747" t="s">
        <v>31</v>
      </c>
      <c r="F747" t="s">
        <v>21</v>
      </c>
      <c r="G747" t="s">
        <v>27</v>
      </c>
      <c r="H747">
        <v>1931.82</v>
      </c>
      <c r="I747">
        <v>5</v>
      </c>
      <c r="J747">
        <v>9659.1</v>
      </c>
      <c r="K747">
        <v>1.01</v>
      </c>
    </row>
    <row r="748" spans="1:11" x14ac:dyDescent="0.35">
      <c r="A748" s="1">
        <v>45639</v>
      </c>
      <c r="B748" t="s">
        <v>355</v>
      </c>
      <c r="C748" t="s">
        <v>29</v>
      </c>
      <c r="D748" t="s">
        <v>30</v>
      </c>
      <c r="E748" t="s">
        <v>31</v>
      </c>
      <c r="F748" t="s">
        <v>15</v>
      </c>
      <c r="G748" t="s">
        <v>32</v>
      </c>
      <c r="H748">
        <v>9408.66</v>
      </c>
      <c r="I748">
        <v>3</v>
      </c>
      <c r="J748">
        <v>28225.98</v>
      </c>
      <c r="K748">
        <v>1.91</v>
      </c>
    </row>
    <row r="749" spans="1:11" x14ac:dyDescent="0.35">
      <c r="A749" s="1">
        <v>45639</v>
      </c>
      <c r="B749" t="s">
        <v>1665</v>
      </c>
      <c r="C749" t="s">
        <v>29</v>
      </c>
      <c r="D749" t="s">
        <v>30</v>
      </c>
      <c r="E749" t="s">
        <v>31</v>
      </c>
      <c r="F749" t="s">
        <v>15</v>
      </c>
      <c r="G749" t="s">
        <v>60</v>
      </c>
      <c r="H749">
        <v>15273</v>
      </c>
      <c r="I749">
        <v>2</v>
      </c>
      <c r="J749">
        <v>30546</v>
      </c>
      <c r="K749">
        <v>2.35</v>
      </c>
    </row>
    <row r="750" spans="1:11" x14ac:dyDescent="0.35">
      <c r="A750" s="1">
        <v>45641</v>
      </c>
      <c r="B750" t="s">
        <v>281</v>
      </c>
      <c r="C750" t="s">
        <v>29</v>
      </c>
      <c r="D750" t="s">
        <v>30</v>
      </c>
      <c r="E750" t="s">
        <v>31</v>
      </c>
      <c r="F750" t="s">
        <v>15</v>
      </c>
      <c r="G750" t="s">
        <v>39</v>
      </c>
      <c r="H750">
        <v>7187.55</v>
      </c>
      <c r="I750">
        <v>5</v>
      </c>
      <c r="J750">
        <v>35937.75</v>
      </c>
      <c r="K750">
        <v>2.09</v>
      </c>
    </row>
    <row r="751" spans="1:11" x14ac:dyDescent="0.35">
      <c r="A751" s="1">
        <v>45641</v>
      </c>
      <c r="B751" t="s">
        <v>492</v>
      </c>
      <c r="C751" t="s">
        <v>51</v>
      </c>
      <c r="D751" t="s">
        <v>30</v>
      </c>
      <c r="E751" t="s">
        <v>52</v>
      </c>
      <c r="F751" t="s">
        <v>45</v>
      </c>
      <c r="G751" t="s">
        <v>16</v>
      </c>
      <c r="H751">
        <v>10781.66</v>
      </c>
      <c r="I751">
        <v>4</v>
      </c>
      <c r="J751">
        <v>43126.64</v>
      </c>
      <c r="K751">
        <v>2.6</v>
      </c>
    </row>
    <row r="752" spans="1:11" x14ac:dyDescent="0.35">
      <c r="A752" s="1">
        <v>45641</v>
      </c>
      <c r="B752" t="s">
        <v>1801</v>
      </c>
      <c r="C752" t="s">
        <v>51</v>
      </c>
      <c r="D752" t="s">
        <v>30</v>
      </c>
      <c r="E752" t="s">
        <v>52</v>
      </c>
      <c r="F752" t="s">
        <v>15</v>
      </c>
      <c r="G752" t="s">
        <v>32</v>
      </c>
      <c r="H752">
        <v>19509.04</v>
      </c>
      <c r="I752">
        <v>3</v>
      </c>
      <c r="J752">
        <v>58527.12</v>
      </c>
      <c r="K752">
        <v>1.74</v>
      </c>
    </row>
    <row r="753" spans="1:11" x14ac:dyDescent="0.35">
      <c r="A753" s="1">
        <v>45643</v>
      </c>
      <c r="B753" t="s">
        <v>58</v>
      </c>
      <c r="C753" t="s">
        <v>51</v>
      </c>
      <c r="D753" t="s">
        <v>30</v>
      </c>
      <c r="E753" t="s">
        <v>52</v>
      </c>
      <c r="F753" t="s">
        <v>45</v>
      </c>
      <c r="G753" t="s">
        <v>16</v>
      </c>
      <c r="H753">
        <v>13247.77</v>
      </c>
      <c r="I753">
        <v>3</v>
      </c>
      <c r="J753">
        <v>39743.31</v>
      </c>
      <c r="K753">
        <v>3.86</v>
      </c>
    </row>
    <row r="754" spans="1:11" x14ac:dyDescent="0.35">
      <c r="A754" s="1">
        <v>45643</v>
      </c>
      <c r="B754" t="s">
        <v>284</v>
      </c>
      <c r="C754" t="s">
        <v>51</v>
      </c>
      <c r="D754" t="s">
        <v>30</v>
      </c>
      <c r="E754" t="s">
        <v>52</v>
      </c>
      <c r="F754" t="s">
        <v>15</v>
      </c>
      <c r="G754" t="s">
        <v>60</v>
      </c>
      <c r="H754">
        <v>2227.34</v>
      </c>
      <c r="I754">
        <v>2</v>
      </c>
      <c r="J754">
        <v>4454.68</v>
      </c>
      <c r="K754">
        <v>4.75</v>
      </c>
    </row>
    <row r="755" spans="1:11" x14ac:dyDescent="0.35">
      <c r="A755" s="1">
        <v>45643</v>
      </c>
      <c r="B755" t="s">
        <v>793</v>
      </c>
      <c r="C755" t="s">
        <v>29</v>
      </c>
      <c r="D755" t="s">
        <v>30</v>
      </c>
      <c r="E755" t="s">
        <v>31</v>
      </c>
      <c r="F755" t="s">
        <v>45</v>
      </c>
      <c r="G755" t="s">
        <v>60</v>
      </c>
      <c r="H755">
        <v>10639.4</v>
      </c>
      <c r="I755">
        <v>1</v>
      </c>
      <c r="J755">
        <v>10639.4</v>
      </c>
      <c r="K755">
        <v>1.61</v>
      </c>
    </row>
    <row r="756" spans="1:11" x14ac:dyDescent="0.35">
      <c r="A756" s="1">
        <v>45648</v>
      </c>
      <c r="B756" t="s">
        <v>71</v>
      </c>
      <c r="C756" t="s">
        <v>29</v>
      </c>
      <c r="D756" t="s">
        <v>30</v>
      </c>
      <c r="E756" t="s">
        <v>31</v>
      </c>
      <c r="F756" t="s">
        <v>15</v>
      </c>
      <c r="G756" t="s">
        <v>60</v>
      </c>
      <c r="H756">
        <v>19624.3</v>
      </c>
      <c r="I756">
        <v>1</v>
      </c>
      <c r="J756">
        <v>19624.3</v>
      </c>
      <c r="K756">
        <v>4.55</v>
      </c>
    </row>
    <row r="757" spans="1:11" x14ac:dyDescent="0.35">
      <c r="A757" s="1">
        <v>45650</v>
      </c>
      <c r="B757" t="s">
        <v>1243</v>
      </c>
      <c r="C757" t="s">
        <v>29</v>
      </c>
      <c r="D757" t="s">
        <v>30</v>
      </c>
      <c r="E757" t="s">
        <v>31</v>
      </c>
      <c r="F757" t="s">
        <v>21</v>
      </c>
      <c r="G757" t="s">
        <v>22</v>
      </c>
      <c r="H757">
        <v>6831.86</v>
      </c>
      <c r="I757">
        <v>1</v>
      </c>
      <c r="J757">
        <v>6831.86</v>
      </c>
      <c r="K757">
        <v>1.82</v>
      </c>
    </row>
    <row r="758" spans="1:11" x14ac:dyDescent="0.35">
      <c r="A758" s="1">
        <v>45650</v>
      </c>
      <c r="B758" t="s">
        <v>1446</v>
      </c>
      <c r="C758" t="s">
        <v>51</v>
      </c>
      <c r="D758" t="s">
        <v>30</v>
      </c>
      <c r="E758" t="s">
        <v>52</v>
      </c>
      <c r="F758" t="s">
        <v>15</v>
      </c>
      <c r="G758" t="s">
        <v>27</v>
      </c>
      <c r="H758">
        <v>3915.32</v>
      </c>
      <c r="I758">
        <v>1</v>
      </c>
      <c r="J758">
        <v>3915.32</v>
      </c>
      <c r="K758">
        <v>1.57</v>
      </c>
    </row>
    <row r="759" spans="1:11" x14ac:dyDescent="0.35">
      <c r="A759" s="1">
        <v>45650</v>
      </c>
      <c r="B759" t="s">
        <v>1848</v>
      </c>
      <c r="C759" t="s">
        <v>51</v>
      </c>
      <c r="D759" t="s">
        <v>30</v>
      </c>
      <c r="E759" t="s">
        <v>52</v>
      </c>
      <c r="F759" t="s">
        <v>15</v>
      </c>
      <c r="G759" t="s">
        <v>32</v>
      </c>
      <c r="H759">
        <v>19898.32</v>
      </c>
      <c r="I759">
        <v>4</v>
      </c>
      <c r="J759">
        <v>79593.279999999999</v>
      </c>
      <c r="K759">
        <v>1.1100000000000001</v>
      </c>
    </row>
    <row r="760" spans="1:11" x14ac:dyDescent="0.35">
      <c r="A760" s="1">
        <v>45651</v>
      </c>
      <c r="B760" t="s">
        <v>351</v>
      </c>
      <c r="C760" t="s">
        <v>51</v>
      </c>
      <c r="D760" t="s">
        <v>30</v>
      </c>
      <c r="E760" t="s">
        <v>52</v>
      </c>
      <c r="F760" t="s">
        <v>45</v>
      </c>
      <c r="G760" t="s">
        <v>60</v>
      </c>
      <c r="H760">
        <v>5446.73</v>
      </c>
      <c r="I760">
        <v>3</v>
      </c>
      <c r="J760">
        <v>16340.19</v>
      </c>
      <c r="K760">
        <v>1.7</v>
      </c>
    </row>
    <row r="761" spans="1:11" x14ac:dyDescent="0.35">
      <c r="A761" s="1">
        <v>45651</v>
      </c>
      <c r="B761" t="s">
        <v>639</v>
      </c>
      <c r="C761" t="s">
        <v>51</v>
      </c>
      <c r="D761" t="s">
        <v>30</v>
      </c>
      <c r="E761" t="s">
        <v>52</v>
      </c>
      <c r="F761" t="s">
        <v>45</v>
      </c>
      <c r="G761" t="s">
        <v>32</v>
      </c>
      <c r="H761">
        <v>5444.11</v>
      </c>
      <c r="I761">
        <v>2</v>
      </c>
      <c r="J761">
        <v>10888.22</v>
      </c>
      <c r="K761">
        <v>1.26</v>
      </c>
    </row>
    <row r="762" spans="1:11" x14ac:dyDescent="0.35">
      <c r="A762" s="1">
        <v>45651</v>
      </c>
      <c r="B762" t="s">
        <v>1285</v>
      </c>
      <c r="C762" t="s">
        <v>51</v>
      </c>
      <c r="D762" t="s">
        <v>30</v>
      </c>
      <c r="E762" t="s">
        <v>52</v>
      </c>
      <c r="F762" t="s">
        <v>21</v>
      </c>
      <c r="G762" t="s">
        <v>22</v>
      </c>
      <c r="H762">
        <v>16356.92</v>
      </c>
      <c r="I762">
        <v>3</v>
      </c>
      <c r="J762">
        <v>49070.76</v>
      </c>
      <c r="K762">
        <v>1.58</v>
      </c>
    </row>
    <row r="763" spans="1:11" x14ac:dyDescent="0.35">
      <c r="A763" s="1">
        <v>45651</v>
      </c>
      <c r="B763" t="s">
        <v>1914</v>
      </c>
      <c r="C763" t="s">
        <v>29</v>
      </c>
      <c r="D763" t="s">
        <v>30</v>
      </c>
      <c r="E763" t="s">
        <v>31</v>
      </c>
      <c r="F763" t="s">
        <v>21</v>
      </c>
      <c r="G763" t="s">
        <v>22</v>
      </c>
      <c r="H763">
        <v>10584.81</v>
      </c>
      <c r="I763">
        <v>1</v>
      </c>
      <c r="J763">
        <v>10584.81</v>
      </c>
      <c r="K763">
        <v>4.88</v>
      </c>
    </row>
    <row r="764" spans="1:11" x14ac:dyDescent="0.35">
      <c r="A764" s="1">
        <v>45293</v>
      </c>
      <c r="B764" t="s">
        <v>69</v>
      </c>
      <c r="C764" t="s">
        <v>47</v>
      </c>
      <c r="D764" t="s">
        <v>13</v>
      </c>
      <c r="E764" t="s">
        <v>48</v>
      </c>
      <c r="F764" t="s">
        <v>15</v>
      </c>
      <c r="G764" t="s">
        <v>27</v>
      </c>
      <c r="H764">
        <v>15915.39</v>
      </c>
      <c r="I764">
        <v>5</v>
      </c>
      <c r="J764">
        <v>79576.95</v>
      </c>
      <c r="K764">
        <v>1.73</v>
      </c>
    </row>
    <row r="765" spans="1:11" x14ac:dyDescent="0.35">
      <c r="A765" s="1">
        <v>45293</v>
      </c>
      <c r="B765" t="s">
        <v>274</v>
      </c>
      <c r="C765" t="s">
        <v>12</v>
      </c>
      <c r="D765" t="s">
        <v>13</v>
      </c>
      <c r="E765" t="s">
        <v>14</v>
      </c>
      <c r="F765" t="s">
        <v>45</v>
      </c>
      <c r="G765" t="s">
        <v>32</v>
      </c>
      <c r="H765">
        <v>5782.53</v>
      </c>
      <c r="I765">
        <v>1</v>
      </c>
      <c r="J765">
        <v>5782.53</v>
      </c>
      <c r="K765">
        <v>2.85</v>
      </c>
    </row>
    <row r="766" spans="1:11" x14ac:dyDescent="0.35">
      <c r="A766" s="1">
        <v>45293</v>
      </c>
      <c r="B766" t="s">
        <v>313</v>
      </c>
      <c r="C766" t="s">
        <v>47</v>
      </c>
      <c r="D766" t="s">
        <v>13</v>
      </c>
      <c r="E766" t="s">
        <v>48</v>
      </c>
      <c r="F766" t="s">
        <v>45</v>
      </c>
      <c r="G766" t="s">
        <v>27</v>
      </c>
      <c r="H766">
        <v>9267.52</v>
      </c>
      <c r="I766">
        <v>3</v>
      </c>
      <c r="J766">
        <v>27802.560000000001</v>
      </c>
      <c r="K766">
        <v>1.89</v>
      </c>
    </row>
    <row r="767" spans="1:11" x14ac:dyDescent="0.35">
      <c r="A767" s="1">
        <v>45293</v>
      </c>
      <c r="B767" t="s">
        <v>968</v>
      </c>
      <c r="C767" t="s">
        <v>12</v>
      </c>
      <c r="D767" t="s">
        <v>13</v>
      </c>
      <c r="E767" t="s">
        <v>14</v>
      </c>
      <c r="F767" t="s">
        <v>15</v>
      </c>
      <c r="G767" t="s">
        <v>39</v>
      </c>
      <c r="H767">
        <v>15620.89</v>
      </c>
      <c r="I767">
        <v>4</v>
      </c>
      <c r="J767">
        <v>62483.56</v>
      </c>
      <c r="K767">
        <v>1.5</v>
      </c>
    </row>
    <row r="768" spans="1:11" x14ac:dyDescent="0.35">
      <c r="A768" s="1">
        <v>45293</v>
      </c>
      <c r="B768" t="s">
        <v>1186</v>
      </c>
      <c r="C768" t="s">
        <v>12</v>
      </c>
      <c r="D768" t="s">
        <v>13</v>
      </c>
      <c r="E768" t="s">
        <v>14</v>
      </c>
      <c r="F768" t="s">
        <v>15</v>
      </c>
      <c r="G768" t="s">
        <v>60</v>
      </c>
      <c r="H768">
        <v>3325.6</v>
      </c>
      <c r="I768">
        <v>1</v>
      </c>
      <c r="J768">
        <v>3325.6</v>
      </c>
      <c r="K768">
        <v>1.28</v>
      </c>
    </row>
    <row r="769" spans="1:11" x14ac:dyDescent="0.35">
      <c r="A769" s="1">
        <v>45294</v>
      </c>
      <c r="B769" t="s">
        <v>413</v>
      </c>
      <c r="C769" t="s">
        <v>34</v>
      </c>
      <c r="D769" t="s">
        <v>13</v>
      </c>
      <c r="E769" t="s">
        <v>35</v>
      </c>
      <c r="F769" t="s">
        <v>15</v>
      </c>
      <c r="G769" t="s">
        <v>27</v>
      </c>
      <c r="H769">
        <v>225.46</v>
      </c>
      <c r="I769">
        <v>5</v>
      </c>
      <c r="J769">
        <v>1127.3</v>
      </c>
      <c r="K769">
        <v>1.98</v>
      </c>
    </row>
    <row r="770" spans="1:11" x14ac:dyDescent="0.35">
      <c r="A770" s="1">
        <v>45294</v>
      </c>
      <c r="B770" t="s">
        <v>596</v>
      </c>
      <c r="C770" t="s">
        <v>12</v>
      </c>
      <c r="D770" t="s">
        <v>13</v>
      </c>
      <c r="E770" t="s">
        <v>14</v>
      </c>
      <c r="F770" t="s">
        <v>15</v>
      </c>
      <c r="G770" t="s">
        <v>39</v>
      </c>
      <c r="H770">
        <v>14533.1</v>
      </c>
      <c r="I770">
        <v>4</v>
      </c>
      <c r="J770">
        <v>58132.4</v>
      </c>
      <c r="K770">
        <v>1.41</v>
      </c>
    </row>
    <row r="771" spans="1:11" x14ac:dyDescent="0.35">
      <c r="A771" s="1">
        <v>45294</v>
      </c>
      <c r="B771" t="s">
        <v>654</v>
      </c>
      <c r="C771" t="s">
        <v>47</v>
      </c>
      <c r="D771" t="s">
        <v>13</v>
      </c>
      <c r="E771" t="s">
        <v>48</v>
      </c>
      <c r="F771" t="s">
        <v>21</v>
      </c>
      <c r="G771" t="s">
        <v>16</v>
      </c>
      <c r="H771">
        <v>19399.34</v>
      </c>
      <c r="I771">
        <v>3</v>
      </c>
      <c r="J771">
        <v>58198.02</v>
      </c>
      <c r="K771">
        <v>4.79</v>
      </c>
    </row>
    <row r="772" spans="1:11" x14ac:dyDescent="0.35">
      <c r="A772" s="1">
        <v>45295</v>
      </c>
      <c r="B772" t="s">
        <v>1286</v>
      </c>
      <c r="C772" t="s">
        <v>12</v>
      </c>
      <c r="D772" t="s">
        <v>13</v>
      </c>
      <c r="E772" t="s">
        <v>14</v>
      </c>
      <c r="F772" t="s">
        <v>21</v>
      </c>
      <c r="G772" t="s">
        <v>39</v>
      </c>
      <c r="H772">
        <v>17312.310000000001</v>
      </c>
      <c r="I772">
        <v>5</v>
      </c>
      <c r="J772">
        <v>86561.55</v>
      </c>
      <c r="K772">
        <v>1.75</v>
      </c>
    </row>
    <row r="773" spans="1:11" x14ac:dyDescent="0.35">
      <c r="A773" s="1">
        <v>45295</v>
      </c>
      <c r="B773" t="s">
        <v>1705</v>
      </c>
      <c r="C773" t="s">
        <v>12</v>
      </c>
      <c r="D773" t="s">
        <v>13</v>
      </c>
      <c r="E773" t="s">
        <v>14</v>
      </c>
      <c r="F773" t="s">
        <v>21</v>
      </c>
      <c r="G773" t="s">
        <v>27</v>
      </c>
      <c r="H773">
        <v>2319.9</v>
      </c>
      <c r="I773">
        <v>1</v>
      </c>
      <c r="J773">
        <v>2319.9</v>
      </c>
      <c r="K773">
        <v>2.81</v>
      </c>
    </row>
    <row r="774" spans="1:11" x14ac:dyDescent="0.35">
      <c r="A774" s="1">
        <v>45295</v>
      </c>
      <c r="B774" t="s">
        <v>1930</v>
      </c>
      <c r="C774" t="s">
        <v>47</v>
      </c>
      <c r="D774" t="s">
        <v>13</v>
      </c>
      <c r="E774" t="s">
        <v>48</v>
      </c>
      <c r="F774" t="s">
        <v>15</v>
      </c>
      <c r="G774" t="s">
        <v>22</v>
      </c>
      <c r="H774">
        <v>16835.509999999998</v>
      </c>
      <c r="I774">
        <v>2</v>
      </c>
      <c r="J774">
        <v>33671.019999999997</v>
      </c>
      <c r="K774">
        <v>3.33</v>
      </c>
    </row>
    <row r="775" spans="1:11" x14ac:dyDescent="0.35">
      <c r="A775" s="1">
        <v>45296</v>
      </c>
      <c r="B775" t="s">
        <v>437</v>
      </c>
      <c r="C775" t="s">
        <v>47</v>
      </c>
      <c r="D775" t="s">
        <v>13</v>
      </c>
      <c r="E775" t="s">
        <v>48</v>
      </c>
      <c r="F775" t="s">
        <v>21</v>
      </c>
      <c r="G775" t="s">
        <v>16</v>
      </c>
      <c r="H775">
        <v>12575.83</v>
      </c>
      <c r="I775">
        <v>1</v>
      </c>
      <c r="J775">
        <v>12575.83</v>
      </c>
      <c r="K775">
        <v>2.72</v>
      </c>
    </row>
    <row r="776" spans="1:11" x14ac:dyDescent="0.35">
      <c r="A776" s="1">
        <v>45296</v>
      </c>
      <c r="B776" t="s">
        <v>1963</v>
      </c>
      <c r="C776" t="s">
        <v>34</v>
      </c>
      <c r="D776" t="s">
        <v>13</v>
      </c>
      <c r="E776" t="s">
        <v>35</v>
      </c>
      <c r="F776" t="s">
        <v>21</v>
      </c>
      <c r="G776" t="s">
        <v>16</v>
      </c>
      <c r="H776">
        <v>2365.9699999999998</v>
      </c>
      <c r="I776">
        <v>5</v>
      </c>
      <c r="J776">
        <v>11829.85</v>
      </c>
      <c r="K776">
        <v>3.6</v>
      </c>
    </row>
    <row r="777" spans="1:11" x14ac:dyDescent="0.35">
      <c r="A777" s="1">
        <v>45297</v>
      </c>
      <c r="B777" t="s">
        <v>343</v>
      </c>
      <c r="C777" t="s">
        <v>34</v>
      </c>
      <c r="D777" t="s">
        <v>13</v>
      </c>
      <c r="E777" t="s">
        <v>35</v>
      </c>
      <c r="F777" t="s">
        <v>15</v>
      </c>
      <c r="G777" t="s">
        <v>32</v>
      </c>
      <c r="H777">
        <v>9791.67</v>
      </c>
      <c r="I777">
        <v>2</v>
      </c>
      <c r="J777">
        <v>19583.34</v>
      </c>
      <c r="K777">
        <v>2.69</v>
      </c>
    </row>
    <row r="778" spans="1:11" x14ac:dyDescent="0.35">
      <c r="A778" s="1">
        <v>45297</v>
      </c>
      <c r="B778" t="s">
        <v>1247</v>
      </c>
      <c r="C778" t="s">
        <v>12</v>
      </c>
      <c r="D778" t="s">
        <v>13</v>
      </c>
      <c r="E778" t="s">
        <v>14</v>
      </c>
      <c r="F778" t="s">
        <v>21</v>
      </c>
      <c r="G778" t="s">
        <v>60</v>
      </c>
      <c r="H778">
        <v>6270.48</v>
      </c>
      <c r="I778">
        <v>4</v>
      </c>
      <c r="J778">
        <v>25081.919999999998</v>
      </c>
      <c r="K778">
        <v>3.57</v>
      </c>
    </row>
    <row r="779" spans="1:11" x14ac:dyDescent="0.35">
      <c r="A779" s="1">
        <v>45298</v>
      </c>
      <c r="B779" t="s">
        <v>1064</v>
      </c>
      <c r="C779" t="s">
        <v>47</v>
      </c>
      <c r="D779" t="s">
        <v>13</v>
      </c>
      <c r="E779" t="s">
        <v>48</v>
      </c>
      <c r="F779" t="s">
        <v>21</v>
      </c>
      <c r="G779" t="s">
        <v>27</v>
      </c>
      <c r="H779">
        <v>8492.57</v>
      </c>
      <c r="I779">
        <v>2</v>
      </c>
      <c r="J779">
        <v>16985.14</v>
      </c>
      <c r="K779">
        <v>2.68</v>
      </c>
    </row>
    <row r="780" spans="1:11" x14ac:dyDescent="0.35">
      <c r="A780" s="1">
        <v>45298</v>
      </c>
      <c r="B780" t="s">
        <v>1810</v>
      </c>
      <c r="C780" t="s">
        <v>47</v>
      </c>
      <c r="D780" t="s">
        <v>13</v>
      </c>
      <c r="E780" t="s">
        <v>48</v>
      </c>
      <c r="F780" t="s">
        <v>15</v>
      </c>
      <c r="G780" t="s">
        <v>27</v>
      </c>
      <c r="H780">
        <v>11890.53</v>
      </c>
      <c r="I780">
        <v>2</v>
      </c>
      <c r="J780">
        <v>23781.06</v>
      </c>
      <c r="K780">
        <v>3.02</v>
      </c>
    </row>
    <row r="781" spans="1:11" x14ac:dyDescent="0.35">
      <c r="A781" s="1">
        <v>45299</v>
      </c>
      <c r="B781" t="s">
        <v>1673</v>
      </c>
      <c r="C781" t="s">
        <v>47</v>
      </c>
      <c r="D781" t="s">
        <v>13</v>
      </c>
      <c r="E781" t="s">
        <v>48</v>
      </c>
      <c r="F781" t="s">
        <v>15</v>
      </c>
      <c r="G781" t="s">
        <v>16</v>
      </c>
      <c r="H781">
        <v>6443.74</v>
      </c>
      <c r="I781">
        <v>5</v>
      </c>
      <c r="J781">
        <v>32218.7</v>
      </c>
      <c r="K781">
        <v>2.36</v>
      </c>
    </row>
    <row r="782" spans="1:11" x14ac:dyDescent="0.35">
      <c r="A782" s="1">
        <v>45300</v>
      </c>
      <c r="B782" t="s">
        <v>636</v>
      </c>
      <c r="C782" t="s">
        <v>34</v>
      </c>
      <c r="D782" t="s">
        <v>13</v>
      </c>
      <c r="E782" t="s">
        <v>35</v>
      </c>
      <c r="F782" t="s">
        <v>15</v>
      </c>
      <c r="G782" t="s">
        <v>27</v>
      </c>
      <c r="H782">
        <v>11401.25</v>
      </c>
      <c r="I782">
        <v>3</v>
      </c>
      <c r="J782">
        <v>34203.75</v>
      </c>
      <c r="K782">
        <v>2.1800000000000002</v>
      </c>
    </row>
    <row r="783" spans="1:11" x14ac:dyDescent="0.35">
      <c r="A783" s="1">
        <v>45300</v>
      </c>
      <c r="B783" t="s">
        <v>1758</v>
      </c>
      <c r="C783" t="s">
        <v>47</v>
      </c>
      <c r="D783" t="s">
        <v>13</v>
      </c>
      <c r="E783" t="s">
        <v>48</v>
      </c>
      <c r="F783" t="s">
        <v>15</v>
      </c>
      <c r="G783" t="s">
        <v>22</v>
      </c>
      <c r="H783">
        <v>6474.54</v>
      </c>
      <c r="I783">
        <v>4</v>
      </c>
      <c r="J783">
        <v>25898.16</v>
      </c>
      <c r="K783">
        <v>3.41</v>
      </c>
    </row>
    <row r="784" spans="1:11" x14ac:dyDescent="0.35">
      <c r="A784" s="1">
        <v>45300</v>
      </c>
      <c r="B784" t="s">
        <v>1825</v>
      </c>
      <c r="C784" t="s">
        <v>34</v>
      </c>
      <c r="D784" t="s">
        <v>13</v>
      </c>
      <c r="E784" t="s">
        <v>35</v>
      </c>
      <c r="F784" t="s">
        <v>45</v>
      </c>
      <c r="G784" t="s">
        <v>32</v>
      </c>
      <c r="H784">
        <v>8818.7199999999993</v>
      </c>
      <c r="I784">
        <v>5</v>
      </c>
      <c r="J784">
        <v>44093.599999999999</v>
      </c>
      <c r="K784">
        <v>2.72</v>
      </c>
    </row>
    <row r="785" spans="1:11" x14ac:dyDescent="0.35">
      <c r="A785" s="1">
        <v>45301</v>
      </c>
      <c r="B785" t="s">
        <v>568</v>
      </c>
      <c r="C785" t="s">
        <v>12</v>
      </c>
      <c r="D785" t="s">
        <v>13</v>
      </c>
      <c r="E785" t="s">
        <v>14</v>
      </c>
      <c r="F785" t="s">
        <v>21</v>
      </c>
      <c r="G785" t="s">
        <v>16</v>
      </c>
      <c r="H785">
        <v>12201.68</v>
      </c>
      <c r="I785">
        <v>2</v>
      </c>
      <c r="J785">
        <v>24403.360000000001</v>
      </c>
      <c r="K785">
        <v>2.57</v>
      </c>
    </row>
    <row r="786" spans="1:11" x14ac:dyDescent="0.35">
      <c r="A786" s="1">
        <v>45301</v>
      </c>
      <c r="B786" t="s">
        <v>869</v>
      </c>
      <c r="C786" t="s">
        <v>34</v>
      </c>
      <c r="D786" t="s">
        <v>13</v>
      </c>
      <c r="E786" t="s">
        <v>35</v>
      </c>
      <c r="F786" t="s">
        <v>45</v>
      </c>
      <c r="G786" t="s">
        <v>27</v>
      </c>
      <c r="H786">
        <v>17095.689999999999</v>
      </c>
      <c r="I786">
        <v>5</v>
      </c>
      <c r="J786">
        <v>85478.45</v>
      </c>
      <c r="K786">
        <v>2.31</v>
      </c>
    </row>
    <row r="787" spans="1:11" x14ac:dyDescent="0.35">
      <c r="A787" s="1">
        <v>45301</v>
      </c>
      <c r="B787" t="s">
        <v>935</v>
      </c>
      <c r="C787" t="s">
        <v>47</v>
      </c>
      <c r="D787" t="s">
        <v>13</v>
      </c>
      <c r="E787" t="s">
        <v>48</v>
      </c>
      <c r="F787" t="s">
        <v>15</v>
      </c>
      <c r="G787" t="s">
        <v>60</v>
      </c>
      <c r="H787">
        <v>14630.92</v>
      </c>
      <c r="I787">
        <v>4</v>
      </c>
      <c r="J787">
        <v>58523.68</v>
      </c>
      <c r="K787">
        <v>3.5</v>
      </c>
    </row>
    <row r="788" spans="1:11" x14ac:dyDescent="0.35">
      <c r="A788" s="1">
        <v>45301</v>
      </c>
      <c r="B788" t="s">
        <v>1529</v>
      </c>
      <c r="C788" t="s">
        <v>47</v>
      </c>
      <c r="D788" t="s">
        <v>13</v>
      </c>
      <c r="E788" t="s">
        <v>48</v>
      </c>
      <c r="F788" t="s">
        <v>15</v>
      </c>
      <c r="G788" t="s">
        <v>22</v>
      </c>
      <c r="H788">
        <v>3547</v>
      </c>
      <c r="I788">
        <v>3</v>
      </c>
      <c r="J788">
        <v>10641</v>
      </c>
      <c r="K788">
        <v>3.42</v>
      </c>
    </row>
    <row r="789" spans="1:11" x14ac:dyDescent="0.35">
      <c r="A789" s="1">
        <v>45304</v>
      </c>
      <c r="B789" t="s">
        <v>943</v>
      </c>
      <c r="C789" t="s">
        <v>34</v>
      </c>
      <c r="D789" t="s">
        <v>13</v>
      </c>
      <c r="E789" t="s">
        <v>35</v>
      </c>
      <c r="F789" t="s">
        <v>21</v>
      </c>
      <c r="G789" t="s">
        <v>16</v>
      </c>
      <c r="H789">
        <v>5477.18</v>
      </c>
      <c r="I789">
        <v>2</v>
      </c>
      <c r="J789">
        <v>10954.36</v>
      </c>
      <c r="K789">
        <v>2.73</v>
      </c>
    </row>
    <row r="790" spans="1:11" x14ac:dyDescent="0.35">
      <c r="A790" s="1">
        <v>45305</v>
      </c>
      <c r="B790" t="s">
        <v>765</v>
      </c>
      <c r="C790" t="s">
        <v>12</v>
      </c>
      <c r="D790" t="s">
        <v>13</v>
      </c>
      <c r="E790" t="s">
        <v>14</v>
      </c>
      <c r="F790" t="s">
        <v>45</v>
      </c>
      <c r="G790" t="s">
        <v>32</v>
      </c>
      <c r="H790">
        <v>11810.64</v>
      </c>
      <c r="I790">
        <v>2</v>
      </c>
      <c r="J790">
        <v>23621.279999999999</v>
      </c>
      <c r="K790">
        <v>4.62</v>
      </c>
    </row>
    <row r="791" spans="1:11" x14ac:dyDescent="0.35">
      <c r="A791" s="1">
        <v>45306</v>
      </c>
      <c r="B791" t="s">
        <v>130</v>
      </c>
      <c r="C791" t="s">
        <v>34</v>
      </c>
      <c r="D791" t="s">
        <v>13</v>
      </c>
      <c r="E791" t="s">
        <v>35</v>
      </c>
      <c r="F791" t="s">
        <v>45</v>
      </c>
      <c r="G791" t="s">
        <v>60</v>
      </c>
      <c r="H791">
        <v>5492.13</v>
      </c>
      <c r="I791">
        <v>5</v>
      </c>
      <c r="J791">
        <v>27460.65</v>
      </c>
      <c r="K791">
        <v>4.13</v>
      </c>
    </row>
    <row r="792" spans="1:11" x14ac:dyDescent="0.35">
      <c r="A792" s="1">
        <v>45306</v>
      </c>
      <c r="B792" t="s">
        <v>1863</v>
      </c>
      <c r="C792" t="s">
        <v>12</v>
      </c>
      <c r="D792" t="s">
        <v>13</v>
      </c>
      <c r="E792" t="s">
        <v>14</v>
      </c>
      <c r="F792" t="s">
        <v>21</v>
      </c>
      <c r="G792" t="s">
        <v>27</v>
      </c>
      <c r="H792">
        <v>2835.33</v>
      </c>
      <c r="I792">
        <v>1</v>
      </c>
      <c r="J792">
        <v>2835.33</v>
      </c>
      <c r="K792">
        <v>1.75</v>
      </c>
    </row>
    <row r="793" spans="1:11" x14ac:dyDescent="0.35">
      <c r="A793" s="1">
        <v>45307</v>
      </c>
      <c r="B793" t="s">
        <v>199</v>
      </c>
      <c r="C793" t="s">
        <v>12</v>
      </c>
      <c r="D793" t="s">
        <v>13</v>
      </c>
      <c r="E793" t="s">
        <v>14</v>
      </c>
      <c r="F793" t="s">
        <v>21</v>
      </c>
      <c r="G793" t="s">
        <v>16</v>
      </c>
      <c r="H793">
        <v>13243.22</v>
      </c>
      <c r="I793">
        <v>2</v>
      </c>
      <c r="J793">
        <v>26486.44</v>
      </c>
      <c r="K793">
        <v>3.4</v>
      </c>
    </row>
    <row r="794" spans="1:11" x14ac:dyDescent="0.35">
      <c r="A794" s="1">
        <v>45307</v>
      </c>
      <c r="B794" t="s">
        <v>1058</v>
      </c>
      <c r="C794" t="s">
        <v>47</v>
      </c>
      <c r="D794" t="s">
        <v>13</v>
      </c>
      <c r="E794" t="s">
        <v>48</v>
      </c>
      <c r="F794" t="s">
        <v>15</v>
      </c>
      <c r="G794" t="s">
        <v>16</v>
      </c>
      <c r="H794">
        <v>11380.58</v>
      </c>
      <c r="I794">
        <v>1</v>
      </c>
      <c r="J794">
        <v>11380.58</v>
      </c>
      <c r="K794">
        <v>3.44</v>
      </c>
    </row>
    <row r="795" spans="1:11" x14ac:dyDescent="0.35">
      <c r="A795" s="1">
        <v>45307</v>
      </c>
      <c r="B795" t="s">
        <v>1232</v>
      </c>
      <c r="C795" t="s">
        <v>47</v>
      </c>
      <c r="D795" t="s">
        <v>13</v>
      </c>
      <c r="E795" t="s">
        <v>48</v>
      </c>
      <c r="F795" t="s">
        <v>45</v>
      </c>
      <c r="G795" t="s">
        <v>16</v>
      </c>
      <c r="H795">
        <v>13279.77</v>
      </c>
      <c r="I795">
        <v>3</v>
      </c>
      <c r="J795">
        <v>39839.31</v>
      </c>
      <c r="K795">
        <v>1.42</v>
      </c>
    </row>
    <row r="796" spans="1:11" x14ac:dyDescent="0.35">
      <c r="A796" s="1">
        <v>45308</v>
      </c>
      <c r="B796" t="s">
        <v>1538</v>
      </c>
      <c r="C796" t="s">
        <v>12</v>
      </c>
      <c r="D796" t="s">
        <v>13</v>
      </c>
      <c r="E796" t="s">
        <v>14</v>
      </c>
      <c r="F796" t="s">
        <v>21</v>
      </c>
      <c r="G796" t="s">
        <v>39</v>
      </c>
      <c r="H796">
        <v>19695.53</v>
      </c>
      <c r="I796">
        <v>1</v>
      </c>
      <c r="J796">
        <v>19695.53</v>
      </c>
      <c r="K796">
        <v>2.19</v>
      </c>
    </row>
    <row r="797" spans="1:11" x14ac:dyDescent="0.35">
      <c r="A797" s="1">
        <v>45309</v>
      </c>
      <c r="B797" t="s">
        <v>966</v>
      </c>
      <c r="C797" t="s">
        <v>47</v>
      </c>
      <c r="D797" t="s">
        <v>13</v>
      </c>
      <c r="E797" t="s">
        <v>48</v>
      </c>
      <c r="F797" t="s">
        <v>21</v>
      </c>
      <c r="G797" t="s">
        <v>39</v>
      </c>
      <c r="H797">
        <v>4184.1899999999996</v>
      </c>
      <c r="I797">
        <v>5</v>
      </c>
      <c r="J797">
        <v>20920.95</v>
      </c>
      <c r="K797">
        <v>4.37</v>
      </c>
    </row>
    <row r="798" spans="1:11" x14ac:dyDescent="0.35">
      <c r="A798" s="1">
        <v>45309</v>
      </c>
      <c r="B798" t="s">
        <v>1323</v>
      </c>
      <c r="C798" t="s">
        <v>47</v>
      </c>
      <c r="D798" t="s">
        <v>13</v>
      </c>
      <c r="E798" t="s">
        <v>48</v>
      </c>
      <c r="F798" t="s">
        <v>15</v>
      </c>
      <c r="G798" t="s">
        <v>32</v>
      </c>
      <c r="H798">
        <v>18335.73</v>
      </c>
      <c r="I798">
        <v>3</v>
      </c>
      <c r="J798">
        <v>55007.19</v>
      </c>
      <c r="K798">
        <v>1.06</v>
      </c>
    </row>
    <row r="799" spans="1:11" x14ac:dyDescent="0.35">
      <c r="A799" s="1">
        <v>45309</v>
      </c>
      <c r="B799" t="s">
        <v>2026</v>
      </c>
      <c r="C799" t="s">
        <v>47</v>
      </c>
      <c r="D799" t="s">
        <v>13</v>
      </c>
      <c r="E799" t="s">
        <v>48</v>
      </c>
      <c r="F799" t="s">
        <v>45</v>
      </c>
      <c r="G799" t="s">
        <v>16</v>
      </c>
      <c r="H799">
        <v>15906.41</v>
      </c>
      <c r="I799">
        <v>1</v>
      </c>
      <c r="J799">
        <v>15906.41</v>
      </c>
      <c r="K799">
        <v>1.63</v>
      </c>
    </row>
    <row r="800" spans="1:11" x14ac:dyDescent="0.35">
      <c r="A800" s="1">
        <v>45311</v>
      </c>
      <c r="B800" t="s">
        <v>692</v>
      </c>
      <c r="C800" t="s">
        <v>12</v>
      </c>
      <c r="D800" t="s">
        <v>13</v>
      </c>
      <c r="E800" t="s">
        <v>14</v>
      </c>
      <c r="F800" t="s">
        <v>15</v>
      </c>
      <c r="G800" t="s">
        <v>16</v>
      </c>
      <c r="H800">
        <v>3115.35</v>
      </c>
      <c r="I800">
        <v>4</v>
      </c>
      <c r="J800">
        <v>12461.4</v>
      </c>
      <c r="K800">
        <v>1.59</v>
      </c>
    </row>
    <row r="801" spans="1:11" x14ac:dyDescent="0.35">
      <c r="A801" s="1">
        <v>45312</v>
      </c>
      <c r="B801" t="s">
        <v>577</v>
      </c>
      <c r="C801" t="s">
        <v>34</v>
      </c>
      <c r="D801" t="s">
        <v>13</v>
      </c>
      <c r="E801" t="s">
        <v>35</v>
      </c>
      <c r="F801" t="s">
        <v>21</v>
      </c>
      <c r="G801" t="s">
        <v>27</v>
      </c>
      <c r="H801">
        <v>13484.29</v>
      </c>
      <c r="I801">
        <v>4</v>
      </c>
      <c r="J801">
        <v>53937.16</v>
      </c>
      <c r="K801">
        <v>2.5299999999999998</v>
      </c>
    </row>
    <row r="802" spans="1:11" x14ac:dyDescent="0.35">
      <c r="A802" s="1">
        <v>45312</v>
      </c>
      <c r="B802" t="s">
        <v>638</v>
      </c>
      <c r="C802" t="s">
        <v>12</v>
      </c>
      <c r="D802" t="s">
        <v>13</v>
      </c>
      <c r="E802" t="s">
        <v>14</v>
      </c>
      <c r="F802" t="s">
        <v>45</v>
      </c>
      <c r="G802" t="s">
        <v>27</v>
      </c>
      <c r="H802">
        <v>5282.81</v>
      </c>
      <c r="I802">
        <v>1</v>
      </c>
      <c r="J802">
        <v>5282.81</v>
      </c>
      <c r="K802">
        <v>3.86</v>
      </c>
    </row>
    <row r="803" spans="1:11" x14ac:dyDescent="0.35">
      <c r="A803" s="1">
        <v>45313</v>
      </c>
      <c r="B803" t="s">
        <v>597</v>
      </c>
      <c r="C803" t="s">
        <v>34</v>
      </c>
      <c r="D803" t="s">
        <v>13</v>
      </c>
      <c r="E803" t="s">
        <v>35</v>
      </c>
      <c r="F803" t="s">
        <v>21</v>
      </c>
      <c r="G803" t="s">
        <v>22</v>
      </c>
      <c r="H803">
        <v>12468.52</v>
      </c>
      <c r="I803">
        <v>4</v>
      </c>
      <c r="J803">
        <v>49874.080000000002</v>
      </c>
      <c r="K803">
        <v>3.45</v>
      </c>
    </row>
    <row r="804" spans="1:11" x14ac:dyDescent="0.35">
      <c r="A804" s="1">
        <v>45313</v>
      </c>
      <c r="B804" t="s">
        <v>1311</v>
      </c>
      <c r="C804" t="s">
        <v>12</v>
      </c>
      <c r="D804" t="s">
        <v>13</v>
      </c>
      <c r="E804" t="s">
        <v>14</v>
      </c>
      <c r="F804" t="s">
        <v>15</v>
      </c>
      <c r="G804" t="s">
        <v>16</v>
      </c>
      <c r="H804">
        <v>840.93</v>
      </c>
      <c r="I804">
        <v>2</v>
      </c>
      <c r="J804">
        <v>1681.86</v>
      </c>
      <c r="K804">
        <v>3.42</v>
      </c>
    </row>
    <row r="805" spans="1:11" x14ac:dyDescent="0.35">
      <c r="A805" s="1">
        <v>45313</v>
      </c>
      <c r="B805" t="s">
        <v>1659</v>
      </c>
      <c r="C805" t="s">
        <v>47</v>
      </c>
      <c r="D805" t="s">
        <v>13</v>
      </c>
      <c r="E805" t="s">
        <v>48</v>
      </c>
      <c r="F805" t="s">
        <v>21</v>
      </c>
      <c r="G805" t="s">
        <v>27</v>
      </c>
      <c r="H805">
        <v>165.82</v>
      </c>
      <c r="I805">
        <v>3</v>
      </c>
      <c r="J805">
        <v>497.46</v>
      </c>
      <c r="K805">
        <v>1.29</v>
      </c>
    </row>
    <row r="806" spans="1:11" x14ac:dyDescent="0.35">
      <c r="A806" s="1">
        <v>45314</v>
      </c>
      <c r="B806" t="s">
        <v>1054</v>
      </c>
      <c r="C806" t="s">
        <v>12</v>
      </c>
      <c r="D806" t="s">
        <v>13</v>
      </c>
      <c r="E806" t="s">
        <v>14</v>
      </c>
      <c r="F806" t="s">
        <v>15</v>
      </c>
      <c r="G806" t="s">
        <v>22</v>
      </c>
      <c r="H806">
        <v>5703.03</v>
      </c>
      <c r="I806">
        <v>3</v>
      </c>
      <c r="J806">
        <v>17109.09</v>
      </c>
      <c r="K806">
        <v>1.85</v>
      </c>
    </row>
    <row r="807" spans="1:11" x14ac:dyDescent="0.35">
      <c r="A807" s="1">
        <v>45314</v>
      </c>
      <c r="B807" t="s">
        <v>1820</v>
      </c>
      <c r="C807" t="s">
        <v>34</v>
      </c>
      <c r="D807" t="s">
        <v>13</v>
      </c>
      <c r="E807" t="s">
        <v>35</v>
      </c>
      <c r="F807" t="s">
        <v>21</v>
      </c>
      <c r="G807" t="s">
        <v>32</v>
      </c>
      <c r="H807">
        <v>14532.02</v>
      </c>
      <c r="I807">
        <v>3</v>
      </c>
      <c r="J807">
        <v>43596.06</v>
      </c>
      <c r="K807">
        <v>1.71</v>
      </c>
    </row>
    <row r="808" spans="1:11" x14ac:dyDescent="0.35">
      <c r="A808" s="1">
        <v>45315</v>
      </c>
      <c r="B808" t="s">
        <v>59</v>
      </c>
      <c r="C808" t="s">
        <v>34</v>
      </c>
      <c r="D808" t="s">
        <v>13</v>
      </c>
      <c r="E808" t="s">
        <v>35</v>
      </c>
      <c r="F808" t="s">
        <v>45</v>
      </c>
      <c r="G808" t="s">
        <v>60</v>
      </c>
      <c r="H808">
        <v>13936.49</v>
      </c>
      <c r="I808">
        <v>2</v>
      </c>
      <c r="J808">
        <v>27872.98</v>
      </c>
      <c r="K808">
        <v>1.42</v>
      </c>
    </row>
    <row r="809" spans="1:11" x14ac:dyDescent="0.35">
      <c r="A809" s="1">
        <v>45315</v>
      </c>
      <c r="B809" t="s">
        <v>1395</v>
      </c>
      <c r="C809" t="s">
        <v>12</v>
      </c>
      <c r="D809" t="s">
        <v>13</v>
      </c>
      <c r="E809" t="s">
        <v>14</v>
      </c>
      <c r="F809" t="s">
        <v>15</v>
      </c>
      <c r="G809" t="s">
        <v>32</v>
      </c>
      <c r="H809">
        <v>14499.08</v>
      </c>
      <c r="I809">
        <v>1</v>
      </c>
      <c r="J809">
        <v>14499.08</v>
      </c>
      <c r="K809">
        <v>1.98</v>
      </c>
    </row>
    <row r="810" spans="1:11" x14ac:dyDescent="0.35">
      <c r="A810" s="1">
        <v>45316</v>
      </c>
      <c r="B810" t="s">
        <v>363</v>
      </c>
      <c r="C810" t="s">
        <v>47</v>
      </c>
      <c r="D810" t="s">
        <v>13</v>
      </c>
      <c r="E810" t="s">
        <v>48</v>
      </c>
      <c r="F810" t="s">
        <v>15</v>
      </c>
      <c r="G810" t="s">
        <v>27</v>
      </c>
      <c r="H810">
        <v>7361.8</v>
      </c>
      <c r="I810">
        <v>4</v>
      </c>
      <c r="J810">
        <v>29447.200000000001</v>
      </c>
      <c r="K810">
        <v>3</v>
      </c>
    </row>
    <row r="811" spans="1:11" x14ac:dyDescent="0.35">
      <c r="A811" s="1">
        <v>45316</v>
      </c>
      <c r="B811" t="s">
        <v>606</v>
      </c>
      <c r="C811" t="s">
        <v>47</v>
      </c>
      <c r="D811" t="s">
        <v>13</v>
      </c>
      <c r="E811" t="s">
        <v>48</v>
      </c>
      <c r="F811" t="s">
        <v>45</v>
      </c>
      <c r="G811" t="s">
        <v>16</v>
      </c>
      <c r="H811">
        <v>9978.09</v>
      </c>
      <c r="I811">
        <v>2</v>
      </c>
      <c r="J811">
        <v>19956.18</v>
      </c>
      <c r="K811">
        <v>1.49</v>
      </c>
    </row>
    <row r="812" spans="1:11" x14ac:dyDescent="0.35">
      <c r="A812" s="1">
        <v>45317</v>
      </c>
      <c r="B812" t="s">
        <v>1319</v>
      </c>
      <c r="C812" t="s">
        <v>34</v>
      </c>
      <c r="D812" t="s">
        <v>13</v>
      </c>
      <c r="E812" t="s">
        <v>35</v>
      </c>
      <c r="F812" t="s">
        <v>21</v>
      </c>
      <c r="G812" t="s">
        <v>39</v>
      </c>
      <c r="H812">
        <v>8924.48</v>
      </c>
      <c r="I812">
        <v>2</v>
      </c>
      <c r="J812">
        <v>17848.96</v>
      </c>
      <c r="K812">
        <v>1.31</v>
      </c>
    </row>
    <row r="813" spans="1:11" x14ac:dyDescent="0.35">
      <c r="A813" s="1">
        <v>45317</v>
      </c>
      <c r="B813" t="s">
        <v>2020</v>
      </c>
      <c r="C813" t="s">
        <v>12</v>
      </c>
      <c r="D813" t="s">
        <v>13</v>
      </c>
      <c r="E813" t="s">
        <v>14</v>
      </c>
      <c r="F813" t="s">
        <v>45</v>
      </c>
      <c r="G813" t="s">
        <v>16</v>
      </c>
      <c r="H813">
        <v>11910.82</v>
      </c>
      <c r="I813">
        <v>2</v>
      </c>
      <c r="J813">
        <v>23821.64</v>
      </c>
      <c r="K813">
        <v>4.5999999999999996</v>
      </c>
    </row>
    <row r="814" spans="1:11" x14ac:dyDescent="0.35">
      <c r="A814" s="1">
        <v>45318</v>
      </c>
      <c r="B814" t="s">
        <v>1023</v>
      </c>
      <c r="C814" t="s">
        <v>12</v>
      </c>
      <c r="D814" t="s">
        <v>13</v>
      </c>
      <c r="E814" t="s">
        <v>14</v>
      </c>
      <c r="F814" t="s">
        <v>15</v>
      </c>
      <c r="G814" t="s">
        <v>39</v>
      </c>
      <c r="H814">
        <v>7986.21</v>
      </c>
      <c r="I814">
        <v>5</v>
      </c>
      <c r="J814">
        <v>39931.050000000003</v>
      </c>
      <c r="K814">
        <v>1.49</v>
      </c>
    </row>
    <row r="815" spans="1:11" x14ac:dyDescent="0.35">
      <c r="A815" s="1">
        <v>45319</v>
      </c>
      <c r="B815" t="s">
        <v>65</v>
      </c>
      <c r="C815" t="s">
        <v>12</v>
      </c>
      <c r="D815" t="s">
        <v>13</v>
      </c>
      <c r="E815" t="s">
        <v>14</v>
      </c>
      <c r="F815" t="s">
        <v>21</v>
      </c>
      <c r="G815" t="s">
        <v>27</v>
      </c>
      <c r="H815">
        <v>12134.55</v>
      </c>
      <c r="I815">
        <v>4</v>
      </c>
      <c r="J815">
        <v>48538.2</v>
      </c>
      <c r="K815">
        <v>4.6100000000000003</v>
      </c>
    </row>
    <row r="816" spans="1:11" x14ac:dyDescent="0.35">
      <c r="A816" s="1">
        <v>45319</v>
      </c>
      <c r="B816" t="s">
        <v>324</v>
      </c>
      <c r="C816" t="s">
        <v>12</v>
      </c>
      <c r="D816" t="s">
        <v>13</v>
      </c>
      <c r="E816" t="s">
        <v>14</v>
      </c>
      <c r="F816" t="s">
        <v>21</v>
      </c>
      <c r="G816" t="s">
        <v>22</v>
      </c>
      <c r="H816">
        <v>9514.76</v>
      </c>
      <c r="I816">
        <v>2</v>
      </c>
      <c r="J816">
        <v>19029.52</v>
      </c>
      <c r="K816">
        <v>1.22</v>
      </c>
    </row>
    <row r="817" spans="1:11" x14ac:dyDescent="0.35">
      <c r="A817" s="1">
        <v>45319</v>
      </c>
      <c r="B817" t="s">
        <v>1526</v>
      </c>
      <c r="C817" t="s">
        <v>47</v>
      </c>
      <c r="D817" t="s">
        <v>13</v>
      </c>
      <c r="E817" t="s">
        <v>48</v>
      </c>
      <c r="F817" t="s">
        <v>45</v>
      </c>
      <c r="G817" t="s">
        <v>16</v>
      </c>
      <c r="H817">
        <v>5659.1</v>
      </c>
      <c r="I817">
        <v>2</v>
      </c>
      <c r="J817">
        <v>11318.2</v>
      </c>
      <c r="K817">
        <v>2.63</v>
      </c>
    </row>
    <row r="818" spans="1:11" x14ac:dyDescent="0.35">
      <c r="A818" s="1">
        <v>45319</v>
      </c>
      <c r="B818" t="s">
        <v>1712</v>
      </c>
      <c r="C818" t="s">
        <v>34</v>
      </c>
      <c r="D818" t="s">
        <v>13</v>
      </c>
      <c r="E818" t="s">
        <v>35</v>
      </c>
      <c r="F818" t="s">
        <v>15</v>
      </c>
      <c r="G818" t="s">
        <v>22</v>
      </c>
      <c r="H818">
        <v>11106.2</v>
      </c>
      <c r="I818">
        <v>4</v>
      </c>
      <c r="J818">
        <v>44424.800000000003</v>
      </c>
      <c r="K818">
        <v>4.7300000000000004</v>
      </c>
    </row>
    <row r="819" spans="1:11" x14ac:dyDescent="0.35">
      <c r="A819" s="1">
        <v>45320</v>
      </c>
      <c r="B819" t="s">
        <v>488</v>
      </c>
      <c r="C819" t="s">
        <v>12</v>
      </c>
      <c r="D819" t="s">
        <v>13</v>
      </c>
      <c r="E819" t="s">
        <v>14</v>
      </c>
      <c r="F819" t="s">
        <v>21</v>
      </c>
      <c r="G819" t="s">
        <v>22</v>
      </c>
      <c r="H819">
        <v>16640.97</v>
      </c>
      <c r="I819">
        <v>3</v>
      </c>
      <c r="J819">
        <v>49922.91</v>
      </c>
      <c r="K819">
        <v>1.37</v>
      </c>
    </row>
    <row r="820" spans="1:11" x14ac:dyDescent="0.35">
      <c r="A820" s="1">
        <v>45322</v>
      </c>
      <c r="B820" t="s">
        <v>790</v>
      </c>
      <c r="C820" t="s">
        <v>12</v>
      </c>
      <c r="D820" t="s">
        <v>13</v>
      </c>
      <c r="E820" t="s">
        <v>14</v>
      </c>
      <c r="F820" t="s">
        <v>15</v>
      </c>
      <c r="G820" t="s">
        <v>60</v>
      </c>
      <c r="H820">
        <v>2452.62</v>
      </c>
      <c r="I820">
        <v>2</v>
      </c>
      <c r="J820">
        <v>4905.24</v>
      </c>
      <c r="K820">
        <v>3.82</v>
      </c>
    </row>
    <row r="821" spans="1:11" x14ac:dyDescent="0.35">
      <c r="A821" s="1">
        <v>45323</v>
      </c>
      <c r="B821" t="s">
        <v>228</v>
      </c>
      <c r="C821" t="s">
        <v>47</v>
      </c>
      <c r="D821" t="s">
        <v>13</v>
      </c>
      <c r="E821" t="s">
        <v>48</v>
      </c>
      <c r="F821" t="s">
        <v>15</v>
      </c>
      <c r="G821" t="s">
        <v>60</v>
      </c>
      <c r="H821">
        <v>4520.58</v>
      </c>
      <c r="I821">
        <v>1</v>
      </c>
      <c r="J821">
        <v>4520.58</v>
      </c>
      <c r="K821">
        <v>1.99</v>
      </c>
    </row>
    <row r="822" spans="1:11" x14ac:dyDescent="0.35">
      <c r="A822" s="1">
        <v>45324</v>
      </c>
      <c r="B822" t="s">
        <v>56</v>
      </c>
      <c r="C822" t="s">
        <v>47</v>
      </c>
      <c r="D822" t="s">
        <v>13</v>
      </c>
      <c r="E822" t="s">
        <v>48</v>
      </c>
      <c r="F822" t="s">
        <v>45</v>
      </c>
      <c r="G822" t="s">
        <v>16</v>
      </c>
      <c r="H822">
        <v>15802.27</v>
      </c>
      <c r="I822">
        <v>5</v>
      </c>
      <c r="J822">
        <v>79011.350000000006</v>
      </c>
      <c r="K822">
        <v>1.75</v>
      </c>
    </row>
    <row r="823" spans="1:11" x14ac:dyDescent="0.35">
      <c r="A823" s="1">
        <v>45324</v>
      </c>
      <c r="B823" t="s">
        <v>831</v>
      </c>
      <c r="C823" t="s">
        <v>47</v>
      </c>
      <c r="D823" t="s">
        <v>13</v>
      </c>
      <c r="E823" t="s">
        <v>48</v>
      </c>
      <c r="F823" t="s">
        <v>45</v>
      </c>
      <c r="G823" t="s">
        <v>32</v>
      </c>
      <c r="H823">
        <v>11437.5</v>
      </c>
      <c r="I823">
        <v>3</v>
      </c>
      <c r="J823">
        <v>34312.5</v>
      </c>
      <c r="K823">
        <v>2.95</v>
      </c>
    </row>
    <row r="824" spans="1:11" x14ac:dyDescent="0.35">
      <c r="A824" s="1">
        <v>45324</v>
      </c>
      <c r="B824" t="s">
        <v>1808</v>
      </c>
      <c r="C824" t="s">
        <v>47</v>
      </c>
      <c r="D824" t="s">
        <v>13</v>
      </c>
      <c r="E824" t="s">
        <v>48</v>
      </c>
      <c r="F824" t="s">
        <v>21</v>
      </c>
      <c r="G824" t="s">
        <v>32</v>
      </c>
      <c r="H824">
        <v>6803.79</v>
      </c>
      <c r="I824">
        <v>5</v>
      </c>
      <c r="J824">
        <v>34018.949999999997</v>
      </c>
      <c r="K824">
        <v>3.63</v>
      </c>
    </row>
    <row r="825" spans="1:11" x14ac:dyDescent="0.35">
      <c r="A825" s="1">
        <v>45325</v>
      </c>
      <c r="B825" t="s">
        <v>173</v>
      </c>
      <c r="C825" t="s">
        <v>47</v>
      </c>
      <c r="D825" t="s">
        <v>13</v>
      </c>
      <c r="E825" t="s">
        <v>48</v>
      </c>
      <c r="F825" t="s">
        <v>15</v>
      </c>
      <c r="G825" t="s">
        <v>27</v>
      </c>
      <c r="H825">
        <v>10082.76</v>
      </c>
      <c r="I825">
        <v>4</v>
      </c>
      <c r="J825">
        <v>40331.040000000001</v>
      </c>
      <c r="K825">
        <v>3.53</v>
      </c>
    </row>
    <row r="826" spans="1:11" x14ac:dyDescent="0.35">
      <c r="A826" s="1">
        <v>45325</v>
      </c>
      <c r="B826" t="s">
        <v>1511</v>
      </c>
      <c r="C826" t="s">
        <v>47</v>
      </c>
      <c r="D826" t="s">
        <v>13</v>
      </c>
      <c r="E826" t="s">
        <v>48</v>
      </c>
      <c r="F826" t="s">
        <v>15</v>
      </c>
      <c r="G826" t="s">
        <v>39</v>
      </c>
      <c r="H826">
        <v>2552.7399999999998</v>
      </c>
      <c r="I826">
        <v>1</v>
      </c>
      <c r="J826">
        <v>2552.7399999999998</v>
      </c>
      <c r="K826">
        <v>2.71</v>
      </c>
    </row>
    <row r="827" spans="1:11" x14ac:dyDescent="0.35">
      <c r="A827" s="1">
        <v>45325</v>
      </c>
      <c r="B827" t="s">
        <v>1948</v>
      </c>
      <c r="C827" t="s">
        <v>47</v>
      </c>
      <c r="D827" t="s">
        <v>13</v>
      </c>
      <c r="E827" t="s">
        <v>48</v>
      </c>
      <c r="F827" t="s">
        <v>15</v>
      </c>
      <c r="G827" t="s">
        <v>32</v>
      </c>
      <c r="H827">
        <v>8553.76</v>
      </c>
      <c r="I827">
        <v>5</v>
      </c>
      <c r="J827">
        <v>42768.800000000003</v>
      </c>
      <c r="K827">
        <v>2.48</v>
      </c>
    </row>
    <row r="828" spans="1:11" x14ac:dyDescent="0.35">
      <c r="A828" s="1">
        <v>45326</v>
      </c>
      <c r="B828" t="s">
        <v>1118</v>
      </c>
      <c r="C828" t="s">
        <v>34</v>
      </c>
      <c r="D828" t="s">
        <v>13</v>
      </c>
      <c r="E828" t="s">
        <v>35</v>
      </c>
      <c r="F828" t="s">
        <v>21</v>
      </c>
      <c r="G828" t="s">
        <v>16</v>
      </c>
      <c r="H828">
        <v>6805.56</v>
      </c>
      <c r="I828">
        <v>5</v>
      </c>
      <c r="J828">
        <v>34027.800000000003</v>
      </c>
      <c r="K828">
        <v>1.1000000000000001</v>
      </c>
    </row>
    <row r="829" spans="1:11" x14ac:dyDescent="0.35">
      <c r="A829" s="1">
        <v>45326</v>
      </c>
      <c r="B829" t="s">
        <v>1721</v>
      </c>
      <c r="C829" t="s">
        <v>47</v>
      </c>
      <c r="D829" t="s">
        <v>13</v>
      </c>
      <c r="E829" t="s">
        <v>48</v>
      </c>
      <c r="F829" t="s">
        <v>45</v>
      </c>
      <c r="G829" t="s">
        <v>60</v>
      </c>
      <c r="H829">
        <v>8090.15</v>
      </c>
      <c r="I829">
        <v>4</v>
      </c>
      <c r="J829">
        <v>32360.6</v>
      </c>
      <c r="K829">
        <v>4.2300000000000004</v>
      </c>
    </row>
    <row r="830" spans="1:11" x14ac:dyDescent="0.35">
      <c r="A830" s="1">
        <v>45327</v>
      </c>
      <c r="B830" t="s">
        <v>2040</v>
      </c>
      <c r="C830" t="s">
        <v>47</v>
      </c>
      <c r="D830" t="s">
        <v>13</v>
      </c>
      <c r="E830" t="s">
        <v>48</v>
      </c>
      <c r="F830" t="s">
        <v>15</v>
      </c>
      <c r="G830" t="s">
        <v>27</v>
      </c>
      <c r="H830">
        <v>18916.61</v>
      </c>
      <c r="I830">
        <v>2</v>
      </c>
      <c r="J830">
        <v>37833.22</v>
      </c>
      <c r="K830">
        <v>3.6</v>
      </c>
    </row>
    <row r="831" spans="1:11" x14ac:dyDescent="0.35">
      <c r="A831" s="1">
        <v>45328</v>
      </c>
      <c r="B831" t="s">
        <v>707</v>
      </c>
      <c r="C831" t="s">
        <v>34</v>
      </c>
      <c r="D831" t="s">
        <v>13</v>
      </c>
      <c r="E831" t="s">
        <v>35</v>
      </c>
      <c r="F831" t="s">
        <v>15</v>
      </c>
      <c r="G831" t="s">
        <v>16</v>
      </c>
      <c r="H831">
        <v>17798.48</v>
      </c>
      <c r="I831">
        <v>3</v>
      </c>
      <c r="J831">
        <v>53395.44</v>
      </c>
      <c r="K831">
        <v>1.03</v>
      </c>
    </row>
    <row r="832" spans="1:11" x14ac:dyDescent="0.35">
      <c r="A832" s="1">
        <v>45328</v>
      </c>
      <c r="B832" t="s">
        <v>893</v>
      </c>
      <c r="C832" t="s">
        <v>34</v>
      </c>
      <c r="D832" t="s">
        <v>13</v>
      </c>
      <c r="E832" t="s">
        <v>35</v>
      </c>
      <c r="F832" t="s">
        <v>45</v>
      </c>
      <c r="G832" t="s">
        <v>22</v>
      </c>
      <c r="H832">
        <v>4442.53</v>
      </c>
      <c r="I832">
        <v>4</v>
      </c>
      <c r="J832">
        <v>17770.12</v>
      </c>
      <c r="K832">
        <v>2.78</v>
      </c>
    </row>
    <row r="833" spans="1:11" x14ac:dyDescent="0.35">
      <c r="A833" s="1">
        <v>45328</v>
      </c>
      <c r="B833" t="s">
        <v>1439</v>
      </c>
      <c r="C833" t="s">
        <v>47</v>
      </c>
      <c r="D833" t="s">
        <v>13</v>
      </c>
      <c r="E833" t="s">
        <v>48</v>
      </c>
      <c r="F833" t="s">
        <v>21</v>
      </c>
      <c r="G833" t="s">
        <v>22</v>
      </c>
      <c r="H833">
        <v>13941.58</v>
      </c>
      <c r="I833">
        <v>5</v>
      </c>
      <c r="J833">
        <v>69707.899999999994</v>
      </c>
      <c r="K833">
        <v>2.74</v>
      </c>
    </row>
    <row r="834" spans="1:11" x14ac:dyDescent="0.35">
      <c r="A834" s="1">
        <v>45328</v>
      </c>
      <c r="B834" t="s">
        <v>1554</v>
      </c>
      <c r="C834" t="s">
        <v>34</v>
      </c>
      <c r="D834" t="s">
        <v>13</v>
      </c>
      <c r="E834" t="s">
        <v>35</v>
      </c>
      <c r="F834" t="s">
        <v>15</v>
      </c>
      <c r="G834" t="s">
        <v>39</v>
      </c>
      <c r="H834">
        <v>9584.98</v>
      </c>
      <c r="I834">
        <v>1</v>
      </c>
      <c r="J834">
        <v>9584.98</v>
      </c>
      <c r="K834">
        <v>3.15</v>
      </c>
    </row>
    <row r="835" spans="1:11" x14ac:dyDescent="0.35">
      <c r="A835" s="1">
        <v>45328</v>
      </c>
      <c r="B835" t="s">
        <v>1829</v>
      </c>
      <c r="C835" t="s">
        <v>47</v>
      </c>
      <c r="D835" t="s">
        <v>13</v>
      </c>
      <c r="E835" t="s">
        <v>48</v>
      </c>
      <c r="F835" t="s">
        <v>45</v>
      </c>
      <c r="G835" t="s">
        <v>22</v>
      </c>
      <c r="H835">
        <v>3697.28</v>
      </c>
      <c r="I835">
        <v>5</v>
      </c>
      <c r="J835">
        <v>18486.400000000001</v>
      </c>
      <c r="K835">
        <v>4.76</v>
      </c>
    </row>
    <row r="836" spans="1:11" x14ac:dyDescent="0.35">
      <c r="A836" s="1">
        <v>45329</v>
      </c>
      <c r="B836" t="s">
        <v>498</v>
      </c>
      <c r="C836" t="s">
        <v>47</v>
      </c>
      <c r="D836" t="s">
        <v>13</v>
      </c>
      <c r="E836" t="s">
        <v>48</v>
      </c>
      <c r="F836" t="s">
        <v>21</v>
      </c>
      <c r="G836" t="s">
        <v>32</v>
      </c>
      <c r="H836">
        <v>18992.27</v>
      </c>
      <c r="I836">
        <v>4</v>
      </c>
      <c r="J836">
        <v>75969.08</v>
      </c>
      <c r="K836">
        <v>1.81</v>
      </c>
    </row>
    <row r="837" spans="1:11" x14ac:dyDescent="0.35">
      <c r="A837" s="1">
        <v>45330</v>
      </c>
      <c r="B837" t="s">
        <v>68</v>
      </c>
      <c r="C837" t="s">
        <v>12</v>
      </c>
      <c r="D837" t="s">
        <v>13</v>
      </c>
      <c r="E837" t="s">
        <v>14</v>
      </c>
      <c r="F837" t="s">
        <v>15</v>
      </c>
      <c r="G837" t="s">
        <v>32</v>
      </c>
      <c r="H837">
        <v>7396.38</v>
      </c>
      <c r="I837">
        <v>2</v>
      </c>
      <c r="J837">
        <v>14792.76</v>
      </c>
      <c r="K837">
        <v>4.34</v>
      </c>
    </row>
    <row r="838" spans="1:11" x14ac:dyDescent="0.35">
      <c r="A838" s="1">
        <v>45330</v>
      </c>
      <c r="B838" t="s">
        <v>418</v>
      </c>
      <c r="C838" t="s">
        <v>47</v>
      </c>
      <c r="D838" t="s">
        <v>13</v>
      </c>
      <c r="E838" t="s">
        <v>48</v>
      </c>
      <c r="F838" t="s">
        <v>15</v>
      </c>
      <c r="G838" t="s">
        <v>32</v>
      </c>
      <c r="H838">
        <v>11911.3</v>
      </c>
      <c r="I838">
        <v>5</v>
      </c>
      <c r="J838">
        <v>59556.5</v>
      </c>
      <c r="K838">
        <v>4.37</v>
      </c>
    </row>
    <row r="839" spans="1:11" x14ac:dyDescent="0.35">
      <c r="A839" s="1">
        <v>45330</v>
      </c>
      <c r="B839" t="s">
        <v>601</v>
      </c>
      <c r="C839" t="s">
        <v>34</v>
      </c>
      <c r="D839" t="s">
        <v>13</v>
      </c>
      <c r="E839" t="s">
        <v>35</v>
      </c>
      <c r="F839" t="s">
        <v>21</v>
      </c>
      <c r="G839" t="s">
        <v>32</v>
      </c>
      <c r="H839">
        <v>9171.1200000000008</v>
      </c>
      <c r="I839">
        <v>2</v>
      </c>
      <c r="J839">
        <v>18342.240000000002</v>
      </c>
      <c r="K839">
        <v>1.79</v>
      </c>
    </row>
    <row r="840" spans="1:11" x14ac:dyDescent="0.35">
      <c r="A840" s="1">
        <v>45330</v>
      </c>
      <c r="B840" t="s">
        <v>1322</v>
      </c>
      <c r="C840" t="s">
        <v>12</v>
      </c>
      <c r="D840" t="s">
        <v>13</v>
      </c>
      <c r="E840" t="s">
        <v>14</v>
      </c>
      <c r="F840" t="s">
        <v>15</v>
      </c>
      <c r="G840" t="s">
        <v>60</v>
      </c>
      <c r="H840">
        <v>5552.36</v>
      </c>
      <c r="I840">
        <v>3</v>
      </c>
      <c r="J840">
        <v>16657.080000000002</v>
      </c>
      <c r="K840">
        <v>4.8499999999999996</v>
      </c>
    </row>
    <row r="841" spans="1:11" x14ac:dyDescent="0.35">
      <c r="A841" s="1">
        <v>45330</v>
      </c>
      <c r="B841" t="s">
        <v>1535</v>
      </c>
      <c r="C841" t="s">
        <v>47</v>
      </c>
      <c r="D841" t="s">
        <v>13</v>
      </c>
      <c r="E841" t="s">
        <v>48</v>
      </c>
      <c r="F841" t="s">
        <v>15</v>
      </c>
      <c r="G841" t="s">
        <v>39</v>
      </c>
      <c r="H841">
        <v>13783.59</v>
      </c>
      <c r="I841">
        <v>4</v>
      </c>
      <c r="J841">
        <v>55134.36</v>
      </c>
      <c r="K841">
        <v>2.88</v>
      </c>
    </row>
    <row r="842" spans="1:11" x14ac:dyDescent="0.35">
      <c r="A842" s="1">
        <v>45330</v>
      </c>
      <c r="B842" t="s">
        <v>1590</v>
      </c>
      <c r="C842" t="s">
        <v>34</v>
      </c>
      <c r="D842" t="s">
        <v>13</v>
      </c>
      <c r="E842" t="s">
        <v>35</v>
      </c>
      <c r="F842" t="s">
        <v>45</v>
      </c>
      <c r="G842" t="s">
        <v>32</v>
      </c>
      <c r="H842">
        <v>10943.38</v>
      </c>
      <c r="I842">
        <v>2</v>
      </c>
      <c r="J842">
        <v>21886.76</v>
      </c>
      <c r="K842">
        <v>2.2400000000000002</v>
      </c>
    </row>
    <row r="843" spans="1:11" x14ac:dyDescent="0.35">
      <c r="A843" s="1">
        <v>45331</v>
      </c>
      <c r="B843" t="s">
        <v>406</v>
      </c>
      <c r="C843" t="s">
        <v>34</v>
      </c>
      <c r="D843" t="s">
        <v>13</v>
      </c>
      <c r="E843" t="s">
        <v>35</v>
      </c>
      <c r="F843" t="s">
        <v>15</v>
      </c>
      <c r="G843" t="s">
        <v>16</v>
      </c>
      <c r="H843">
        <v>640.66999999999996</v>
      </c>
      <c r="I843">
        <v>4</v>
      </c>
      <c r="J843">
        <v>2562.6799999999998</v>
      </c>
      <c r="K843">
        <v>3.92</v>
      </c>
    </row>
    <row r="844" spans="1:11" x14ac:dyDescent="0.35">
      <c r="A844" s="1">
        <v>45331</v>
      </c>
      <c r="B844" t="s">
        <v>689</v>
      </c>
      <c r="C844" t="s">
        <v>12</v>
      </c>
      <c r="D844" t="s">
        <v>13</v>
      </c>
      <c r="E844" t="s">
        <v>14</v>
      </c>
      <c r="F844" t="s">
        <v>21</v>
      </c>
      <c r="G844" t="s">
        <v>39</v>
      </c>
      <c r="H844">
        <v>13006.47</v>
      </c>
      <c r="I844">
        <v>3</v>
      </c>
      <c r="J844">
        <v>39019.410000000003</v>
      </c>
      <c r="K844">
        <v>2.35</v>
      </c>
    </row>
    <row r="845" spans="1:11" x14ac:dyDescent="0.35">
      <c r="A845" s="1">
        <v>45331</v>
      </c>
      <c r="B845" t="s">
        <v>1036</v>
      </c>
      <c r="C845" t="s">
        <v>34</v>
      </c>
      <c r="D845" t="s">
        <v>13</v>
      </c>
      <c r="E845" t="s">
        <v>35</v>
      </c>
      <c r="F845" t="s">
        <v>21</v>
      </c>
      <c r="G845" t="s">
        <v>60</v>
      </c>
      <c r="H845">
        <v>16668.66</v>
      </c>
      <c r="I845">
        <v>4</v>
      </c>
      <c r="J845">
        <v>66674.64</v>
      </c>
      <c r="K845">
        <v>3.22</v>
      </c>
    </row>
    <row r="846" spans="1:11" x14ac:dyDescent="0.35">
      <c r="A846" s="1">
        <v>45331</v>
      </c>
      <c r="B846" t="s">
        <v>1419</v>
      </c>
      <c r="C846" t="s">
        <v>12</v>
      </c>
      <c r="D846" t="s">
        <v>13</v>
      </c>
      <c r="E846" t="s">
        <v>14</v>
      </c>
      <c r="F846" t="s">
        <v>15</v>
      </c>
      <c r="G846" t="s">
        <v>22</v>
      </c>
      <c r="H846">
        <v>12393.45</v>
      </c>
      <c r="I846">
        <v>3</v>
      </c>
      <c r="J846">
        <v>37180.35</v>
      </c>
      <c r="K846">
        <v>3.85</v>
      </c>
    </row>
    <row r="847" spans="1:11" x14ac:dyDescent="0.35">
      <c r="A847" s="1">
        <v>45331</v>
      </c>
      <c r="B847" t="s">
        <v>1481</v>
      </c>
      <c r="C847" t="s">
        <v>34</v>
      </c>
      <c r="D847" t="s">
        <v>13</v>
      </c>
      <c r="E847" t="s">
        <v>35</v>
      </c>
      <c r="F847" t="s">
        <v>15</v>
      </c>
      <c r="G847" t="s">
        <v>16</v>
      </c>
      <c r="H847">
        <v>8686.64</v>
      </c>
      <c r="I847">
        <v>2</v>
      </c>
      <c r="J847">
        <v>17373.28</v>
      </c>
      <c r="K847">
        <v>2.13</v>
      </c>
    </row>
    <row r="848" spans="1:11" x14ac:dyDescent="0.35">
      <c r="A848" s="1">
        <v>45332</v>
      </c>
      <c r="B848" t="s">
        <v>1451</v>
      </c>
      <c r="C848" t="s">
        <v>12</v>
      </c>
      <c r="D848" t="s">
        <v>13</v>
      </c>
      <c r="E848" t="s">
        <v>14</v>
      </c>
      <c r="F848" t="s">
        <v>15</v>
      </c>
      <c r="G848" t="s">
        <v>27</v>
      </c>
      <c r="H848">
        <v>10227.83</v>
      </c>
      <c r="I848">
        <v>3</v>
      </c>
      <c r="J848">
        <v>30683.49</v>
      </c>
      <c r="K848">
        <v>3.92</v>
      </c>
    </row>
    <row r="849" spans="1:11" x14ac:dyDescent="0.35">
      <c r="A849" s="1">
        <v>45332</v>
      </c>
      <c r="B849" t="s">
        <v>2021</v>
      </c>
      <c r="C849" t="s">
        <v>47</v>
      </c>
      <c r="D849" t="s">
        <v>13</v>
      </c>
      <c r="E849" t="s">
        <v>48</v>
      </c>
      <c r="F849" t="s">
        <v>21</v>
      </c>
      <c r="G849" t="s">
        <v>39</v>
      </c>
      <c r="H849">
        <v>4044.64</v>
      </c>
      <c r="I849">
        <v>2</v>
      </c>
      <c r="J849">
        <v>8089.28</v>
      </c>
      <c r="K849">
        <v>4.71</v>
      </c>
    </row>
    <row r="850" spans="1:11" x14ac:dyDescent="0.35">
      <c r="A850" s="1">
        <v>45333</v>
      </c>
      <c r="B850" t="s">
        <v>753</v>
      </c>
      <c r="C850" t="s">
        <v>12</v>
      </c>
      <c r="D850" t="s">
        <v>13</v>
      </c>
      <c r="E850" t="s">
        <v>14</v>
      </c>
      <c r="F850" t="s">
        <v>21</v>
      </c>
      <c r="G850" t="s">
        <v>27</v>
      </c>
      <c r="H850">
        <v>2876.34</v>
      </c>
      <c r="I850">
        <v>4</v>
      </c>
      <c r="J850">
        <v>11505.36</v>
      </c>
      <c r="K850">
        <v>3.75</v>
      </c>
    </row>
    <row r="851" spans="1:11" x14ac:dyDescent="0.35">
      <c r="A851" s="1">
        <v>45334</v>
      </c>
      <c r="B851" t="s">
        <v>985</v>
      </c>
      <c r="C851" t="s">
        <v>47</v>
      </c>
      <c r="D851" t="s">
        <v>13</v>
      </c>
      <c r="E851" t="s">
        <v>48</v>
      </c>
      <c r="F851" t="s">
        <v>45</v>
      </c>
      <c r="G851" t="s">
        <v>27</v>
      </c>
      <c r="H851">
        <v>1960.15</v>
      </c>
      <c r="I851">
        <v>5</v>
      </c>
      <c r="J851">
        <v>9800.75</v>
      </c>
      <c r="K851">
        <v>1.96</v>
      </c>
    </row>
    <row r="852" spans="1:11" x14ac:dyDescent="0.35">
      <c r="A852" s="1">
        <v>45335</v>
      </c>
      <c r="B852" t="s">
        <v>1597</v>
      </c>
      <c r="C852" t="s">
        <v>47</v>
      </c>
      <c r="D852" t="s">
        <v>13</v>
      </c>
      <c r="E852" t="s">
        <v>48</v>
      </c>
      <c r="F852" t="s">
        <v>45</v>
      </c>
      <c r="G852" t="s">
        <v>39</v>
      </c>
      <c r="H852">
        <v>14843.42</v>
      </c>
      <c r="I852">
        <v>5</v>
      </c>
      <c r="J852">
        <v>74217.100000000006</v>
      </c>
      <c r="K852">
        <v>1.5</v>
      </c>
    </row>
    <row r="853" spans="1:11" x14ac:dyDescent="0.35">
      <c r="A853" s="1">
        <v>45337</v>
      </c>
      <c r="B853" t="s">
        <v>338</v>
      </c>
      <c r="C853" t="s">
        <v>34</v>
      </c>
      <c r="D853" t="s">
        <v>13</v>
      </c>
      <c r="E853" t="s">
        <v>35</v>
      </c>
      <c r="F853" t="s">
        <v>21</v>
      </c>
      <c r="G853" t="s">
        <v>39</v>
      </c>
      <c r="H853">
        <v>1473.5</v>
      </c>
      <c r="I853">
        <v>3</v>
      </c>
      <c r="J853">
        <v>4420.5</v>
      </c>
      <c r="K853">
        <v>3.05</v>
      </c>
    </row>
    <row r="854" spans="1:11" x14ac:dyDescent="0.35">
      <c r="A854" s="1">
        <v>45337</v>
      </c>
      <c r="B854" t="s">
        <v>1261</v>
      </c>
      <c r="C854" t="s">
        <v>34</v>
      </c>
      <c r="D854" t="s">
        <v>13</v>
      </c>
      <c r="E854" t="s">
        <v>35</v>
      </c>
      <c r="F854" t="s">
        <v>45</v>
      </c>
      <c r="G854" t="s">
        <v>39</v>
      </c>
      <c r="H854">
        <v>14032.1</v>
      </c>
      <c r="I854">
        <v>3</v>
      </c>
      <c r="J854">
        <v>42096.3</v>
      </c>
      <c r="K854">
        <v>4.67</v>
      </c>
    </row>
    <row r="855" spans="1:11" x14ac:dyDescent="0.35">
      <c r="A855" s="1">
        <v>45338</v>
      </c>
      <c r="B855" t="s">
        <v>1167</v>
      </c>
      <c r="C855" t="s">
        <v>47</v>
      </c>
      <c r="D855" t="s">
        <v>13</v>
      </c>
      <c r="E855" t="s">
        <v>48</v>
      </c>
      <c r="F855" t="s">
        <v>21</v>
      </c>
      <c r="G855" t="s">
        <v>27</v>
      </c>
      <c r="H855">
        <v>17598.73</v>
      </c>
      <c r="I855">
        <v>5</v>
      </c>
      <c r="J855">
        <v>87993.65</v>
      </c>
      <c r="K855">
        <v>4.26</v>
      </c>
    </row>
    <row r="856" spans="1:11" x14ac:dyDescent="0.35">
      <c r="A856" s="1">
        <v>45338</v>
      </c>
      <c r="B856" t="s">
        <v>1760</v>
      </c>
      <c r="C856" t="s">
        <v>12</v>
      </c>
      <c r="D856" t="s">
        <v>13</v>
      </c>
      <c r="E856" t="s">
        <v>14</v>
      </c>
      <c r="F856" t="s">
        <v>45</v>
      </c>
      <c r="G856" t="s">
        <v>27</v>
      </c>
      <c r="H856">
        <v>3039.07</v>
      </c>
      <c r="I856">
        <v>1</v>
      </c>
      <c r="J856">
        <v>3039.07</v>
      </c>
      <c r="K856">
        <v>4</v>
      </c>
    </row>
    <row r="857" spans="1:11" x14ac:dyDescent="0.35">
      <c r="A857" s="1">
        <v>45338</v>
      </c>
      <c r="B857" t="s">
        <v>1807</v>
      </c>
      <c r="C857" t="s">
        <v>34</v>
      </c>
      <c r="D857" t="s">
        <v>13</v>
      </c>
      <c r="E857" t="s">
        <v>35</v>
      </c>
      <c r="F857" t="s">
        <v>15</v>
      </c>
      <c r="G857" t="s">
        <v>16</v>
      </c>
      <c r="H857">
        <v>8089.6</v>
      </c>
      <c r="I857">
        <v>1</v>
      </c>
      <c r="J857">
        <v>8089.6</v>
      </c>
      <c r="K857">
        <v>2.2999999999999998</v>
      </c>
    </row>
    <row r="858" spans="1:11" x14ac:dyDescent="0.35">
      <c r="A858" s="1">
        <v>45339</v>
      </c>
      <c r="B858" t="s">
        <v>890</v>
      </c>
      <c r="C858" t="s">
        <v>47</v>
      </c>
      <c r="D858" t="s">
        <v>13</v>
      </c>
      <c r="E858" t="s">
        <v>48</v>
      </c>
      <c r="F858" t="s">
        <v>45</v>
      </c>
      <c r="G858" t="s">
        <v>32</v>
      </c>
      <c r="H858">
        <v>15839.39</v>
      </c>
      <c r="I858">
        <v>5</v>
      </c>
      <c r="J858">
        <v>79196.95</v>
      </c>
      <c r="K858">
        <v>2.66</v>
      </c>
    </row>
    <row r="859" spans="1:11" x14ac:dyDescent="0.35">
      <c r="A859" s="1">
        <v>45339</v>
      </c>
      <c r="B859" t="s">
        <v>947</v>
      </c>
      <c r="C859" t="s">
        <v>12</v>
      </c>
      <c r="D859" t="s">
        <v>13</v>
      </c>
      <c r="E859" t="s">
        <v>14</v>
      </c>
      <c r="F859" t="s">
        <v>15</v>
      </c>
      <c r="G859" t="s">
        <v>22</v>
      </c>
      <c r="H859">
        <v>12344.31</v>
      </c>
      <c r="I859">
        <v>2</v>
      </c>
      <c r="J859">
        <v>24688.62</v>
      </c>
      <c r="K859">
        <v>4.42</v>
      </c>
    </row>
    <row r="860" spans="1:11" x14ac:dyDescent="0.35">
      <c r="A860" s="1">
        <v>45339</v>
      </c>
      <c r="B860" t="s">
        <v>1697</v>
      </c>
      <c r="C860" t="s">
        <v>47</v>
      </c>
      <c r="D860" t="s">
        <v>13</v>
      </c>
      <c r="E860" t="s">
        <v>48</v>
      </c>
      <c r="F860" t="s">
        <v>15</v>
      </c>
      <c r="G860" t="s">
        <v>27</v>
      </c>
      <c r="H860">
        <v>6857.37</v>
      </c>
      <c r="I860">
        <v>2</v>
      </c>
      <c r="J860">
        <v>13714.74</v>
      </c>
      <c r="K860">
        <v>4.0199999999999996</v>
      </c>
    </row>
    <row r="861" spans="1:11" x14ac:dyDescent="0.35">
      <c r="A861" s="1">
        <v>45339</v>
      </c>
      <c r="B861" t="s">
        <v>1713</v>
      </c>
      <c r="C861" t="s">
        <v>12</v>
      </c>
      <c r="D861" t="s">
        <v>13</v>
      </c>
      <c r="E861" t="s">
        <v>14</v>
      </c>
      <c r="F861" t="s">
        <v>21</v>
      </c>
      <c r="G861" t="s">
        <v>22</v>
      </c>
      <c r="H861">
        <v>9560.64</v>
      </c>
      <c r="I861">
        <v>2</v>
      </c>
      <c r="J861">
        <v>19121.28</v>
      </c>
      <c r="K861">
        <v>4.42</v>
      </c>
    </row>
    <row r="862" spans="1:11" x14ac:dyDescent="0.35">
      <c r="A862" s="1">
        <v>45341</v>
      </c>
      <c r="B862" t="s">
        <v>33</v>
      </c>
      <c r="C862" t="s">
        <v>34</v>
      </c>
      <c r="D862" t="s">
        <v>13</v>
      </c>
      <c r="E862" t="s">
        <v>35</v>
      </c>
      <c r="F862" t="s">
        <v>15</v>
      </c>
      <c r="G862" t="s">
        <v>27</v>
      </c>
      <c r="H862">
        <v>5210.37</v>
      </c>
      <c r="I862">
        <v>2</v>
      </c>
      <c r="J862">
        <v>10420.74</v>
      </c>
      <c r="K862">
        <v>3.73</v>
      </c>
    </row>
    <row r="863" spans="1:11" x14ac:dyDescent="0.35">
      <c r="A863" s="1">
        <v>45341</v>
      </c>
      <c r="B863" t="s">
        <v>1979</v>
      </c>
      <c r="C863" t="s">
        <v>47</v>
      </c>
      <c r="D863" t="s">
        <v>13</v>
      </c>
      <c r="E863" t="s">
        <v>48</v>
      </c>
      <c r="F863" t="s">
        <v>45</v>
      </c>
      <c r="G863" t="s">
        <v>27</v>
      </c>
      <c r="H863">
        <v>19000.55</v>
      </c>
      <c r="I863">
        <v>3</v>
      </c>
      <c r="J863">
        <v>57001.65</v>
      </c>
      <c r="K863">
        <v>3.93</v>
      </c>
    </row>
    <row r="864" spans="1:11" x14ac:dyDescent="0.35">
      <c r="A864" s="1">
        <v>45342</v>
      </c>
      <c r="B864" t="s">
        <v>49</v>
      </c>
      <c r="C864" t="s">
        <v>12</v>
      </c>
      <c r="D864" t="s">
        <v>13</v>
      </c>
      <c r="E864" t="s">
        <v>14</v>
      </c>
      <c r="F864" t="s">
        <v>21</v>
      </c>
      <c r="G864" t="s">
        <v>39</v>
      </c>
      <c r="H864">
        <v>10283.51</v>
      </c>
      <c r="I864">
        <v>1</v>
      </c>
      <c r="J864">
        <v>10283.51</v>
      </c>
      <c r="K864">
        <v>3.05</v>
      </c>
    </row>
    <row r="865" spans="1:11" x14ac:dyDescent="0.35">
      <c r="A865" s="1">
        <v>45342</v>
      </c>
      <c r="B865" t="s">
        <v>660</v>
      </c>
      <c r="C865" t="s">
        <v>12</v>
      </c>
      <c r="D865" t="s">
        <v>13</v>
      </c>
      <c r="E865" t="s">
        <v>14</v>
      </c>
      <c r="F865" t="s">
        <v>45</v>
      </c>
      <c r="G865" t="s">
        <v>39</v>
      </c>
      <c r="H865">
        <v>6594.49</v>
      </c>
      <c r="I865">
        <v>1</v>
      </c>
      <c r="J865">
        <v>6594.49</v>
      </c>
      <c r="K865">
        <v>2.46</v>
      </c>
    </row>
    <row r="866" spans="1:11" x14ac:dyDescent="0.35">
      <c r="A866" s="1">
        <v>45342</v>
      </c>
      <c r="B866" t="s">
        <v>1194</v>
      </c>
      <c r="C866" t="s">
        <v>12</v>
      </c>
      <c r="D866" t="s">
        <v>13</v>
      </c>
      <c r="E866" t="s">
        <v>14</v>
      </c>
      <c r="F866" t="s">
        <v>15</v>
      </c>
      <c r="G866" t="s">
        <v>16</v>
      </c>
      <c r="H866">
        <v>12669.58</v>
      </c>
      <c r="I866">
        <v>3</v>
      </c>
      <c r="J866">
        <v>38008.74</v>
      </c>
      <c r="K866">
        <v>4.45</v>
      </c>
    </row>
    <row r="867" spans="1:11" x14ac:dyDescent="0.35">
      <c r="A867" s="1">
        <v>45343</v>
      </c>
      <c r="B867" t="s">
        <v>1133</v>
      </c>
      <c r="C867" t="s">
        <v>47</v>
      </c>
      <c r="D867" t="s">
        <v>13</v>
      </c>
      <c r="E867" t="s">
        <v>48</v>
      </c>
      <c r="F867" t="s">
        <v>21</v>
      </c>
      <c r="G867" t="s">
        <v>16</v>
      </c>
      <c r="H867">
        <v>4375.3</v>
      </c>
      <c r="I867">
        <v>1</v>
      </c>
      <c r="J867">
        <v>4375.3</v>
      </c>
      <c r="K867">
        <v>1.0900000000000001</v>
      </c>
    </row>
    <row r="868" spans="1:11" x14ac:dyDescent="0.35">
      <c r="A868" s="1">
        <v>45344</v>
      </c>
      <c r="B868" t="s">
        <v>1242</v>
      </c>
      <c r="C868" t="s">
        <v>12</v>
      </c>
      <c r="D868" t="s">
        <v>13</v>
      </c>
      <c r="E868" t="s">
        <v>14</v>
      </c>
      <c r="F868" t="s">
        <v>45</v>
      </c>
      <c r="G868" t="s">
        <v>16</v>
      </c>
      <c r="H868">
        <v>3792.32</v>
      </c>
      <c r="I868">
        <v>2</v>
      </c>
      <c r="J868">
        <v>7584.64</v>
      </c>
      <c r="K868">
        <v>3.63</v>
      </c>
    </row>
    <row r="869" spans="1:11" x14ac:dyDescent="0.35">
      <c r="A869" s="1">
        <v>45344</v>
      </c>
      <c r="B869" t="s">
        <v>2019</v>
      </c>
      <c r="C869" t="s">
        <v>47</v>
      </c>
      <c r="D869" t="s">
        <v>13</v>
      </c>
      <c r="E869" t="s">
        <v>48</v>
      </c>
      <c r="F869" t="s">
        <v>45</v>
      </c>
      <c r="G869" t="s">
        <v>16</v>
      </c>
      <c r="H869">
        <v>821.08</v>
      </c>
      <c r="I869">
        <v>3</v>
      </c>
      <c r="J869">
        <v>2463.2399999999998</v>
      </c>
      <c r="K869">
        <v>3.51</v>
      </c>
    </row>
    <row r="870" spans="1:11" x14ac:dyDescent="0.35">
      <c r="A870" s="1">
        <v>45346</v>
      </c>
      <c r="B870" t="s">
        <v>1152</v>
      </c>
      <c r="C870" t="s">
        <v>12</v>
      </c>
      <c r="D870" t="s">
        <v>13</v>
      </c>
      <c r="E870" t="s">
        <v>14</v>
      </c>
      <c r="F870" t="s">
        <v>45</v>
      </c>
      <c r="G870" t="s">
        <v>60</v>
      </c>
      <c r="H870">
        <v>11827.04</v>
      </c>
      <c r="I870">
        <v>3</v>
      </c>
      <c r="J870">
        <v>35481.120000000003</v>
      </c>
      <c r="K870">
        <v>3.32</v>
      </c>
    </row>
    <row r="871" spans="1:11" x14ac:dyDescent="0.35">
      <c r="A871" s="1">
        <v>45346</v>
      </c>
      <c r="B871" t="s">
        <v>2011</v>
      </c>
      <c r="C871" t="s">
        <v>34</v>
      </c>
      <c r="D871" t="s">
        <v>13</v>
      </c>
      <c r="E871" t="s">
        <v>35</v>
      </c>
      <c r="F871" t="s">
        <v>21</v>
      </c>
      <c r="G871" t="s">
        <v>16</v>
      </c>
      <c r="H871">
        <v>350</v>
      </c>
      <c r="I871">
        <v>4</v>
      </c>
      <c r="J871">
        <v>1400</v>
      </c>
      <c r="K871">
        <v>1.74</v>
      </c>
    </row>
    <row r="872" spans="1:11" x14ac:dyDescent="0.35">
      <c r="A872" s="1">
        <v>45347</v>
      </c>
      <c r="B872" t="s">
        <v>1394</v>
      </c>
      <c r="C872" t="s">
        <v>47</v>
      </c>
      <c r="D872" t="s">
        <v>13</v>
      </c>
      <c r="E872" t="s">
        <v>48</v>
      </c>
      <c r="F872" t="s">
        <v>15</v>
      </c>
      <c r="G872" t="s">
        <v>22</v>
      </c>
      <c r="H872">
        <v>3166.32</v>
      </c>
      <c r="I872">
        <v>3</v>
      </c>
      <c r="J872">
        <v>9498.9599999999991</v>
      </c>
      <c r="K872">
        <v>1.43</v>
      </c>
    </row>
    <row r="873" spans="1:11" x14ac:dyDescent="0.35">
      <c r="A873" s="1">
        <v>45348</v>
      </c>
      <c r="B873" t="s">
        <v>1005</v>
      </c>
      <c r="C873" t="s">
        <v>12</v>
      </c>
      <c r="D873" t="s">
        <v>13</v>
      </c>
      <c r="E873" t="s">
        <v>14</v>
      </c>
      <c r="F873" t="s">
        <v>45</v>
      </c>
      <c r="G873" t="s">
        <v>27</v>
      </c>
      <c r="H873">
        <v>18975.8</v>
      </c>
      <c r="I873">
        <v>3</v>
      </c>
      <c r="J873">
        <v>56927.4</v>
      </c>
      <c r="K873">
        <v>3.87</v>
      </c>
    </row>
    <row r="874" spans="1:11" x14ac:dyDescent="0.35">
      <c r="A874" s="1">
        <v>45349</v>
      </c>
      <c r="B874" t="s">
        <v>1815</v>
      </c>
      <c r="C874" t="s">
        <v>12</v>
      </c>
      <c r="D874" t="s">
        <v>13</v>
      </c>
      <c r="E874" t="s">
        <v>14</v>
      </c>
      <c r="F874" t="s">
        <v>15</v>
      </c>
      <c r="G874" t="s">
        <v>16</v>
      </c>
      <c r="H874">
        <v>1844.28</v>
      </c>
      <c r="I874">
        <v>1</v>
      </c>
      <c r="J874">
        <v>1844.28</v>
      </c>
      <c r="K874">
        <v>2.41</v>
      </c>
    </row>
    <row r="875" spans="1:11" x14ac:dyDescent="0.35">
      <c r="A875" s="1">
        <v>45350</v>
      </c>
      <c r="B875" t="s">
        <v>885</v>
      </c>
      <c r="C875" t="s">
        <v>47</v>
      </c>
      <c r="D875" t="s">
        <v>13</v>
      </c>
      <c r="E875" t="s">
        <v>48</v>
      </c>
      <c r="F875" t="s">
        <v>21</v>
      </c>
      <c r="G875" t="s">
        <v>60</v>
      </c>
      <c r="H875">
        <v>3295.12</v>
      </c>
      <c r="I875">
        <v>4</v>
      </c>
      <c r="J875">
        <v>13180.48</v>
      </c>
      <c r="K875">
        <v>1.04</v>
      </c>
    </row>
    <row r="876" spans="1:11" x14ac:dyDescent="0.35">
      <c r="A876" s="1">
        <v>45351</v>
      </c>
      <c r="B876" t="s">
        <v>1729</v>
      </c>
      <c r="C876" t="s">
        <v>12</v>
      </c>
      <c r="D876" t="s">
        <v>13</v>
      </c>
      <c r="E876" t="s">
        <v>14</v>
      </c>
      <c r="F876" t="s">
        <v>45</v>
      </c>
      <c r="G876" t="s">
        <v>22</v>
      </c>
      <c r="H876">
        <v>9308.2199999999993</v>
      </c>
      <c r="I876">
        <v>3</v>
      </c>
      <c r="J876">
        <v>27924.66</v>
      </c>
      <c r="K876">
        <v>4.53</v>
      </c>
    </row>
    <row r="877" spans="1:11" x14ac:dyDescent="0.35">
      <c r="A877" s="1">
        <v>45352</v>
      </c>
      <c r="B877" t="s">
        <v>172</v>
      </c>
      <c r="C877" t="s">
        <v>47</v>
      </c>
      <c r="D877" t="s">
        <v>13</v>
      </c>
      <c r="E877" t="s">
        <v>48</v>
      </c>
      <c r="F877" t="s">
        <v>15</v>
      </c>
      <c r="G877" t="s">
        <v>22</v>
      </c>
      <c r="H877">
        <v>9516.2099999999991</v>
      </c>
      <c r="I877">
        <v>2</v>
      </c>
      <c r="J877">
        <v>19032.419999999998</v>
      </c>
      <c r="K877">
        <v>3.89</v>
      </c>
    </row>
    <row r="878" spans="1:11" x14ac:dyDescent="0.35">
      <c r="A878" s="1">
        <v>45352</v>
      </c>
      <c r="B878" t="s">
        <v>547</v>
      </c>
      <c r="C878" t="s">
        <v>34</v>
      </c>
      <c r="D878" t="s">
        <v>13</v>
      </c>
      <c r="E878" t="s">
        <v>35</v>
      </c>
      <c r="F878" t="s">
        <v>15</v>
      </c>
      <c r="G878" t="s">
        <v>16</v>
      </c>
      <c r="H878">
        <v>5042.1899999999996</v>
      </c>
      <c r="I878">
        <v>4</v>
      </c>
      <c r="J878">
        <v>20168.759999999998</v>
      </c>
      <c r="K878">
        <v>2.09</v>
      </c>
    </row>
    <row r="879" spans="1:11" x14ac:dyDescent="0.35">
      <c r="A879" s="1">
        <v>45352</v>
      </c>
      <c r="B879" t="s">
        <v>1789</v>
      </c>
      <c r="C879" t="s">
        <v>12</v>
      </c>
      <c r="D879" t="s">
        <v>13</v>
      </c>
      <c r="E879" t="s">
        <v>14</v>
      </c>
      <c r="F879" t="s">
        <v>45</v>
      </c>
      <c r="G879" t="s">
        <v>39</v>
      </c>
      <c r="H879">
        <v>11380.27</v>
      </c>
      <c r="I879">
        <v>5</v>
      </c>
      <c r="J879">
        <v>56901.35</v>
      </c>
      <c r="K879">
        <v>1.64</v>
      </c>
    </row>
    <row r="880" spans="1:11" x14ac:dyDescent="0.35">
      <c r="A880" s="1">
        <v>45354</v>
      </c>
      <c r="B880" t="s">
        <v>1910</v>
      </c>
      <c r="C880" t="s">
        <v>34</v>
      </c>
      <c r="D880" t="s">
        <v>13</v>
      </c>
      <c r="E880" t="s">
        <v>35</v>
      </c>
      <c r="F880" t="s">
        <v>21</v>
      </c>
      <c r="G880" t="s">
        <v>16</v>
      </c>
      <c r="H880">
        <v>300.27</v>
      </c>
      <c r="I880">
        <v>4</v>
      </c>
      <c r="J880">
        <v>1201.08</v>
      </c>
      <c r="K880">
        <v>2.33</v>
      </c>
    </row>
    <row r="881" spans="1:11" x14ac:dyDescent="0.35">
      <c r="A881" s="1">
        <v>45354</v>
      </c>
      <c r="B881" t="s">
        <v>2028</v>
      </c>
      <c r="C881" t="s">
        <v>47</v>
      </c>
      <c r="D881" t="s">
        <v>13</v>
      </c>
      <c r="E881" t="s">
        <v>48</v>
      </c>
      <c r="F881" t="s">
        <v>21</v>
      </c>
      <c r="G881" t="s">
        <v>27</v>
      </c>
      <c r="H881">
        <v>18396.349999999999</v>
      </c>
      <c r="I881">
        <v>4</v>
      </c>
      <c r="J881">
        <v>73585.399999999994</v>
      </c>
      <c r="K881">
        <v>2.06</v>
      </c>
    </row>
    <row r="882" spans="1:11" x14ac:dyDescent="0.35">
      <c r="A882" s="1">
        <v>45355</v>
      </c>
      <c r="B882" t="s">
        <v>1086</v>
      </c>
      <c r="C882" t="s">
        <v>47</v>
      </c>
      <c r="D882" t="s">
        <v>13</v>
      </c>
      <c r="E882" t="s">
        <v>48</v>
      </c>
      <c r="F882" t="s">
        <v>21</v>
      </c>
      <c r="G882" t="s">
        <v>16</v>
      </c>
      <c r="H882">
        <v>6406.85</v>
      </c>
      <c r="I882">
        <v>5</v>
      </c>
      <c r="J882">
        <v>32034.25</v>
      </c>
      <c r="K882">
        <v>2.0299999999999998</v>
      </c>
    </row>
    <row r="883" spans="1:11" x14ac:dyDescent="0.35">
      <c r="A883" s="1">
        <v>45356</v>
      </c>
      <c r="B883" t="s">
        <v>271</v>
      </c>
      <c r="C883" t="s">
        <v>34</v>
      </c>
      <c r="D883" t="s">
        <v>13</v>
      </c>
      <c r="E883" t="s">
        <v>35</v>
      </c>
      <c r="F883" t="s">
        <v>21</v>
      </c>
      <c r="G883" t="s">
        <v>22</v>
      </c>
      <c r="H883">
        <v>17652.060000000001</v>
      </c>
      <c r="I883">
        <v>3</v>
      </c>
      <c r="J883">
        <v>52956.18</v>
      </c>
      <c r="K883">
        <v>1.06</v>
      </c>
    </row>
    <row r="884" spans="1:11" x14ac:dyDescent="0.35">
      <c r="A884" s="1">
        <v>45356</v>
      </c>
      <c r="B884" t="s">
        <v>920</v>
      </c>
      <c r="C884" t="s">
        <v>12</v>
      </c>
      <c r="D884" t="s">
        <v>13</v>
      </c>
      <c r="E884" t="s">
        <v>14</v>
      </c>
      <c r="F884" t="s">
        <v>45</v>
      </c>
      <c r="G884" t="s">
        <v>16</v>
      </c>
      <c r="H884">
        <v>5963.07</v>
      </c>
      <c r="I884">
        <v>2</v>
      </c>
      <c r="J884">
        <v>11926.14</v>
      </c>
      <c r="K884">
        <v>3.12</v>
      </c>
    </row>
    <row r="885" spans="1:11" x14ac:dyDescent="0.35">
      <c r="A885" s="1">
        <v>45356</v>
      </c>
      <c r="B885" t="s">
        <v>1534</v>
      </c>
      <c r="C885" t="s">
        <v>34</v>
      </c>
      <c r="D885" t="s">
        <v>13</v>
      </c>
      <c r="E885" t="s">
        <v>35</v>
      </c>
      <c r="F885" t="s">
        <v>21</v>
      </c>
      <c r="G885" t="s">
        <v>22</v>
      </c>
      <c r="H885">
        <v>1175.0999999999999</v>
      </c>
      <c r="I885">
        <v>1</v>
      </c>
      <c r="J885">
        <v>1175.0999999999999</v>
      </c>
      <c r="K885">
        <v>4.0599999999999996</v>
      </c>
    </row>
    <row r="886" spans="1:11" x14ac:dyDescent="0.35">
      <c r="A886" s="1">
        <v>45357</v>
      </c>
      <c r="B886" t="s">
        <v>999</v>
      </c>
      <c r="C886" t="s">
        <v>47</v>
      </c>
      <c r="D886" t="s">
        <v>13</v>
      </c>
      <c r="E886" t="s">
        <v>48</v>
      </c>
      <c r="F886" t="s">
        <v>21</v>
      </c>
      <c r="G886" t="s">
        <v>27</v>
      </c>
      <c r="H886">
        <v>12946.68</v>
      </c>
      <c r="I886">
        <v>5</v>
      </c>
      <c r="J886">
        <v>64733.4</v>
      </c>
      <c r="K886">
        <v>1.08</v>
      </c>
    </row>
    <row r="887" spans="1:11" x14ac:dyDescent="0.35">
      <c r="A887" s="1">
        <v>45358</v>
      </c>
      <c r="B887" t="s">
        <v>760</v>
      </c>
      <c r="C887" t="s">
        <v>12</v>
      </c>
      <c r="D887" t="s">
        <v>13</v>
      </c>
      <c r="E887" t="s">
        <v>14</v>
      </c>
      <c r="F887" t="s">
        <v>15</v>
      </c>
      <c r="G887" t="s">
        <v>16</v>
      </c>
      <c r="H887">
        <v>6218.19</v>
      </c>
      <c r="I887">
        <v>5</v>
      </c>
      <c r="J887">
        <v>31090.95</v>
      </c>
      <c r="K887">
        <v>2.08</v>
      </c>
    </row>
    <row r="888" spans="1:11" x14ac:dyDescent="0.35">
      <c r="A888" s="1">
        <v>45358</v>
      </c>
      <c r="B888" t="s">
        <v>911</v>
      </c>
      <c r="C888" t="s">
        <v>12</v>
      </c>
      <c r="D888" t="s">
        <v>13</v>
      </c>
      <c r="E888" t="s">
        <v>14</v>
      </c>
      <c r="F888" t="s">
        <v>45</v>
      </c>
      <c r="G888" t="s">
        <v>60</v>
      </c>
      <c r="H888">
        <v>5140.29</v>
      </c>
      <c r="I888">
        <v>5</v>
      </c>
      <c r="J888">
        <v>25701.45</v>
      </c>
      <c r="K888">
        <v>3.85</v>
      </c>
    </row>
    <row r="889" spans="1:11" x14ac:dyDescent="0.35">
      <c r="A889" s="1">
        <v>45358</v>
      </c>
      <c r="B889" t="s">
        <v>1745</v>
      </c>
      <c r="C889" t="s">
        <v>12</v>
      </c>
      <c r="D889" t="s">
        <v>13</v>
      </c>
      <c r="E889" t="s">
        <v>14</v>
      </c>
      <c r="F889" t="s">
        <v>15</v>
      </c>
      <c r="G889" t="s">
        <v>39</v>
      </c>
      <c r="H889">
        <v>16199.63</v>
      </c>
      <c r="I889">
        <v>4</v>
      </c>
      <c r="J889">
        <v>64798.52</v>
      </c>
      <c r="K889">
        <v>4.8</v>
      </c>
    </row>
    <row r="890" spans="1:11" x14ac:dyDescent="0.35">
      <c r="A890" s="1">
        <v>45359</v>
      </c>
      <c r="B890" t="s">
        <v>903</v>
      </c>
      <c r="C890" t="s">
        <v>12</v>
      </c>
      <c r="D890" t="s">
        <v>13</v>
      </c>
      <c r="E890" t="s">
        <v>14</v>
      </c>
      <c r="F890" t="s">
        <v>21</v>
      </c>
      <c r="G890" t="s">
        <v>16</v>
      </c>
      <c r="H890">
        <v>18844.41</v>
      </c>
      <c r="I890">
        <v>5</v>
      </c>
      <c r="J890">
        <v>94222.05</v>
      </c>
      <c r="K890">
        <v>2.94</v>
      </c>
    </row>
    <row r="891" spans="1:11" x14ac:dyDescent="0.35">
      <c r="A891" s="1">
        <v>45359</v>
      </c>
      <c r="B891" t="s">
        <v>1259</v>
      </c>
      <c r="C891" t="s">
        <v>47</v>
      </c>
      <c r="D891" t="s">
        <v>13</v>
      </c>
      <c r="E891" t="s">
        <v>48</v>
      </c>
      <c r="F891" t="s">
        <v>15</v>
      </c>
      <c r="G891" t="s">
        <v>16</v>
      </c>
      <c r="H891">
        <v>16781.43</v>
      </c>
      <c r="I891">
        <v>1</v>
      </c>
      <c r="J891">
        <v>16781.43</v>
      </c>
      <c r="K891">
        <v>4.74</v>
      </c>
    </row>
    <row r="892" spans="1:11" x14ac:dyDescent="0.35">
      <c r="A892" s="1">
        <v>45360</v>
      </c>
      <c r="B892" t="s">
        <v>634</v>
      </c>
      <c r="C892" t="s">
        <v>12</v>
      </c>
      <c r="D892" t="s">
        <v>13</v>
      </c>
      <c r="E892" t="s">
        <v>14</v>
      </c>
      <c r="F892" t="s">
        <v>45</v>
      </c>
      <c r="G892" t="s">
        <v>60</v>
      </c>
      <c r="H892">
        <v>17707.59</v>
      </c>
      <c r="I892">
        <v>5</v>
      </c>
      <c r="J892">
        <v>88537.95</v>
      </c>
      <c r="K892">
        <v>1.1000000000000001</v>
      </c>
    </row>
    <row r="893" spans="1:11" x14ac:dyDescent="0.35">
      <c r="A893" s="1">
        <v>45360</v>
      </c>
      <c r="B893" t="s">
        <v>1318</v>
      </c>
      <c r="C893" t="s">
        <v>12</v>
      </c>
      <c r="D893" t="s">
        <v>13</v>
      </c>
      <c r="E893" t="s">
        <v>14</v>
      </c>
      <c r="F893" t="s">
        <v>45</v>
      </c>
      <c r="G893" t="s">
        <v>39</v>
      </c>
      <c r="H893">
        <v>131.77000000000001</v>
      </c>
      <c r="I893">
        <v>1</v>
      </c>
      <c r="J893">
        <v>131.77000000000001</v>
      </c>
      <c r="K893">
        <v>1.08</v>
      </c>
    </row>
    <row r="894" spans="1:11" x14ac:dyDescent="0.35">
      <c r="A894" s="1">
        <v>45360</v>
      </c>
      <c r="B894" t="s">
        <v>1491</v>
      </c>
      <c r="C894" t="s">
        <v>34</v>
      </c>
      <c r="D894" t="s">
        <v>13</v>
      </c>
      <c r="E894" t="s">
        <v>35</v>
      </c>
      <c r="F894" t="s">
        <v>45</v>
      </c>
      <c r="G894" t="s">
        <v>39</v>
      </c>
      <c r="H894">
        <v>5498.55</v>
      </c>
      <c r="I894">
        <v>3</v>
      </c>
      <c r="J894">
        <v>16495.650000000001</v>
      </c>
      <c r="K894">
        <v>2.93</v>
      </c>
    </row>
    <row r="895" spans="1:11" x14ac:dyDescent="0.35">
      <c r="A895" s="1">
        <v>45362</v>
      </c>
      <c r="B895" t="s">
        <v>1041</v>
      </c>
      <c r="C895" t="s">
        <v>12</v>
      </c>
      <c r="D895" t="s">
        <v>13</v>
      </c>
      <c r="E895" t="s">
        <v>14</v>
      </c>
      <c r="F895" t="s">
        <v>21</v>
      </c>
      <c r="G895" t="s">
        <v>39</v>
      </c>
      <c r="H895">
        <v>16128.14</v>
      </c>
      <c r="I895">
        <v>2</v>
      </c>
      <c r="J895">
        <v>32256.28</v>
      </c>
      <c r="K895">
        <v>1.33</v>
      </c>
    </row>
    <row r="896" spans="1:11" x14ac:dyDescent="0.35">
      <c r="A896" s="1">
        <v>45363</v>
      </c>
      <c r="B896" t="s">
        <v>761</v>
      </c>
      <c r="C896" t="s">
        <v>47</v>
      </c>
      <c r="D896" t="s">
        <v>13</v>
      </c>
      <c r="E896" t="s">
        <v>48</v>
      </c>
      <c r="F896" t="s">
        <v>15</v>
      </c>
      <c r="G896" t="s">
        <v>27</v>
      </c>
      <c r="H896">
        <v>11003.05</v>
      </c>
      <c r="I896">
        <v>3</v>
      </c>
      <c r="J896">
        <v>33009.15</v>
      </c>
      <c r="K896">
        <v>3.8</v>
      </c>
    </row>
    <row r="897" spans="1:11" x14ac:dyDescent="0.35">
      <c r="A897" s="1">
        <v>45363</v>
      </c>
      <c r="B897" t="s">
        <v>865</v>
      </c>
      <c r="C897" t="s">
        <v>12</v>
      </c>
      <c r="D897" t="s">
        <v>13</v>
      </c>
      <c r="E897" t="s">
        <v>14</v>
      </c>
      <c r="F897" t="s">
        <v>45</v>
      </c>
      <c r="G897" t="s">
        <v>27</v>
      </c>
      <c r="H897">
        <v>15509.13</v>
      </c>
      <c r="I897">
        <v>5</v>
      </c>
      <c r="J897">
        <v>77545.649999999994</v>
      </c>
      <c r="K897">
        <v>1.56</v>
      </c>
    </row>
    <row r="898" spans="1:11" x14ac:dyDescent="0.35">
      <c r="A898" s="1">
        <v>45363</v>
      </c>
      <c r="B898" t="s">
        <v>1522</v>
      </c>
      <c r="C898" t="s">
        <v>47</v>
      </c>
      <c r="D898" t="s">
        <v>13</v>
      </c>
      <c r="E898" t="s">
        <v>48</v>
      </c>
      <c r="F898" t="s">
        <v>15</v>
      </c>
      <c r="G898" t="s">
        <v>60</v>
      </c>
      <c r="H898">
        <v>17028.53</v>
      </c>
      <c r="I898">
        <v>3</v>
      </c>
      <c r="J898">
        <v>51085.59</v>
      </c>
      <c r="K898">
        <v>3.09</v>
      </c>
    </row>
    <row r="899" spans="1:11" x14ac:dyDescent="0.35">
      <c r="A899" s="1">
        <v>45363</v>
      </c>
      <c r="B899" t="s">
        <v>1827</v>
      </c>
      <c r="C899" t="s">
        <v>34</v>
      </c>
      <c r="D899" t="s">
        <v>13</v>
      </c>
      <c r="E899" t="s">
        <v>35</v>
      </c>
      <c r="F899" t="s">
        <v>45</v>
      </c>
      <c r="G899" t="s">
        <v>22</v>
      </c>
      <c r="H899">
        <v>7180.12</v>
      </c>
      <c r="I899">
        <v>2</v>
      </c>
      <c r="J899">
        <v>14360.24</v>
      </c>
      <c r="K899">
        <v>4.79</v>
      </c>
    </row>
    <row r="900" spans="1:11" x14ac:dyDescent="0.35">
      <c r="A900" s="1">
        <v>45364</v>
      </c>
      <c r="B900" t="s">
        <v>388</v>
      </c>
      <c r="C900" t="s">
        <v>47</v>
      </c>
      <c r="D900" t="s">
        <v>13</v>
      </c>
      <c r="E900" t="s">
        <v>48</v>
      </c>
      <c r="F900" t="s">
        <v>15</v>
      </c>
      <c r="G900" t="s">
        <v>60</v>
      </c>
      <c r="H900">
        <v>12241.4</v>
      </c>
      <c r="I900">
        <v>5</v>
      </c>
      <c r="J900">
        <v>61207</v>
      </c>
      <c r="K900">
        <v>2.86</v>
      </c>
    </row>
    <row r="901" spans="1:11" x14ac:dyDescent="0.35">
      <c r="A901" s="1">
        <v>45364</v>
      </c>
      <c r="B901" t="s">
        <v>1104</v>
      </c>
      <c r="C901" t="s">
        <v>47</v>
      </c>
      <c r="D901" t="s">
        <v>13</v>
      </c>
      <c r="E901" t="s">
        <v>48</v>
      </c>
      <c r="F901" t="s">
        <v>45</v>
      </c>
      <c r="G901" t="s">
        <v>60</v>
      </c>
      <c r="H901">
        <v>575.97</v>
      </c>
      <c r="I901">
        <v>3</v>
      </c>
      <c r="J901">
        <v>1727.91</v>
      </c>
      <c r="K901">
        <v>1.4</v>
      </c>
    </row>
    <row r="902" spans="1:11" x14ac:dyDescent="0.35">
      <c r="A902" s="1">
        <v>45365</v>
      </c>
      <c r="B902" t="s">
        <v>1587</v>
      </c>
      <c r="C902" t="s">
        <v>12</v>
      </c>
      <c r="D902" t="s">
        <v>13</v>
      </c>
      <c r="E902" t="s">
        <v>14</v>
      </c>
      <c r="F902" t="s">
        <v>15</v>
      </c>
      <c r="G902" t="s">
        <v>60</v>
      </c>
      <c r="H902">
        <v>6707.79</v>
      </c>
      <c r="I902">
        <v>2</v>
      </c>
      <c r="J902">
        <v>13415.58</v>
      </c>
      <c r="K902">
        <v>2.74</v>
      </c>
    </row>
    <row r="903" spans="1:11" x14ac:dyDescent="0.35">
      <c r="A903" s="1">
        <v>45366</v>
      </c>
      <c r="B903" t="s">
        <v>105</v>
      </c>
      <c r="C903" t="s">
        <v>47</v>
      </c>
      <c r="D903" t="s">
        <v>13</v>
      </c>
      <c r="E903" t="s">
        <v>48</v>
      </c>
      <c r="F903" t="s">
        <v>21</v>
      </c>
      <c r="G903" t="s">
        <v>27</v>
      </c>
      <c r="H903">
        <v>12669.24</v>
      </c>
      <c r="I903">
        <v>2</v>
      </c>
      <c r="J903">
        <v>25338.48</v>
      </c>
      <c r="K903">
        <v>1.04</v>
      </c>
    </row>
    <row r="904" spans="1:11" x14ac:dyDescent="0.35">
      <c r="A904" s="1">
        <v>45367</v>
      </c>
      <c r="B904" t="s">
        <v>395</v>
      </c>
      <c r="C904" t="s">
        <v>47</v>
      </c>
      <c r="D904" t="s">
        <v>13</v>
      </c>
      <c r="E904" t="s">
        <v>48</v>
      </c>
      <c r="F904" t="s">
        <v>21</v>
      </c>
      <c r="G904" t="s">
        <v>22</v>
      </c>
      <c r="H904">
        <v>10887.28</v>
      </c>
      <c r="I904">
        <v>3</v>
      </c>
      <c r="J904">
        <v>32661.84</v>
      </c>
      <c r="K904">
        <v>1.94</v>
      </c>
    </row>
    <row r="905" spans="1:11" x14ac:dyDescent="0.35">
      <c r="A905" s="1">
        <v>45368</v>
      </c>
      <c r="B905" t="s">
        <v>1071</v>
      </c>
      <c r="C905" t="s">
        <v>34</v>
      </c>
      <c r="D905" t="s">
        <v>13</v>
      </c>
      <c r="E905" t="s">
        <v>35</v>
      </c>
      <c r="F905" t="s">
        <v>21</v>
      </c>
      <c r="G905" t="s">
        <v>60</v>
      </c>
      <c r="H905">
        <v>7982.06</v>
      </c>
      <c r="I905">
        <v>2</v>
      </c>
      <c r="J905">
        <v>15964.12</v>
      </c>
      <c r="K905">
        <v>3.44</v>
      </c>
    </row>
    <row r="906" spans="1:11" x14ac:dyDescent="0.35">
      <c r="A906" s="1">
        <v>45368</v>
      </c>
      <c r="B906" t="s">
        <v>1619</v>
      </c>
      <c r="C906" t="s">
        <v>34</v>
      </c>
      <c r="D906" t="s">
        <v>13</v>
      </c>
      <c r="E906" t="s">
        <v>35</v>
      </c>
      <c r="F906" t="s">
        <v>45</v>
      </c>
      <c r="G906" t="s">
        <v>39</v>
      </c>
      <c r="H906">
        <v>17984.86</v>
      </c>
      <c r="I906">
        <v>4</v>
      </c>
      <c r="J906">
        <v>71939.44</v>
      </c>
      <c r="K906">
        <v>3.26</v>
      </c>
    </row>
    <row r="907" spans="1:11" x14ac:dyDescent="0.35">
      <c r="A907" s="1">
        <v>45369</v>
      </c>
      <c r="B907" t="s">
        <v>806</v>
      </c>
      <c r="C907" t="s">
        <v>12</v>
      </c>
      <c r="D907" t="s">
        <v>13</v>
      </c>
      <c r="E907" t="s">
        <v>14</v>
      </c>
      <c r="F907" t="s">
        <v>15</v>
      </c>
      <c r="G907" t="s">
        <v>16</v>
      </c>
      <c r="H907">
        <v>17561.73</v>
      </c>
      <c r="I907">
        <v>4</v>
      </c>
      <c r="J907">
        <v>70246.92</v>
      </c>
      <c r="K907">
        <v>1.77</v>
      </c>
    </row>
    <row r="908" spans="1:11" x14ac:dyDescent="0.35">
      <c r="A908" s="1">
        <v>45369</v>
      </c>
      <c r="B908" t="s">
        <v>1195</v>
      </c>
      <c r="C908" t="s">
        <v>34</v>
      </c>
      <c r="D908" t="s">
        <v>13</v>
      </c>
      <c r="E908" t="s">
        <v>35</v>
      </c>
      <c r="F908" t="s">
        <v>45</v>
      </c>
      <c r="G908" t="s">
        <v>39</v>
      </c>
      <c r="H908">
        <v>19351.11</v>
      </c>
      <c r="I908">
        <v>4</v>
      </c>
      <c r="J908">
        <v>77404.44</v>
      </c>
      <c r="K908">
        <v>2.0499999999999998</v>
      </c>
    </row>
    <row r="909" spans="1:11" x14ac:dyDescent="0.35">
      <c r="A909" s="1">
        <v>45370</v>
      </c>
      <c r="B909" t="s">
        <v>732</v>
      </c>
      <c r="C909" t="s">
        <v>12</v>
      </c>
      <c r="D909" t="s">
        <v>13</v>
      </c>
      <c r="E909" t="s">
        <v>14</v>
      </c>
      <c r="F909" t="s">
        <v>21</v>
      </c>
      <c r="G909" t="s">
        <v>27</v>
      </c>
      <c r="H909">
        <v>4144.6899999999996</v>
      </c>
      <c r="I909">
        <v>2</v>
      </c>
      <c r="J909">
        <v>8289.3799999999992</v>
      </c>
      <c r="K909">
        <v>4.32</v>
      </c>
    </row>
    <row r="910" spans="1:11" x14ac:dyDescent="0.35">
      <c r="A910" s="1">
        <v>45370</v>
      </c>
      <c r="B910" t="s">
        <v>1294</v>
      </c>
      <c r="C910" t="s">
        <v>47</v>
      </c>
      <c r="D910" t="s">
        <v>13</v>
      </c>
      <c r="E910" t="s">
        <v>48</v>
      </c>
      <c r="F910" t="s">
        <v>45</v>
      </c>
      <c r="G910" t="s">
        <v>60</v>
      </c>
      <c r="H910">
        <v>12231.43</v>
      </c>
      <c r="I910">
        <v>3</v>
      </c>
      <c r="J910">
        <v>36694.29</v>
      </c>
      <c r="K910">
        <v>2.88</v>
      </c>
    </row>
    <row r="911" spans="1:11" x14ac:dyDescent="0.35">
      <c r="A911" s="1">
        <v>45370</v>
      </c>
      <c r="B911" t="s">
        <v>1298</v>
      </c>
      <c r="C911" t="s">
        <v>47</v>
      </c>
      <c r="D911" t="s">
        <v>13</v>
      </c>
      <c r="E911" t="s">
        <v>48</v>
      </c>
      <c r="F911" t="s">
        <v>45</v>
      </c>
      <c r="G911" t="s">
        <v>32</v>
      </c>
      <c r="H911">
        <v>7075.03</v>
      </c>
      <c r="I911">
        <v>1</v>
      </c>
      <c r="J911">
        <v>7075.03</v>
      </c>
      <c r="K911">
        <v>1.49</v>
      </c>
    </row>
    <row r="912" spans="1:11" x14ac:dyDescent="0.35">
      <c r="A912" s="1">
        <v>45370</v>
      </c>
      <c r="B912" t="s">
        <v>1687</v>
      </c>
      <c r="C912" t="s">
        <v>47</v>
      </c>
      <c r="D912" t="s">
        <v>13</v>
      </c>
      <c r="E912" t="s">
        <v>48</v>
      </c>
      <c r="F912" t="s">
        <v>21</v>
      </c>
      <c r="G912" t="s">
        <v>39</v>
      </c>
      <c r="H912">
        <v>15642.39</v>
      </c>
      <c r="I912">
        <v>2</v>
      </c>
      <c r="J912">
        <v>31284.78</v>
      </c>
      <c r="K912">
        <v>4.74</v>
      </c>
    </row>
    <row r="913" spans="1:11" x14ac:dyDescent="0.35">
      <c r="A913" s="1">
        <v>45371</v>
      </c>
      <c r="B913" t="s">
        <v>314</v>
      </c>
      <c r="C913" t="s">
        <v>47</v>
      </c>
      <c r="D913" t="s">
        <v>13</v>
      </c>
      <c r="E913" t="s">
        <v>48</v>
      </c>
      <c r="F913" t="s">
        <v>21</v>
      </c>
      <c r="G913" t="s">
        <v>22</v>
      </c>
      <c r="H913">
        <v>17521.48</v>
      </c>
      <c r="I913">
        <v>5</v>
      </c>
      <c r="J913">
        <v>87607.4</v>
      </c>
      <c r="K913">
        <v>2.68</v>
      </c>
    </row>
    <row r="914" spans="1:11" x14ac:dyDescent="0.35">
      <c r="A914" s="1">
        <v>45372</v>
      </c>
      <c r="B914" t="s">
        <v>248</v>
      </c>
      <c r="C914" t="s">
        <v>34</v>
      </c>
      <c r="D914" t="s">
        <v>13</v>
      </c>
      <c r="E914" t="s">
        <v>35</v>
      </c>
      <c r="F914" t="s">
        <v>15</v>
      </c>
      <c r="G914" t="s">
        <v>22</v>
      </c>
      <c r="H914">
        <v>15832.54</v>
      </c>
      <c r="I914">
        <v>3</v>
      </c>
      <c r="J914">
        <v>47497.62</v>
      </c>
      <c r="K914">
        <v>4.91</v>
      </c>
    </row>
    <row r="915" spans="1:11" x14ac:dyDescent="0.35">
      <c r="A915" s="1">
        <v>45373</v>
      </c>
      <c r="B915" t="s">
        <v>261</v>
      </c>
      <c r="C915" t="s">
        <v>34</v>
      </c>
      <c r="D915" t="s">
        <v>13</v>
      </c>
      <c r="E915" t="s">
        <v>35</v>
      </c>
      <c r="F915" t="s">
        <v>15</v>
      </c>
      <c r="G915" t="s">
        <v>16</v>
      </c>
      <c r="H915">
        <v>13390.76</v>
      </c>
      <c r="I915">
        <v>2</v>
      </c>
      <c r="J915">
        <v>26781.52</v>
      </c>
      <c r="K915">
        <v>3.15</v>
      </c>
    </row>
    <row r="916" spans="1:11" x14ac:dyDescent="0.35">
      <c r="A916" s="1">
        <v>45373</v>
      </c>
      <c r="B916" t="s">
        <v>814</v>
      </c>
      <c r="C916" t="s">
        <v>34</v>
      </c>
      <c r="D916" t="s">
        <v>13</v>
      </c>
      <c r="E916" t="s">
        <v>35</v>
      </c>
      <c r="F916" t="s">
        <v>15</v>
      </c>
      <c r="G916" t="s">
        <v>60</v>
      </c>
      <c r="H916">
        <v>1516.78</v>
      </c>
      <c r="I916">
        <v>3</v>
      </c>
      <c r="J916">
        <v>4550.34</v>
      </c>
      <c r="K916">
        <v>1.45</v>
      </c>
    </row>
    <row r="917" spans="1:11" x14ac:dyDescent="0.35">
      <c r="A917" s="1">
        <v>45373</v>
      </c>
      <c r="B917" t="s">
        <v>934</v>
      </c>
      <c r="C917" t="s">
        <v>12</v>
      </c>
      <c r="D917" t="s">
        <v>13</v>
      </c>
      <c r="E917" t="s">
        <v>14</v>
      </c>
      <c r="F917" t="s">
        <v>45</v>
      </c>
      <c r="G917" t="s">
        <v>27</v>
      </c>
      <c r="H917">
        <v>19710.75</v>
      </c>
      <c r="I917">
        <v>5</v>
      </c>
      <c r="J917">
        <v>98553.75</v>
      </c>
      <c r="K917">
        <v>3.47</v>
      </c>
    </row>
    <row r="918" spans="1:11" x14ac:dyDescent="0.35">
      <c r="A918" s="1">
        <v>45373</v>
      </c>
      <c r="B918" t="s">
        <v>1090</v>
      </c>
      <c r="C918" t="s">
        <v>47</v>
      </c>
      <c r="D918" t="s">
        <v>13</v>
      </c>
      <c r="E918" t="s">
        <v>48</v>
      </c>
      <c r="F918" t="s">
        <v>45</v>
      </c>
      <c r="G918" t="s">
        <v>60</v>
      </c>
      <c r="H918">
        <v>16323.62</v>
      </c>
      <c r="I918">
        <v>5</v>
      </c>
      <c r="J918">
        <v>81618.100000000006</v>
      </c>
      <c r="K918">
        <v>1.82</v>
      </c>
    </row>
    <row r="919" spans="1:11" x14ac:dyDescent="0.35">
      <c r="A919" s="1">
        <v>45373</v>
      </c>
      <c r="B919" t="s">
        <v>1457</v>
      </c>
      <c r="C919" t="s">
        <v>47</v>
      </c>
      <c r="D919" t="s">
        <v>13</v>
      </c>
      <c r="E919" t="s">
        <v>48</v>
      </c>
      <c r="F919" t="s">
        <v>45</v>
      </c>
      <c r="G919" t="s">
        <v>16</v>
      </c>
      <c r="H919">
        <v>8740.77</v>
      </c>
      <c r="I919">
        <v>3</v>
      </c>
      <c r="J919">
        <v>26222.31</v>
      </c>
      <c r="K919">
        <v>1.91</v>
      </c>
    </row>
    <row r="920" spans="1:11" x14ac:dyDescent="0.35">
      <c r="A920" s="1">
        <v>45373</v>
      </c>
      <c r="B920" t="s">
        <v>2032</v>
      </c>
      <c r="C920" t="s">
        <v>47</v>
      </c>
      <c r="D920" t="s">
        <v>13</v>
      </c>
      <c r="E920" t="s">
        <v>48</v>
      </c>
      <c r="F920" t="s">
        <v>21</v>
      </c>
      <c r="G920" t="s">
        <v>22</v>
      </c>
      <c r="H920">
        <v>13630.53</v>
      </c>
      <c r="I920">
        <v>3</v>
      </c>
      <c r="J920">
        <v>40891.589999999997</v>
      </c>
      <c r="K920">
        <v>1.5</v>
      </c>
    </row>
    <row r="921" spans="1:11" x14ac:dyDescent="0.35">
      <c r="A921" s="1">
        <v>45375</v>
      </c>
      <c r="B921" t="s">
        <v>83</v>
      </c>
      <c r="C921" t="s">
        <v>47</v>
      </c>
      <c r="D921" t="s">
        <v>13</v>
      </c>
      <c r="E921" t="s">
        <v>48</v>
      </c>
      <c r="F921" t="s">
        <v>21</v>
      </c>
      <c r="G921" t="s">
        <v>32</v>
      </c>
      <c r="H921">
        <v>16159.36</v>
      </c>
      <c r="I921">
        <v>4</v>
      </c>
      <c r="J921">
        <v>64637.440000000002</v>
      </c>
      <c r="K921">
        <v>2.66</v>
      </c>
    </row>
    <row r="922" spans="1:11" x14ac:dyDescent="0.35">
      <c r="A922" s="1">
        <v>45375</v>
      </c>
      <c r="B922" t="s">
        <v>279</v>
      </c>
      <c r="C922" t="s">
        <v>34</v>
      </c>
      <c r="D922" t="s">
        <v>13</v>
      </c>
      <c r="E922" t="s">
        <v>35</v>
      </c>
      <c r="F922" t="s">
        <v>21</v>
      </c>
      <c r="G922" t="s">
        <v>16</v>
      </c>
      <c r="H922">
        <v>7502.69</v>
      </c>
      <c r="I922">
        <v>2</v>
      </c>
      <c r="J922">
        <v>15005.38</v>
      </c>
      <c r="K922">
        <v>1.06</v>
      </c>
    </row>
    <row r="923" spans="1:11" x14ac:dyDescent="0.35">
      <c r="A923" s="1">
        <v>45376</v>
      </c>
      <c r="B923" t="s">
        <v>1681</v>
      </c>
      <c r="C923" t="s">
        <v>47</v>
      </c>
      <c r="D923" t="s">
        <v>13</v>
      </c>
      <c r="E923" t="s">
        <v>48</v>
      </c>
      <c r="F923" t="s">
        <v>21</v>
      </c>
      <c r="G923" t="s">
        <v>39</v>
      </c>
      <c r="H923">
        <v>4350.01</v>
      </c>
      <c r="I923">
        <v>2</v>
      </c>
      <c r="J923">
        <v>8700.02</v>
      </c>
      <c r="K923">
        <v>3.79</v>
      </c>
    </row>
    <row r="924" spans="1:11" x14ac:dyDescent="0.35">
      <c r="A924" s="1">
        <v>45376</v>
      </c>
      <c r="B924" t="s">
        <v>1839</v>
      </c>
      <c r="C924" t="s">
        <v>34</v>
      </c>
      <c r="D924" t="s">
        <v>13</v>
      </c>
      <c r="E924" t="s">
        <v>35</v>
      </c>
      <c r="F924" t="s">
        <v>21</v>
      </c>
      <c r="G924" t="s">
        <v>22</v>
      </c>
      <c r="H924">
        <v>11062.15</v>
      </c>
      <c r="I924">
        <v>4</v>
      </c>
      <c r="J924">
        <v>44248.6</v>
      </c>
      <c r="K924">
        <v>2.77</v>
      </c>
    </row>
    <row r="925" spans="1:11" x14ac:dyDescent="0.35">
      <c r="A925" s="1">
        <v>45376</v>
      </c>
      <c r="B925" t="s">
        <v>2037</v>
      </c>
      <c r="C925" t="s">
        <v>47</v>
      </c>
      <c r="D925" t="s">
        <v>13</v>
      </c>
      <c r="E925" t="s">
        <v>48</v>
      </c>
      <c r="F925" t="s">
        <v>21</v>
      </c>
      <c r="G925" t="s">
        <v>22</v>
      </c>
      <c r="H925">
        <v>14495.41</v>
      </c>
      <c r="I925">
        <v>1</v>
      </c>
      <c r="J925">
        <v>14495.41</v>
      </c>
      <c r="K925">
        <v>2</v>
      </c>
    </row>
    <row r="926" spans="1:11" x14ac:dyDescent="0.35">
      <c r="A926" s="1">
        <v>45377</v>
      </c>
      <c r="B926" t="s">
        <v>139</v>
      </c>
      <c r="C926" t="s">
        <v>47</v>
      </c>
      <c r="D926" t="s">
        <v>13</v>
      </c>
      <c r="E926" t="s">
        <v>48</v>
      </c>
      <c r="F926" t="s">
        <v>15</v>
      </c>
      <c r="G926" t="s">
        <v>39</v>
      </c>
      <c r="H926">
        <v>3129.59</v>
      </c>
      <c r="I926">
        <v>4</v>
      </c>
      <c r="J926">
        <v>12518.36</v>
      </c>
      <c r="K926">
        <v>3.73</v>
      </c>
    </row>
    <row r="927" spans="1:11" x14ac:dyDescent="0.35">
      <c r="A927" s="1">
        <v>45377</v>
      </c>
      <c r="B927" t="s">
        <v>140</v>
      </c>
      <c r="C927" t="s">
        <v>12</v>
      </c>
      <c r="D927" t="s">
        <v>13</v>
      </c>
      <c r="E927" t="s">
        <v>14</v>
      </c>
      <c r="F927" t="s">
        <v>45</v>
      </c>
      <c r="G927" t="s">
        <v>60</v>
      </c>
      <c r="H927">
        <v>358.74</v>
      </c>
      <c r="I927">
        <v>3</v>
      </c>
      <c r="J927">
        <v>1076.22</v>
      </c>
      <c r="K927">
        <v>1.97</v>
      </c>
    </row>
    <row r="928" spans="1:11" x14ac:dyDescent="0.35">
      <c r="A928" s="1">
        <v>45378</v>
      </c>
      <c r="B928" t="s">
        <v>1234</v>
      </c>
      <c r="C928" t="s">
        <v>34</v>
      </c>
      <c r="D928" t="s">
        <v>13</v>
      </c>
      <c r="E928" t="s">
        <v>35</v>
      </c>
      <c r="F928" t="s">
        <v>45</v>
      </c>
      <c r="G928" t="s">
        <v>27</v>
      </c>
      <c r="H928">
        <v>14383.82</v>
      </c>
      <c r="I928">
        <v>5</v>
      </c>
      <c r="J928">
        <v>71919.100000000006</v>
      </c>
      <c r="K928">
        <v>1.22</v>
      </c>
    </row>
    <row r="929" spans="1:11" x14ac:dyDescent="0.35">
      <c r="A929" s="1">
        <v>45379</v>
      </c>
      <c r="B929" t="s">
        <v>822</v>
      </c>
      <c r="C929" t="s">
        <v>47</v>
      </c>
      <c r="D929" t="s">
        <v>13</v>
      </c>
      <c r="E929" t="s">
        <v>48</v>
      </c>
      <c r="F929" t="s">
        <v>45</v>
      </c>
      <c r="G929" t="s">
        <v>32</v>
      </c>
      <c r="H929">
        <v>1173.46</v>
      </c>
      <c r="I929">
        <v>4</v>
      </c>
      <c r="J929">
        <v>4693.84</v>
      </c>
      <c r="K929">
        <v>3.42</v>
      </c>
    </row>
    <row r="930" spans="1:11" x14ac:dyDescent="0.35">
      <c r="A930" s="1">
        <v>45379</v>
      </c>
      <c r="B930" t="s">
        <v>1307</v>
      </c>
      <c r="C930" t="s">
        <v>12</v>
      </c>
      <c r="D930" t="s">
        <v>13</v>
      </c>
      <c r="E930" t="s">
        <v>14</v>
      </c>
      <c r="F930" t="s">
        <v>45</v>
      </c>
      <c r="G930" t="s">
        <v>60</v>
      </c>
      <c r="H930">
        <v>5638.37</v>
      </c>
      <c r="I930">
        <v>2</v>
      </c>
      <c r="J930">
        <v>11276.74</v>
      </c>
      <c r="K930">
        <v>3.34</v>
      </c>
    </row>
    <row r="931" spans="1:11" x14ac:dyDescent="0.35">
      <c r="A931" s="1">
        <v>45380</v>
      </c>
      <c r="B931" t="s">
        <v>156</v>
      </c>
      <c r="C931" t="s">
        <v>12</v>
      </c>
      <c r="D931" t="s">
        <v>13</v>
      </c>
      <c r="E931" t="s">
        <v>14</v>
      </c>
      <c r="F931" t="s">
        <v>45</v>
      </c>
      <c r="G931" t="s">
        <v>60</v>
      </c>
      <c r="H931">
        <v>269.18</v>
      </c>
      <c r="I931">
        <v>2</v>
      </c>
      <c r="J931">
        <v>538.36</v>
      </c>
      <c r="K931">
        <v>2.46</v>
      </c>
    </row>
    <row r="932" spans="1:11" x14ac:dyDescent="0.35">
      <c r="A932" s="1">
        <v>45380</v>
      </c>
      <c r="B932" t="s">
        <v>1244</v>
      </c>
      <c r="C932" t="s">
        <v>47</v>
      </c>
      <c r="D932" t="s">
        <v>13</v>
      </c>
      <c r="E932" t="s">
        <v>48</v>
      </c>
      <c r="F932" t="s">
        <v>45</v>
      </c>
      <c r="G932" t="s">
        <v>60</v>
      </c>
      <c r="H932">
        <v>5770.14</v>
      </c>
      <c r="I932">
        <v>1</v>
      </c>
      <c r="J932">
        <v>5770.14</v>
      </c>
      <c r="K932">
        <v>3.05</v>
      </c>
    </row>
    <row r="933" spans="1:11" x14ac:dyDescent="0.35">
      <c r="A933" s="1">
        <v>45382</v>
      </c>
      <c r="B933" t="s">
        <v>209</v>
      </c>
      <c r="C933" t="s">
        <v>34</v>
      </c>
      <c r="D933" t="s">
        <v>13</v>
      </c>
      <c r="E933" t="s">
        <v>35</v>
      </c>
      <c r="F933" t="s">
        <v>15</v>
      </c>
      <c r="G933" t="s">
        <v>60</v>
      </c>
      <c r="H933">
        <v>16855.68</v>
      </c>
      <c r="I933">
        <v>1</v>
      </c>
      <c r="J933">
        <v>16855.68</v>
      </c>
      <c r="K933">
        <v>2.59</v>
      </c>
    </row>
    <row r="934" spans="1:11" x14ac:dyDescent="0.35">
      <c r="A934" s="1">
        <v>45384</v>
      </c>
      <c r="B934" t="s">
        <v>473</v>
      </c>
      <c r="C934" t="s">
        <v>47</v>
      </c>
      <c r="D934" t="s">
        <v>13</v>
      </c>
      <c r="E934" t="s">
        <v>48</v>
      </c>
      <c r="F934" t="s">
        <v>15</v>
      </c>
      <c r="G934" t="s">
        <v>22</v>
      </c>
      <c r="H934">
        <v>3830.61</v>
      </c>
      <c r="I934">
        <v>5</v>
      </c>
      <c r="J934">
        <v>19153.05</v>
      </c>
      <c r="K934">
        <v>4.96</v>
      </c>
    </row>
    <row r="935" spans="1:11" x14ac:dyDescent="0.35">
      <c r="A935" s="1">
        <v>45384</v>
      </c>
      <c r="B935" t="s">
        <v>1766</v>
      </c>
      <c r="C935" t="s">
        <v>47</v>
      </c>
      <c r="D935" t="s">
        <v>13</v>
      </c>
      <c r="E935" t="s">
        <v>48</v>
      </c>
      <c r="F935" t="s">
        <v>45</v>
      </c>
      <c r="G935" t="s">
        <v>16</v>
      </c>
      <c r="H935">
        <v>13469.47</v>
      </c>
      <c r="I935">
        <v>4</v>
      </c>
      <c r="J935">
        <v>53877.88</v>
      </c>
      <c r="K935">
        <v>3.59</v>
      </c>
    </row>
    <row r="936" spans="1:11" x14ac:dyDescent="0.35">
      <c r="A936" s="1">
        <v>45386</v>
      </c>
      <c r="B936" t="s">
        <v>1876</v>
      </c>
      <c r="C936" t="s">
        <v>47</v>
      </c>
      <c r="D936" t="s">
        <v>13</v>
      </c>
      <c r="E936" t="s">
        <v>48</v>
      </c>
      <c r="F936" t="s">
        <v>45</v>
      </c>
      <c r="G936" t="s">
        <v>27</v>
      </c>
      <c r="H936">
        <v>17342.310000000001</v>
      </c>
      <c r="I936">
        <v>2</v>
      </c>
      <c r="J936">
        <v>34684.620000000003</v>
      </c>
      <c r="K936">
        <v>4.57</v>
      </c>
    </row>
    <row r="937" spans="1:11" x14ac:dyDescent="0.35">
      <c r="A937" s="1">
        <v>45387</v>
      </c>
      <c r="B937" t="s">
        <v>982</v>
      </c>
      <c r="C937" t="s">
        <v>47</v>
      </c>
      <c r="D937" t="s">
        <v>13</v>
      </c>
      <c r="E937" t="s">
        <v>48</v>
      </c>
      <c r="F937" t="s">
        <v>45</v>
      </c>
      <c r="G937" t="s">
        <v>32</v>
      </c>
      <c r="H937">
        <v>15342.18</v>
      </c>
      <c r="I937">
        <v>5</v>
      </c>
      <c r="J937">
        <v>76710.899999999994</v>
      </c>
      <c r="K937">
        <v>1.05</v>
      </c>
    </row>
    <row r="938" spans="1:11" x14ac:dyDescent="0.35">
      <c r="A938" s="1">
        <v>45388</v>
      </c>
      <c r="B938" t="s">
        <v>682</v>
      </c>
      <c r="C938" t="s">
        <v>12</v>
      </c>
      <c r="D938" t="s">
        <v>13</v>
      </c>
      <c r="E938" t="s">
        <v>14</v>
      </c>
      <c r="F938" t="s">
        <v>45</v>
      </c>
      <c r="G938" t="s">
        <v>32</v>
      </c>
      <c r="H938">
        <v>3520.6</v>
      </c>
      <c r="I938">
        <v>4</v>
      </c>
      <c r="J938">
        <v>14082.4</v>
      </c>
      <c r="K938">
        <v>4.9400000000000004</v>
      </c>
    </row>
    <row r="939" spans="1:11" x14ac:dyDescent="0.35">
      <c r="A939" s="1">
        <v>45388</v>
      </c>
      <c r="B939" t="s">
        <v>1722</v>
      </c>
      <c r="C939" t="s">
        <v>34</v>
      </c>
      <c r="D939" t="s">
        <v>13</v>
      </c>
      <c r="E939" t="s">
        <v>35</v>
      </c>
      <c r="F939" t="s">
        <v>15</v>
      </c>
      <c r="G939" t="s">
        <v>16</v>
      </c>
      <c r="H939">
        <v>372.19</v>
      </c>
      <c r="I939">
        <v>1</v>
      </c>
      <c r="J939">
        <v>372.19</v>
      </c>
      <c r="K939">
        <v>2.73</v>
      </c>
    </row>
    <row r="940" spans="1:11" x14ac:dyDescent="0.35">
      <c r="A940" s="1">
        <v>45389</v>
      </c>
      <c r="B940" t="s">
        <v>66</v>
      </c>
      <c r="C940" t="s">
        <v>34</v>
      </c>
      <c r="D940" t="s">
        <v>13</v>
      </c>
      <c r="E940" t="s">
        <v>35</v>
      </c>
      <c r="F940" t="s">
        <v>21</v>
      </c>
      <c r="G940" t="s">
        <v>22</v>
      </c>
      <c r="H940">
        <v>3597.29</v>
      </c>
      <c r="I940">
        <v>1</v>
      </c>
      <c r="J940">
        <v>3597.29</v>
      </c>
      <c r="K940">
        <v>4.63</v>
      </c>
    </row>
    <row r="941" spans="1:11" x14ac:dyDescent="0.35">
      <c r="A941" s="1">
        <v>45389</v>
      </c>
      <c r="B941" t="s">
        <v>1391</v>
      </c>
      <c r="C941" t="s">
        <v>34</v>
      </c>
      <c r="D941" t="s">
        <v>13</v>
      </c>
      <c r="E941" t="s">
        <v>35</v>
      </c>
      <c r="F941" t="s">
        <v>45</v>
      </c>
      <c r="G941" t="s">
        <v>39</v>
      </c>
      <c r="H941">
        <v>5233.25</v>
      </c>
      <c r="I941">
        <v>2</v>
      </c>
      <c r="J941">
        <v>10466.5</v>
      </c>
      <c r="K941">
        <v>1.2</v>
      </c>
    </row>
    <row r="942" spans="1:11" x14ac:dyDescent="0.35">
      <c r="A942" s="1">
        <v>45390</v>
      </c>
      <c r="B942" t="s">
        <v>1007</v>
      </c>
      <c r="C942" t="s">
        <v>34</v>
      </c>
      <c r="D942" t="s">
        <v>13</v>
      </c>
      <c r="E942" t="s">
        <v>35</v>
      </c>
      <c r="F942" t="s">
        <v>21</v>
      </c>
      <c r="G942" t="s">
        <v>39</v>
      </c>
      <c r="H942">
        <v>11875.09</v>
      </c>
      <c r="I942">
        <v>4</v>
      </c>
      <c r="J942">
        <v>47500.36</v>
      </c>
      <c r="K942">
        <v>3.81</v>
      </c>
    </row>
    <row r="943" spans="1:11" x14ac:dyDescent="0.35">
      <c r="A943" s="1">
        <v>45392</v>
      </c>
      <c r="B943" t="s">
        <v>1021</v>
      </c>
      <c r="C943" t="s">
        <v>47</v>
      </c>
      <c r="D943" t="s">
        <v>13</v>
      </c>
      <c r="E943" t="s">
        <v>48</v>
      </c>
      <c r="F943" t="s">
        <v>45</v>
      </c>
      <c r="G943" t="s">
        <v>60</v>
      </c>
      <c r="H943">
        <v>16756.37</v>
      </c>
      <c r="I943">
        <v>4</v>
      </c>
      <c r="J943">
        <v>67025.48</v>
      </c>
      <c r="K943">
        <v>3.51</v>
      </c>
    </row>
    <row r="944" spans="1:11" x14ac:dyDescent="0.35">
      <c r="A944" s="1">
        <v>45392</v>
      </c>
      <c r="B944" t="s">
        <v>1466</v>
      </c>
      <c r="C944" t="s">
        <v>12</v>
      </c>
      <c r="D944" t="s">
        <v>13</v>
      </c>
      <c r="E944" t="s">
        <v>14</v>
      </c>
      <c r="F944" t="s">
        <v>45</v>
      </c>
      <c r="G944" t="s">
        <v>32</v>
      </c>
      <c r="H944">
        <v>7520.54</v>
      </c>
      <c r="I944">
        <v>4</v>
      </c>
      <c r="J944">
        <v>30082.16</v>
      </c>
      <c r="K944">
        <v>1.1100000000000001</v>
      </c>
    </row>
    <row r="945" spans="1:11" x14ac:dyDescent="0.35">
      <c r="A945" s="1">
        <v>45393</v>
      </c>
      <c r="B945" t="s">
        <v>948</v>
      </c>
      <c r="C945" t="s">
        <v>47</v>
      </c>
      <c r="D945" t="s">
        <v>13</v>
      </c>
      <c r="E945" t="s">
        <v>48</v>
      </c>
      <c r="F945" t="s">
        <v>21</v>
      </c>
      <c r="G945" t="s">
        <v>39</v>
      </c>
      <c r="H945">
        <v>9002.9500000000007</v>
      </c>
      <c r="I945">
        <v>3</v>
      </c>
      <c r="J945">
        <v>27008.85</v>
      </c>
      <c r="K945">
        <v>4.45</v>
      </c>
    </row>
    <row r="946" spans="1:11" x14ac:dyDescent="0.35">
      <c r="A946" s="1">
        <v>45393</v>
      </c>
      <c r="B946" t="s">
        <v>1749</v>
      </c>
      <c r="C946" t="s">
        <v>34</v>
      </c>
      <c r="D946" t="s">
        <v>13</v>
      </c>
      <c r="E946" t="s">
        <v>35</v>
      </c>
      <c r="F946" t="s">
        <v>21</v>
      </c>
      <c r="G946" t="s">
        <v>22</v>
      </c>
      <c r="H946">
        <v>7989.84</v>
      </c>
      <c r="I946">
        <v>2</v>
      </c>
      <c r="J946">
        <v>15979.68</v>
      </c>
      <c r="K946">
        <v>1.85</v>
      </c>
    </row>
    <row r="947" spans="1:11" x14ac:dyDescent="0.35">
      <c r="A947" s="1">
        <v>45393</v>
      </c>
      <c r="B947" t="s">
        <v>1975</v>
      </c>
      <c r="C947" t="s">
        <v>47</v>
      </c>
      <c r="D947" t="s">
        <v>13</v>
      </c>
      <c r="E947" t="s">
        <v>48</v>
      </c>
      <c r="F947" t="s">
        <v>21</v>
      </c>
      <c r="G947" t="s">
        <v>27</v>
      </c>
      <c r="H947">
        <v>440.16</v>
      </c>
      <c r="I947">
        <v>1</v>
      </c>
      <c r="J947">
        <v>440.16</v>
      </c>
      <c r="K947">
        <v>3.39</v>
      </c>
    </row>
    <row r="948" spans="1:11" x14ac:dyDescent="0.35">
      <c r="A948" s="1">
        <v>45395</v>
      </c>
      <c r="B948" t="s">
        <v>1081</v>
      </c>
      <c r="C948" t="s">
        <v>34</v>
      </c>
      <c r="D948" t="s">
        <v>13</v>
      </c>
      <c r="E948" t="s">
        <v>35</v>
      </c>
      <c r="F948" t="s">
        <v>21</v>
      </c>
      <c r="G948" t="s">
        <v>22</v>
      </c>
      <c r="H948">
        <v>8391.33</v>
      </c>
      <c r="I948">
        <v>1</v>
      </c>
      <c r="J948">
        <v>8391.33</v>
      </c>
      <c r="K948">
        <v>1.73</v>
      </c>
    </row>
    <row r="949" spans="1:11" x14ac:dyDescent="0.35">
      <c r="A949" s="1">
        <v>45395</v>
      </c>
      <c r="B949" t="s">
        <v>1191</v>
      </c>
      <c r="C949" t="s">
        <v>12</v>
      </c>
      <c r="D949" t="s">
        <v>13</v>
      </c>
      <c r="E949" t="s">
        <v>14</v>
      </c>
      <c r="F949" t="s">
        <v>45</v>
      </c>
      <c r="G949" t="s">
        <v>32</v>
      </c>
      <c r="H949">
        <v>4286.0600000000004</v>
      </c>
      <c r="I949">
        <v>5</v>
      </c>
      <c r="J949">
        <v>21430.3</v>
      </c>
      <c r="K949">
        <v>2.98</v>
      </c>
    </row>
    <row r="950" spans="1:11" x14ac:dyDescent="0.35">
      <c r="A950" s="1">
        <v>45396</v>
      </c>
      <c r="B950" t="s">
        <v>231</v>
      </c>
      <c r="C950" t="s">
        <v>12</v>
      </c>
      <c r="D950" t="s">
        <v>13</v>
      </c>
      <c r="E950" t="s">
        <v>14</v>
      </c>
      <c r="F950" t="s">
        <v>45</v>
      </c>
      <c r="G950" t="s">
        <v>32</v>
      </c>
      <c r="H950">
        <v>7141.58</v>
      </c>
      <c r="I950">
        <v>4</v>
      </c>
      <c r="J950">
        <v>28566.32</v>
      </c>
      <c r="K950">
        <v>3.64</v>
      </c>
    </row>
    <row r="951" spans="1:11" x14ac:dyDescent="0.35">
      <c r="A951" s="1">
        <v>45397</v>
      </c>
      <c r="B951" t="s">
        <v>1068</v>
      </c>
      <c r="C951" t="s">
        <v>34</v>
      </c>
      <c r="D951" t="s">
        <v>13</v>
      </c>
      <c r="E951" t="s">
        <v>35</v>
      </c>
      <c r="F951" t="s">
        <v>45</v>
      </c>
      <c r="G951" t="s">
        <v>39</v>
      </c>
      <c r="H951">
        <v>8250.99</v>
      </c>
      <c r="I951">
        <v>3</v>
      </c>
      <c r="J951">
        <v>24752.97</v>
      </c>
      <c r="K951">
        <v>1.85</v>
      </c>
    </row>
    <row r="952" spans="1:11" x14ac:dyDescent="0.35">
      <c r="A952" s="1">
        <v>45398</v>
      </c>
      <c r="B952" t="s">
        <v>1992</v>
      </c>
      <c r="C952" t="s">
        <v>34</v>
      </c>
      <c r="D952" t="s">
        <v>13</v>
      </c>
      <c r="E952" t="s">
        <v>35</v>
      </c>
      <c r="F952" t="s">
        <v>21</v>
      </c>
      <c r="G952" t="s">
        <v>32</v>
      </c>
      <c r="H952">
        <v>18807.28</v>
      </c>
      <c r="I952">
        <v>2</v>
      </c>
      <c r="J952">
        <v>37614.559999999998</v>
      </c>
      <c r="K952">
        <v>2.81</v>
      </c>
    </row>
    <row r="953" spans="1:11" x14ac:dyDescent="0.35">
      <c r="A953" s="1">
        <v>45399</v>
      </c>
      <c r="B953" t="s">
        <v>1205</v>
      </c>
      <c r="C953" t="s">
        <v>47</v>
      </c>
      <c r="D953" t="s">
        <v>13</v>
      </c>
      <c r="E953" t="s">
        <v>48</v>
      </c>
      <c r="F953" t="s">
        <v>21</v>
      </c>
      <c r="G953" t="s">
        <v>27</v>
      </c>
      <c r="H953">
        <v>15520.89</v>
      </c>
      <c r="I953">
        <v>3</v>
      </c>
      <c r="J953">
        <v>46562.67</v>
      </c>
      <c r="K953">
        <v>4.1100000000000003</v>
      </c>
    </row>
    <row r="954" spans="1:11" x14ac:dyDescent="0.35">
      <c r="A954" s="1">
        <v>45399</v>
      </c>
      <c r="B954" t="s">
        <v>1327</v>
      </c>
      <c r="C954" t="s">
        <v>34</v>
      </c>
      <c r="D954" t="s">
        <v>13</v>
      </c>
      <c r="E954" t="s">
        <v>35</v>
      </c>
      <c r="F954" t="s">
        <v>45</v>
      </c>
      <c r="G954" t="s">
        <v>27</v>
      </c>
      <c r="H954">
        <v>13670.74</v>
      </c>
      <c r="I954">
        <v>5</v>
      </c>
      <c r="J954">
        <v>68353.7</v>
      </c>
      <c r="K954">
        <v>3.16</v>
      </c>
    </row>
    <row r="955" spans="1:11" x14ac:dyDescent="0.35">
      <c r="A955" s="1">
        <v>45400</v>
      </c>
      <c r="B955" t="s">
        <v>141</v>
      </c>
      <c r="C955" t="s">
        <v>12</v>
      </c>
      <c r="D955" t="s">
        <v>13</v>
      </c>
      <c r="E955" t="s">
        <v>14</v>
      </c>
      <c r="F955" t="s">
        <v>15</v>
      </c>
      <c r="G955" t="s">
        <v>60</v>
      </c>
      <c r="H955">
        <v>18847.29</v>
      </c>
      <c r="I955">
        <v>1</v>
      </c>
      <c r="J955">
        <v>18847.29</v>
      </c>
      <c r="K955">
        <v>2.99</v>
      </c>
    </row>
    <row r="956" spans="1:11" x14ac:dyDescent="0.35">
      <c r="A956" s="1">
        <v>45400</v>
      </c>
      <c r="B956" t="s">
        <v>463</v>
      </c>
      <c r="C956" t="s">
        <v>34</v>
      </c>
      <c r="D956" t="s">
        <v>13</v>
      </c>
      <c r="E956" t="s">
        <v>35</v>
      </c>
      <c r="F956" t="s">
        <v>21</v>
      </c>
      <c r="G956" t="s">
        <v>39</v>
      </c>
      <c r="H956">
        <v>18863.57</v>
      </c>
      <c r="I956">
        <v>3</v>
      </c>
      <c r="J956">
        <v>56590.71</v>
      </c>
      <c r="K956">
        <v>2.11</v>
      </c>
    </row>
    <row r="957" spans="1:11" x14ac:dyDescent="0.35">
      <c r="A957" s="1">
        <v>45401</v>
      </c>
      <c r="B957" t="s">
        <v>242</v>
      </c>
      <c r="C957" t="s">
        <v>47</v>
      </c>
      <c r="D957" t="s">
        <v>13</v>
      </c>
      <c r="E957" t="s">
        <v>48</v>
      </c>
      <c r="F957" t="s">
        <v>45</v>
      </c>
      <c r="G957" t="s">
        <v>60</v>
      </c>
      <c r="H957">
        <v>11678.62</v>
      </c>
      <c r="I957">
        <v>5</v>
      </c>
      <c r="J957">
        <v>58393.1</v>
      </c>
      <c r="K957">
        <v>2.79</v>
      </c>
    </row>
    <row r="958" spans="1:11" x14ac:dyDescent="0.35">
      <c r="A958" s="1">
        <v>45401</v>
      </c>
      <c r="B958" t="s">
        <v>337</v>
      </c>
      <c r="C958" t="s">
        <v>12</v>
      </c>
      <c r="D958" t="s">
        <v>13</v>
      </c>
      <c r="E958" t="s">
        <v>14</v>
      </c>
      <c r="F958" t="s">
        <v>45</v>
      </c>
      <c r="G958" t="s">
        <v>60</v>
      </c>
      <c r="H958">
        <v>11541.02</v>
      </c>
      <c r="I958">
        <v>3</v>
      </c>
      <c r="J958">
        <v>34623.06</v>
      </c>
      <c r="K958">
        <v>3.28</v>
      </c>
    </row>
    <row r="959" spans="1:11" x14ac:dyDescent="0.35">
      <c r="A959" s="1">
        <v>45401</v>
      </c>
      <c r="B959" t="s">
        <v>851</v>
      </c>
      <c r="C959" t="s">
        <v>47</v>
      </c>
      <c r="D959" t="s">
        <v>13</v>
      </c>
      <c r="E959" t="s">
        <v>48</v>
      </c>
      <c r="F959" t="s">
        <v>15</v>
      </c>
      <c r="G959" t="s">
        <v>32</v>
      </c>
      <c r="H959">
        <v>10352.969999999999</v>
      </c>
      <c r="I959">
        <v>4</v>
      </c>
      <c r="J959">
        <v>41411.879999999997</v>
      </c>
      <c r="K959">
        <v>1.31</v>
      </c>
    </row>
    <row r="960" spans="1:11" x14ac:dyDescent="0.35">
      <c r="A960" s="1">
        <v>45401</v>
      </c>
      <c r="B960" t="s">
        <v>1962</v>
      </c>
      <c r="C960" t="s">
        <v>12</v>
      </c>
      <c r="D960" t="s">
        <v>13</v>
      </c>
      <c r="E960" t="s">
        <v>14</v>
      </c>
      <c r="F960" t="s">
        <v>15</v>
      </c>
      <c r="G960" t="s">
        <v>39</v>
      </c>
      <c r="H960">
        <v>2587.77</v>
      </c>
      <c r="I960">
        <v>5</v>
      </c>
      <c r="J960">
        <v>12938.85</v>
      </c>
      <c r="K960">
        <v>3.41</v>
      </c>
    </row>
    <row r="961" spans="1:11" x14ac:dyDescent="0.35">
      <c r="A961" s="1">
        <v>45403</v>
      </c>
      <c r="B961" t="s">
        <v>150</v>
      </c>
      <c r="C961" t="s">
        <v>34</v>
      </c>
      <c r="D961" t="s">
        <v>13</v>
      </c>
      <c r="E961" t="s">
        <v>35</v>
      </c>
      <c r="F961" t="s">
        <v>15</v>
      </c>
      <c r="G961" t="s">
        <v>39</v>
      </c>
      <c r="H961">
        <v>8008.52</v>
      </c>
      <c r="I961">
        <v>4</v>
      </c>
      <c r="J961">
        <v>32034.080000000002</v>
      </c>
      <c r="K961">
        <v>2.97</v>
      </c>
    </row>
    <row r="962" spans="1:11" x14ac:dyDescent="0.35">
      <c r="A962" s="1">
        <v>45403</v>
      </c>
      <c r="B962" t="s">
        <v>784</v>
      </c>
      <c r="C962" t="s">
        <v>47</v>
      </c>
      <c r="D962" t="s">
        <v>13</v>
      </c>
      <c r="E962" t="s">
        <v>48</v>
      </c>
      <c r="F962" t="s">
        <v>15</v>
      </c>
      <c r="G962" t="s">
        <v>39</v>
      </c>
      <c r="H962">
        <v>3210.3</v>
      </c>
      <c r="I962">
        <v>1</v>
      </c>
      <c r="J962">
        <v>3210.3</v>
      </c>
      <c r="K962">
        <v>3.89</v>
      </c>
    </row>
    <row r="963" spans="1:11" x14ac:dyDescent="0.35">
      <c r="A963" s="1">
        <v>45403</v>
      </c>
      <c r="B963" t="s">
        <v>852</v>
      </c>
      <c r="C963" t="s">
        <v>12</v>
      </c>
      <c r="D963" t="s">
        <v>13</v>
      </c>
      <c r="E963" t="s">
        <v>14</v>
      </c>
      <c r="F963" t="s">
        <v>45</v>
      </c>
      <c r="G963" t="s">
        <v>60</v>
      </c>
      <c r="H963">
        <v>19951.93</v>
      </c>
      <c r="I963">
        <v>3</v>
      </c>
      <c r="J963">
        <v>59855.79</v>
      </c>
      <c r="K963">
        <v>2.2400000000000002</v>
      </c>
    </row>
    <row r="964" spans="1:11" x14ac:dyDescent="0.35">
      <c r="A964" s="1">
        <v>45404</v>
      </c>
      <c r="B964" t="s">
        <v>855</v>
      </c>
      <c r="C964" t="s">
        <v>34</v>
      </c>
      <c r="D964" t="s">
        <v>13</v>
      </c>
      <c r="E964" t="s">
        <v>35</v>
      </c>
      <c r="F964" t="s">
        <v>45</v>
      </c>
      <c r="G964" t="s">
        <v>32</v>
      </c>
      <c r="H964">
        <v>962.68</v>
      </c>
      <c r="I964">
        <v>1</v>
      </c>
      <c r="J964">
        <v>962.68</v>
      </c>
      <c r="K964">
        <v>3.08</v>
      </c>
    </row>
    <row r="965" spans="1:11" x14ac:dyDescent="0.35">
      <c r="A965" s="1">
        <v>45406</v>
      </c>
      <c r="B965" t="s">
        <v>193</v>
      </c>
      <c r="C965" t="s">
        <v>12</v>
      </c>
      <c r="D965" t="s">
        <v>13</v>
      </c>
      <c r="E965" t="s">
        <v>14</v>
      </c>
      <c r="F965" t="s">
        <v>15</v>
      </c>
      <c r="G965" t="s">
        <v>60</v>
      </c>
      <c r="H965">
        <v>1128.05</v>
      </c>
      <c r="I965">
        <v>1</v>
      </c>
      <c r="J965">
        <v>1128.05</v>
      </c>
      <c r="K965">
        <v>4.59</v>
      </c>
    </row>
    <row r="966" spans="1:11" x14ac:dyDescent="0.35">
      <c r="A966" s="1">
        <v>45407</v>
      </c>
      <c r="B966" t="s">
        <v>605</v>
      </c>
      <c r="C966" t="s">
        <v>47</v>
      </c>
      <c r="D966" t="s">
        <v>13</v>
      </c>
      <c r="E966" t="s">
        <v>48</v>
      </c>
      <c r="F966" t="s">
        <v>21</v>
      </c>
      <c r="G966" t="s">
        <v>27</v>
      </c>
      <c r="H966">
        <v>7422.19</v>
      </c>
      <c r="I966">
        <v>1</v>
      </c>
      <c r="J966">
        <v>7422.19</v>
      </c>
      <c r="K966">
        <v>4.2</v>
      </c>
    </row>
    <row r="967" spans="1:11" x14ac:dyDescent="0.35">
      <c r="A967" s="1">
        <v>45407</v>
      </c>
      <c r="B967" t="s">
        <v>1537</v>
      </c>
      <c r="C967" t="s">
        <v>34</v>
      </c>
      <c r="D967" t="s">
        <v>13</v>
      </c>
      <c r="E967" t="s">
        <v>35</v>
      </c>
      <c r="F967" t="s">
        <v>21</v>
      </c>
      <c r="G967" t="s">
        <v>60</v>
      </c>
      <c r="H967">
        <v>16287.06</v>
      </c>
      <c r="I967">
        <v>4</v>
      </c>
      <c r="J967">
        <v>65148.24</v>
      </c>
      <c r="K967">
        <v>1.6</v>
      </c>
    </row>
    <row r="968" spans="1:11" x14ac:dyDescent="0.35">
      <c r="A968" s="1">
        <v>45408</v>
      </c>
      <c r="B968" t="s">
        <v>1040</v>
      </c>
      <c r="C968" t="s">
        <v>47</v>
      </c>
      <c r="D968" t="s">
        <v>13</v>
      </c>
      <c r="E968" t="s">
        <v>48</v>
      </c>
      <c r="F968" t="s">
        <v>45</v>
      </c>
      <c r="G968" t="s">
        <v>32</v>
      </c>
      <c r="H968">
        <v>8696.99</v>
      </c>
      <c r="I968">
        <v>2</v>
      </c>
      <c r="J968">
        <v>17393.98</v>
      </c>
      <c r="K968">
        <v>1.49</v>
      </c>
    </row>
    <row r="969" spans="1:11" x14ac:dyDescent="0.35">
      <c r="A969" s="1">
        <v>45408</v>
      </c>
      <c r="B969" t="s">
        <v>1361</v>
      </c>
      <c r="C969" t="s">
        <v>47</v>
      </c>
      <c r="D969" t="s">
        <v>13</v>
      </c>
      <c r="E969" t="s">
        <v>48</v>
      </c>
      <c r="F969" t="s">
        <v>15</v>
      </c>
      <c r="G969" t="s">
        <v>22</v>
      </c>
      <c r="H969">
        <v>674.54</v>
      </c>
      <c r="I969">
        <v>4</v>
      </c>
      <c r="J969">
        <v>2698.16</v>
      </c>
      <c r="K969">
        <v>3.31</v>
      </c>
    </row>
    <row r="970" spans="1:11" x14ac:dyDescent="0.35">
      <c r="A970" s="1">
        <v>45408</v>
      </c>
      <c r="B970" t="s">
        <v>1393</v>
      </c>
      <c r="C970" t="s">
        <v>47</v>
      </c>
      <c r="D970" t="s">
        <v>13</v>
      </c>
      <c r="E970" t="s">
        <v>48</v>
      </c>
      <c r="F970" t="s">
        <v>15</v>
      </c>
      <c r="G970" t="s">
        <v>16</v>
      </c>
      <c r="H970">
        <v>18658.05</v>
      </c>
      <c r="I970">
        <v>4</v>
      </c>
      <c r="J970">
        <v>74632.2</v>
      </c>
      <c r="K970">
        <v>3.38</v>
      </c>
    </row>
    <row r="971" spans="1:11" x14ac:dyDescent="0.35">
      <c r="A971" s="1">
        <v>45408</v>
      </c>
      <c r="B971" t="s">
        <v>1904</v>
      </c>
      <c r="C971" t="s">
        <v>47</v>
      </c>
      <c r="D971" t="s">
        <v>13</v>
      </c>
      <c r="E971" t="s">
        <v>48</v>
      </c>
      <c r="F971" t="s">
        <v>21</v>
      </c>
      <c r="G971" t="s">
        <v>32</v>
      </c>
      <c r="H971">
        <v>17398.23</v>
      </c>
      <c r="I971">
        <v>5</v>
      </c>
      <c r="J971">
        <v>86991.15</v>
      </c>
      <c r="K971">
        <v>4.3600000000000003</v>
      </c>
    </row>
    <row r="972" spans="1:11" x14ac:dyDescent="0.35">
      <c r="A972" s="1">
        <v>45410</v>
      </c>
      <c r="B972" t="s">
        <v>839</v>
      </c>
      <c r="C972" t="s">
        <v>34</v>
      </c>
      <c r="D972" t="s">
        <v>13</v>
      </c>
      <c r="E972" t="s">
        <v>35</v>
      </c>
      <c r="F972" t="s">
        <v>15</v>
      </c>
      <c r="G972" t="s">
        <v>27</v>
      </c>
      <c r="H972">
        <v>12441.48</v>
      </c>
      <c r="I972">
        <v>4</v>
      </c>
      <c r="J972">
        <v>49765.919999999998</v>
      </c>
      <c r="K972">
        <v>2.31</v>
      </c>
    </row>
    <row r="973" spans="1:11" x14ac:dyDescent="0.35">
      <c r="A973" s="1">
        <v>45412</v>
      </c>
      <c r="B973" t="s">
        <v>573</v>
      </c>
      <c r="C973" t="s">
        <v>34</v>
      </c>
      <c r="D973" t="s">
        <v>13</v>
      </c>
      <c r="E973" t="s">
        <v>35</v>
      </c>
      <c r="F973" t="s">
        <v>15</v>
      </c>
      <c r="G973" t="s">
        <v>60</v>
      </c>
      <c r="H973">
        <v>10120.219999999999</v>
      </c>
      <c r="I973">
        <v>1</v>
      </c>
      <c r="J973">
        <v>10120.219999999999</v>
      </c>
      <c r="K973">
        <v>2.2799999999999998</v>
      </c>
    </row>
    <row r="974" spans="1:11" x14ac:dyDescent="0.35">
      <c r="A974" s="1">
        <v>45412</v>
      </c>
      <c r="B974" t="s">
        <v>1027</v>
      </c>
      <c r="C974" t="s">
        <v>12</v>
      </c>
      <c r="D974" t="s">
        <v>13</v>
      </c>
      <c r="E974" t="s">
        <v>14</v>
      </c>
      <c r="F974" t="s">
        <v>21</v>
      </c>
      <c r="G974" t="s">
        <v>16</v>
      </c>
      <c r="H974">
        <v>2728.79</v>
      </c>
      <c r="I974">
        <v>1</v>
      </c>
      <c r="J974">
        <v>2728.79</v>
      </c>
      <c r="K974">
        <v>2.4</v>
      </c>
    </row>
    <row r="975" spans="1:11" x14ac:dyDescent="0.35">
      <c r="A975" s="1">
        <v>45412</v>
      </c>
      <c r="B975" t="s">
        <v>1547</v>
      </c>
      <c r="C975" t="s">
        <v>12</v>
      </c>
      <c r="D975" t="s">
        <v>13</v>
      </c>
      <c r="E975" t="s">
        <v>14</v>
      </c>
      <c r="F975" t="s">
        <v>45</v>
      </c>
      <c r="G975" t="s">
        <v>60</v>
      </c>
      <c r="H975">
        <v>5303.08</v>
      </c>
      <c r="I975">
        <v>3</v>
      </c>
      <c r="J975">
        <v>15909.24</v>
      </c>
      <c r="K975">
        <v>4.32</v>
      </c>
    </row>
    <row r="976" spans="1:11" x14ac:dyDescent="0.35">
      <c r="A976" s="1">
        <v>45414</v>
      </c>
      <c r="B976" t="s">
        <v>233</v>
      </c>
      <c r="C976" t="s">
        <v>12</v>
      </c>
      <c r="D976" t="s">
        <v>13</v>
      </c>
      <c r="E976" t="s">
        <v>14</v>
      </c>
      <c r="F976" t="s">
        <v>45</v>
      </c>
      <c r="G976" t="s">
        <v>60</v>
      </c>
      <c r="H976">
        <v>2258.04</v>
      </c>
      <c r="I976">
        <v>3</v>
      </c>
      <c r="J976">
        <v>6774.12</v>
      </c>
      <c r="K976">
        <v>4.03</v>
      </c>
    </row>
    <row r="977" spans="1:11" x14ac:dyDescent="0.35">
      <c r="A977" s="1">
        <v>45414</v>
      </c>
      <c r="B977" t="s">
        <v>1583</v>
      </c>
      <c r="C977" t="s">
        <v>34</v>
      </c>
      <c r="D977" t="s">
        <v>13</v>
      </c>
      <c r="E977" t="s">
        <v>35</v>
      </c>
      <c r="F977" t="s">
        <v>45</v>
      </c>
      <c r="G977" t="s">
        <v>32</v>
      </c>
      <c r="H977">
        <v>15772.15</v>
      </c>
      <c r="I977">
        <v>2</v>
      </c>
      <c r="J977">
        <v>31544.3</v>
      </c>
      <c r="K977">
        <v>3.9</v>
      </c>
    </row>
    <row r="978" spans="1:11" x14ac:dyDescent="0.35">
      <c r="A978" s="1">
        <v>45415</v>
      </c>
      <c r="B978" t="s">
        <v>154</v>
      </c>
      <c r="C978" t="s">
        <v>34</v>
      </c>
      <c r="D978" t="s">
        <v>13</v>
      </c>
      <c r="E978" t="s">
        <v>35</v>
      </c>
      <c r="F978" t="s">
        <v>45</v>
      </c>
      <c r="G978" t="s">
        <v>16</v>
      </c>
      <c r="H978">
        <v>8188.88</v>
      </c>
      <c r="I978">
        <v>5</v>
      </c>
      <c r="J978">
        <v>40944.400000000001</v>
      </c>
      <c r="K978">
        <v>3.45</v>
      </c>
    </row>
    <row r="979" spans="1:11" x14ac:dyDescent="0.35">
      <c r="A979" s="1">
        <v>45415</v>
      </c>
      <c r="B979" t="s">
        <v>702</v>
      </c>
      <c r="C979" t="s">
        <v>12</v>
      </c>
      <c r="D979" t="s">
        <v>13</v>
      </c>
      <c r="E979" t="s">
        <v>14</v>
      </c>
      <c r="F979" t="s">
        <v>15</v>
      </c>
      <c r="G979" t="s">
        <v>16</v>
      </c>
      <c r="H979">
        <v>1219.83</v>
      </c>
      <c r="I979">
        <v>4</v>
      </c>
      <c r="J979">
        <v>4879.32</v>
      </c>
      <c r="K979">
        <v>4.9000000000000004</v>
      </c>
    </row>
    <row r="980" spans="1:11" x14ac:dyDescent="0.35">
      <c r="A980" s="1">
        <v>45416</v>
      </c>
      <c r="B980" t="s">
        <v>693</v>
      </c>
      <c r="C980" t="s">
        <v>47</v>
      </c>
      <c r="D980" t="s">
        <v>13</v>
      </c>
      <c r="E980" t="s">
        <v>48</v>
      </c>
      <c r="F980" t="s">
        <v>45</v>
      </c>
      <c r="G980" t="s">
        <v>39</v>
      </c>
      <c r="H980">
        <v>1834.8</v>
      </c>
      <c r="I980">
        <v>1</v>
      </c>
      <c r="J980">
        <v>1834.8</v>
      </c>
      <c r="K980">
        <v>2.95</v>
      </c>
    </row>
    <row r="981" spans="1:11" x14ac:dyDescent="0.35">
      <c r="A981" s="1">
        <v>45416</v>
      </c>
      <c r="B981" t="s">
        <v>1953</v>
      </c>
      <c r="C981" t="s">
        <v>12</v>
      </c>
      <c r="D981" t="s">
        <v>13</v>
      </c>
      <c r="E981" t="s">
        <v>14</v>
      </c>
      <c r="F981" t="s">
        <v>21</v>
      </c>
      <c r="G981" t="s">
        <v>27</v>
      </c>
      <c r="H981">
        <v>10483.27</v>
      </c>
      <c r="I981">
        <v>2</v>
      </c>
      <c r="J981">
        <v>20966.54</v>
      </c>
      <c r="K981">
        <v>1.21</v>
      </c>
    </row>
    <row r="982" spans="1:11" x14ac:dyDescent="0.35">
      <c r="A982" s="1">
        <v>45417</v>
      </c>
      <c r="B982" t="s">
        <v>260</v>
      </c>
      <c r="C982" t="s">
        <v>47</v>
      </c>
      <c r="D982" t="s">
        <v>13</v>
      </c>
      <c r="E982" t="s">
        <v>48</v>
      </c>
      <c r="F982" t="s">
        <v>45</v>
      </c>
      <c r="G982" t="s">
        <v>27</v>
      </c>
      <c r="H982">
        <v>1741.6</v>
      </c>
      <c r="I982">
        <v>5</v>
      </c>
      <c r="J982">
        <v>8708</v>
      </c>
      <c r="K982">
        <v>4.7300000000000004</v>
      </c>
    </row>
    <row r="983" spans="1:11" x14ac:dyDescent="0.35">
      <c r="A983" s="1">
        <v>45417</v>
      </c>
      <c r="B983" t="s">
        <v>1309</v>
      </c>
      <c r="C983" t="s">
        <v>47</v>
      </c>
      <c r="D983" t="s">
        <v>13</v>
      </c>
      <c r="E983" t="s">
        <v>48</v>
      </c>
      <c r="F983" t="s">
        <v>15</v>
      </c>
      <c r="G983" t="s">
        <v>22</v>
      </c>
      <c r="H983">
        <v>3341.1</v>
      </c>
      <c r="I983">
        <v>1</v>
      </c>
      <c r="J983">
        <v>3341.1</v>
      </c>
      <c r="K983">
        <v>4.03</v>
      </c>
    </row>
    <row r="984" spans="1:11" x14ac:dyDescent="0.35">
      <c r="A984" s="1">
        <v>45417</v>
      </c>
      <c r="B984" t="s">
        <v>1837</v>
      </c>
      <c r="C984" t="s">
        <v>12</v>
      </c>
      <c r="D984" t="s">
        <v>13</v>
      </c>
      <c r="E984" t="s">
        <v>14</v>
      </c>
      <c r="F984" t="s">
        <v>15</v>
      </c>
      <c r="G984" t="s">
        <v>16</v>
      </c>
      <c r="H984">
        <v>8232.7999999999993</v>
      </c>
      <c r="I984">
        <v>4</v>
      </c>
      <c r="J984">
        <v>32931.199999999997</v>
      </c>
      <c r="K984">
        <v>4.7300000000000004</v>
      </c>
    </row>
    <row r="985" spans="1:11" x14ac:dyDescent="0.35">
      <c r="A985" s="1">
        <v>45419</v>
      </c>
      <c r="B985" t="s">
        <v>717</v>
      </c>
      <c r="C985" t="s">
        <v>12</v>
      </c>
      <c r="D985" t="s">
        <v>13</v>
      </c>
      <c r="E985" t="s">
        <v>14</v>
      </c>
      <c r="F985" t="s">
        <v>45</v>
      </c>
      <c r="G985" t="s">
        <v>27</v>
      </c>
      <c r="H985">
        <v>11283.86</v>
      </c>
      <c r="I985">
        <v>4</v>
      </c>
      <c r="J985">
        <v>45135.44</v>
      </c>
      <c r="K985">
        <v>1.38</v>
      </c>
    </row>
    <row r="986" spans="1:11" x14ac:dyDescent="0.35">
      <c r="A986" s="1">
        <v>45419</v>
      </c>
      <c r="B986" t="s">
        <v>1392</v>
      </c>
      <c r="C986" t="s">
        <v>47</v>
      </c>
      <c r="D986" t="s">
        <v>13</v>
      </c>
      <c r="E986" t="s">
        <v>48</v>
      </c>
      <c r="F986" t="s">
        <v>21</v>
      </c>
      <c r="G986" t="s">
        <v>27</v>
      </c>
      <c r="H986">
        <v>7621.11</v>
      </c>
      <c r="I986">
        <v>3</v>
      </c>
      <c r="J986">
        <v>22863.33</v>
      </c>
      <c r="K986">
        <v>1.19</v>
      </c>
    </row>
    <row r="987" spans="1:11" x14ac:dyDescent="0.35">
      <c r="A987" s="1">
        <v>45420</v>
      </c>
      <c r="B987" t="s">
        <v>1049</v>
      </c>
      <c r="C987" t="s">
        <v>34</v>
      </c>
      <c r="D987" t="s">
        <v>13</v>
      </c>
      <c r="E987" t="s">
        <v>35</v>
      </c>
      <c r="F987" t="s">
        <v>45</v>
      </c>
      <c r="G987" t="s">
        <v>22</v>
      </c>
      <c r="H987">
        <v>19124.37</v>
      </c>
      <c r="I987">
        <v>2</v>
      </c>
      <c r="J987">
        <v>38248.74</v>
      </c>
      <c r="K987">
        <v>2.79</v>
      </c>
    </row>
    <row r="988" spans="1:11" x14ac:dyDescent="0.35">
      <c r="A988" s="1">
        <v>45420</v>
      </c>
      <c r="B988" t="s">
        <v>1078</v>
      </c>
      <c r="C988" t="s">
        <v>34</v>
      </c>
      <c r="D988" t="s">
        <v>13</v>
      </c>
      <c r="E988" t="s">
        <v>35</v>
      </c>
      <c r="F988" t="s">
        <v>15</v>
      </c>
      <c r="G988" t="s">
        <v>22</v>
      </c>
      <c r="H988">
        <v>12024.79</v>
      </c>
      <c r="I988">
        <v>4</v>
      </c>
      <c r="J988">
        <v>48099.16</v>
      </c>
      <c r="K988">
        <v>4.17</v>
      </c>
    </row>
    <row r="989" spans="1:11" x14ac:dyDescent="0.35">
      <c r="A989" s="1">
        <v>45421</v>
      </c>
      <c r="B989" t="s">
        <v>57</v>
      </c>
      <c r="C989" t="s">
        <v>12</v>
      </c>
      <c r="D989" t="s">
        <v>13</v>
      </c>
      <c r="E989" t="s">
        <v>14</v>
      </c>
      <c r="F989" t="s">
        <v>15</v>
      </c>
      <c r="G989" t="s">
        <v>22</v>
      </c>
      <c r="H989">
        <v>3529.77</v>
      </c>
      <c r="I989">
        <v>5</v>
      </c>
      <c r="J989">
        <v>17648.849999999999</v>
      </c>
      <c r="K989">
        <v>2.06</v>
      </c>
    </row>
    <row r="990" spans="1:11" x14ac:dyDescent="0.35">
      <c r="A990" s="1">
        <v>45421</v>
      </c>
      <c r="B990" t="s">
        <v>650</v>
      </c>
      <c r="C990" t="s">
        <v>34</v>
      </c>
      <c r="D990" t="s">
        <v>13</v>
      </c>
      <c r="E990" t="s">
        <v>35</v>
      </c>
      <c r="F990" t="s">
        <v>45</v>
      </c>
      <c r="G990" t="s">
        <v>16</v>
      </c>
      <c r="H990">
        <v>4147.54</v>
      </c>
      <c r="I990">
        <v>1</v>
      </c>
      <c r="J990">
        <v>4147.54</v>
      </c>
      <c r="K990">
        <v>4.95</v>
      </c>
    </row>
    <row r="991" spans="1:11" x14ac:dyDescent="0.35">
      <c r="A991" s="1">
        <v>45422</v>
      </c>
      <c r="B991" t="s">
        <v>93</v>
      </c>
      <c r="C991" t="s">
        <v>47</v>
      </c>
      <c r="D991" t="s">
        <v>13</v>
      </c>
      <c r="E991" t="s">
        <v>48</v>
      </c>
      <c r="F991" t="s">
        <v>15</v>
      </c>
      <c r="G991" t="s">
        <v>27</v>
      </c>
      <c r="H991">
        <v>2211.64</v>
      </c>
      <c r="I991">
        <v>4</v>
      </c>
      <c r="J991">
        <v>8846.56</v>
      </c>
      <c r="K991">
        <v>1.88</v>
      </c>
    </row>
    <row r="992" spans="1:11" x14ac:dyDescent="0.35">
      <c r="A992" s="1">
        <v>45422</v>
      </c>
      <c r="B992" t="s">
        <v>187</v>
      </c>
      <c r="C992" t="s">
        <v>47</v>
      </c>
      <c r="D992" t="s">
        <v>13</v>
      </c>
      <c r="E992" t="s">
        <v>48</v>
      </c>
      <c r="F992" t="s">
        <v>21</v>
      </c>
      <c r="G992" t="s">
        <v>22</v>
      </c>
      <c r="H992">
        <v>3092.83</v>
      </c>
      <c r="I992">
        <v>4</v>
      </c>
      <c r="J992">
        <v>12371.32</v>
      </c>
      <c r="K992">
        <v>4.71</v>
      </c>
    </row>
    <row r="993" spans="1:11" x14ac:dyDescent="0.35">
      <c r="A993" s="1">
        <v>45422</v>
      </c>
      <c r="B993" t="s">
        <v>293</v>
      </c>
      <c r="C993" t="s">
        <v>34</v>
      </c>
      <c r="D993" t="s">
        <v>13</v>
      </c>
      <c r="E993" t="s">
        <v>35</v>
      </c>
      <c r="F993" t="s">
        <v>45</v>
      </c>
      <c r="G993" t="s">
        <v>27</v>
      </c>
      <c r="H993">
        <v>19134.64</v>
      </c>
      <c r="I993">
        <v>1</v>
      </c>
      <c r="J993">
        <v>19134.64</v>
      </c>
      <c r="K993">
        <v>4.4800000000000004</v>
      </c>
    </row>
    <row r="994" spans="1:11" x14ac:dyDescent="0.35">
      <c r="A994" s="1">
        <v>45424</v>
      </c>
      <c r="B994" t="s">
        <v>804</v>
      </c>
      <c r="C994" t="s">
        <v>34</v>
      </c>
      <c r="D994" t="s">
        <v>13</v>
      </c>
      <c r="E994" t="s">
        <v>35</v>
      </c>
      <c r="F994" t="s">
        <v>15</v>
      </c>
      <c r="G994" t="s">
        <v>22</v>
      </c>
      <c r="H994">
        <v>4058.49</v>
      </c>
      <c r="I994">
        <v>1</v>
      </c>
      <c r="J994">
        <v>4058.49</v>
      </c>
      <c r="K994">
        <v>4.26</v>
      </c>
    </row>
    <row r="995" spans="1:11" x14ac:dyDescent="0.35">
      <c r="A995" s="1">
        <v>45424</v>
      </c>
      <c r="B995" t="s">
        <v>853</v>
      </c>
      <c r="C995" t="s">
        <v>47</v>
      </c>
      <c r="D995" t="s">
        <v>13</v>
      </c>
      <c r="E995" t="s">
        <v>48</v>
      </c>
      <c r="F995" t="s">
        <v>45</v>
      </c>
      <c r="G995" t="s">
        <v>32</v>
      </c>
      <c r="H995">
        <v>8369.92</v>
      </c>
      <c r="I995">
        <v>5</v>
      </c>
      <c r="J995">
        <v>41849.599999999999</v>
      </c>
      <c r="K995">
        <v>1.82</v>
      </c>
    </row>
    <row r="996" spans="1:11" x14ac:dyDescent="0.35">
      <c r="A996" s="1">
        <v>45425</v>
      </c>
      <c r="B996" t="s">
        <v>580</v>
      </c>
      <c r="C996" t="s">
        <v>47</v>
      </c>
      <c r="D996" t="s">
        <v>13</v>
      </c>
      <c r="E996" t="s">
        <v>48</v>
      </c>
      <c r="F996" t="s">
        <v>45</v>
      </c>
      <c r="G996" t="s">
        <v>39</v>
      </c>
      <c r="H996">
        <v>4949.21</v>
      </c>
      <c r="I996">
        <v>1</v>
      </c>
      <c r="J996">
        <v>4949.21</v>
      </c>
      <c r="K996">
        <v>3.47</v>
      </c>
    </row>
    <row r="997" spans="1:11" x14ac:dyDescent="0.35">
      <c r="A997" s="1">
        <v>45425</v>
      </c>
      <c r="B997" t="s">
        <v>1094</v>
      </c>
      <c r="C997" t="s">
        <v>34</v>
      </c>
      <c r="D997" t="s">
        <v>13</v>
      </c>
      <c r="E997" t="s">
        <v>35</v>
      </c>
      <c r="F997" t="s">
        <v>15</v>
      </c>
      <c r="G997" t="s">
        <v>16</v>
      </c>
      <c r="H997">
        <v>8439.92</v>
      </c>
      <c r="I997">
        <v>3</v>
      </c>
      <c r="J997">
        <v>25319.759999999998</v>
      </c>
      <c r="K997">
        <v>3.73</v>
      </c>
    </row>
    <row r="998" spans="1:11" x14ac:dyDescent="0.35">
      <c r="A998" s="1">
        <v>45426</v>
      </c>
      <c r="B998" t="s">
        <v>627</v>
      </c>
      <c r="C998" t="s">
        <v>34</v>
      </c>
      <c r="D998" t="s">
        <v>13</v>
      </c>
      <c r="E998" t="s">
        <v>35</v>
      </c>
      <c r="F998" t="s">
        <v>21</v>
      </c>
      <c r="G998" t="s">
        <v>27</v>
      </c>
      <c r="H998">
        <v>4570.0200000000004</v>
      </c>
      <c r="I998">
        <v>2</v>
      </c>
      <c r="J998">
        <v>9140.0400000000009</v>
      </c>
      <c r="K998">
        <v>1.19</v>
      </c>
    </row>
    <row r="999" spans="1:11" x14ac:dyDescent="0.35">
      <c r="A999" s="1">
        <v>45427</v>
      </c>
      <c r="B999" t="s">
        <v>949</v>
      </c>
      <c r="C999" t="s">
        <v>47</v>
      </c>
      <c r="D999" t="s">
        <v>13</v>
      </c>
      <c r="E999" t="s">
        <v>48</v>
      </c>
      <c r="F999" t="s">
        <v>15</v>
      </c>
      <c r="G999" t="s">
        <v>27</v>
      </c>
      <c r="H999">
        <v>17476.099999999999</v>
      </c>
      <c r="I999">
        <v>4</v>
      </c>
      <c r="J999">
        <v>69904.399999999994</v>
      </c>
      <c r="K999">
        <v>2.41</v>
      </c>
    </row>
    <row r="1000" spans="1:11" x14ac:dyDescent="0.35">
      <c r="A1000" s="1">
        <v>45429</v>
      </c>
      <c r="B1000" t="s">
        <v>940</v>
      </c>
      <c r="C1000" t="s">
        <v>34</v>
      </c>
      <c r="D1000" t="s">
        <v>13</v>
      </c>
      <c r="E1000" t="s">
        <v>35</v>
      </c>
      <c r="F1000" t="s">
        <v>45</v>
      </c>
      <c r="G1000" t="s">
        <v>39</v>
      </c>
      <c r="H1000">
        <v>11548.93</v>
      </c>
      <c r="I1000">
        <v>4</v>
      </c>
      <c r="J1000">
        <v>46195.72</v>
      </c>
      <c r="K1000">
        <v>4.47</v>
      </c>
    </row>
    <row r="1001" spans="1:11" x14ac:dyDescent="0.35">
      <c r="A1001" s="1">
        <v>45429</v>
      </c>
      <c r="B1001" t="s">
        <v>1168</v>
      </c>
      <c r="C1001" t="s">
        <v>47</v>
      </c>
      <c r="D1001" t="s">
        <v>13</v>
      </c>
      <c r="E1001" t="s">
        <v>48</v>
      </c>
      <c r="F1001" t="s">
        <v>21</v>
      </c>
      <c r="G1001" t="s">
        <v>39</v>
      </c>
      <c r="H1001">
        <v>7272.44</v>
      </c>
      <c r="I1001">
        <v>3</v>
      </c>
      <c r="J1001">
        <v>21817.32</v>
      </c>
      <c r="K1001">
        <v>2.14</v>
      </c>
    </row>
    <row r="1002" spans="1:11" x14ac:dyDescent="0.35">
      <c r="A1002" s="1">
        <v>45429</v>
      </c>
      <c r="B1002" t="s">
        <v>1720</v>
      </c>
      <c r="C1002" t="s">
        <v>34</v>
      </c>
      <c r="D1002" t="s">
        <v>13</v>
      </c>
      <c r="E1002" t="s">
        <v>35</v>
      </c>
      <c r="F1002" t="s">
        <v>15</v>
      </c>
      <c r="G1002" t="s">
        <v>32</v>
      </c>
      <c r="H1002">
        <v>5249.17</v>
      </c>
      <c r="I1002">
        <v>3</v>
      </c>
      <c r="J1002">
        <v>15747.51</v>
      </c>
      <c r="K1002">
        <v>3.34</v>
      </c>
    </row>
    <row r="1003" spans="1:11" x14ac:dyDescent="0.35">
      <c r="A1003" s="1">
        <v>45429</v>
      </c>
      <c r="B1003" t="s">
        <v>1757</v>
      </c>
      <c r="C1003" t="s">
        <v>12</v>
      </c>
      <c r="D1003" t="s">
        <v>13</v>
      </c>
      <c r="E1003" t="s">
        <v>14</v>
      </c>
      <c r="F1003" t="s">
        <v>45</v>
      </c>
      <c r="G1003" t="s">
        <v>60</v>
      </c>
      <c r="H1003">
        <v>12201.77</v>
      </c>
      <c r="I1003">
        <v>1</v>
      </c>
      <c r="J1003">
        <v>12201.77</v>
      </c>
      <c r="K1003">
        <v>3.3</v>
      </c>
    </row>
    <row r="1004" spans="1:11" x14ac:dyDescent="0.35">
      <c r="A1004" s="1">
        <v>45430</v>
      </c>
      <c r="B1004" t="s">
        <v>404</v>
      </c>
      <c r="C1004" t="s">
        <v>47</v>
      </c>
      <c r="D1004" t="s">
        <v>13</v>
      </c>
      <c r="E1004" t="s">
        <v>48</v>
      </c>
      <c r="F1004" t="s">
        <v>21</v>
      </c>
      <c r="G1004" t="s">
        <v>60</v>
      </c>
      <c r="H1004">
        <v>15436.65</v>
      </c>
      <c r="I1004">
        <v>3</v>
      </c>
      <c r="J1004">
        <v>46309.95</v>
      </c>
      <c r="K1004">
        <v>4.29</v>
      </c>
    </row>
    <row r="1005" spans="1:11" x14ac:dyDescent="0.35">
      <c r="A1005" s="1">
        <v>45432</v>
      </c>
      <c r="B1005" t="s">
        <v>733</v>
      </c>
      <c r="C1005" t="s">
        <v>47</v>
      </c>
      <c r="D1005" t="s">
        <v>13</v>
      </c>
      <c r="E1005" t="s">
        <v>48</v>
      </c>
      <c r="F1005" t="s">
        <v>15</v>
      </c>
      <c r="G1005" t="s">
        <v>39</v>
      </c>
      <c r="H1005">
        <v>15805.57</v>
      </c>
      <c r="I1005">
        <v>4</v>
      </c>
      <c r="J1005">
        <v>63222.28</v>
      </c>
      <c r="K1005">
        <v>2.34</v>
      </c>
    </row>
    <row r="1006" spans="1:11" x14ac:dyDescent="0.35">
      <c r="A1006" s="1">
        <v>45432</v>
      </c>
      <c r="B1006" t="s">
        <v>1001</v>
      </c>
      <c r="C1006" t="s">
        <v>47</v>
      </c>
      <c r="D1006" t="s">
        <v>13</v>
      </c>
      <c r="E1006" t="s">
        <v>48</v>
      </c>
      <c r="F1006" t="s">
        <v>21</v>
      </c>
      <c r="G1006" t="s">
        <v>27</v>
      </c>
      <c r="H1006">
        <v>13248.42</v>
      </c>
      <c r="I1006">
        <v>3</v>
      </c>
      <c r="J1006">
        <v>39745.26</v>
      </c>
      <c r="K1006">
        <v>2.23</v>
      </c>
    </row>
    <row r="1007" spans="1:11" x14ac:dyDescent="0.35">
      <c r="A1007" s="1">
        <v>45433</v>
      </c>
      <c r="B1007" t="s">
        <v>1113</v>
      </c>
      <c r="C1007" t="s">
        <v>47</v>
      </c>
      <c r="D1007" t="s">
        <v>13</v>
      </c>
      <c r="E1007" t="s">
        <v>48</v>
      </c>
      <c r="F1007" t="s">
        <v>21</v>
      </c>
      <c r="G1007" t="s">
        <v>27</v>
      </c>
      <c r="H1007">
        <v>7966.29</v>
      </c>
      <c r="I1007">
        <v>5</v>
      </c>
      <c r="J1007">
        <v>39831.449999999997</v>
      </c>
      <c r="K1007">
        <v>1.04</v>
      </c>
    </row>
    <row r="1008" spans="1:11" x14ac:dyDescent="0.35">
      <c r="A1008" s="1">
        <v>45433</v>
      </c>
      <c r="B1008" t="s">
        <v>1117</v>
      </c>
      <c r="C1008" t="s">
        <v>47</v>
      </c>
      <c r="D1008" t="s">
        <v>13</v>
      </c>
      <c r="E1008" t="s">
        <v>48</v>
      </c>
      <c r="F1008" t="s">
        <v>15</v>
      </c>
      <c r="G1008" t="s">
        <v>39</v>
      </c>
      <c r="H1008">
        <v>19631.330000000002</v>
      </c>
      <c r="I1008">
        <v>5</v>
      </c>
      <c r="J1008">
        <v>98156.65</v>
      </c>
      <c r="K1008">
        <v>2.8</v>
      </c>
    </row>
    <row r="1009" spans="1:11" x14ac:dyDescent="0.35">
      <c r="A1009" s="1">
        <v>45435</v>
      </c>
      <c r="B1009" t="s">
        <v>803</v>
      </c>
      <c r="C1009" t="s">
        <v>47</v>
      </c>
      <c r="D1009" t="s">
        <v>13</v>
      </c>
      <c r="E1009" t="s">
        <v>48</v>
      </c>
      <c r="F1009" t="s">
        <v>21</v>
      </c>
      <c r="G1009" t="s">
        <v>32</v>
      </c>
      <c r="H1009">
        <v>18691.8</v>
      </c>
      <c r="I1009">
        <v>2</v>
      </c>
      <c r="J1009">
        <v>37383.599999999999</v>
      </c>
      <c r="K1009">
        <v>3.18</v>
      </c>
    </row>
    <row r="1010" spans="1:11" x14ac:dyDescent="0.35">
      <c r="A1010" s="1">
        <v>45435</v>
      </c>
      <c r="B1010" t="s">
        <v>1797</v>
      </c>
      <c r="C1010" t="s">
        <v>12</v>
      </c>
      <c r="D1010" t="s">
        <v>13</v>
      </c>
      <c r="E1010" t="s">
        <v>14</v>
      </c>
      <c r="F1010" t="s">
        <v>21</v>
      </c>
      <c r="G1010" t="s">
        <v>27</v>
      </c>
      <c r="H1010">
        <v>16515.88</v>
      </c>
      <c r="I1010">
        <v>3</v>
      </c>
      <c r="J1010">
        <v>49547.64</v>
      </c>
      <c r="K1010">
        <v>2.04</v>
      </c>
    </row>
    <row r="1011" spans="1:11" x14ac:dyDescent="0.35">
      <c r="A1011" s="1">
        <v>45436</v>
      </c>
      <c r="B1011" t="s">
        <v>380</v>
      </c>
      <c r="C1011" t="s">
        <v>12</v>
      </c>
      <c r="D1011" t="s">
        <v>13</v>
      </c>
      <c r="E1011" t="s">
        <v>14</v>
      </c>
      <c r="F1011" t="s">
        <v>21</v>
      </c>
      <c r="G1011" t="s">
        <v>60</v>
      </c>
      <c r="H1011">
        <v>19211.38</v>
      </c>
      <c r="I1011">
        <v>1</v>
      </c>
      <c r="J1011">
        <v>19211.38</v>
      </c>
      <c r="K1011">
        <v>1.84</v>
      </c>
    </row>
    <row r="1012" spans="1:11" x14ac:dyDescent="0.35">
      <c r="A1012" s="1">
        <v>45436</v>
      </c>
      <c r="B1012" t="s">
        <v>631</v>
      </c>
      <c r="C1012" t="s">
        <v>47</v>
      </c>
      <c r="D1012" t="s">
        <v>13</v>
      </c>
      <c r="E1012" t="s">
        <v>48</v>
      </c>
      <c r="F1012" t="s">
        <v>15</v>
      </c>
      <c r="G1012" t="s">
        <v>39</v>
      </c>
      <c r="H1012">
        <v>15094.86</v>
      </c>
      <c r="I1012">
        <v>5</v>
      </c>
      <c r="J1012">
        <v>75474.3</v>
      </c>
      <c r="K1012">
        <v>3.18</v>
      </c>
    </row>
    <row r="1013" spans="1:11" x14ac:dyDescent="0.35">
      <c r="A1013" s="1">
        <v>45436</v>
      </c>
      <c r="B1013" t="s">
        <v>1920</v>
      </c>
      <c r="C1013" t="s">
        <v>47</v>
      </c>
      <c r="D1013" t="s">
        <v>13</v>
      </c>
      <c r="E1013" t="s">
        <v>48</v>
      </c>
      <c r="F1013" t="s">
        <v>15</v>
      </c>
      <c r="G1013" t="s">
        <v>60</v>
      </c>
      <c r="H1013">
        <v>12922.46</v>
      </c>
      <c r="I1013">
        <v>1</v>
      </c>
      <c r="J1013">
        <v>12922.46</v>
      </c>
      <c r="K1013">
        <v>3.85</v>
      </c>
    </row>
    <row r="1014" spans="1:11" x14ac:dyDescent="0.35">
      <c r="A1014" s="1">
        <v>45437</v>
      </c>
      <c r="B1014" t="s">
        <v>698</v>
      </c>
      <c r="C1014" t="s">
        <v>47</v>
      </c>
      <c r="D1014" t="s">
        <v>13</v>
      </c>
      <c r="E1014" t="s">
        <v>48</v>
      </c>
      <c r="F1014" t="s">
        <v>15</v>
      </c>
      <c r="G1014" t="s">
        <v>39</v>
      </c>
      <c r="H1014">
        <v>13160.09</v>
      </c>
      <c r="I1014">
        <v>1</v>
      </c>
      <c r="J1014">
        <v>13160.09</v>
      </c>
      <c r="K1014">
        <v>3.45</v>
      </c>
    </row>
    <row r="1015" spans="1:11" x14ac:dyDescent="0.35">
      <c r="A1015" s="1">
        <v>45437</v>
      </c>
      <c r="B1015" t="s">
        <v>771</v>
      </c>
      <c r="C1015" t="s">
        <v>47</v>
      </c>
      <c r="D1015" t="s">
        <v>13</v>
      </c>
      <c r="E1015" t="s">
        <v>48</v>
      </c>
      <c r="F1015" t="s">
        <v>45</v>
      </c>
      <c r="G1015" t="s">
        <v>22</v>
      </c>
      <c r="H1015">
        <v>18585.259999999998</v>
      </c>
      <c r="I1015">
        <v>3</v>
      </c>
      <c r="J1015">
        <v>55755.78</v>
      </c>
      <c r="K1015">
        <v>4.13</v>
      </c>
    </row>
    <row r="1016" spans="1:11" x14ac:dyDescent="0.35">
      <c r="A1016" s="1">
        <v>45437</v>
      </c>
      <c r="B1016" t="s">
        <v>1292</v>
      </c>
      <c r="C1016" t="s">
        <v>12</v>
      </c>
      <c r="D1016" t="s">
        <v>13</v>
      </c>
      <c r="E1016" t="s">
        <v>14</v>
      </c>
      <c r="F1016" t="s">
        <v>15</v>
      </c>
      <c r="G1016" t="s">
        <v>16</v>
      </c>
      <c r="H1016">
        <v>12692.75</v>
      </c>
      <c r="I1016">
        <v>4</v>
      </c>
      <c r="J1016">
        <v>50771</v>
      </c>
      <c r="K1016">
        <v>2.2799999999999998</v>
      </c>
    </row>
    <row r="1017" spans="1:11" x14ac:dyDescent="0.35">
      <c r="A1017" s="1">
        <v>45438</v>
      </c>
      <c r="B1017" t="s">
        <v>70</v>
      </c>
      <c r="C1017" t="s">
        <v>34</v>
      </c>
      <c r="D1017" t="s">
        <v>13</v>
      </c>
      <c r="E1017" t="s">
        <v>35</v>
      </c>
      <c r="F1017" t="s">
        <v>15</v>
      </c>
      <c r="G1017" t="s">
        <v>32</v>
      </c>
      <c r="H1017">
        <v>14633.56</v>
      </c>
      <c r="I1017">
        <v>4</v>
      </c>
      <c r="J1017">
        <v>58534.239999999998</v>
      </c>
      <c r="K1017">
        <v>3</v>
      </c>
    </row>
    <row r="1018" spans="1:11" x14ac:dyDescent="0.35">
      <c r="A1018" s="1">
        <v>45438</v>
      </c>
      <c r="B1018" t="s">
        <v>272</v>
      </c>
      <c r="C1018" t="s">
        <v>12</v>
      </c>
      <c r="D1018" t="s">
        <v>13</v>
      </c>
      <c r="E1018" t="s">
        <v>14</v>
      </c>
      <c r="F1018" t="s">
        <v>21</v>
      </c>
      <c r="G1018" t="s">
        <v>39</v>
      </c>
      <c r="H1018">
        <v>9154</v>
      </c>
      <c r="I1018">
        <v>4</v>
      </c>
      <c r="J1018">
        <v>36616</v>
      </c>
      <c r="K1018">
        <v>4.79</v>
      </c>
    </row>
    <row r="1019" spans="1:11" x14ac:dyDescent="0.35">
      <c r="A1019" s="1">
        <v>45441</v>
      </c>
      <c r="B1019" t="s">
        <v>751</v>
      </c>
      <c r="C1019" t="s">
        <v>34</v>
      </c>
      <c r="D1019" t="s">
        <v>13</v>
      </c>
      <c r="E1019" t="s">
        <v>35</v>
      </c>
      <c r="F1019" t="s">
        <v>15</v>
      </c>
      <c r="G1019" t="s">
        <v>39</v>
      </c>
      <c r="H1019">
        <v>17996.61</v>
      </c>
      <c r="I1019">
        <v>2</v>
      </c>
      <c r="J1019">
        <v>35993.22</v>
      </c>
      <c r="K1019">
        <v>4.28</v>
      </c>
    </row>
    <row r="1020" spans="1:11" x14ac:dyDescent="0.35">
      <c r="A1020" s="1">
        <v>45442</v>
      </c>
      <c r="B1020" t="s">
        <v>181</v>
      </c>
      <c r="C1020" t="s">
        <v>12</v>
      </c>
      <c r="D1020" t="s">
        <v>13</v>
      </c>
      <c r="E1020" t="s">
        <v>14</v>
      </c>
      <c r="F1020" t="s">
        <v>21</v>
      </c>
      <c r="G1020" t="s">
        <v>32</v>
      </c>
      <c r="H1020">
        <v>10513.34</v>
      </c>
      <c r="I1020">
        <v>3</v>
      </c>
      <c r="J1020">
        <v>31540.02</v>
      </c>
      <c r="K1020">
        <v>3.89</v>
      </c>
    </row>
    <row r="1021" spans="1:11" x14ac:dyDescent="0.35">
      <c r="A1021" s="1">
        <v>45444</v>
      </c>
      <c r="B1021" t="s">
        <v>333</v>
      </c>
      <c r="C1021" t="s">
        <v>47</v>
      </c>
      <c r="D1021" t="s">
        <v>13</v>
      </c>
      <c r="E1021" t="s">
        <v>48</v>
      </c>
      <c r="F1021" t="s">
        <v>45</v>
      </c>
      <c r="G1021" t="s">
        <v>60</v>
      </c>
      <c r="H1021">
        <v>14598.17</v>
      </c>
      <c r="I1021">
        <v>1</v>
      </c>
      <c r="J1021">
        <v>14598.17</v>
      </c>
      <c r="K1021">
        <v>2.94</v>
      </c>
    </row>
    <row r="1022" spans="1:11" x14ac:dyDescent="0.35">
      <c r="A1022" s="1">
        <v>45445</v>
      </c>
      <c r="B1022" t="s">
        <v>450</v>
      </c>
      <c r="C1022" t="s">
        <v>12</v>
      </c>
      <c r="D1022" t="s">
        <v>13</v>
      </c>
      <c r="E1022" t="s">
        <v>14</v>
      </c>
      <c r="F1022" t="s">
        <v>15</v>
      </c>
      <c r="G1022" t="s">
        <v>32</v>
      </c>
      <c r="H1022">
        <v>18474.849999999999</v>
      </c>
      <c r="I1022">
        <v>2</v>
      </c>
      <c r="J1022">
        <v>36949.699999999997</v>
      </c>
      <c r="K1022">
        <v>4.3499999999999996</v>
      </c>
    </row>
    <row r="1023" spans="1:11" x14ac:dyDescent="0.35">
      <c r="A1023" s="1">
        <v>45445</v>
      </c>
      <c r="B1023" t="s">
        <v>845</v>
      </c>
      <c r="C1023" t="s">
        <v>12</v>
      </c>
      <c r="D1023" t="s">
        <v>13</v>
      </c>
      <c r="E1023" t="s">
        <v>14</v>
      </c>
      <c r="F1023" t="s">
        <v>15</v>
      </c>
      <c r="G1023" t="s">
        <v>16</v>
      </c>
      <c r="H1023">
        <v>4157.8900000000003</v>
      </c>
      <c r="I1023">
        <v>1</v>
      </c>
      <c r="J1023">
        <v>4157.8900000000003</v>
      </c>
      <c r="K1023">
        <v>3.43</v>
      </c>
    </row>
    <row r="1024" spans="1:11" x14ac:dyDescent="0.35">
      <c r="A1024" s="1">
        <v>45445</v>
      </c>
      <c r="B1024" t="s">
        <v>1238</v>
      </c>
      <c r="C1024" t="s">
        <v>47</v>
      </c>
      <c r="D1024" t="s">
        <v>13</v>
      </c>
      <c r="E1024" t="s">
        <v>48</v>
      </c>
      <c r="F1024" t="s">
        <v>45</v>
      </c>
      <c r="G1024" t="s">
        <v>60</v>
      </c>
      <c r="H1024">
        <v>19567.05</v>
      </c>
      <c r="I1024">
        <v>2</v>
      </c>
      <c r="J1024">
        <v>39134.1</v>
      </c>
      <c r="K1024">
        <v>4.8</v>
      </c>
    </row>
    <row r="1025" spans="1:11" x14ac:dyDescent="0.35">
      <c r="A1025" s="1">
        <v>45447</v>
      </c>
      <c r="B1025" t="s">
        <v>1548</v>
      </c>
      <c r="C1025" t="s">
        <v>34</v>
      </c>
      <c r="D1025" t="s">
        <v>13</v>
      </c>
      <c r="E1025" t="s">
        <v>35</v>
      </c>
      <c r="F1025" t="s">
        <v>21</v>
      </c>
      <c r="G1025" t="s">
        <v>39</v>
      </c>
      <c r="H1025">
        <v>3044.72</v>
      </c>
      <c r="I1025">
        <v>4</v>
      </c>
      <c r="J1025">
        <v>12178.88</v>
      </c>
      <c r="K1025">
        <v>2.59</v>
      </c>
    </row>
    <row r="1026" spans="1:11" x14ac:dyDescent="0.35">
      <c r="A1026" s="1">
        <v>45448</v>
      </c>
      <c r="B1026" t="s">
        <v>665</v>
      </c>
      <c r="C1026" t="s">
        <v>12</v>
      </c>
      <c r="D1026" t="s">
        <v>13</v>
      </c>
      <c r="E1026" t="s">
        <v>14</v>
      </c>
      <c r="F1026" t="s">
        <v>45</v>
      </c>
      <c r="G1026" t="s">
        <v>22</v>
      </c>
      <c r="H1026">
        <v>14026.83</v>
      </c>
      <c r="I1026">
        <v>5</v>
      </c>
      <c r="J1026">
        <v>70134.149999999994</v>
      </c>
      <c r="K1026">
        <v>2.66</v>
      </c>
    </row>
    <row r="1027" spans="1:11" x14ac:dyDescent="0.35">
      <c r="A1027" s="1">
        <v>45448</v>
      </c>
      <c r="B1027" t="s">
        <v>973</v>
      </c>
      <c r="C1027" t="s">
        <v>34</v>
      </c>
      <c r="D1027" t="s">
        <v>13</v>
      </c>
      <c r="E1027" t="s">
        <v>35</v>
      </c>
      <c r="F1027" t="s">
        <v>21</v>
      </c>
      <c r="G1027" t="s">
        <v>60</v>
      </c>
      <c r="H1027">
        <v>12977.6</v>
      </c>
      <c r="I1027">
        <v>4</v>
      </c>
      <c r="J1027">
        <v>51910.400000000001</v>
      </c>
      <c r="K1027">
        <v>2.73</v>
      </c>
    </row>
    <row r="1028" spans="1:11" x14ac:dyDescent="0.35">
      <c r="A1028" s="1">
        <v>45448</v>
      </c>
      <c r="B1028" t="s">
        <v>1331</v>
      </c>
      <c r="C1028" t="s">
        <v>47</v>
      </c>
      <c r="D1028" t="s">
        <v>13</v>
      </c>
      <c r="E1028" t="s">
        <v>48</v>
      </c>
      <c r="F1028" t="s">
        <v>21</v>
      </c>
      <c r="G1028" t="s">
        <v>39</v>
      </c>
      <c r="H1028">
        <v>12394.27</v>
      </c>
      <c r="I1028">
        <v>1</v>
      </c>
      <c r="J1028">
        <v>12394.27</v>
      </c>
      <c r="K1028">
        <v>1.45</v>
      </c>
    </row>
    <row r="1029" spans="1:11" x14ac:dyDescent="0.35">
      <c r="A1029" s="1">
        <v>45450</v>
      </c>
      <c r="B1029" t="s">
        <v>478</v>
      </c>
      <c r="C1029" t="s">
        <v>12</v>
      </c>
      <c r="D1029" t="s">
        <v>13</v>
      </c>
      <c r="E1029" t="s">
        <v>14</v>
      </c>
      <c r="F1029" t="s">
        <v>45</v>
      </c>
      <c r="G1029" t="s">
        <v>39</v>
      </c>
      <c r="H1029">
        <v>13458.7</v>
      </c>
      <c r="I1029">
        <v>2</v>
      </c>
      <c r="J1029">
        <v>26917.4</v>
      </c>
      <c r="K1029">
        <v>4.63</v>
      </c>
    </row>
    <row r="1030" spans="1:11" x14ac:dyDescent="0.35">
      <c r="A1030" s="1">
        <v>45450</v>
      </c>
      <c r="B1030" t="s">
        <v>1695</v>
      </c>
      <c r="C1030" t="s">
        <v>12</v>
      </c>
      <c r="D1030" t="s">
        <v>13</v>
      </c>
      <c r="E1030" t="s">
        <v>14</v>
      </c>
      <c r="F1030" t="s">
        <v>21</v>
      </c>
      <c r="G1030" t="s">
        <v>27</v>
      </c>
      <c r="H1030">
        <v>6771.23</v>
      </c>
      <c r="I1030">
        <v>3</v>
      </c>
      <c r="J1030">
        <v>20313.689999999999</v>
      </c>
      <c r="K1030">
        <v>2.5499999999999998</v>
      </c>
    </row>
    <row r="1031" spans="1:11" x14ac:dyDescent="0.35">
      <c r="A1031" s="1">
        <v>45451</v>
      </c>
      <c r="B1031" t="s">
        <v>339</v>
      </c>
      <c r="C1031" t="s">
        <v>12</v>
      </c>
      <c r="D1031" t="s">
        <v>13</v>
      </c>
      <c r="E1031" t="s">
        <v>14</v>
      </c>
      <c r="F1031" t="s">
        <v>45</v>
      </c>
      <c r="G1031" t="s">
        <v>27</v>
      </c>
      <c r="H1031">
        <v>3830.2</v>
      </c>
      <c r="I1031">
        <v>5</v>
      </c>
      <c r="J1031">
        <v>19151</v>
      </c>
      <c r="K1031">
        <v>4.51</v>
      </c>
    </row>
    <row r="1032" spans="1:11" x14ac:dyDescent="0.35">
      <c r="A1032" s="1">
        <v>45451</v>
      </c>
      <c r="B1032" t="s">
        <v>743</v>
      </c>
      <c r="C1032" t="s">
        <v>34</v>
      </c>
      <c r="D1032" t="s">
        <v>13</v>
      </c>
      <c r="E1032" t="s">
        <v>35</v>
      </c>
      <c r="F1032" t="s">
        <v>45</v>
      </c>
      <c r="G1032" t="s">
        <v>60</v>
      </c>
      <c r="H1032">
        <v>14421.44</v>
      </c>
      <c r="I1032">
        <v>5</v>
      </c>
      <c r="J1032">
        <v>72107.199999999997</v>
      </c>
      <c r="K1032">
        <v>2.61</v>
      </c>
    </row>
    <row r="1033" spans="1:11" x14ac:dyDescent="0.35">
      <c r="A1033" s="1">
        <v>45453</v>
      </c>
      <c r="B1033" t="s">
        <v>453</v>
      </c>
      <c r="C1033" t="s">
        <v>47</v>
      </c>
      <c r="D1033" t="s">
        <v>13</v>
      </c>
      <c r="E1033" t="s">
        <v>48</v>
      </c>
      <c r="F1033" t="s">
        <v>15</v>
      </c>
      <c r="G1033" t="s">
        <v>39</v>
      </c>
      <c r="H1033">
        <v>11203.49</v>
      </c>
      <c r="I1033">
        <v>5</v>
      </c>
      <c r="J1033">
        <v>56017.45</v>
      </c>
      <c r="K1033">
        <v>3.26</v>
      </c>
    </row>
    <row r="1034" spans="1:11" x14ac:dyDescent="0.35">
      <c r="A1034" s="1">
        <v>45455</v>
      </c>
      <c r="B1034" t="s">
        <v>856</v>
      </c>
      <c r="C1034" t="s">
        <v>47</v>
      </c>
      <c r="D1034" t="s">
        <v>13</v>
      </c>
      <c r="E1034" t="s">
        <v>48</v>
      </c>
      <c r="F1034" t="s">
        <v>21</v>
      </c>
      <c r="G1034" t="s">
        <v>22</v>
      </c>
      <c r="H1034">
        <v>5757.07</v>
      </c>
      <c r="I1034">
        <v>4</v>
      </c>
      <c r="J1034">
        <v>23028.28</v>
      </c>
      <c r="K1034">
        <v>1.88</v>
      </c>
    </row>
    <row r="1035" spans="1:11" x14ac:dyDescent="0.35">
      <c r="A1035" s="1">
        <v>45455</v>
      </c>
      <c r="B1035" t="s">
        <v>1949</v>
      </c>
      <c r="C1035" t="s">
        <v>12</v>
      </c>
      <c r="D1035" t="s">
        <v>13</v>
      </c>
      <c r="E1035" t="s">
        <v>14</v>
      </c>
      <c r="F1035" t="s">
        <v>21</v>
      </c>
      <c r="G1035" t="s">
        <v>27</v>
      </c>
      <c r="H1035">
        <v>19900.23</v>
      </c>
      <c r="I1035">
        <v>1</v>
      </c>
      <c r="J1035">
        <v>19900.23</v>
      </c>
      <c r="K1035">
        <v>1.32</v>
      </c>
    </row>
    <row r="1036" spans="1:11" x14ac:dyDescent="0.35">
      <c r="A1036" s="1">
        <v>45456</v>
      </c>
      <c r="B1036" t="s">
        <v>1203</v>
      </c>
      <c r="C1036" t="s">
        <v>34</v>
      </c>
      <c r="D1036" t="s">
        <v>13</v>
      </c>
      <c r="E1036" t="s">
        <v>35</v>
      </c>
      <c r="F1036" t="s">
        <v>45</v>
      </c>
      <c r="G1036" t="s">
        <v>22</v>
      </c>
      <c r="H1036">
        <v>14119.99</v>
      </c>
      <c r="I1036">
        <v>3</v>
      </c>
      <c r="J1036">
        <v>42359.97</v>
      </c>
      <c r="K1036">
        <v>3.64</v>
      </c>
    </row>
    <row r="1037" spans="1:11" x14ac:dyDescent="0.35">
      <c r="A1037" s="1">
        <v>45457</v>
      </c>
      <c r="B1037" t="s">
        <v>332</v>
      </c>
      <c r="C1037" t="s">
        <v>47</v>
      </c>
      <c r="D1037" t="s">
        <v>13</v>
      </c>
      <c r="E1037" t="s">
        <v>48</v>
      </c>
      <c r="F1037" t="s">
        <v>21</v>
      </c>
      <c r="G1037" t="s">
        <v>32</v>
      </c>
      <c r="H1037">
        <v>11829.61</v>
      </c>
      <c r="I1037">
        <v>2</v>
      </c>
      <c r="J1037">
        <v>23659.22</v>
      </c>
      <c r="K1037">
        <v>2.85</v>
      </c>
    </row>
    <row r="1038" spans="1:11" x14ac:dyDescent="0.35">
      <c r="A1038" s="1">
        <v>45457</v>
      </c>
      <c r="B1038" t="s">
        <v>1638</v>
      </c>
      <c r="C1038" t="s">
        <v>47</v>
      </c>
      <c r="D1038" t="s">
        <v>13</v>
      </c>
      <c r="E1038" t="s">
        <v>48</v>
      </c>
      <c r="F1038" t="s">
        <v>21</v>
      </c>
      <c r="G1038" t="s">
        <v>32</v>
      </c>
      <c r="H1038">
        <v>7524.67</v>
      </c>
      <c r="I1038">
        <v>1</v>
      </c>
      <c r="J1038">
        <v>7524.67</v>
      </c>
      <c r="K1038">
        <v>4.22</v>
      </c>
    </row>
    <row r="1039" spans="1:11" x14ac:dyDescent="0.35">
      <c r="A1039" s="1">
        <v>45457</v>
      </c>
      <c r="B1039" t="s">
        <v>1926</v>
      </c>
      <c r="C1039" t="s">
        <v>12</v>
      </c>
      <c r="D1039" t="s">
        <v>13</v>
      </c>
      <c r="E1039" t="s">
        <v>14</v>
      </c>
      <c r="F1039" t="s">
        <v>45</v>
      </c>
      <c r="G1039" t="s">
        <v>39</v>
      </c>
      <c r="H1039">
        <v>3121.17</v>
      </c>
      <c r="I1039">
        <v>2</v>
      </c>
      <c r="J1039">
        <v>6242.34</v>
      </c>
      <c r="K1039">
        <v>2.88</v>
      </c>
    </row>
    <row r="1040" spans="1:11" x14ac:dyDescent="0.35">
      <c r="A1040" s="1">
        <v>45458</v>
      </c>
      <c r="B1040" t="s">
        <v>925</v>
      </c>
      <c r="C1040" t="s">
        <v>12</v>
      </c>
      <c r="D1040" t="s">
        <v>13</v>
      </c>
      <c r="E1040" t="s">
        <v>14</v>
      </c>
      <c r="F1040" t="s">
        <v>45</v>
      </c>
      <c r="G1040" t="s">
        <v>32</v>
      </c>
      <c r="H1040">
        <v>3004.01</v>
      </c>
      <c r="I1040">
        <v>2</v>
      </c>
      <c r="J1040">
        <v>6008.02</v>
      </c>
      <c r="K1040">
        <v>4.6399999999999997</v>
      </c>
    </row>
    <row r="1041" spans="1:11" x14ac:dyDescent="0.35">
      <c r="A1041" s="1">
        <v>45458</v>
      </c>
      <c r="B1041" t="s">
        <v>1320</v>
      </c>
      <c r="C1041" t="s">
        <v>12</v>
      </c>
      <c r="D1041" t="s">
        <v>13</v>
      </c>
      <c r="E1041" t="s">
        <v>14</v>
      </c>
      <c r="F1041" t="s">
        <v>15</v>
      </c>
      <c r="G1041" t="s">
        <v>27</v>
      </c>
      <c r="H1041">
        <v>12197.55</v>
      </c>
      <c r="I1041">
        <v>2</v>
      </c>
      <c r="J1041">
        <v>24395.1</v>
      </c>
      <c r="K1041">
        <v>1.74</v>
      </c>
    </row>
    <row r="1042" spans="1:11" x14ac:dyDescent="0.35">
      <c r="A1042" s="1">
        <v>45458</v>
      </c>
      <c r="B1042" t="s">
        <v>1550</v>
      </c>
      <c r="C1042" t="s">
        <v>34</v>
      </c>
      <c r="D1042" t="s">
        <v>13</v>
      </c>
      <c r="E1042" t="s">
        <v>35</v>
      </c>
      <c r="F1042" t="s">
        <v>21</v>
      </c>
      <c r="G1042" t="s">
        <v>39</v>
      </c>
      <c r="H1042">
        <v>1681.45</v>
      </c>
      <c r="I1042">
        <v>4</v>
      </c>
      <c r="J1042">
        <v>6725.8</v>
      </c>
      <c r="K1042">
        <v>2.31</v>
      </c>
    </row>
    <row r="1043" spans="1:11" x14ac:dyDescent="0.35">
      <c r="A1043" s="1">
        <v>45458</v>
      </c>
      <c r="B1043" t="s">
        <v>1652</v>
      </c>
      <c r="C1043" t="s">
        <v>47</v>
      </c>
      <c r="D1043" t="s">
        <v>13</v>
      </c>
      <c r="E1043" t="s">
        <v>48</v>
      </c>
      <c r="F1043" t="s">
        <v>15</v>
      </c>
      <c r="G1043" t="s">
        <v>32</v>
      </c>
      <c r="H1043">
        <v>16341.68</v>
      </c>
      <c r="I1043">
        <v>3</v>
      </c>
      <c r="J1043">
        <v>49025.04</v>
      </c>
      <c r="K1043">
        <v>4.34</v>
      </c>
    </row>
    <row r="1044" spans="1:11" x14ac:dyDescent="0.35">
      <c r="A1044" s="1">
        <v>45458</v>
      </c>
      <c r="B1044" t="s">
        <v>1921</v>
      </c>
      <c r="C1044" t="s">
        <v>34</v>
      </c>
      <c r="D1044" t="s">
        <v>13</v>
      </c>
      <c r="E1044" t="s">
        <v>35</v>
      </c>
      <c r="F1044" t="s">
        <v>45</v>
      </c>
      <c r="G1044" t="s">
        <v>16</v>
      </c>
      <c r="H1044">
        <v>5342.51</v>
      </c>
      <c r="I1044">
        <v>3</v>
      </c>
      <c r="J1044">
        <v>16027.53</v>
      </c>
      <c r="K1044">
        <v>2.89</v>
      </c>
    </row>
    <row r="1045" spans="1:11" x14ac:dyDescent="0.35">
      <c r="A1045" s="1">
        <v>45459</v>
      </c>
      <c r="B1045" t="s">
        <v>1669</v>
      </c>
      <c r="C1045" t="s">
        <v>12</v>
      </c>
      <c r="D1045" t="s">
        <v>13</v>
      </c>
      <c r="E1045" t="s">
        <v>14</v>
      </c>
      <c r="F1045" t="s">
        <v>21</v>
      </c>
      <c r="G1045" t="s">
        <v>22</v>
      </c>
      <c r="H1045">
        <v>6107.21</v>
      </c>
      <c r="I1045">
        <v>4</v>
      </c>
      <c r="J1045">
        <v>24428.84</v>
      </c>
      <c r="K1045">
        <v>3.95</v>
      </c>
    </row>
    <row r="1046" spans="1:11" x14ac:dyDescent="0.35">
      <c r="A1046" s="1">
        <v>45460</v>
      </c>
      <c r="B1046" t="s">
        <v>466</v>
      </c>
      <c r="C1046" t="s">
        <v>47</v>
      </c>
      <c r="D1046" t="s">
        <v>13</v>
      </c>
      <c r="E1046" t="s">
        <v>48</v>
      </c>
      <c r="F1046" t="s">
        <v>45</v>
      </c>
      <c r="G1046" t="s">
        <v>27</v>
      </c>
      <c r="H1046">
        <v>9931.1</v>
      </c>
      <c r="I1046">
        <v>3</v>
      </c>
      <c r="J1046">
        <v>29793.3</v>
      </c>
      <c r="K1046">
        <v>3.89</v>
      </c>
    </row>
    <row r="1047" spans="1:11" x14ac:dyDescent="0.35">
      <c r="A1047" s="1">
        <v>45460</v>
      </c>
      <c r="B1047" t="s">
        <v>1031</v>
      </c>
      <c r="C1047" t="s">
        <v>47</v>
      </c>
      <c r="D1047" t="s">
        <v>13</v>
      </c>
      <c r="E1047" t="s">
        <v>48</v>
      </c>
      <c r="F1047" t="s">
        <v>15</v>
      </c>
      <c r="G1047" t="s">
        <v>22</v>
      </c>
      <c r="H1047">
        <v>3205.83</v>
      </c>
      <c r="I1047">
        <v>4</v>
      </c>
      <c r="J1047">
        <v>12823.32</v>
      </c>
      <c r="K1047">
        <v>2.27</v>
      </c>
    </row>
    <row r="1048" spans="1:11" x14ac:dyDescent="0.35">
      <c r="A1048" s="1">
        <v>45461</v>
      </c>
      <c r="B1048" t="s">
        <v>954</v>
      </c>
      <c r="C1048" t="s">
        <v>12</v>
      </c>
      <c r="D1048" t="s">
        <v>13</v>
      </c>
      <c r="E1048" t="s">
        <v>14</v>
      </c>
      <c r="F1048" t="s">
        <v>21</v>
      </c>
      <c r="G1048" t="s">
        <v>60</v>
      </c>
      <c r="H1048">
        <v>5441.7</v>
      </c>
      <c r="I1048">
        <v>2</v>
      </c>
      <c r="J1048">
        <v>10883.4</v>
      </c>
      <c r="K1048">
        <v>2.06</v>
      </c>
    </row>
    <row r="1049" spans="1:11" x14ac:dyDescent="0.35">
      <c r="A1049" s="1">
        <v>45462</v>
      </c>
      <c r="B1049" t="s">
        <v>1088</v>
      </c>
      <c r="C1049" t="s">
        <v>34</v>
      </c>
      <c r="D1049" t="s">
        <v>13</v>
      </c>
      <c r="E1049" t="s">
        <v>35</v>
      </c>
      <c r="F1049" t="s">
        <v>15</v>
      </c>
      <c r="G1049" t="s">
        <v>60</v>
      </c>
      <c r="H1049">
        <v>13404.85</v>
      </c>
      <c r="I1049">
        <v>5</v>
      </c>
      <c r="J1049">
        <v>67024.25</v>
      </c>
      <c r="K1049">
        <v>3.75</v>
      </c>
    </row>
    <row r="1050" spans="1:11" x14ac:dyDescent="0.35">
      <c r="A1050" s="1">
        <v>45462</v>
      </c>
      <c r="B1050" t="s">
        <v>1230</v>
      </c>
      <c r="C1050" t="s">
        <v>47</v>
      </c>
      <c r="D1050" t="s">
        <v>13</v>
      </c>
      <c r="E1050" t="s">
        <v>48</v>
      </c>
      <c r="F1050" t="s">
        <v>45</v>
      </c>
      <c r="G1050" t="s">
        <v>22</v>
      </c>
      <c r="H1050">
        <v>1854.77</v>
      </c>
      <c r="I1050">
        <v>4</v>
      </c>
      <c r="J1050">
        <v>7419.08</v>
      </c>
      <c r="K1050">
        <v>2.5299999999999998</v>
      </c>
    </row>
    <row r="1051" spans="1:11" x14ac:dyDescent="0.35">
      <c r="A1051" s="1">
        <v>45462</v>
      </c>
      <c r="B1051" t="s">
        <v>1771</v>
      </c>
      <c r="C1051" t="s">
        <v>12</v>
      </c>
      <c r="D1051" t="s">
        <v>13</v>
      </c>
      <c r="E1051" t="s">
        <v>14</v>
      </c>
      <c r="F1051" t="s">
        <v>45</v>
      </c>
      <c r="G1051" t="s">
        <v>27</v>
      </c>
      <c r="H1051">
        <v>16371.76</v>
      </c>
      <c r="I1051">
        <v>2</v>
      </c>
      <c r="J1051">
        <v>32743.52</v>
      </c>
      <c r="K1051">
        <v>1.97</v>
      </c>
    </row>
    <row r="1052" spans="1:11" x14ac:dyDescent="0.35">
      <c r="A1052" s="1">
        <v>45464</v>
      </c>
      <c r="B1052" t="s">
        <v>1158</v>
      </c>
      <c r="C1052" t="s">
        <v>12</v>
      </c>
      <c r="D1052" t="s">
        <v>13</v>
      </c>
      <c r="E1052" t="s">
        <v>14</v>
      </c>
      <c r="F1052" t="s">
        <v>45</v>
      </c>
      <c r="G1052" t="s">
        <v>16</v>
      </c>
      <c r="H1052">
        <v>3096.57</v>
      </c>
      <c r="I1052">
        <v>2</v>
      </c>
      <c r="J1052">
        <v>6193.14</v>
      </c>
      <c r="K1052">
        <v>1.32</v>
      </c>
    </row>
    <row r="1053" spans="1:11" x14ac:dyDescent="0.35">
      <c r="A1053" s="1">
        <v>45464</v>
      </c>
      <c r="B1053" t="s">
        <v>1850</v>
      </c>
      <c r="C1053" t="s">
        <v>47</v>
      </c>
      <c r="D1053" t="s">
        <v>13</v>
      </c>
      <c r="E1053" t="s">
        <v>48</v>
      </c>
      <c r="F1053" t="s">
        <v>21</v>
      </c>
      <c r="G1053" t="s">
        <v>22</v>
      </c>
      <c r="H1053">
        <v>7407.97</v>
      </c>
      <c r="I1053">
        <v>2</v>
      </c>
      <c r="J1053">
        <v>14815.94</v>
      </c>
      <c r="K1053">
        <v>4.09</v>
      </c>
    </row>
    <row r="1054" spans="1:11" x14ac:dyDescent="0.35">
      <c r="A1054" s="1">
        <v>45465</v>
      </c>
      <c r="B1054" t="s">
        <v>79</v>
      </c>
      <c r="C1054" t="s">
        <v>34</v>
      </c>
      <c r="D1054" t="s">
        <v>13</v>
      </c>
      <c r="E1054" t="s">
        <v>35</v>
      </c>
      <c r="F1054" t="s">
        <v>15</v>
      </c>
      <c r="G1054" t="s">
        <v>27</v>
      </c>
      <c r="H1054">
        <v>3698.12</v>
      </c>
      <c r="I1054">
        <v>4</v>
      </c>
      <c r="J1054">
        <v>14792.48</v>
      </c>
      <c r="K1054">
        <v>4</v>
      </c>
    </row>
    <row r="1055" spans="1:11" x14ac:dyDescent="0.35">
      <c r="A1055" s="1">
        <v>45466</v>
      </c>
      <c r="B1055" t="s">
        <v>442</v>
      </c>
      <c r="C1055" t="s">
        <v>47</v>
      </c>
      <c r="D1055" t="s">
        <v>13</v>
      </c>
      <c r="E1055" t="s">
        <v>48</v>
      </c>
      <c r="F1055" t="s">
        <v>45</v>
      </c>
      <c r="G1055" t="s">
        <v>39</v>
      </c>
      <c r="H1055">
        <v>2477.75</v>
      </c>
      <c r="I1055">
        <v>1</v>
      </c>
      <c r="J1055">
        <v>2477.75</v>
      </c>
      <c r="K1055">
        <v>2.19</v>
      </c>
    </row>
    <row r="1056" spans="1:11" x14ac:dyDescent="0.35">
      <c r="A1056" s="1">
        <v>45466</v>
      </c>
      <c r="B1056" t="s">
        <v>1514</v>
      </c>
      <c r="C1056" t="s">
        <v>47</v>
      </c>
      <c r="D1056" t="s">
        <v>13</v>
      </c>
      <c r="E1056" t="s">
        <v>48</v>
      </c>
      <c r="F1056" t="s">
        <v>45</v>
      </c>
      <c r="G1056" t="s">
        <v>39</v>
      </c>
      <c r="H1056">
        <v>1555.91</v>
      </c>
      <c r="I1056">
        <v>1</v>
      </c>
      <c r="J1056">
        <v>1555.91</v>
      </c>
      <c r="K1056">
        <v>3.41</v>
      </c>
    </row>
    <row r="1057" spans="1:11" x14ac:dyDescent="0.35">
      <c r="A1057" s="1">
        <v>45467</v>
      </c>
      <c r="B1057" t="s">
        <v>565</v>
      </c>
      <c r="C1057" t="s">
        <v>12</v>
      </c>
      <c r="D1057" t="s">
        <v>13</v>
      </c>
      <c r="E1057" t="s">
        <v>14</v>
      </c>
      <c r="F1057" t="s">
        <v>21</v>
      </c>
      <c r="G1057" t="s">
        <v>32</v>
      </c>
      <c r="H1057">
        <v>14059.71</v>
      </c>
      <c r="I1057">
        <v>3</v>
      </c>
      <c r="J1057">
        <v>42179.13</v>
      </c>
      <c r="K1057">
        <v>2.62</v>
      </c>
    </row>
    <row r="1058" spans="1:11" x14ac:dyDescent="0.35">
      <c r="A1058" s="1">
        <v>45467</v>
      </c>
      <c r="B1058" t="s">
        <v>723</v>
      </c>
      <c r="C1058" t="s">
        <v>12</v>
      </c>
      <c r="D1058" t="s">
        <v>13</v>
      </c>
      <c r="E1058" t="s">
        <v>14</v>
      </c>
      <c r="F1058" t="s">
        <v>15</v>
      </c>
      <c r="G1058" t="s">
        <v>39</v>
      </c>
      <c r="H1058">
        <v>8663.7000000000007</v>
      </c>
      <c r="I1058">
        <v>4</v>
      </c>
      <c r="J1058">
        <v>34654.800000000003</v>
      </c>
      <c r="K1058">
        <v>3.13</v>
      </c>
    </row>
    <row r="1059" spans="1:11" x14ac:dyDescent="0.35">
      <c r="A1059" s="1">
        <v>45467</v>
      </c>
      <c r="B1059" t="s">
        <v>823</v>
      </c>
      <c r="C1059" t="s">
        <v>34</v>
      </c>
      <c r="D1059" t="s">
        <v>13</v>
      </c>
      <c r="E1059" t="s">
        <v>35</v>
      </c>
      <c r="F1059" t="s">
        <v>45</v>
      </c>
      <c r="G1059" t="s">
        <v>22</v>
      </c>
      <c r="H1059">
        <v>12248.34</v>
      </c>
      <c r="I1059">
        <v>2</v>
      </c>
      <c r="J1059">
        <v>24496.68</v>
      </c>
      <c r="K1059">
        <v>1.43</v>
      </c>
    </row>
    <row r="1060" spans="1:11" x14ac:dyDescent="0.35">
      <c r="A1060" s="1">
        <v>45467</v>
      </c>
      <c r="B1060" t="s">
        <v>1558</v>
      </c>
      <c r="C1060" t="s">
        <v>47</v>
      </c>
      <c r="D1060" t="s">
        <v>13</v>
      </c>
      <c r="E1060" t="s">
        <v>48</v>
      </c>
      <c r="F1060" t="s">
        <v>21</v>
      </c>
      <c r="G1060" t="s">
        <v>39</v>
      </c>
      <c r="H1060">
        <v>4332.03</v>
      </c>
      <c r="I1060">
        <v>1</v>
      </c>
      <c r="J1060">
        <v>4332.03</v>
      </c>
      <c r="K1060">
        <v>4.5599999999999996</v>
      </c>
    </row>
    <row r="1061" spans="1:11" x14ac:dyDescent="0.35">
      <c r="A1061" s="1">
        <v>45469</v>
      </c>
      <c r="B1061" t="s">
        <v>559</v>
      </c>
      <c r="C1061" t="s">
        <v>47</v>
      </c>
      <c r="D1061" t="s">
        <v>13</v>
      </c>
      <c r="E1061" t="s">
        <v>48</v>
      </c>
      <c r="F1061" t="s">
        <v>21</v>
      </c>
      <c r="G1061" t="s">
        <v>22</v>
      </c>
      <c r="H1061">
        <v>14061.75</v>
      </c>
      <c r="I1061">
        <v>3</v>
      </c>
      <c r="J1061">
        <v>42185.25</v>
      </c>
      <c r="K1061">
        <v>4.72</v>
      </c>
    </row>
    <row r="1062" spans="1:11" x14ac:dyDescent="0.35">
      <c r="A1062" s="1">
        <v>45469</v>
      </c>
      <c r="B1062" t="s">
        <v>1637</v>
      </c>
      <c r="C1062" t="s">
        <v>47</v>
      </c>
      <c r="D1062" t="s">
        <v>13</v>
      </c>
      <c r="E1062" t="s">
        <v>48</v>
      </c>
      <c r="F1062" t="s">
        <v>15</v>
      </c>
      <c r="G1062" t="s">
        <v>16</v>
      </c>
      <c r="H1062">
        <v>3650.8</v>
      </c>
      <c r="I1062">
        <v>3</v>
      </c>
      <c r="J1062">
        <v>10952.4</v>
      </c>
      <c r="K1062">
        <v>4.8</v>
      </c>
    </row>
    <row r="1063" spans="1:11" x14ac:dyDescent="0.35">
      <c r="A1063" s="1">
        <v>45470</v>
      </c>
      <c r="B1063" t="s">
        <v>1004</v>
      </c>
      <c r="C1063" t="s">
        <v>12</v>
      </c>
      <c r="D1063" t="s">
        <v>13</v>
      </c>
      <c r="E1063" t="s">
        <v>14</v>
      </c>
      <c r="F1063" t="s">
        <v>45</v>
      </c>
      <c r="G1063" t="s">
        <v>60</v>
      </c>
      <c r="H1063">
        <v>5332.57</v>
      </c>
      <c r="I1063">
        <v>5</v>
      </c>
      <c r="J1063">
        <v>26662.85</v>
      </c>
      <c r="K1063">
        <v>2.37</v>
      </c>
    </row>
    <row r="1064" spans="1:11" x14ac:dyDescent="0.35">
      <c r="A1064" s="1">
        <v>45471</v>
      </c>
      <c r="B1064" t="s">
        <v>204</v>
      </c>
      <c r="C1064" t="s">
        <v>12</v>
      </c>
      <c r="D1064" t="s">
        <v>13</v>
      </c>
      <c r="E1064" t="s">
        <v>14</v>
      </c>
      <c r="F1064" t="s">
        <v>21</v>
      </c>
      <c r="G1064" t="s">
        <v>32</v>
      </c>
      <c r="H1064">
        <v>11172.49</v>
      </c>
      <c r="I1064">
        <v>5</v>
      </c>
      <c r="J1064">
        <v>55862.45</v>
      </c>
      <c r="K1064">
        <v>4.38</v>
      </c>
    </row>
    <row r="1065" spans="1:11" x14ac:dyDescent="0.35">
      <c r="A1065" s="1">
        <v>45471</v>
      </c>
      <c r="B1065" t="s">
        <v>629</v>
      </c>
      <c r="C1065" t="s">
        <v>12</v>
      </c>
      <c r="D1065" t="s">
        <v>13</v>
      </c>
      <c r="E1065" t="s">
        <v>14</v>
      </c>
      <c r="F1065" t="s">
        <v>45</v>
      </c>
      <c r="G1065" t="s">
        <v>60</v>
      </c>
      <c r="H1065">
        <v>845.45</v>
      </c>
      <c r="I1065">
        <v>3</v>
      </c>
      <c r="J1065">
        <v>2536.35</v>
      </c>
      <c r="K1065">
        <v>2.62</v>
      </c>
    </row>
    <row r="1066" spans="1:11" x14ac:dyDescent="0.35">
      <c r="A1066" s="1">
        <v>45472</v>
      </c>
      <c r="B1066" t="s">
        <v>697</v>
      </c>
      <c r="C1066" t="s">
        <v>34</v>
      </c>
      <c r="D1066" t="s">
        <v>13</v>
      </c>
      <c r="E1066" t="s">
        <v>35</v>
      </c>
      <c r="F1066" t="s">
        <v>45</v>
      </c>
      <c r="G1066" t="s">
        <v>27</v>
      </c>
      <c r="H1066">
        <v>6221.99</v>
      </c>
      <c r="I1066">
        <v>1</v>
      </c>
      <c r="J1066">
        <v>6221.99</v>
      </c>
      <c r="K1066">
        <v>3.69</v>
      </c>
    </row>
    <row r="1067" spans="1:11" x14ac:dyDescent="0.35">
      <c r="A1067" s="1">
        <v>45472</v>
      </c>
      <c r="B1067" t="s">
        <v>1767</v>
      </c>
      <c r="C1067" t="s">
        <v>34</v>
      </c>
      <c r="D1067" t="s">
        <v>13</v>
      </c>
      <c r="E1067" t="s">
        <v>35</v>
      </c>
      <c r="F1067" t="s">
        <v>15</v>
      </c>
      <c r="G1067" t="s">
        <v>22</v>
      </c>
      <c r="H1067">
        <v>8490.1200000000008</v>
      </c>
      <c r="I1067">
        <v>3</v>
      </c>
      <c r="J1067">
        <v>25470.36</v>
      </c>
      <c r="K1067">
        <v>3.27</v>
      </c>
    </row>
    <row r="1068" spans="1:11" x14ac:dyDescent="0.35">
      <c r="A1068" s="1">
        <v>45473</v>
      </c>
      <c r="B1068" t="s">
        <v>1559</v>
      </c>
      <c r="C1068" t="s">
        <v>47</v>
      </c>
      <c r="D1068" t="s">
        <v>13</v>
      </c>
      <c r="E1068" t="s">
        <v>48</v>
      </c>
      <c r="F1068" t="s">
        <v>45</v>
      </c>
      <c r="G1068" t="s">
        <v>22</v>
      </c>
      <c r="H1068">
        <v>9328.59</v>
      </c>
      <c r="I1068">
        <v>5</v>
      </c>
      <c r="J1068">
        <v>46642.95</v>
      </c>
      <c r="K1068">
        <v>2.11</v>
      </c>
    </row>
    <row r="1069" spans="1:11" x14ac:dyDescent="0.35">
      <c r="A1069" s="1">
        <v>45473</v>
      </c>
      <c r="B1069" t="s">
        <v>1928</v>
      </c>
      <c r="C1069" t="s">
        <v>34</v>
      </c>
      <c r="D1069" t="s">
        <v>13</v>
      </c>
      <c r="E1069" t="s">
        <v>35</v>
      </c>
      <c r="F1069" t="s">
        <v>45</v>
      </c>
      <c r="G1069" t="s">
        <v>39</v>
      </c>
      <c r="H1069">
        <v>19040.63</v>
      </c>
      <c r="I1069">
        <v>4</v>
      </c>
      <c r="J1069">
        <v>76162.52</v>
      </c>
      <c r="K1069">
        <v>3.88</v>
      </c>
    </row>
    <row r="1070" spans="1:11" x14ac:dyDescent="0.35">
      <c r="A1070" s="1">
        <v>45473</v>
      </c>
      <c r="B1070" t="s">
        <v>1987</v>
      </c>
      <c r="C1070" t="s">
        <v>12</v>
      </c>
      <c r="D1070" t="s">
        <v>13</v>
      </c>
      <c r="E1070" t="s">
        <v>14</v>
      </c>
      <c r="F1070" t="s">
        <v>21</v>
      </c>
      <c r="G1070" t="s">
        <v>16</v>
      </c>
      <c r="H1070">
        <v>13917.97</v>
      </c>
      <c r="I1070">
        <v>4</v>
      </c>
      <c r="J1070">
        <v>55671.88</v>
      </c>
      <c r="K1070">
        <v>2.56</v>
      </c>
    </row>
    <row r="1071" spans="1:11" x14ac:dyDescent="0.35">
      <c r="A1071" s="1">
        <v>45474</v>
      </c>
      <c r="B1071" t="s">
        <v>319</v>
      </c>
      <c r="C1071" t="s">
        <v>12</v>
      </c>
      <c r="D1071" t="s">
        <v>13</v>
      </c>
      <c r="E1071" t="s">
        <v>14</v>
      </c>
      <c r="F1071" t="s">
        <v>21</v>
      </c>
      <c r="G1071" t="s">
        <v>39</v>
      </c>
      <c r="H1071">
        <v>8661.86</v>
      </c>
      <c r="I1071">
        <v>1</v>
      </c>
      <c r="J1071">
        <v>8661.86</v>
      </c>
      <c r="K1071">
        <v>3.95</v>
      </c>
    </row>
    <row r="1072" spans="1:11" x14ac:dyDescent="0.35">
      <c r="A1072" s="1">
        <v>45474</v>
      </c>
      <c r="B1072" t="s">
        <v>532</v>
      </c>
      <c r="C1072" t="s">
        <v>12</v>
      </c>
      <c r="D1072" t="s">
        <v>13</v>
      </c>
      <c r="E1072" t="s">
        <v>14</v>
      </c>
      <c r="F1072" t="s">
        <v>15</v>
      </c>
      <c r="G1072" t="s">
        <v>16</v>
      </c>
      <c r="H1072">
        <v>2311.7600000000002</v>
      </c>
      <c r="I1072">
        <v>4</v>
      </c>
      <c r="J1072">
        <v>9247.0400000000009</v>
      </c>
      <c r="K1072">
        <v>4.26</v>
      </c>
    </row>
    <row r="1073" spans="1:11" x14ac:dyDescent="0.35">
      <c r="A1073" s="1">
        <v>45475</v>
      </c>
      <c r="B1073" t="s">
        <v>916</v>
      </c>
      <c r="C1073" t="s">
        <v>47</v>
      </c>
      <c r="D1073" t="s">
        <v>13</v>
      </c>
      <c r="E1073" t="s">
        <v>48</v>
      </c>
      <c r="F1073" t="s">
        <v>21</v>
      </c>
      <c r="G1073" t="s">
        <v>16</v>
      </c>
      <c r="H1073">
        <v>5020.25</v>
      </c>
      <c r="I1073">
        <v>2</v>
      </c>
      <c r="J1073">
        <v>10040.5</v>
      </c>
      <c r="K1073">
        <v>1.91</v>
      </c>
    </row>
    <row r="1074" spans="1:11" x14ac:dyDescent="0.35">
      <c r="A1074" s="1">
        <v>45476</v>
      </c>
      <c r="B1074" t="s">
        <v>1775</v>
      </c>
      <c r="C1074" t="s">
        <v>12</v>
      </c>
      <c r="D1074" t="s">
        <v>13</v>
      </c>
      <c r="E1074" t="s">
        <v>14</v>
      </c>
      <c r="F1074" t="s">
        <v>15</v>
      </c>
      <c r="G1074" t="s">
        <v>32</v>
      </c>
      <c r="H1074">
        <v>19076.64</v>
      </c>
      <c r="I1074">
        <v>2</v>
      </c>
      <c r="J1074">
        <v>38153.279999999999</v>
      </c>
      <c r="K1074">
        <v>1.74</v>
      </c>
    </row>
    <row r="1075" spans="1:11" x14ac:dyDescent="0.35">
      <c r="A1075" s="1">
        <v>45476</v>
      </c>
      <c r="B1075" t="s">
        <v>1923</v>
      </c>
      <c r="C1075" t="s">
        <v>12</v>
      </c>
      <c r="D1075" t="s">
        <v>13</v>
      </c>
      <c r="E1075" t="s">
        <v>14</v>
      </c>
      <c r="F1075" t="s">
        <v>21</v>
      </c>
      <c r="G1075" t="s">
        <v>27</v>
      </c>
      <c r="H1075">
        <v>14416.11</v>
      </c>
      <c r="I1075">
        <v>5</v>
      </c>
      <c r="J1075">
        <v>72080.55</v>
      </c>
      <c r="K1075">
        <v>3.59</v>
      </c>
    </row>
    <row r="1076" spans="1:11" x14ac:dyDescent="0.35">
      <c r="A1076" s="1">
        <v>45477</v>
      </c>
      <c r="B1076" t="s">
        <v>862</v>
      </c>
      <c r="C1076" t="s">
        <v>12</v>
      </c>
      <c r="D1076" t="s">
        <v>13</v>
      </c>
      <c r="E1076" t="s">
        <v>14</v>
      </c>
      <c r="F1076" t="s">
        <v>15</v>
      </c>
      <c r="G1076" t="s">
        <v>60</v>
      </c>
      <c r="H1076">
        <v>8997.8799999999992</v>
      </c>
      <c r="I1076">
        <v>2</v>
      </c>
      <c r="J1076">
        <v>17995.759999999998</v>
      </c>
      <c r="K1076">
        <v>4.3899999999999997</v>
      </c>
    </row>
    <row r="1077" spans="1:11" x14ac:dyDescent="0.35">
      <c r="A1077" s="1">
        <v>45478</v>
      </c>
      <c r="B1077" t="s">
        <v>318</v>
      </c>
      <c r="C1077" t="s">
        <v>47</v>
      </c>
      <c r="D1077" t="s">
        <v>13</v>
      </c>
      <c r="E1077" t="s">
        <v>48</v>
      </c>
      <c r="F1077" t="s">
        <v>45</v>
      </c>
      <c r="G1077" t="s">
        <v>39</v>
      </c>
      <c r="H1077">
        <v>9607.4500000000007</v>
      </c>
      <c r="I1077">
        <v>3</v>
      </c>
      <c r="J1077">
        <v>28822.35</v>
      </c>
      <c r="K1077">
        <v>1.53</v>
      </c>
    </row>
    <row r="1078" spans="1:11" x14ac:dyDescent="0.35">
      <c r="A1078" s="1">
        <v>45478</v>
      </c>
      <c r="B1078" t="s">
        <v>1784</v>
      </c>
      <c r="C1078" t="s">
        <v>12</v>
      </c>
      <c r="D1078" t="s">
        <v>13</v>
      </c>
      <c r="E1078" t="s">
        <v>14</v>
      </c>
      <c r="F1078" t="s">
        <v>45</v>
      </c>
      <c r="G1078" t="s">
        <v>27</v>
      </c>
      <c r="H1078">
        <v>15386.85</v>
      </c>
      <c r="I1078">
        <v>3</v>
      </c>
      <c r="J1078">
        <v>46160.55</v>
      </c>
      <c r="K1078">
        <v>1.24</v>
      </c>
    </row>
    <row r="1079" spans="1:11" x14ac:dyDescent="0.35">
      <c r="A1079" s="1">
        <v>45479</v>
      </c>
      <c r="B1079" t="s">
        <v>1038</v>
      </c>
      <c r="C1079" t="s">
        <v>34</v>
      </c>
      <c r="D1079" t="s">
        <v>13</v>
      </c>
      <c r="E1079" t="s">
        <v>35</v>
      </c>
      <c r="F1079" t="s">
        <v>45</v>
      </c>
      <c r="G1079" t="s">
        <v>27</v>
      </c>
      <c r="H1079">
        <v>7923.45</v>
      </c>
      <c r="I1079">
        <v>2</v>
      </c>
      <c r="J1079">
        <v>15846.9</v>
      </c>
      <c r="K1079">
        <v>1.8</v>
      </c>
    </row>
    <row r="1080" spans="1:11" x14ac:dyDescent="0.35">
      <c r="A1080" s="1">
        <v>45480</v>
      </c>
      <c r="B1080" t="s">
        <v>183</v>
      </c>
      <c r="C1080" t="s">
        <v>34</v>
      </c>
      <c r="D1080" t="s">
        <v>13</v>
      </c>
      <c r="E1080" t="s">
        <v>35</v>
      </c>
      <c r="F1080" t="s">
        <v>21</v>
      </c>
      <c r="G1080" t="s">
        <v>60</v>
      </c>
      <c r="H1080">
        <v>4358.05</v>
      </c>
      <c r="I1080">
        <v>5</v>
      </c>
      <c r="J1080">
        <v>21790.25</v>
      </c>
      <c r="K1080">
        <v>1.38</v>
      </c>
    </row>
    <row r="1081" spans="1:11" x14ac:dyDescent="0.35">
      <c r="A1081" s="1">
        <v>45480</v>
      </c>
      <c r="B1081" t="s">
        <v>499</v>
      </c>
      <c r="C1081" t="s">
        <v>12</v>
      </c>
      <c r="D1081" t="s">
        <v>13</v>
      </c>
      <c r="E1081" t="s">
        <v>14</v>
      </c>
      <c r="F1081" t="s">
        <v>21</v>
      </c>
      <c r="G1081" t="s">
        <v>16</v>
      </c>
      <c r="H1081">
        <v>8378.99</v>
      </c>
      <c r="I1081">
        <v>1</v>
      </c>
      <c r="J1081">
        <v>8378.99</v>
      </c>
      <c r="K1081">
        <v>1.95</v>
      </c>
    </row>
    <row r="1082" spans="1:11" x14ac:dyDescent="0.35">
      <c r="A1082" s="1">
        <v>45480</v>
      </c>
      <c r="B1082" t="s">
        <v>1080</v>
      </c>
      <c r="C1082" t="s">
        <v>12</v>
      </c>
      <c r="D1082" t="s">
        <v>13</v>
      </c>
      <c r="E1082" t="s">
        <v>14</v>
      </c>
      <c r="F1082" t="s">
        <v>15</v>
      </c>
      <c r="G1082" t="s">
        <v>22</v>
      </c>
      <c r="H1082">
        <v>2703.85</v>
      </c>
      <c r="I1082">
        <v>2</v>
      </c>
      <c r="J1082">
        <v>5407.7</v>
      </c>
      <c r="K1082">
        <v>2.13</v>
      </c>
    </row>
    <row r="1083" spans="1:11" x14ac:dyDescent="0.35">
      <c r="A1083" s="1">
        <v>45481</v>
      </c>
      <c r="B1083" t="s">
        <v>184</v>
      </c>
      <c r="C1083" t="s">
        <v>47</v>
      </c>
      <c r="D1083" t="s">
        <v>13</v>
      </c>
      <c r="E1083" t="s">
        <v>48</v>
      </c>
      <c r="F1083" t="s">
        <v>21</v>
      </c>
      <c r="G1083" t="s">
        <v>22</v>
      </c>
      <c r="H1083">
        <v>10373.700000000001</v>
      </c>
      <c r="I1083">
        <v>4</v>
      </c>
      <c r="J1083">
        <v>41494.800000000003</v>
      </c>
      <c r="K1083">
        <v>4.74</v>
      </c>
    </row>
    <row r="1084" spans="1:11" x14ac:dyDescent="0.35">
      <c r="A1084" s="1">
        <v>45481</v>
      </c>
      <c r="B1084" t="s">
        <v>1667</v>
      </c>
      <c r="C1084" t="s">
        <v>34</v>
      </c>
      <c r="D1084" t="s">
        <v>13</v>
      </c>
      <c r="E1084" t="s">
        <v>35</v>
      </c>
      <c r="F1084" t="s">
        <v>15</v>
      </c>
      <c r="G1084" t="s">
        <v>32</v>
      </c>
      <c r="H1084">
        <v>8815.9</v>
      </c>
      <c r="I1084">
        <v>1</v>
      </c>
      <c r="J1084">
        <v>8815.9</v>
      </c>
      <c r="K1084">
        <v>2.5099999999999998</v>
      </c>
    </row>
    <row r="1085" spans="1:11" x14ac:dyDescent="0.35">
      <c r="A1085" s="1">
        <v>45482</v>
      </c>
      <c r="B1085" t="s">
        <v>385</v>
      </c>
      <c r="C1085" t="s">
        <v>34</v>
      </c>
      <c r="D1085" t="s">
        <v>13</v>
      </c>
      <c r="E1085" t="s">
        <v>35</v>
      </c>
      <c r="F1085" t="s">
        <v>45</v>
      </c>
      <c r="G1085" t="s">
        <v>60</v>
      </c>
      <c r="H1085">
        <v>14010.82</v>
      </c>
      <c r="I1085">
        <v>3</v>
      </c>
      <c r="J1085">
        <v>42032.46</v>
      </c>
      <c r="K1085">
        <v>3.11</v>
      </c>
    </row>
    <row r="1086" spans="1:11" x14ac:dyDescent="0.35">
      <c r="A1086" s="1">
        <v>45483</v>
      </c>
      <c r="B1086" t="s">
        <v>555</v>
      </c>
      <c r="C1086" t="s">
        <v>12</v>
      </c>
      <c r="D1086" t="s">
        <v>13</v>
      </c>
      <c r="E1086" t="s">
        <v>14</v>
      </c>
      <c r="F1086" t="s">
        <v>45</v>
      </c>
      <c r="G1086" t="s">
        <v>16</v>
      </c>
      <c r="H1086">
        <v>16648.599999999999</v>
      </c>
      <c r="I1086">
        <v>3</v>
      </c>
      <c r="J1086">
        <v>49945.8</v>
      </c>
      <c r="K1086">
        <v>4.29</v>
      </c>
    </row>
    <row r="1087" spans="1:11" x14ac:dyDescent="0.35">
      <c r="A1087" s="1">
        <v>45484</v>
      </c>
      <c r="B1087" t="s">
        <v>620</v>
      </c>
      <c r="C1087" t="s">
        <v>47</v>
      </c>
      <c r="D1087" t="s">
        <v>13</v>
      </c>
      <c r="E1087" t="s">
        <v>48</v>
      </c>
      <c r="F1087" t="s">
        <v>45</v>
      </c>
      <c r="G1087" t="s">
        <v>22</v>
      </c>
      <c r="H1087">
        <v>4244.3900000000003</v>
      </c>
      <c r="I1087">
        <v>4</v>
      </c>
      <c r="J1087">
        <v>16977.560000000001</v>
      </c>
      <c r="K1087">
        <v>1.91</v>
      </c>
    </row>
    <row r="1088" spans="1:11" x14ac:dyDescent="0.35">
      <c r="A1088" s="1">
        <v>45484</v>
      </c>
      <c r="B1088" t="s">
        <v>1248</v>
      </c>
      <c r="C1088" t="s">
        <v>47</v>
      </c>
      <c r="D1088" t="s">
        <v>13</v>
      </c>
      <c r="E1088" t="s">
        <v>48</v>
      </c>
      <c r="F1088" t="s">
        <v>15</v>
      </c>
      <c r="G1088" t="s">
        <v>22</v>
      </c>
      <c r="H1088">
        <v>5696.75</v>
      </c>
      <c r="I1088">
        <v>2</v>
      </c>
      <c r="J1088">
        <v>11393.5</v>
      </c>
      <c r="K1088">
        <v>2.2200000000000002</v>
      </c>
    </row>
    <row r="1089" spans="1:11" x14ac:dyDescent="0.35">
      <c r="A1089" s="1">
        <v>45485</v>
      </c>
      <c r="B1089" t="s">
        <v>848</v>
      </c>
      <c r="C1089" t="s">
        <v>34</v>
      </c>
      <c r="D1089" t="s">
        <v>13</v>
      </c>
      <c r="E1089" t="s">
        <v>35</v>
      </c>
      <c r="F1089" t="s">
        <v>15</v>
      </c>
      <c r="G1089" t="s">
        <v>60</v>
      </c>
      <c r="H1089">
        <v>7550.17</v>
      </c>
      <c r="I1089">
        <v>5</v>
      </c>
      <c r="J1089">
        <v>37750.85</v>
      </c>
      <c r="K1089">
        <v>1.82</v>
      </c>
    </row>
    <row r="1090" spans="1:11" x14ac:dyDescent="0.35">
      <c r="A1090" s="1">
        <v>45485</v>
      </c>
      <c r="B1090" t="s">
        <v>1337</v>
      </c>
      <c r="C1090" t="s">
        <v>47</v>
      </c>
      <c r="D1090" t="s">
        <v>13</v>
      </c>
      <c r="E1090" t="s">
        <v>48</v>
      </c>
      <c r="F1090" t="s">
        <v>45</v>
      </c>
      <c r="G1090" t="s">
        <v>22</v>
      </c>
      <c r="H1090">
        <v>19138.54</v>
      </c>
      <c r="I1090">
        <v>2</v>
      </c>
      <c r="J1090">
        <v>38277.08</v>
      </c>
      <c r="K1090">
        <v>3.06</v>
      </c>
    </row>
    <row r="1091" spans="1:11" x14ac:dyDescent="0.35">
      <c r="A1091" s="1">
        <v>45486</v>
      </c>
      <c r="B1091" t="s">
        <v>508</v>
      </c>
      <c r="C1091" t="s">
        <v>47</v>
      </c>
      <c r="D1091" t="s">
        <v>13</v>
      </c>
      <c r="E1091" t="s">
        <v>48</v>
      </c>
      <c r="F1091" t="s">
        <v>45</v>
      </c>
      <c r="G1091" t="s">
        <v>27</v>
      </c>
      <c r="H1091">
        <v>1674.8</v>
      </c>
      <c r="I1091">
        <v>4</v>
      </c>
      <c r="J1091">
        <v>6699.2</v>
      </c>
      <c r="K1091">
        <v>4.74</v>
      </c>
    </row>
    <row r="1092" spans="1:11" x14ac:dyDescent="0.35">
      <c r="A1092" s="1">
        <v>45487</v>
      </c>
      <c r="B1092" t="s">
        <v>299</v>
      </c>
      <c r="C1092" t="s">
        <v>47</v>
      </c>
      <c r="D1092" t="s">
        <v>13</v>
      </c>
      <c r="E1092" t="s">
        <v>48</v>
      </c>
      <c r="F1092" t="s">
        <v>15</v>
      </c>
      <c r="G1092" t="s">
        <v>39</v>
      </c>
      <c r="H1092">
        <v>18234.36</v>
      </c>
      <c r="I1092">
        <v>2</v>
      </c>
      <c r="J1092">
        <v>36468.720000000001</v>
      </c>
      <c r="K1092">
        <v>4.8600000000000003</v>
      </c>
    </row>
    <row r="1093" spans="1:11" x14ac:dyDescent="0.35">
      <c r="A1093" s="1">
        <v>45487</v>
      </c>
      <c r="B1093" t="s">
        <v>358</v>
      </c>
      <c r="C1093" t="s">
        <v>34</v>
      </c>
      <c r="D1093" t="s">
        <v>13</v>
      </c>
      <c r="E1093" t="s">
        <v>35</v>
      </c>
      <c r="F1093" t="s">
        <v>21</v>
      </c>
      <c r="G1093" t="s">
        <v>27</v>
      </c>
      <c r="H1093">
        <v>4688.59</v>
      </c>
      <c r="I1093">
        <v>1</v>
      </c>
      <c r="J1093">
        <v>4688.59</v>
      </c>
      <c r="K1093">
        <v>3.67</v>
      </c>
    </row>
    <row r="1094" spans="1:11" x14ac:dyDescent="0.35">
      <c r="A1094" s="1">
        <v>45487</v>
      </c>
      <c r="B1094" t="s">
        <v>1886</v>
      </c>
      <c r="C1094" t="s">
        <v>12</v>
      </c>
      <c r="D1094" t="s">
        <v>13</v>
      </c>
      <c r="E1094" t="s">
        <v>14</v>
      </c>
      <c r="F1094" t="s">
        <v>45</v>
      </c>
      <c r="G1094" t="s">
        <v>60</v>
      </c>
      <c r="H1094">
        <v>1312.51</v>
      </c>
      <c r="I1094">
        <v>2</v>
      </c>
      <c r="J1094">
        <v>2625.02</v>
      </c>
      <c r="K1094">
        <v>4.4800000000000004</v>
      </c>
    </row>
    <row r="1095" spans="1:11" x14ac:dyDescent="0.35">
      <c r="A1095" s="1">
        <v>45488</v>
      </c>
      <c r="B1095" t="s">
        <v>644</v>
      </c>
      <c r="C1095" t="s">
        <v>47</v>
      </c>
      <c r="D1095" t="s">
        <v>13</v>
      </c>
      <c r="E1095" t="s">
        <v>48</v>
      </c>
      <c r="F1095" t="s">
        <v>21</v>
      </c>
      <c r="G1095" t="s">
        <v>60</v>
      </c>
      <c r="H1095">
        <v>16971.07</v>
      </c>
      <c r="I1095">
        <v>3</v>
      </c>
      <c r="J1095">
        <v>50913.21</v>
      </c>
      <c r="K1095">
        <v>3.38</v>
      </c>
    </row>
    <row r="1096" spans="1:11" x14ac:dyDescent="0.35">
      <c r="A1096" s="1">
        <v>45488</v>
      </c>
      <c r="B1096" t="s">
        <v>1444</v>
      </c>
      <c r="C1096" t="s">
        <v>47</v>
      </c>
      <c r="D1096" t="s">
        <v>13</v>
      </c>
      <c r="E1096" t="s">
        <v>48</v>
      </c>
      <c r="F1096" t="s">
        <v>45</v>
      </c>
      <c r="G1096" t="s">
        <v>32</v>
      </c>
      <c r="H1096">
        <v>11510.82</v>
      </c>
      <c r="I1096">
        <v>1</v>
      </c>
      <c r="J1096">
        <v>11510.82</v>
      </c>
      <c r="K1096">
        <v>3.79</v>
      </c>
    </row>
    <row r="1097" spans="1:11" x14ac:dyDescent="0.35">
      <c r="A1097" s="1">
        <v>45489</v>
      </c>
      <c r="B1097" t="s">
        <v>541</v>
      </c>
      <c r="C1097" t="s">
        <v>34</v>
      </c>
      <c r="D1097" t="s">
        <v>13</v>
      </c>
      <c r="E1097" t="s">
        <v>35</v>
      </c>
      <c r="F1097" t="s">
        <v>15</v>
      </c>
      <c r="G1097" t="s">
        <v>39</v>
      </c>
      <c r="H1097">
        <v>6577.75</v>
      </c>
      <c r="I1097">
        <v>3</v>
      </c>
      <c r="J1097">
        <v>19733.25</v>
      </c>
      <c r="K1097">
        <v>2.02</v>
      </c>
    </row>
    <row r="1098" spans="1:11" x14ac:dyDescent="0.35">
      <c r="A1098" s="1">
        <v>45489</v>
      </c>
      <c r="B1098" t="s">
        <v>1216</v>
      </c>
      <c r="C1098" t="s">
        <v>34</v>
      </c>
      <c r="D1098" t="s">
        <v>13</v>
      </c>
      <c r="E1098" t="s">
        <v>35</v>
      </c>
      <c r="F1098" t="s">
        <v>45</v>
      </c>
      <c r="G1098" t="s">
        <v>22</v>
      </c>
      <c r="H1098">
        <v>9152.57</v>
      </c>
      <c r="I1098">
        <v>4</v>
      </c>
      <c r="J1098">
        <v>36610.28</v>
      </c>
      <c r="K1098">
        <v>3.38</v>
      </c>
    </row>
    <row r="1099" spans="1:11" x14ac:dyDescent="0.35">
      <c r="A1099" s="1">
        <v>45490</v>
      </c>
      <c r="B1099" t="s">
        <v>812</v>
      </c>
      <c r="C1099" t="s">
        <v>12</v>
      </c>
      <c r="D1099" t="s">
        <v>13</v>
      </c>
      <c r="E1099" t="s">
        <v>14</v>
      </c>
      <c r="F1099" t="s">
        <v>45</v>
      </c>
      <c r="G1099" t="s">
        <v>32</v>
      </c>
      <c r="H1099">
        <v>15173.24</v>
      </c>
      <c r="I1099">
        <v>4</v>
      </c>
      <c r="J1099">
        <v>60692.959999999999</v>
      </c>
      <c r="K1099">
        <v>4.32</v>
      </c>
    </row>
    <row r="1100" spans="1:11" x14ac:dyDescent="0.35">
      <c r="A1100" s="1">
        <v>45491</v>
      </c>
      <c r="B1100" t="s">
        <v>735</v>
      </c>
      <c r="C1100" t="s">
        <v>34</v>
      </c>
      <c r="D1100" t="s">
        <v>13</v>
      </c>
      <c r="E1100" t="s">
        <v>35</v>
      </c>
      <c r="F1100" t="s">
        <v>45</v>
      </c>
      <c r="G1100" t="s">
        <v>16</v>
      </c>
      <c r="H1100">
        <v>14579.15</v>
      </c>
      <c r="I1100">
        <v>1</v>
      </c>
      <c r="J1100">
        <v>14579.15</v>
      </c>
      <c r="K1100">
        <v>2.3199999999999998</v>
      </c>
    </row>
    <row r="1101" spans="1:11" x14ac:dyDescent="0.35">
      <c r="A1101" s="1">
        <v>45492</v>
      </c>
      <c r="B1101" t="s">
        <v>625</v>
      </c>
      <c r="C1101" t="s">
        <v>12</v>
      </c>
      <c r="D1101" t="s">
        <v>13</v>
      </c>
      <c r="E1101" t="s">
        <v>14</v>
      </c>
      <c r="F1101" t="s">
        <v>15</v>
      </c>
      <c r="G1101" t="s">
        <v>39</v>
      </c>
      <c r="H1101">
        <v>9841.01</v>
      </c>
      <c r="I1101">
        <v>4</v>
      </c>
      <c r="J1101">
        <v>39364.04</v>
      </c>
      <c r="K1101">
        <v>2.64</v>
      </c>
    </row>
    <row r="1102" spans="1:11" x14ac:dyDescent="0.35">
      <c r="A1102" s="1">
        <v>45493</v>
      </c>
      <c r="B1102" t="s">
        <v>1084</v>
      </c>
      <c r="C1102" t="s">
        <v>12</v>
      </c>
      <c r="D1102" t="s">
        <v>13</v>
      </c>
      <c r="E1102" t="s">
        <v>14</v>
      </c>
      <c r="F1102" t="s">
        <v>15</v>
      </c>
      <c r="G1102" t="s">
        <v>22</v>
      </c>
      <c r="H1102">
        <v>3247.92</v>
      </c>
      <c r="I1102">
        <v>1</v>
      </c>
      <c r="J1102">
        <v>3247.92</v>
      </c>
      <c r="K1102">
        <v>2.0699999999999998</v>
      </c>
    </row>
    <row r="1103" spans="1:11" x14ac:dyDescent="0.35">
      <c r="A1103" s="1">
        <v>45494</v>
      </c>
      <c r="B1103" t="s">
        <v>1065</v>
      </c>
      <c r="C1103" t="s">
        <v>12</v>
      </c>
      <c r="D1103" t="s">
        <v>13</v>
      </c>
      <c r="E1103" t="s">
        <v>14</v>
      </c>
      <c r="F1103" t="s">
        <v>45</v>
      </c>
      <c r="G1103" t="s">
        <v>39</v>
      </c>
      <c r="H1103">
        <v>3913.77</v>
      </c>
      <c r="I1103">
        <v>1</v>
      </c>
      <c r="J1103">
        <v>3913.77</v>
      </c>
      <c r="K1103">
        <v>4.88</v>
      </c>
    </row>
    <row r="1104" spans="1:11" x14ac:dyDescent="0.35">
      <c r="A1104" s="1">
        <v>45495</v>
      </c>
      <c r="B1104" t="s">
        <v>1287</v>
      </c>
      <c r="C1104" t="s">
        <v>34</v>
      </c>
      <c r="D1104" t="s">
        <v>13</v>
      </c>
      <c r="E1104" t="s">
        <v>35</v>
      </c>
      <c r="F1104" t="s">
        <v>45</v>
      </c>
      <c r="G1104" t="s">
        <v>27</v>
      </c>
      <c r="H1104">
        <v>16364.88</v>
      </c>
      <c r="I1104">
        <v>5</v>
      </c>
      <c r="J1104">
        <v>81824.399999999994</v>
      </c>
      <c r="K1104">
        <v>4.74</v>
      </c>
    </row>
    <row r="1105" spans="1:11" x14ac:dyDescent="0.35">
      <c r="A1105" s="1">
        <v>45496</v>
      </c>
      <c r="B1105" t="s">
        <v>1956</v>
      </c>
      <c r="C1105" t="s">
        <v>47</v>
      </c>
      <c r="D1105" t="s">
        <v>13</v>
      </c>
      <c r="E1105" t="s">
        <v>48</v>
      </c>
      <c r="F1105" t="s">
        <v>45</v>
      </c>
      <c r="G1105" t="s">
        <v>16</v>
      </c>
      <c r="H1105">
        <v>5862.4</v>
      </c>
      <c r="I1105">
        <v>2</v>
      </c>
      <c r="J1105">
        <v>11724.8</v>
      </c>
      <c r="K1105">
        <v>1.69</v>
      </c>
    </row>
    <row r="1106" spans="1:11" x14ac:dyDescent="0.35">
      <c r="A1106" s="1">
        <v>45497</v>
      </c>
      <c r="B1106" t="s">
        <v>719</v>
      </c>
      <c r="C1106" t="s">
        <v>12</v>
      </c>
      <c r="D1106" t="s">
        <v>13</v>
      </c>
      <c r="E1106" t="s">
        <v>14</v>
      </c>
      <c r="F1106" t="s">
        <v>45</v>
      </c>
      <c r="G1106" t="s">
        <v>22</v>
      </c>
      <c r="H1106">
        <v>1693.88</v>
      </c>
      <c r="I1106">
        <v>5</v>
      </c>
      <c r="J1106">
        <v>8469.4</v>
      </c>
      <c r="K1106">
        <v>1.33</v>
      </c>
    </row>
    <row r="1107" spans="1:11" x14ac:dyDescent="0.35">
      <c r="A1107" s="1">
        <v>45497</v>
      </c>
      <c r="B1107" t="s">
        <v>1840</v>
      </c>
      <c r="C1107" t="s">
        <v>12</v>
      </c>
      <c r="D1107" t="s">
        <v>13</v>
      </c>
      <c r="E1107" t="s">
        <v>14</v>
      </c>
      <c r="F1107" t="s">
        <v>15</v>
      </c>
      <c r="G1107" t="s">
        <v>16</v>
      </c>
      <c r="H1107">
        <v>4528.5600000000004</v>
      </c>
      <c r="I1107">
        <v>1</v>
      </c>
      <c r="J1107">
        <v>4528.5600000000004</v>
      </c>
      <c r="K1107">
        <v>4.49</v>
      </c>
    </row>
    <row r="1108" spans="1:11" x14ac:dyDescent="0.35">
      <c r="A1108" s="1">
        <v>45497</v>
      </c>
      <c r="B1108" t="s">
        <v>2022</v>
      </c>
      <c r="C1108" t="s">
        <v>12</v>
      </c>
      <c r="D1108" t="s">
        <v>13</v>
      </c>
      <c r="E1108" t="s">
        <v>14</v>
      </c>
      <c r="F1108" t="s">
        <v>15</v>
      </c>
      <c r="G1108" t="s">
        <v>60</v>
      </c>
      <c r="H1108">
        <v>10631.57</v>
      </c>
      <c r="I1108">
        <v>5</v>
      </c>
      <c r="J1108">
        <v>53157.85</v>
      </c>
      <c r="K1108">
        <v>2.4500000000000002</v>
      </c>
    </row>
    <row r="1109" spans="1:11" x14ac:dyDescent="0.35">
      <c r="A1109" s="1">
        <v>45499</v>
      </c>
      <c r="B1109" t="s">
        <v>334</v>
      </c>
      <c r="C1109" t="s">
        <v>34</v>
      </c>
      <c r="D1109" t="s">
        <v>13</v>
      </c>
      <c r="E1109" t="s">
        <v>35</v>
      </c>
      <c r="F1109" t="s">
        <v>45</v>
      </c>
      <c r="G1109" t="s">
        <v>27</v>
      </c>
      <c r="H1109">
        <v>13950.41</v>
      </c>
      <c r="I1109">
        <v>5</v>
      </c>
      <c r="J1109">
        <v>69752.05</v>
      </c>
      <c r="K1109">
        <v>2.98</v>
      </c>
    </row>
    <row r="1110" spans="1:11" x14ac:dyDescent="0.35">
      <c r="A1110" s="1">
        <v>45499</v>
      </c>
      <c r="B1110" t="s">
        <v>694</v>
      </c>
      <c r="C1110" t="s">
        <v>34</v>
      </c>
      <c r="D1110" t="s">
        <v>13</v>
      </c>
      <c r="E1110" t="s">
        <v>35</v>
      </c>
      <c r="F1110" t="s">
        <v>21</v>
      </c>
      <c r="G1110" t="s">
        <v>27</v>
      </c>
      <c r="H1110">
        <v>18132.09</v>
      </c>
      <c r="I1110">
        <v>4</v>
      </c>
      <c r="J1110">
        <v>72528.36</v>
      </c>
      <c r="K1110">
        <v>3.73</v>
      </c>
    </row>
    <row r="1111" spans="1:11" x14ac:dyDescent="0.35">
      <c r="A1111" s="1">
        <v>45500</v>
      </c>
      <c r="B1111" t="s">
        <v>1415</v>
      </c>
      <c r="C1111" t="s">
        <v>47</v>
      </c>
      <c r="D1111" t="s">
        <v>13</v>
      </c>
      <c r="E1111" t="s">
        <v>48</v>
      </c>
      <c r="F1111" t="s">
        <v>21</v>
      </c>
      <c r="G1111" t="s">
        <v>32</v>
      </c>
      <c r="H1111">
        <v>11651.81</v>
      </c>
      <c r="I1111">
        <v>5</v>
      </c>
      <c r="J1111">
        <v>58259.05</v>
      </c>
      <c r="K1111">
        <v>3.4</v>
      </c>
    </row>
    <row r="1112" spans="1:11" x14ac:dyDescent="0.35">
      <c r="A1112" s="1">
        <v>45501</v>
      </c>
      <c r="B1112" t="s">
        <v>1467</v>
      </c>
      <c r="C1112" t="s">
        <v>12</v>
      </c>
      <c r="D1112" t="s">
        <v>13</v>
      </c>
      <c r="E1112" t="s">
        <v>14</v>
      </c>
      <c r="F1112" t="s">
        <v>45</v>
      </c>
      <c r="G1112" t="s">
        <v>39</v>
      </c>
      <c r="H1112">
        <v>16583.7</v>
      </c>
      <c r="I1112">
        <v>3</v>
      </c>
      <c r="J1112">
        <v>49751.1</v>
      </c>
      <c r="K1112">
        <v>3.66</v>
      </c>
    </row>
    <row r="1113" spans="1:11" x14ac:dyDescent="0.35">
      <c r="A1113" s="1">
        <v>45502</v>
      </c>
      <c r="B1113" t="s">
        <v>268</v>
      </c>
      <c r="C1113" t="s">
        <v>34</v>
      </c>
      <c r="D1113" t="s">
        <v>13</v>
      </c>
      <c r="E1113" t="s">
        <v>35</v>
      </c>
      <c r="F1113" t="s">
        <v>15</v>
      </c>
      <c r="G1113" t="s">
        <v>27</v>
      </c>
      <c r="H1113">
        <v>9120.2800000000007</v>
      </c>
      <c r="I1113">
        <v>5</v>
      </c>
      <c r="J1113">
        <v>45601.4</v>
      </c>
      <c r="K1113">
        <v>3.49</v>
      </c>
    </row>
    <row r="1114" spans="1:11" x14ac:dyDescent="0.35">
      <c r="A1114" s="1">
        <v>45503</v>
      </c>
      <c r="B1114" t="s">
        <v>533</v>
      </c>
      <c r="C1114" t="s">
        <v>34</v>
      </c>
      <c r="D1114" t="s">
        <v>13</v>
      </c>
      <c r="E1114" t="s">
        <v>35</v>
      </c>
      <c r="F1114" t="s">
        <v>21</v>
      </c>
      <c r="G1114" t="s">
        <v>27</v>
      </c>
      <c r="H1114">
        <v>19952.41</v>
      </c>
      <c r="I1114">
        <v>3</v>
      </c>
      <c r="J1114">
        <v>59857.23</v>
      </c>
      <c r="K1114">
        <v>2.34</v>
      </c>
    </row>
    <row r="1115" spans="1:11" x14ac:dyDescent="0.35">
      <c r="A1115" s="1">
        <v>45504</v>
      </c>
      <c r="B1115" t="s">
        <v>200</v>
      </c>
      <c r="C1115" t="s">
        <v>12</v>
      </c>
      <c r="D1115" t="s">
        <v>13</v>
      </c>
      <c r="E1115" t="s">
        <v>14</v>
      </c>
      <c r="F1115" t="s">
        <v>21</v>
      </c>
      <c r="G1115" t="s">
        <v>39</v>
      </c>
      <c r="H1115">
        <v>5594.32</v>
      </c>
      <c r="I1115">
        <v>1</v>
      </c>
      <c r="J1115">
        <v>5594.32</v>
      </c>
      <c r="K1115">
        <v>2.3199999999999998</v>
      </c>
    </row>
    <row r="1116" spans="1:11" x14ac:dyDescent="0.35">
      <c r="A1116" s="1">
        <v>45504</v>
      </c>
      <c r="B1116" t="s">
        <v>1632</v>
      </c>
      <c r="C1116" t="s">
        <v>34</v>
      </c>
      <c r="D1116" t="s">
        <v>13</v>
      </c>
      <c r="E1116" t="s">
        <v>35</v>
      </c>
      <c r="F1116" t="s">
        <v>45</v>
      </c>
      <c r="G1116" t="s">
        <v>27</v>
      </c>
      <c r="H1116">
        <v>13158.4</v>
      </c>
      <c r="I1116">
        <v>1</v>
      </c>
      <c r="J1116">
        <v>13158.4</v>
      </c>
      <c r="K1116">
        <v>4.3099999999999996</v>
      </c>
    </row>
    <row r="1117" spans="1:11" x14ac:dyDescent="0.35">
      <c r="A1117" s="1">
        <v>45504</v>
      </c>
      <c r="B1117" t="s">
        <v>1719</v>
      </c>
      <c r="C1117" t="s">
        <v>47</v>
      </c>
      <c r="D1117" t="s">
        <v>13</v>
      </c>
      <c r="E1117" t="s">
        <v>48</v>
      </c>
      <c r="F1117" t="s">
        <v>15</v>
      </c>
      <c r="G1117" t="s">
        <v>16</v>
      </c>
      <c r="H1117">
        <v>1310.99</v>
      </c>
      <c r="I1117">
        <v>2</v>
      </c>
      <c r="J1117">
        <v>2621.98</v>
      </c>
      <c r="K1117">
        <v>2.4700000000000002</v>
      </c>
    </row>
    <row r="1118" spans="1:11" x14ac:dyDescent="0.35">
      <c r="A1118" s="1">
        <v>45504</v>
      </c>
      <c r="B1118" t="s">
        <v>1896</v>
      </c>
      <c r="C1118" t="s">
        <v>34</v>
      </c>
      <c r="D1118" t="s">
        <v>13</v>
      </c>
      <c r="E1118" t="s">
        <v>35</v>
      </c>
      <c r="F1118" t="s">
        <v>21</v>
      </c>
      <c r="G1118" t="s">
        <v>32</v>
      </c>
      <c r="H1118">
        <v>8231.73</v>
      </c>
      <c r="I1118">
        <v>2</v>
      </c>
      <c r="J1118">
        <v>16463.46</v>
      </c>
      <c r="K1118">
        <v>4.49</v>
      </c>
    </row>
    <row r="1119" spans="1:11" x14ac:dyDescent="0.35">
      <c r="A1119" s="1">
        <v>45504</v>
      </c>
      <c r="B1119" t="s">
        <v>1982</v>
      </c>
      <c r="C1119" t="s">
        <v>47</v>
      </c>
      <c r="D1119" t="s">
        <v>13</v>
      </c>
      <c r="E1119" t="s">
        <v>48</v>
      </c>
      <c r="F1119" t="s">
        <v>21</v>
      </c>
      <c r="G1119" t="s">
        <v>22</v>
      </c>
      <c r="H1119">
        <v>6527.21</v>
      </c>
      <c r="I1119">
        <v>1</v>
      </c>
      <c r="J1119">
        <v>6527.21</v>
      </c>
      <c r="K1119">
        <v>4.3600000000000003</v>
      </c>
    </row>
    <row r="1120" spans="1:11" x14ac:dyDescent="0.35">
      <c r="A1120" s="1">
        <v>45506</v>
      </c>
      <c r="B1120" t="s">
        <v>1114</v>
      </c>
      <c r="C1120" t="s">
        <v>12</v>
      </c>
      <c r="D1120" t="s">
        <v>13</v>
      </c>
      <c r="E1120" t="s">
        <v>14</v>
      </c>
      <c r="F1120" t="s">
        <v>45</v>
      </c>
      <c r="G1120" t="s">
        <v>39</v>
      </c>
      <c r="H1120">
        <v>17249.37</v>
      </c>
      <c r="I1120">
        <v>1</v>
      </c>
      <c r="J1120">
        <v>17249.37</v>
      </c>
      <c r="K1120">
        <v>3.37</v>
      </c>
    </row>
    <row r="1121" spans="1:11" x14ac:dyDescent="0.35">
      <c r="A1121" s="1">
        <v>45507</v>
      </c>
      <c r="B1121" t="s">
        <v>1308</v>
      </c>
      <c r="C1121" t="s">
        <v>34</v>
      </c>
      <c r="D1121" t="s">
        <v>13</v>
      </c>
      <c r="E1121" t="s">
        <v>35</v>
      </c>
      <c r="F1121" t="s">
        <v>21</v>
      </c>
      <c r="G1121" t="s">
        <v>22</v>
      </c>
      <c r="H1121">
        <v>12386.34</v>
      </c>
      <c r="I1121">
        <v>2</v>
      </c>
      <c r="J1121">
        <v>24772.68</v>
      </c>
      <c r="K1121">
        <v>1.76</v>
      </c>
    </row>
    <row r="1122" spans="1:11" x14ac:dyDescent="0.35">
      <c r="A1122" s="1">
        <v>45508</v>
      </c>
      <c r="B1122" t="s">
        <v>227</v>
      </c>
      <c r="C1122" t="s">
        <v>47</v>
      </c>
      <c r="D1122" t="s">
        <v>13</v>
      </c>
      <c r="E1122" t="s">
        <v>48</v>
      </c>
      <c r="F1122" t="s">
        <v>21</v>
      </c>
      <c r="G1122" t="s">
        <v>22</v>
      </c>
      <c r="H1122">
        <v>3667.22</v>
      </c>
      <c r="I1122">
        <v>1</v>
      </c>
      <c r="J1122">
        <v>3667.22</v>
      </c>
      <c r="K1122">
        <v>1.95</v>
      </c>
    </row>
    <row r="1123" spans="1:11" x14ac:dyDescent="0.35">
      <c r="A1123" s="1">
        <v>45508</v>
      </c>
      <c r="B1123" t="s">
        <v>1172</v>
      </c>
      <c r="C1123" t="s">
        <v>12</v>
      </c>
      <c r="D1123" t="s">
        <v>13</v>
      </c>
      <c r="E1123" t="s">
        <v>14</v>
      </c>
      <c r="F1123" t="s">
        <v>21</v>
      </c>
      <c r="G1123" t="s">
        <v>39</v>
      </c>
      <c r="H1123">
        <v>12425.73</v>
      </c>
      <c r="I1123">
        <v>1</v>
      </c>
      <c r="J1123">
        <v>12425.73</v>
      </c>
      <c r="K1123">
        <v>3.45</v>
      </c>
    </row>
    <row r="1124" spans="1:11" x14ac:dyDescent="0.35">
      <c r="A1124" s="1">
        <v>45508</v>
      </c>
      <c r="B1124" t="s">
        <v>1251</v>
      </c>
      <c r="C1124" t="s">
        <v>47</v>
      </c>
      <c r="D1124" t="s">
        <v>13</v>
      </c>
      <c r="E1124" t="s">
        <v>48</v>
      </c>
      <c r="F1124" t="s">
        <v>15</v>
      </c>
      <c r="G1124" t="s">
        <v>39</v>
      </c>
      <c r="H1124">
        <v>19907.650000000001</v>
      </c>
      <c r="I1124">
        <v>3</v>
      </c>
      <c r="J1124">
        <v>59722.95</v>
      </c>
      <c r="K1124">
        <v>4.47</v>
      </c>
    </row>
    <row r="1125" spans="1:11" x14ac:dyDescent="0.35">
      <c r="A1125" s="1">
        <v>45509</v>
      </c>
      <c r="B1125" t="s">
        <v>1436</v>
      </c>
      <c r="C1125" t="s">
        <v>34</v>
      </c>
      <c r="D1125" t="s">
        <v>13</v>
      </c>
      <c r="E1125" t="s">
        <v>35</v>
      </c>
      <c r="F1125" t="s">
        <v>21</v>
      </c>
      <c r="G1125" t="s">
        <v>39</v>
      </c>
      <c r="H1125">
        <v>303.7</v>
      </c>
      <c r="I1125">
        <v>3</v>
      </c>
      <c r="J1125">
        <v>911.1</v>
      </c>
      <c r="K1125">
        <v>2.83</v>
      </c>
    </row>
    <row r="1126" spans="1:11" x14ac:dyDescent="0.35">
      <c r="A1126" s="1">
        <v>45510</v>
      </c>
      <c r="B1126" t="s">
        <v>372</v>
      </c>
      <c r="C1126" t="s">
        <v>47</v>
      </c>
      <c r="D1126" t="s">
        <v>13</v>
      </c>
      <c r="E1126" t="s">
        <v>48</v>
      </c>
      <c r="F1126" t="s">
        <v>21</v>
      </c>
      <c r="G1126" t="s">
        <v>60</v>
      </c>
      <c r="H1126">
        <v>17969.12</v>
      </c>
      <c r="I1126">
        <v>5</v>
      </c>
      <c r="J1126">
        <v>89845.6</v>
      </c>
      <c r="K1126">
        <v>2.46</v>
      </c>
    </row>
    <row r="1127" spans="1:11" x14ac:dyDescent="0.35">
      <c r="A1127" s="1">
        <v>45510</v>
      </c>
      <c r="B1127" t="s">
        <v>870</v>
      </c>
      <c r="C1127" t="s">
        <v>34</v>
      </c>
      <c r="D1127" t="s">
        <v>13</v>
      </c>
      <c r="E1127" t="s">
        <v>35</v>
      </c>
      <c r="F1127" t="s">
        <v>45</v>
      </c>
      <c r="G1127" t="s">
        <v>32</v>
      </c>
      <c r="H1127">
        <v>9293.92</v>
      </c>
      <c r="I1127">
        <v>3</v>
      </c>
      <c r="J1127">
        <v>27881.759999999998</v>
      </c>
      <c r="K1127">
        <v>3.21</v>
      </c>
    </row>
    <row r="1128" spans="1:11" x14ac:dyDescent="0.35">
      <c r="A1128" s="1">
        <v>45510</v>
      </c>
      <c r="B1128" t="s">
        <v>1110</v>
      </c>
      <c r="C1128" t="s">
        <v>47</v>
      </c>
      <c r="D1128" t="s">
        <v>13</v>
      </c>
      <c r="E1128" t="s">
        <v>48</v>
      </c>
      <c r="F1128" t="s">
        <v>45</v>
      </c>
      <c r="G1128" t="s">
        <v>60</v>
      </c>
      <c r="H1128">
        <v>11093.95</v>
      </c>
      <c r="I1128">
        <v>3</v>
      </c>
      <c r="J1128">
        <v>33281.85</v>
      </c>
      <c r="K1128">
        <v>3.53</v>
      </c>
    </row>
    <row r="1129" spans="1:11" x14ac:dyDescent="0.35">
      <c r="A1129" s="1">
        <v>45510</v>
      </c>
      <c r="B1129" t="s">
        <v>1750</v>
      </c>
      <c r="C1129" t="s">
        <v>47</v>
      </c>
      <c r="D1129" t="s">
        <v>13</v>
      </c>
      <c r="E1129" t="s">
        <v>48</v>
      </c>
      <c r="F1129" t="s">
        <v>15</v>
      </c>
      <c r="G1129" t="s">
        <v>32</v>
      </c>
      <c r="H1129">
        <v>2938.5</v>
      </c>
      <c r="I1129">
        <v>4</v>
      </c>
      <c r="J1129">
        <v>11754</v>
      </c>
      <c r="K1129">
        <v>3.72</v>
      </c>
    </row>
    <row r="1130" spans="1:11" x14ac:dyDescent="0.35">
      <c r="A1130" s="1">
        <v>45512</v>
      </c>
      <c r="B1130" t="s">
        <v>1135</v>
      </c>
      <c r="C1130" t="s">
        <v>12</v>
      </c>
      <c r="D1130" t="s">
        <v>13</v>
      </c>
      <c r="E1130" t="s">
        <v>14</v>
      </c>
      <c r="F1130" t="s">
        <v>45</v>
      </c>
      <c r="G1130" t="s">
        <v>60</v>
      </c>
      <c r="H1130">
        <v>2559.91</v>
      </c>
      <c r="I1130">
        <v>2</v>
      </c>
      <c r="J1130">
        <v>5119.82</v>
      </c>
      <c r="K1130">
        <v>2.1</v>
      </c>
    </row>
    <row r="1131" spans="1:11" x14ac:dyDescent="0.35">
      <c r="A1131" s="1">
        <v>45512</v>
      </c>
      <c r="B1131" t="s">
        <v>1221</v>
      </c>
      <c r="C1131" t="s">
        <v>47</v>
      </c>
      <c r="D1131" t="s">
        <v>13</v>
      </c>
      <c r="E1131" t="s">
        <v>48</v>
      </c>
      <c r="F1131" t="s">
        <v>45</v>
      </c>
      <c r="G1131" t="s">
        <v>32</v>
      </c>
      <c r="H1131">
        <v>3530.51</v>
      </c>
      <c r="I1131">
        <v>5</v>
      </c>
      <c r="J1131">
        <v>17652.55</v>
      </c>
      <c r="K1131">
        <v>3.61</v>
      </c>
    </row>
    <row r="1132" spans="1:11" x14ac:dyDescent="0.35">
      <c r="A1132" s="1">
        <v>45513</v>
      </c>
      <c r="B1132" t="s">
        <v>1358</v>
      </c>
      <c r="C1132" t="s">
        <v>12</v>
      </c>
      <c r="D1132" t="s">
        <v>13</v>
      </c>
      <c r="E1132" t="s">
        <v>14</v>
      </c>
      <c r="F1132" t="s">
        <v>21</v>
      </c>
      <c r="G1132" t="s">
        <v>27</v>
      </c>
      <c r="H1132">
        <v>15753.99</v>
      </c>
      <c r="I1132">
        <v>5</v>
      </c>
      <c r="J1132">
        <v>78769.95</v>
      </c>
      <c r="K1132">
        <v>2.29</v>
      </c>
    </row>
    <row r="1133" spans="1:11" x14ac:dyDescent="0.35">
      <c r="A1133" s="1">
        <v>45513</v>
      </c>
      <c r="B1133" t="s">
        <v>1434</v>
      </c>
      <c r="C1133" t="s">
        <v>34</v>
      </c>
      <c r="D1133" t="s">
        <v>13</v>
      </c>
      <c r="E1133" t="s">
        <v>35</v>
      </c>
      <c r="F1133" t="s">
        <v>45</v>
      </c>
      <c r="G1133" t="s">
        <v>39</v>
      </c>
      <c r="H1133">
        <v>10519.64</v>
      </c>
      <c r="I1133">
        <v>2</v>
      </c>
      <c r="J1133">
        <v>21039.279999999999</v>
      </c>
      <c r="K1133">
        <v>3.45</v>
      </c>
    </row>
    <row r="1134" spans="1:11" x14ac:dyDescent="0.35">
      <c r="A1134" s="1">
        <v>45514</v>
      </c>
      <c r="B1134" t="s">
        <v>152</v>
      </c>
      <c r="C1134" t="s">
        <v>12</v>
      </c>
      <c r="D1134" t="s">
        <v>13</v>
      </c>
      <c r="E1134" t="s">
        <v>14</v>
      </c>
      <c r="F1134" t="s">
        <v>15</v>
      </c>
      <c r="G1134" t="s">
        <v>16</v>
      </c>
      <c r="H1134">
        <v>8125.12</v>
      </c>
      <c r="I1134">
        <v>1</v>
      </c>
      <c r="J1134">
        <v>8125.12</v>
      </c>
      <c r="K1134">
        <v>1.71</v>
      </c>
    </row>
    <row r="1135" spans="1:11" x14ac:dyDescent="0.35">
      <c r="A1135" s="1">
        <v>45515</v>
      </c>
      <c r="B1135" t="s">
        <v>1426</v>
      </c>
      <c r="C1135" t="s">
        <v>34</v>
      </c>
      <c r="D1135" t="s">
        <v>13</v>
      </c>
      <c r="E1135" t="s">
        <v>35</v>
      </c>
      <c r="F1135" t="s">
        <v>15</v>
      </c>
      <c r="G1135" t="s">
        <v>22</v>
      </c>
      <c r="H1135">
        <v>10624.55</v>
      </c>
      <c r="I1135">
        <v>2</v>
      </c>
      <c r="J1135">
        <v>21249.1</v>
      </c>
      <c r="K1135">
        <v>1.29</v>
      </c>
    </row>
    <row r="1136" spans="1:11" x14ac:dyDescent="0.35">
      <c r="A1136" s="1">
        <v>45515</v>
      </c>
      <c r="B1136" t="s">
        <v>1993</v>
      </c>
      <c r="C1136" t="s">
        <v>47</v>
      </c>
      <c r="D1136" t="s">
        <v>13</v>
      </c>
      <c r="E1136" t="s">
        <v>48</v>
      </c>
      <c r="F1136" t="s">
        <v>15</v>
      </c>
      <c r="G1136" t="s">
        <v>39</v>
      </c>
      <c r="H1136">
        <v>18691.43</v>
      </c>
      <c r="I1136">
        <v>3</v>
      </c>
      <c r="J1136">
        <v>56074.29</v>
      </c>
      <c r="K1136">
        <v>2.19</v>
      </c>
    </row>
    <row r="1137" spans="1:11" x14ac:dyDescent="0.35">
      <c r="A1137" s="1">
        <v>45516</v>
      </c>
      <c r="B1137" t="s">
        <v>302</v>
      </c>
      <c r="C1137" t="s">
        <v>12</v>
      </c>
      <c r="D1137" t="s">
        <v>13</v>
      </c>
      <c r="E1137" t="s">
        <v>14</v>
      </c>
      <c r="F1137" t="s">
        <v>15</v>
      </c>
      <c r="G1137" t="s">
        <v>39</v>
      </c>
      <c r="H1137">
        <v>9011.19</v>
      </c>
      <c r="I1137">
        <v>5</v>
      </c>
      <c r="J1137">
        <v>45055.95</v>
      </c>
      <c r="K1137">
        <v>1.99</v>
      </c>
    </row>
    <row r="1138" spans="1:11" x14ac:dyDescent="0.35">
      <c r="A1138" s="1">
        <v>45516</v>
      </c>
      <c r="B1138" t="s">
        <v>1181</v>
      </c>
      <c r="C1138" t="s">
        <v>12</v>
      </c>
      <c r="D1138" t="s">
        <v>13</v>
      </c>
      <c r="E1138" t="s">
        <v>14</v>
      </c>
      <c r="F1138" t="s">
        <v>21</v>
      </c>
      <c r="G1138" t="s">
        <v>60</v>
      </c>
      <c r="H1138">
        <v>15695.77</v>
      </c>
      <c r="I1138">
        <v>2</v>
      </c>
      <c r="J1138">
        <v>31391.54</v>
      </c>
      <c r="K1138">
        <v>2.83</v>
      </c>
    </row>
    <row r="1139" spans="1:11" x14ac:dyDescent="0.35">
      <c r="A1139" s="1">
        <v>45517</v>
      </c>
      <c r="B1139" t="s">
        <v>889</v>
      </c>
      <c r="C1139" t="s">
        <v>47</v>
      </c>
      <c r="D1139" t="s">
        <v>13</v>
      </c>
      <c r="E1139" t="s">
        <v>48</v>
      </c>
      <c r="F1139" t="s">
        <v>15</v>
      </c>
      <c r="G1139" t="s">
        <v>60</v>
      </c>
      <c r="H1139">
        <v>4792.21</v>
      </c>
      <c r="I1139">
        <v>3</v>
      </c>
      <c r="J1139">
        <v>14376.63</v>
      </c>
      <c r="K1139">
        <v>3.71</v>
      </c>
    </row>
    <row r="1140" spans="1:11" x14ac:dyDescent="0.35">
      <c r="A1140" s="1">
        <v>45518</v>
      </c>
      <c r="B1140" t="s">
        <v>542</v>
      </c>
      <c r="C1140" t="s">
        <v>47</v>
      </c>
      <c r="D1140" t="s">
        <v>13</v>
      </c>
      <c r="E1140" t="s">
        <v>48</v>
      </c>
      <c r="F1140" t="s">
        <v>21</v>
      </c>
      <c r="G1140" t="s">
        <v>39</v>
      </c>
      <c r="H1140">
        <v>4605.92</v>
      </c>
      <c r="I1140">
        <v>3</v>
      </c>
      <c r="J1140">
        <v>13817.76</v>
      </c>
      <c r="K1140">
        <v>3.55</v>
      </c>
    </row>
    <row r="1141" spans="1:11" x14ac:dyDescent="0.35">
      <c r="A1141" s="1">
        <v>45520</v>
      </c>
      <c r="B1141" t="s">
        <v>1862</v>
      </c>
      <c r="C1141" t="s">
        <v>12</v>
      </c>
      <c r="D1141" t="s">
        <v>13</v>
      </c>
      <c r="E1141" t="s">
        <v>14</v>
      </c>
      <c r="F1141" t="s">
        <v>15</v>
      </c>
      <c r="G1141" t="s">
        <v>22</v>
      </c>
      <c r="H1141">
        <v>9184.44</v>
      </c>
      <c r="I1141">
        <v>4</v>
      </c>
      <c r="J1141">
        <v>36737.760000000002</v>
      </c>
      <c r="K1141">
        <v>2.14</v>
      </c>
    </row>
    <row r="1142" spans="1:11" x14ac:dyDescent="0.35">
      <c r="A1142" s="1">
        <v>45523</v>
      </c>
      <c r="B1142" t="s">
        <v>376</v>
      </c>
      <c r="C1142" t="s">
        <v>34</v>
      </c>
      <c r="D1142" t="s">
        <v>13</v>
      </c>
      <c r="E1142" t="s">
        <v>35</v>
      </c>
      <c r="F1142" t="s">
        <v>15</v>
      </c>
      <c r="G1142" t="s">
        <v>60</v>
      </c>
      <c r="H1142">
        <v>6392.7</v>
      </c>
      <c r="I1142">
        <v>3</v>
      </c>
      <c r="J1142">
        <v>19178.099999999999</v>
      </c>
      <c r="K1142">
        <v>1.1599999999999999</v>
      </c>
    </row>
    <row r="1143" spans="1:11" x14ac:dyDescent="0.35">
      <c r="A1143" s="1">
        <v>45524</v>
      </c>
      <c r="B1143" t="s">
        <v>207</v>
      </c>
      <c r="C1143" t="s">
        <v>12</v>
      </c>
      <c r="D1143" t="s">
        <v>13</v>
      </c>
      <c r="E1143" t="s">
        <v>14</v>
      </c>
      <c r="F1143" t="s">
        <v>45</v>
      </c>
      <c r="G1143" t="s">
        <v>32</v>
      </c>
      <c r="H1143">
        <v>4144.58</v>
      </c>
      <c r="I1143">
        <v>1</v>
      </c>
      <c r="J1143">
        <v>4144.58</v>
      </c>
      <c r="K1143">
        <v>3.97</v>
      </c>
    </row>
    <row r="1144" spans="1:11" x14ac:dyDescent="0.35">
      <c r="A1144" s="1">
        <v>45524</v>
      </c>
      <c r="B1144" t="s">
        <v>1551</v>
      </c>
      <c r="C1144" t="s">
        <v>47</v>
      </c>
      <c r="D1144" t="s">
        <v>13</v>
      </c>
      <c r="E1144" t="s">
        <v>48</v>
      </c>
      <c r="F1144" t="s">
        <v>21</v>
      </c>
      <c r="G1144" t="s">
        <v>22</v>
      </c>
      <c r="H1144">
        <v>12167.55</v>
      </c>
      <c r="I1144">
        <v>4</v>
      </c>
      <c r="J1144">
        <v>48670.2</v>
      </c>
      <c r="K1144">
        <v>1.41</v>
      </c>
    </row>
    <row r="1145" spans="1:11" x14ac:dyDescent="0.35">
      <c r="A1145" s="1">
        <v>45524</v>
      </c>
      <c r="B1145" t="s">
        <v>1589</v>
      </c>
      <c r="C1145" t="s">
        <v>47</v>
      </c>
      <c r="D1145" t="s">
        <v>13</v>
      </c>
      <c r="E1145" t="s">
        <v>48</v>
      </c>
      <c r="F1145" t="s">
        <v>15</v>
      </c>
      <c r="G1145" t="s">
        <v>27</v>
      </c>
      <c r="H1145">
        <v>5535.59</v>
      </c>
      <c r="I1145">
        <v>5</v>
      </c>
      <c r="J1145">
        <v>27677.95</v>
      </c>
      <c r="K1145">
        <v>4.24</v>
      </c>
    </row>
    <row r="1146" spans="1:11" x14ac:dyDescent="0.35">
      <c r="A1146" s="1">
        <v>45525</v>
      </c>
      <c r="B1146" t="s">
        <v>432</v>
      </c>
      <c r="C1146" t="s">
        <v>47</v>
      </c>
      <c r="D1146" t="s">
        <v>13</v>
      </c>
      <c r="E1146" t="s">
        <v>48</v>
      </c>
      <c r="F1146" t="s">
        <v>15</v>
      </c>
      <c r="G1146" t="s">
        <v>39</v>
      </c>
      <c r="H1146">
        <v>15133.89</v>
      </c>
      <c r="I1146">
        <v>2</v>
      </c>
      <c r="J1146">
        <v>30267.78</v>
      </c>
      <c r="K1146">
        <v>1.62</v>
      </c>
    </row>
    <row r="1147" spans="1:11" x14ac:dyDescent="0.35">
      <c r="A1147" s="1">
        <v>45525</v>
      </c>
      <c r="B1147" t="s">
        <v>802</v>
      </c>
      <c r="C1147" t="s">
        <v>12</v>
      </c>
      <c r="D1147" t="s">
        <v>13</v>
      </c>
      <c r="E1147" t="s">
        <v>14</v>
      </c>
      <c r="F1147" t="s">
        <v>21</v>
      </c>
      <c r="G1147" t="s">
        <v>60</v>
      </c>
      <c r="H1147">
        <v>18419.73</v>
      </c>
      <c r="I1147">
        <v>3</v>
      </c>
      <c r="J1147">
        <v>55259.19</v>
      </c>
      <c r="K1147">
        <v>3.13</v>
      </c>
    </row>
    <row r="1148" spans="1:11" x14ac:dyDescent="0.35">
      <c r="A1148" s="1">
        <v>45525</v>
      </c>
      <c r="B1148" t="s">
        <v>912</v>
      </c>
      <c r="C1148" t="s">
        <v>47</v>
      </c>
      <c r="D1148" t="s">
        <v>13</v>
      </c>
      <c r="E1148" t="s">
        <v>48</v>
      </c>
      <c r="F1148" t="s">
        <v>21</v>
      </c>
      <c r="G1148" t="s">
        <v>27</v>
      </c>
      <c r="H1148">
        <v>18330.990000000002</v>
      </c>
      <c r="I1148">
        <v>4</v>
      </c>
      <c r="J1148">
        <v>73323.960000000006</v>
      </c>
      <c r="K1148">
        <v>2.34</v>
      </c>
    </row>
    <row r="1149" spans="1:11" x14ac:dyDescent="0.35">
      <c r="A1149" s="1">
        <v>45525</v>
      </c>
      <c r="B1149" t="s">
        <v>1185</v>
      </c>
      <c r="C1149" t="s">
        <v>47</v>
      </c>
      <c r="D1149" t="s">
        <v>13</v>
      </c>
      <c r="E1149" t="s">
        <v>48</v>
      </c>
      <c r="F1149" t="s">
        <v>21</v>
      </c>
      <c r="G1149" t="s">
        <v>32</v>
      </c>
      <c r="H1149">
        <v>338.91</v>
      </c>
      <c r="I1149">
        <v>5</v>
      </c>
      <c r="J1149">
        <v>1694.55</v>
      </c>
      <c r="K1149">
        <v>3.62</v>
      </c>
    </row>
    <row r="1150" spans="1:11" x14ac:dyDescent="0.35">
      <c r="A1150" s="1">
        <v>45526</v>
      </c>
      <c r="B1150" t="s">
        <v>192</v>
      </c>
      <c r="C1150" t="s">
        <v>47</v>
      </c>
      <c r="D1150" t="s">
        <v>13</v>
      </c>
      <c r="E1150" t="s">
        <v>48</v>
      </c>
      <c r="F1150" t="s">
        <v>15</v>
      </c>
      <c r="G1150" t="s">
        <v>16</v>
      </c>
      <c r="H1150">
        <v>15019.37</v>
      </c>
      <c r="I1150">
        <v>1</v>
      </c>
      <c r="J1150">
        <v>15019.37</v>
      </c>
      <c r="K1150">
        <v>4.7</v>
      </c>
    </row>
    <row r="1151" spans="1:11" x14ac:dyDescent="0.35">
      <c r="A1151" s="1">
        <v>45526</v>
      </c>
      <c r="B1151" t="s">
        <v>587</v>
      </c>
      <c r="C1151" t="s">
        <v>34</v>
      </c>
      <c r="D1151" t="s">
        <v>13</v>
      </c>
      <c r="E1151" t="s">
        <v>35</v>
      </c>
      <c r="F1151" t="s">
        <v>15</v>
      </c>
      <c r="G1151" t="s">
        <v>60</v>
      </c>
      <c r="H1151">
        <v>4444.1499999999996</v>
      </c>
      <c r="I1151">
        <v>2</v>
      </c>
      <c r="J1151">
        <v>8888.2999999999993</v>
      </c>
      <c r="K1151">
        <v>3.36</v>
      </c>
    </row>
    <row r="1152" spans="1:11" x14ac:dyDescent="0.35">
      <c r="A1152" s="1">
        <v>45526</v>
      </c>
      <c r="B1152" t="s">
        <v>1443</v>
      </c>
      <c r="C1152" t="s">
        <v>12</v>
      </c>
      <c r="D1152" t="s">
        <v>13</v>
      </c>
      <c r="E1152" t="s">
        <v>14</v>
      </c>
      <c r="F1152" t="s">
        <v>15</v>
      </c>
      <c r="G1152" t="s">
        <v>16</v>
      </c>
      <c r="H1152">
        <v>14460.59</v>
      </c>
      <c r="I1152">
        <v>5</v>
      </c>
      <c r="J1152">
        <v>72302.95</v>
      </c>
      <c r="K1152">
        <v>2.5499999999999998</v>
      </c>
    </row>
    <row r="1153" spans="1:11" x14ac:dyDescent="0.35">
      <c r="A1153" s="1">
        <v>45527</v>
      </c>
      <c r="B1153" t="s">
        <v>257</v>
      </c>
      <c r="C1153" t="s">
        <v>34</v>
      </c>
      <c r="D1153" t="s">
        <v>13</v>
      </c>
      <c r="E1153" t="s">
        <v>35</v>
      </c>
      <c r="F1153" t="s">
        <v>15</v>
      </c>
      <c r="G1153" t="s">
        <v>22</v>
      </c>
      <c r="H1153">
        <v>15258.29</v>
      </c>
      <c r="I1153">
        <v>1</v>
      </c>
      <c r="J1153">
        <v>15258.29</v>
      </c>
      <c r="K1153">
        <v>3.74</v>
      </c>
    </row>
    <row r="1154" spans="1:11" x14ac:dyDescent="0.35">
      <c r="A1154" s="1">
        <v>45527</v>
      </c>
      <c r="B1154" t="s">
        <v>593</v>
      </c>
      <c r="C1154" t="s">
        <v>47</v>
      </c>
      <c r="D1154" t="s">
        <v>13</v>
      </c>
      <c r="E1154" t="s">
        <v>48</v>
      </c>
      <c r="F1154" t="s">
        <v>15</v>
      </c>
      <c r="G1154" t="s">
        <v>16</v>
      </c>
      <c r="H1154">
        <v>13880.93</v>
      </c>
      <c r="I1154">
        <v>3</v>
      </c>
      <c r="J1154">
        <v>41642.79</v>
      </c>
      <c r="K1154">
        <v>2.21</v>
      </c>
    </row>
    <row r="1155" spans="1:11" x14ac:dyDescent="0.35">
      <c r="A1155" s="1">
        <v>45527</v>
      </c>
      <c r="B1155" t="s">
        <v>900</v>
      </c>
      <c r="C1155" t="s">
        <v>12</v>
      </c>
      <c r="D1155" t="s">
        <v>13</v>
      </c>
      <c r="E1155" t="s">
        <v>14</v>
      </c>
      <c r="F1155" t="s">
        <v>15</v>
      </c>
      <c r="G1155" t="s">
        <v>16</v>
      </c>
      <c r="H1155">
        <v>14694.79</v>
      </c>
      <c r="I1155">
        <v>2</v>
      </c>
      <c r="J1155">
        <v>29389.58</v>
      </c>
      <c r="K1155">
        <v>3.38</v>
      </c>
    </row>
    <row r="1156" spans="1:11" x14ac:dyDescent="0.35">
      <c r="A1156" s="1">
        <v>45528</v>
      </c>
      <c r="B1156" t="s">
        <v>1003</v>
      </c>
      <c r="C1156" t="s">
        <v>34</v>
      </c>
      <c r="D1156" t="s">
        <v>13</v>
      </c>
      <c r="E1156" t="s">
        <v>35</v>
      </c>
      <c r="F1156" t="s">
        <v>15</v>
      </c>
      <c r="G1156" t="s">
        <v>22</v>
      </c>
      <c r="H1156">
        <v>13779.67</v>
      </c>
      <c r="I1156">
        <v>2</v>
      </c>
      <c r="J1156">
        <v>27559.34</v>
      </c>
      <c r="K1156">
        <v>3.51</v>
      </c>
    </row>
    <row r="1157" spans="1:11" x14ac:dyDescent="0.35">
      <c r="A1157" s="1">
        <v>45530</v>
      </c>
      <c r="B1157" t="s">
        <v>1573</v>
      </c>
      <c r="C1157" t="s">
        <v>34</v>
      </c>
      <c r="D1157" t="s">
        <v>13</v>
      </c>
      <c r="E1157" t="s">
        <v>35</v>
      </c>
      <c r="F1157" t="s">
        <v>15</v>
      </c>
      <c r="G1157" t="s">
        <v>22</v>
      </c>
      <c r="H1157">
        <v>8052.27</v>
      </c>
      <c r="I1157">
        <v>2</v>
      </c>
      <c r="J1157">
        <v>16104.54</v>
      </c>
      <c r="K1157">
        <v>1.63</v>
      </c>
    </row>
    <row r="1158" spans="1:11" x14ac:dyDescent="0.35">
      <c r="A1158" s="1">
        <v>45530</v>
      </c>
      <c r="B1158" t="s">
        <v>1728</v>
      </c>
      <c r="C1158" t="s">
        <v>12</v>
      </c>
      <c r="D1158" t="s">
        <v>13</v>
      </c>
      <c r="E1158" t="s">
        <v>14</v>
      </c>
      <c r="F1158" t="s">
        <v>15</v>
      </c>
      <c r="G1158" t="s">
        <v>60</v>
      </c>
      <c r="H1158">
        <v>15507.93</v>
      </c>
      <c r="I1158">
        <v>5</v>
      </c>
      <c r="J1158">
        <v>77539.649999999994</v>
      </c>
      <c r="K1158">
        <v>1.39</v>
      </c>
    </row>
    <row r="1159" spans="1:11" x14ac:dyDescent="0.35">
      <c r="A1159" s="1">
        <v>45531</v>
      </c>
      <c r="B1159" t="s">
        <v>335</v>
      </c>
      <c r="C1159" t="s">
        <v>34</v>
      </c>
      <c r="D1159" t="s">
        <v>13</v>
      </c>
      <c r="E1159" t="s">
        <v>35</v>
      </c>
      <c r="F1159" t="s">
        <v>15</v>
      </c>
      <c r="G1159" t="s">
        <v>39</v>
      </c>
      <c r="H1159">
        <v>16949.919999999998</v>
      </c>
      <c r="I1159">
        <v>5</v>
      </c>
      <c r="J1159">
        <v>84749.6</v>
      </c>
      <c r="K1159">
        <v>4.6100000000000003</v>
      </c>
    </row>
    <row r="1160" spans="1:11" x14ac:dyDescent="0.35">
      <c r="A1160" s="1">
        <v>45532</v>
      </c>
      <c r="B1160" t="s">
        <v>655</v>
      </c>
      <c r="C1160" t="s">
        <v>34</v>
      </c>
      <c r="D1160" t="s">
        <v>13</v>
      </c>
      <c r="E1160" t="s">
        <v>35</v>
      </c>
      <c r="F1160" t="s">
        <v>21</v>
      </c>
      <c r="G1160" t="s">
        <v>22</v>
      </c>
      <c r="H1160">
        <v>1757.45</v>
      </c>
      <c r="I1160">
        <v>4</v>
      </c>
      <c r="J1160">
        <v>7029.8</v>
      </c>
      <c r="K1160">
        <v>3.29</v>
      </c>
    </row>
    <row r="1161" spans="1:11" x14ac:dyDescent="0.35">
      <c r="A1161" s="1">
        <v>45532</v>
      </c>
      <c r="B1161" t="s">
        <v>1600</v>
      </c>
      <c r="C1161" t="s">
        <v>34</v>
      </c>
      <c r="D1161" t="s">
        <v>13</v>
      </c>
      <c r="E1161" t="s">
        <v>35</v>
      </c>
      <c r="F1161" t="s">
        <v>45</v>
      </c>
      <c r="G1161" t="s">
        <v>16</v>
      </c>
      <c r="H1161">
        <v>5777.57</v>
      </c>
      <c r="I1161">
        <v>1</v>
      </c>
      <c r="J1161">
        <v>5777.57</v>
      </c>
      <c r="K1161">
        <v>2.13</v>
      </c>
    </row>
    <row r="1162" spans="1:11" x14ac:dyDescent="0.35">
      <c r="A1162" s="1">
        <v>45532</v>
      </c>
      <c r="B1162" t="s">
        <v>1855</v>
      </c>
      <c r="C1162" t="s">
        <v>34</v>
      </c>
      <c r="D1162" t="s">
        <v>13</v>
      </c>
      <c r="E1162" t="s">
        <v>35</v>
      </c>
      <c r="F1162" t="s">
        <v>45</v>
      </c>
      <c r="G1162" t="s">
        <v>16</v>
      </c>
      <c r="H1162">
        <v>13821.66</v>
      </c>
      <c r="I1162">
        <v>5</v>
      </c>
      <c r="J1162">
        <v>69108.3</v>
      </c>
      <c r="K1162">
        <v>4.24</v>
      </c>
    </row>
    <row r="1163" spans="1:11" x14ac:dyDescent="0.35">
      <c r="A1163" s="1">
        <v>45534</v>
      </c>
      <c r="B1163" t="s">
        <v>114</v>
      </c>
      <c r="C1163" t="s">
        <v>47</v>
      </c>
      <c r="D1163" t="s">
        <v>13</v>
      </c>
      <c r="E1163" t="s">
        <v>48</v>
      </c>
      <c r="F1163" t="s">
        <v>15</v>
      </c>
      <c r="G1163" t="s">
        <v>60</v>
      </c>
      <c r="H1163">
        <v>5338.3</v>
      </c>
      <c r="I1163">
        <v>5</v>
      </c>
      <c r="J1163">
        <v>26691.5</v>
      </c>
      <c r="K1163">
        <v>2.98</v>
      </c>
    </row>
    <row r="1164" spans="1:11" x14ac:dyDescent="0.35">
      <c r="A1164" s="1">
        <v>45534</v>
      </c>
      <c r="B1164" t="s">
        <v>618</v>
      </c>
      <c r="C1164" t="s">
        <v>47</v>
      </c>
      <c r="D1164" t="s">
        <v>13</v>
      </c>
      <c r="E1164" t="s">
        <v>48</v>
      </c>
      <c r="F1164" t="s">
        <v>15</v>
      </c>
      <c r="G1164" t="s">
        <v>39</v>
      </c>
      <c r="H1164">
        <v>4543.82</v>
      </c>
      <c r="I1164">
        <v>4</v>
      </c>
      <c r="J1164">
        <v>18175.28</v>
      </c>
      <c r="K1164">
        <v>2.15</v>
      </c>
    </row>
    <row r="1165" spans="1:11" x14ac:dyDescent="0.35">
      <c r="A1165" s="1">
        <v>45536</v>
      </c>
      <c r="B1165" t="s">
        <v>924</v>
      </c>
      <c r="C1165" t="s">
        <v>12</v>
      </c>
      <c r="D1165" t="s">
        <v>13</v>
      </c>
      <c r="E1165" t="s">
        <v>14</v>
      </c>
      <c r="F1165" t="s">
        <v>45</v>
      </c>
      <c r="G1165" t="s">
        <v>16</v>
      </c>
      <c r="H1165">
        <v>17078.68</v>
      </c>
      <c r="I1165">
        <v>2</v>
      </c>
      <c r="J1165">
        <v>34157.360000000001</v>
      </c>
      <c r="K1165">
        <v>3.8</v>
      </c>
    </row>
    <row r="1166" spans="1:11" x14ac:dyDescent="0.35">
      <c r="A1166" s="1">
        <v>45536</v>
      </c>
      <c r="B1166" t="s">
        <v>1293</v>
      </c>
      <c r="C1166" t="s">
        <v>12</v>
      </c>
      <c r="D1166" t="s">
        <v>13</v>
      </c>
      <c r="E1166" t="s">
        <v>14</v>
      </c>
      <c r="F1166" t="s">
        <v>21</v>
      </c>
      <c r="G1166" t="s">
        <v>27</v>
      </c>
      <c r="H1166">
        <v>7950.16</v>
      </c>
      <c r="I1166">
        <v>4</v>
      </c>
      <c r="J1166">
        <v>31800.639999999999</v>
      </c>
      <c r="K1166">
        <v>1.53</v>
      </c>
    </row>
    <row r="1167" spans="1:11" x14ac:dyDescent="0.35">
      <c r="A1167" s="1">
        <v>45537</v>
      </c>
      <c r="B1167" t="s">
        <v>356</v>
      </c>
      <c r="C1167" t="s">
        <v>34</v>
      </c>
      <c r="D1167" t="s">
        <v>13</v>
      </c>
      <c r="E1167" t="s">
        <v>35</v>
      </c>
      <c r="F1167" t="s">
        <v>45</v>
      </c>
      <c r="G1167" t="s">
        <v>22</v>
      </c>
      <c r="H1167">
        <v>3529.62</v>
      </c>
      <c r="I1167">
        <v>1</v>
      </c>
      <c r="J1167">
        <v>3529.62</v>
      </c>
      <c r="K1167">
        <v>3.73</v>
      </c>
    </row>
    <row r="1168" spans="1:11" x14ac:dyDescent="0.35">
      <c r="A1168" s="1">
        <v>45537</v>
      </c>
      <c r="B1168" t="s">
        <v>1811</v>
      </c>
      <c r="C1168" t="s">
        <v>47</v>
      </c>
      <c r="D1168" t="s">
        <v>13</v>
      </c>
      <c r="E1168" t="s">
        <v>48</v>
      </c>
      <c r="F1168" t="s">
        <v>15</v>
      </c>
      <c r="G1168" t="s">
        <v>27</v>
      </c>
      <c r="H1168">
        <v>14268.9</v>
      </c>
      <c r="I1168">
        <v>3</v>
      </c>
      <c r="J1168">
        <v>42806.7</v>
      </c>
      <c r="K1168">
        <v>4.59</v>
      </c>
    </row>
    <row r="1169" spans="1:11" x14ac:dyDescent="0.35">
      <c r="A1169" s="1">
        <v>45538</v>
      </c>
      <c r="B1169" t="s">
        <v>1119</v>
      </c>
      <c r="C1169" t="s">
        <v>47</v>
      </c>
      <c r="D1169" t="s">
        <v>13</v>
      </c>
      <c r="E1169" t="s">
        <v>48</v>
      </c>
      <c r="F1169" t="s">
        <v>15</v>
      </c>
      <c r="G1169" t="s">
        <v>27</v>
      </c>
      <c r="H1169">
        <v>19963.439999999999</v>
      </c>
      <c r="I1169">
        <v>1</v>
      </c>
      <c r="J1169">
        <v>19963.439999999999</v>
      </c>
      <c r="K1169">
        <v>1.96</v>
      </c>
    </row>
    <row r="1170" spans="1:11" x14ac:dyDescent="0.35">
      <c r="A1170" s="1">
        <v>45538</v>
      </c>
      <c r="B1170" t="s">
        <v>2000</v>
      </c>
      <c r="C1170" t="s">
        <v>12</v>
      </c>
      <c r="D1170" t="s">
        <v>13</v>
      </c>
      <c r="E1170" t="s">
        <v>14</v>
      </c>
      <c r="F1170" t="s">
        <v>15</v>
      </c>
      <c r="G1170" t="s">
        <v>22</v>
      </c>
      <c r="H1170">
        <v>9401.11</v>
      </c>
      <c r="I1170">
        <v>4</v>
      </c>
      <c r="J1170">
        <v>37604.44</v>
      </c>
      <c r="K1170">
        <v>1.1599999999999999</v>
      </c>
    </row>
    <row r="1171" spans="1:11" x14ac:dyDescent="0.35">
      <c r="A1171" s="1">
        <v>45539</v>
      </c>
      <c r="B1171" t="s">
        <v>329</v>
      </c>
      <c r="C1171" t="s">
        <v>34</v>
      </c>
      <c r="D1171" t="s">
        <v>13</v>
      </c>
      <c r="E1171" t="s">
        <v>35</v>
      </c>
      <c r="F1171" t="s">
        <v>15</v>
      </c>
      <c r="G1171" t="s">
        <v>16</v>
      </c>
      <c r="H1171">
        <v>12262.74</v>
      </c>
      <c r="I1171">
        <v>3</v>
      </c>
      <c r="J1171">
        <v>36788.22</v>
      </c>
      <c r="K1171">
        <v>4.03</v>
      </c>
    </row>
    <row r="1172" spans="1:11" x14ac:dyDescent="0.35">
      <c r="A1172" s="1">
        <v>45539</v>
      </c>
      <c r="B1172" t="s">
        <v>509</v>
      </c>
      <c r="C1172" t="s">
        <v>12</v>
      </c>
      <c r="D1172" t="s">
        <v>13</v>
      </c>
      <c r="E1172" t="s">
        <v>14</v>
      </c>
      <c r="F1172" t="s">
        <v>45</v>
      </c>
      <c r="G1172" t="s">
        <v>32</v>
      </c>
      <c r="H1172">
        <v>10671.95</v>
      </c>
      <c r="I1172">
        <v>2</v>
      </c>
      <c r="J1172">
        <v>21343.9</v>
      </c>
      <c r="K1172">
        <v>4.97</v>
      </c>
    </row>
    <row r="1173" spans="1:11" x14ac:dyDescent="0.35">
      <c r="A1173" s="1">
        <v>45539</v>
      </c>
      <c r="B1173" t="s">
        <v>1909</v>
      </c>
      <c r="C1173" t="s">
        <v>47</v>
      </c>
      <c r="D1173" t="s">
        <v>13</v>
      </c>
      <c r="E1173" t="s">
        <v>48</v>
      </c>
      <c r="F1173" t="s">
        <v>21</v>
      </c>
      <c r="G1173" t="s">
        <v>39</v>
      </c>
      <c r="H1173">
        <v>10980.91</v>
      </c>
      <c r="I1173">
        <v>4</v>
      </c>
      <c r="J1173">
        <v>43923.64</v>
      </c>
      <c r="K1173">
        <v>1.7</v>
      </c>
    </row>
    <row r="1174" spans="1:11" x14ac:dyDescent="0.35">
      <c r="A1174" s="1">
        <v>45539</v>
      </c>
      <c r="B1174" t="s">
        <v>1977</v>
      </c>
      <c r="C1174" t="s">
        <v>47</v>
      </c>
      <c r="D1174" t="s">
        <v>13</v>
      </c>
      <c r="E1174" t="s">
        <v>48</v>
      </c>
      <c r="F1174" t="s">
        <v>21</v>
      </c>
      <c r="G1174" t="s">
        <v>27</v>
      </c>
      <c r="H1174">
        <v>13650.47</v>
      </c>
      <c r="I1174">
        <v>1</v>
      </c>
      <c r="J1174">
        <v>13650.47</v>
      </c>
      <c r="K1174">
        <v>1.79</v>
      </c>
    </row>
    <row r="1175" spans="1:11" x14ac:dyDescent="0.35">
      <c r="A1175" s="1">
        <v>45540</v>
      </c>
      <c r="B1175" t="s">
        <v>80</v>
      </c>
      <c r="C1175" t="s">
        <v>34</v>
      </c>
      <c r="D1175" t="s">
        <v>13</v>
      </c>
      <c r="E1175" t="s">
        <v>35</v>
      </c>
      <c r="F1175" t="s">
        <v>15</v>
      </c>
      <c r="G1175" t="s">
        <v>16</v>
      </c>
      <c r="H1175">
        <v>19025.22</v>
      </c>
      <c r="I1175">
        <v>2</v>
      </c>
      <c r="J1175">
        <v>38050.44</v>
      </c>
      <c r="K1175">
        <v>1.07</v>
      </c>
    </row>
    <row r="1176" spans="1:11" x14ac:dyDescent="0.35">
      <c r="A1176" s="1">
        <v>45540</v>
      </c>
      <c r="B1176" t="s">
        <v>459</v>
      </c>
      <c r="C1176" t="s">
        <v>47</v>
      </c>
      <c r="D1176" t="s">
        <v>13</v>
      </c>
      <c r="E1176" t="s">
        <v>48</v>
      </c>
      <c r="F1176" t="s">
        <v>21</v>
      </c>
      <c r="G1176" t="s">
        <v>22</v>
      </c>
      <c r="H1176">
        <v>4908</v>
      </c>
      <c r="I1176">
        <v>5</v>
      </c>
      <c r="J1176">
        <v>24540</v>
      </c>
      <c r="K1176">
        <v>2.5499999999999998</v>
      </c>
    </row>
    <row r="1177" spans="1:11" x14ac:dyDescent="0.35">
      <c r="A1177" s="1">
        <v>45541</v>
      </c>
      <c r="B1177" t="s">
        <v>426</v>
      </c>
      <c r="C1177" t="s">
        <v>47</v>
      </c>
      <c r="D1177" t="s">
        <v>13</v>
      </c>
      <c r="E1177" t="s">
        <v>48</v>
      </c>
      <c r="F1177" t="s">
        <v>15</v>
      </c>
      <c r="G1177" t="s">
        <v>32</v>
      </c>
      <c r="H1177">
        <v>9957.56</v>
      </c>
      <c r="I1177">
        <v>1</v>
      </c>
      <c r="J1177">
        <v>9957.56</v>
      </c>
      <c r="K1177">
        <v>1.6</v>
      </c>
    </row>
    <row r="1178" spans="1:11" x14ac:dyDescent="0.35">
      <c r="A1178" s="1">
        <v>45541</v>
      </c>
      <c r="B1178" t="s">
        <v>1427</v>
      </c>
      <c r="C1178" t="s">
        <v>34</v>
      </c>
      <c r="D1178" t="s">
        <v>13</v>
      </c>
      <c r="E1178" t="s">
        <v>35</v>
      </c>
      <c r="F1178" t="s">
        <v>21</v>
      </c>
      <c r="G1178" t="s">
        <v>16</v>
      </c>
      <c r="H1178">
        <v>8295.5</v>
      </c>
      <c r="I1178">
        <v>4</v>
      </c>
      <c r="J1178">
        <v>33182</v>
      </c>
      <c r="K1178">
        <v>2.0299999999999998</v>
      </c>
    </row>
    <row r="1179" spans="1:11" x14ac:dyDescent="0.35">
      <c r="A1179" s="1">
        <v>45542</v>
      </c>
      <c r="B1179" t="s">
        <v>74</v>
      </c>
      <c r="C1179" t="s">
        <v>12</v>
      </c>
      <c r="D1179" t="s">
        <v>13</v>
      </c>
      <c r="E1179" t="s">
        <v>14</v>
      </c>
      <c r="F1179" t="s">
        <v>21</v>
      </c>
      <c r="G1179" t="s">
        <v>60</v>
      </c>
      <c r="H1179">
        <v>6584.51</v>
      </c>
      <c r="I1179">
        <v>3</v>
      </c>
      <c r="J1179">
        <v>19753.53</v>
      </c>
      <c r="K1179">
        <v>1.02</v>
      </c>
    </row>
    <row r="1180" spans="1:11" x14ac:dyDescent="0.35">
      <c r="A1180" s="1">
        <v>45542</v>
      </c>
      <c r="B1180" t="s">
        <v>378</v>
      </c>
      <c r="C1180" t="s">
        <v>47</v>
      </c>
      <c r="D1180" t="s">
        <v>13</v>
      </c>
      <c r="E1180" t="s">
        <v>48</v>
      </c>
      <c r="F1180" t="s">
        <v>15</v>
      </c>
      <c r="G1180" t="s">
        <v>60</v>
      </c>
      <c r="H1180">
        <v>719.86</v>
      </c>
      <c r="I1180">
        <v>3</v>
      </c>
      <c r="J1180">
        <v>2159.58</v>
      </c>
      <c r="K1180">
        <v>2.7</v>
      </c>
    </row>
    <row r="1181" spans="1:11" x14ac:dyDescent="0.35">
      <c r="A1181" s="1">
        <v>45542</v>
      </c>
      <c r="B1181" t="s">
        <v>1339</v>
      </c>
      <c r="C1181" t="s">
        <v>12</v>
      </c>
      <c r="D1181" t="s">
        <v>13</v>
      </c>
      <c r="E1181" t="s">
        <v>14</v>
      </c>
      <c r="F1181" t="s">
        <v>21</v>
      </c>
      <c r="G1181" t="s">
        <v>39</v>
      </c>
      <c r="H1181">
        <v>1912.41</v>
      </c>
      <c r="I1181">
        <v>5</v>
      </c>
      <c r="J1181">
        <v>9562.0499999999993</v>
      </c>
      <c r="K1181">
        <v>4.63</v>
      </c>
    </row>
    <row r="1182" spans="1:11" x14ac:dyDescent="0.35">
      <c r="A1182" s="1">
        <v>45543</v>
      </c>
      <c r="B1182" t="s">
        <v>1128</v>
      </c>
      <c r="C1182" t="s">
        <v>34</v>
      </c>
      <c r="D1182" t="s">
        <v>13</v>
      </c>
      <c r="E1182" t="s">
        <v>35</v>
      </c>
      <c r="F1182" t="s">
        <v>45</v>
      </c>
      <c r="G1182" t="s">
        <v>60</v>
      </c>
      <c r="H1182">
        <v>18055.38</v>
      </c>
      <c r="I1182">
        <v>1</v>
      </c>
      <c r="J1182">
        <v>18055.38</v>
      </c>
      <c r="K1182">
        <v>2.2999999999999998</v>
      </c>
    </row>
    <row r="1183" spans="1:11" x14ac:dyDescent="0.35">
      <c r="A1183" s="1">
        <v>45543</v>
      </c>
      <c r="B1183" t="s">
        <v>1833</v>
      </c>
      <c r="C1183" t="s">
        <v>12</v>
      </c>
      <c r="D1183" t="s">
        <v>13</v>
      </c>
      <c r="E1183" t="s">
        <v>14</v>
      </c>
      <c r="F1183" t="s">
        <v>21</v>
      </c>
      <c r="G1183" t="s">
        <v>32</v>
      </c>
      <c r="H1183">
        <v>13403.85</v>
      </c>
      <c r="I1183">
        <v>2</v>
      </c>
      <c r="J1183">
        <v>26807.7</v>
      </c>
      <c r="K1183">
        <v>1.43</v>
      </c>
    </row>
    <row r="1184" spans="1:11" x14ac:dyDescent="0.35">
      <c r="A1184" s="1">
        <v>45544</v>
      </c>
      <c r="B1184" t="s">
        <v>259</v>
      </c>
      <c r="C1184" t="s">
        <v>47</v>
      </c>
      <c r="D1184" t="s">
        <v>13</v>
      </c>
      <c r="E1184" t="s">
        <v>48</v>
      </c>
      <c r="F1184" t="s">
        <v>15</v>
      </c>
      <c r="G1184" t="s">
        <v>27</v>
      </c>
      <c r="H1184">
        <v>3720.33</v>
      </c>
      <c r="I1184">
        <v>3</v>
      </c>
      <c r="J1184">
        <v>11160.99</v>
      </c>
      <c r="K1184">
        <v>3.96</v>
      </c>
    </row>
    <row r="1185" spans="1:11" x14ac:dyDescent="0.35">
      <c r="A1185" s="1">
        <v>45544</v>
      </c>
      <c r="B1185" t="s">
        <v>500</v>
      </c>
      <c r="C1185" t="s">
        <v>12</v>
      </c>
      <c r="D1185" t="s">
        <v>13</v>
      </c>
      <c r="E1185" t="s">
        <v>14</v>
      </c>
      <c r="F1185" t="s">
        <v>15</v>
      </c>
      <c r="G1185" t="s">
        <v>27</v>
      </c>
      <c r="H1185">
        <v>12270.86</v>
      </c>
      <c r="I1185">
        <v>3</v>
      </c>
      <c r="J1185">
        <v>36812.58</v>
      </c>
      <c r="K1185">
        <v>2.0699999999999998</v>
      </c>
    </row>
    <row r="1186" spans="1:11" x14ac:dyDescent="0.35">
      <c r="A1186" s="1">
        <v>45544</v>
      </c>
      <c r="B1186" t="s">
        <v>1684</v>
      </c>
      <c r="C1186" t="s">
        <v>12</v>
      </c>
      <c r="D1186" t="s">
        <v>13</v>
      </c>
      <c r="E1186" t="s">
        <v>14</v>
      </c>
      <c r="F1186" t="s">
        <v>15</v>
      </c>
      <c r="G1186" t="s">
        <v>39</v>
      </c>
      <c r="H1186">
        <v>11262.2</v>
      </c>
      <c r="I1186">
        <v>4</v>
      </c>
      <c r="J1186">
        <v>45048.800000000003</v>
      </c>
      <c r="K1186">
        <v>3.57</v>
      </c>
    </row>
    <row r="1187" spans="1:11" x14ac:dyDescent="0.35">
      <c r="A1187" s="1">
        <v>45544</v>
      </c>
      <c r="B1187" t="s">
        <v>1812</v>
      </c>
      <c r="C1187" t="s">
        <v>34</v>
      </c>
      <c r="D1187" t="s">
        <v>13</v>
      </c>
      <c r="E1187" t="s">
        <v>35</v>
      </c>
      <c r="F1187" t="s">
        <v>15</v>
      </c>
      <c r="G1187" t="s">
        <v>22</v>
      </c>
      <c r="H1187">
        <v>7507.56</v>
      </c>
      <c r="I1187">
        <v>5</v>
      </c>
      <c r="J1187">
        <v>37537.800000000003</v>
      </c>
      <c r="K1187">
        <v>2.8</v>
      </c>
    </row>
    <row r="1188" spans="1:11" x14ac:dyDescent="0.35">
      <c r="A1188" s="1">
        <v>45545</v>
      </c>
      <c r="B1188" t="s">
        <v>104</v>
      </c>
      <c r="C1188" t="s">
        <v>34</v>
      </c>
      <c r="D1188" t="s">
        <v>13</v>
      </c>
      <c r="E1188" t="s">
        <v>35</v>
      </c>
      <c r="F1188" t="s">
        <v>15</v>
      </c>
      <c r="G1188" t="s">
        <v>39</v>
      </c>
      <c r="H1188">
        <v>12970.41</v>
      </c>
      <c r="I1188">
        <v>3</v>
      </c>
      <c r="J1188">
        <v>38911.230000000003</v>
      </c>
      <c r="K1188">
        <v>4.71</v>
      </c>
    </row>
    <row r="1189" spans="1:11" x14ac:dyDescent="0.35">
      <c r="A1189" s="1">
        <v>45545</v>
      </c>
      <c r="B1189" t="s">
        <v>458</v>
      </c>
      <c r="C1189" t="s">
        <v>34</v>
      </c>
      <c r="D1189" t="s">
        <v>13</v>
      </c>
      <c r="E1189" t="s">
        <v>35</v>
      </c>
      <c r="F1189" t="s">
        <v>15</v>
      </c>
      <c r="G1189" t="s">
        <v>22</v>
      </c>
      <c r="H1189">
        <v>11087.98</v>
      </c>
      <c r="I1189">
        <v>4</v>
      </c>
      <c r="J1189">
        <v>44351.92</v>
      </c>
      <c r="K1189">
        <v>2.94</v>
      </c>
    </row>
    <row r="1190" spans="1:11" x14ac:dyDescent="0.35">
      <c r="A1190" s="1">
        <v>45545</v>
      </c>
      <c r="B1190" t="s">
        <v>991</v>
      </c>
      <c r="C1190" t="s">
        <v>47</v>
      </c>
      <c r="D1190" t="s">
        <v>13</v>
      </c>
      <c r="E1190" t="s">
        <v>48</v>
      </c>
      <c r="F1190" t="s">
        <v>45</v>
      </c>
      <c r="G1190" t="s">
        <v>39</v>
      </c>
      <c r="H1190">
        <v>10893.12</v>
      </c>
      <c r="I1190">
        <v>1</v>
      </c>
      <c r="J1190">
        <v>10893.12</v>
      </c>
      <c r="K1190">
        <v>4.1399999999999997</v>
      </c>
    </row>
    <row r="1191" spans="1:11" x14ac:dyDescent="0.35">
      <c r="A1191" s="1">
        <v>45546</v>
      </c>
      <c r="B1191" t="s">
        <v>699</v>
      </c>
      <c r="C1191" t="s">
        <v>34</v>
      </c>
      <c r="D1191" t="s">
        <v>13</v>
      </c>
      <c r="E1191" t="s">
        <v>35</v>
      </c>
      <c r="F1191" t="s">
        <v>15</v>
      </c>
      <c r="G1191" t="s">
        <v>32</v>
      </c>
      <c r="H1191">
        <v>8709.64</v>
      </c>
      <c r="I1191">
        <v>1</v>
      </c>
      <c r="J1191">
        <v>8709.64</v>
      </c>
      <c r="K1191">
        <v>1.79</v>
      </c>
    </row>
    <row r="1192" spans="1:11" x14ac:dyDescent="0.35">
      <c r="A1192" s="1">
        <v>45547</v>
      </c>
      <c r="B1192" t="s">
        <v>540</v>
      </c>
      <c r="C1192" t="s">
        <v>34</v>
      </c>
      <c r="D1192" t="s">
        <v>13</v>
      </c>
      <c r="E1192" t="s">
        <v>35</v>
      </c>
      <c r="F1192" t="s">
        <v>15</v>
      </c>
      <c r="G1192" t="s">
        <v>16</v>
      </c>
      <c r="H1192">
        <v>12683.17</v>
      </c>
      <c r="I1192">
        <v>2</v>
      </c>
      <c r="J1192">
        <v>25366.34</v>
      </c>
      <c r="K1192">
        <v>1.38</v>
      </c>
    </row>
    <row r="1193" spans="1:11" x14ac:dyDescent="0.35">
      <c r="A1193" s="1">
        <v>45547</v>
      </c>
      <c r="B1193" t="s">
        <v>1430</v>
      </c>
      <c r="C1193" t="s">
        <v>34</v>
      </c>
      <c r="D1193" t="s">
        <v>13</v>
      </c>
      <c r="E1193" t="s">
        <v>35</v>
      </c>
      <c r="F1193" t="s">
        <v>45</v>
      </c>
      <c r="G1193" t="s">
        <v>16</v>
      </c>
      <c r="H1193">
        <v>10310.6</v>
      </c>
      <c r="I1193">
        <v>3</v>
      </c>
      <c r="J1193">
        <v>30931.8</v>
      </c>
      <c r="K1193">
        <v>3.43</v>
      </c>
    </row>
    <row r="1194" spans="1:11" x14ac:dyDescent="0.35">
      <c r="A1194" s="1">
        <v>45548</v>
      </c>
      <c r="B1194" t="s">
        <v>1145</v>
      </c>
      <c r="C1194" t="s">
        <v>34</v>
      </c>
      <c r="D1194" t="s">
        <v>13</v>
      </c>
      <c r="E1194" t="s">
        <v>35</v>
      </c>
      <c r="F1194" t="s">
        <v>21</v>
      </c>
      <c r="G1194" t="s">
        <v>16</v>
      </c>
      <c r="H1194">
        <v>19395.59</v>
      </c>
      <c r="I1194">
        <v>5</v>
      </c>
      <c r="J1194">
        <v>96977.95</v>
      </c>
      <c r="K1194">
        <v>1.49</v>
      </c>
    </row>
    <row r="1195" spans="1:11" x14ac:dyDescent="0.35">
      <c r="A1195" s="1">
        <v>45548</v>
      </c>
      <c r="B1195" t="s">
        <v>1365</v>
      </c>
      <c r="C1195" t="s">
        <v>34</v>
      </c>
      <c r="D1195" t="s">
        <v>13</v>
      </c>
      <c r="E1195" t="s">
        <v>35</v>
      </c>
      <c r="F1195" t="s">
        <v>21</v>
      </c>
      <c r="G1195" t="s">
        <v>32</v>
      </c>
      <c r="H1195">
        <v>5381.18</v>
      </c>
      <c r="I1195">
        <v>3</v>
      </c>
      <c r="J1195">
        <v>16143.54</v>
      </c>
      <c r="K1195">
        <v>1.1299999999999999</v>
      </c>
    </row>
    <row r="1196" spans="1:11" x14ac:dyDescent="0.35">
      <c r="A1196" s="1">
        <v>45548</v>
      </c>
      <c r="B1196" t="s">
        <v>1411</v>
      </c>
      <c r="C1196" t="s">
        <v>12</v>
      </c>
      <c r="D1196" t="s">
        <v>13</v>
      </c>
      <c r="E1196" t="s">
        <v>14</v>
      </c>
      <c r="F1196" t="s">
        <v>45</v>
      </c>
      <c r="G1196" t="s">
        <v>22</v>
      </c>
      <c r="H1196">
        <v>8159.27</v>
      </c>
      <c r="I1196">
        <v>4</v>
      </c>
      <c r="J1196">
        <v>32637.08</v>
      </c>
      <c r="K1196">
        <v>1.9</v>
      </c>
    </row>
    <row r="1197" spans="1:11" x14ac:dyDescent="0.35">
      <c r="A1197" s="1">
        <v>45548</v>
      </c>
      <c r="B1197" t="s">
        <v>1644</v>
      </c>
      <c r="C1197" t="s">
        <v>12</v>
      </c>
      <c r="D1197" t="s">
        <v>13</v>
      </c>
      <c r="E1197" t="s">
        <v>14</v>
      </c>
      <c r="F1197" t="s">
        <v>15</v>
      </c>
      <c r="G1197" t="s">
        <v>27</v>
      </c>
      <c r="H1197">
        <v>11073.85</v>
      </c>
      <c r="I1197">
        <v>3</v>
      </c>
      <c r="J1197">
        <v>33221.550000000003</v>
      </c>
      <c r="K1197">
        <v>2.0299999999999998</v>
      </c>
    </row>
    <row r="1198" spans="1:11" x14ac:dyDescent="0.35">
      <c r="A1198" s="1">
        <v>45548</v>
      </c>
      <c r="B1198" t="s">
        <v>1851</v>
      </c>
      <c r="C1198" t="s">
        <v>34</v>
      </c>
      <c r="D1198" t="s">
        <v>13</v>
      </c>
      <c r="E1198" t="s">
        <v>35</v>
      </c>
      <c r="F1198" t="s">
        <v>45</v>
      </c>
      <c r="G1198" t="s">
        <v>16</v>
      </c>
      <c r="H1198">
        <v>16386.400000000001</v>
      </c>
      <c r="I1198">
        <v>3</v>
      </c>
      <c r="J1198">
        <v>49159.199999999997</v>
      </c>
      <c r="K1198">
        <v>2.8</v>
      </c>
    </row>
    <row r="1199" spans="1:11" x14ac:dyDescent="0.35">
      <c r="A1199" s="1">
        <v>45549</v>
      </c>
      <c r="B1199" t="s">
        <v>978</v>
      </c>
      <c r="C1199" t="s">
        <v>34</v>
      </c>
      <c r="D1199" t="s">
        <v>13</v>
      </c>
      <c r="E1199" t="s">
        <v>35</v>
      </c>
      <c r="F1199" t="s">
        <v>45</v>
      </c>
      <c r="G1199" t="s">
        <v>16</v>
      </c>
      <c r="H1199">
        <v>14968.02</v>
      </c>
      <c r="I1199">
        <v>3</v>
      </c>
      <c r="J1199">
        <v>44904.06</v>
      </c>
      <c r="K1199">
        <v>1.93</v>
      </c>
    </row>
    <row r="1200" spans="1:11" x14ac:dyDescent="0.35">
      <c r="A1200" s="1">
        <v>45550</v>
      </c>
      <c r="B1200" t="s">
        <v>381</v>
      </c>
      <c r="C1200" t="s">
        <v>47</v>
      </c>
      <c r="D1200" t="s">
        <v>13</v>
      </c>
      <c r="E1200" t="s">
        <v>48</v>
      </c>
      <c r="F1200" t="s">
        <v>15</v>
      </c>
      <c r="G1200" t="s">
        <v>32</v>
      </c>
      <c r="H1200">
        <v>17880.400000000001</v>
      </c>
      <c r="I1200">
        <v>3</v>
      </c>
      <c r="J1200">
        <v>53641.2</v>
      </c>
      <c r="K1200">
        <v>3.91</v>
      </c>
    </row>
    <row r="1201" spans="1:11" x14ac:dyDescent="0.35">
      <c r="A1201" s="1">
        <v>45550</v>
      </c>
      <c r="B1201" t="s">
        <v>598</v>
      </c>
      <c r="C1201" t="s">
        <v>34</v>
      </c>
      <c r="D1201" t="s">
        <v>13</v>
      </c>
      <c r="E1201" t="s">
        <v>35</v>
      </c>
      <c r="F1201" t="s">
        <v>21</v>
      </c>
      <c r="G1201" t="s">
        <v>39</v>
      </c>
      <c r="H1201">
        <v>16730.86</v>
      </c>
      <c r="I1201">
        <v>3</v>
      </c>
      <c r="J1201">
        <v>50192.58</v>
      </c>
      <c r="K1201">
        <v>2.33</v>
      </c>
    </row>
    <row r="1202" spans="1:11" x14ac:dyDescent="0.35">
      <c r="A1202" s="1">
        <v>45551</v>
      </c>
      <c r="B1202" t="s">
        <v>144</v>
      </c>
      <c r="C1202" t="s">
        <v>47</v>
      </c>
      <c r="D1202" t="s">
        <v>13</v>
      </c>
      <c r="E1202" t="s">
        <v>48</v>
      </c>
      <c r="F1202" t="s">
        <v>21</v>
      </c>
      <c r="G1202" t="s">
        <v>16</v>
      </c>
      <c r="H1202">
        <v>9543.5300000000007</v>
      </c>
      <c r="I1202">
        <v>1</v>
      </c>
      <c r="J1202">
        <v>9543.5300000000007</v>
      </c>
      <c r="K1202">
        <v>1.8</v>
      </c>
    </row>
    <row r="1203" spans="1:11" x14ac:dyDescent="0.35">
      <c r="A1203" s="1">
        <v>45551</v>
      </c>
      <c r="B1203" t="s">
        <v>244</v>
      </c>
      <c r="C1203" t="s">
        <v>12</v>
      </c>
      <c r="D1203" t="s">
        <v>13</v>
      </c>
      <c r="E1203" t="s">
        <v>14</v>
      </c>
      <c r="F1203" t="s">
        <v>21</v>
      </c>
      <c r="G1203" t="s">
        <v>39</v>
      </c>
      <c r="H1203">
        <v>16574.13</v>
      </c>
      <c r="I1203">
        <v>2</v>
      </c>
      <c r="J1203">
        <v>33148.26</v>
      </c>
      <c r="K1203">
        <v>1.26</v>
      </c>
    </row>
    <row r="1204" spans="1:11" x14ac:dyDescent="0.35">
      <c r="A1204" s="1">
        <v>45551</v>
      </c>
      <c r="B1204" t="s">
        <v>1841</v>
      </c>
      <c r="C1204" t="s">
        <v>34</v>
      </c>
      <c r="D1204" t="s">
        <v>13</v>
      </c>
      <c r="E1204" t="s">
        <v>35</v>
      </c>
      <c r="F1204" t="s">
        <v>21</v>
      </c>
      <c r="G1204" t="s">
        <v>39</v>
      </c>
      <c r="H1204">
        <v>11974.36</v>
      </c>
      <c r="I1204">
        <v>3</v>
      </c>
      <c r="J1204">
        <v>35923.08</v>
      </c>
      <c r="K1204">
        <v>2.96</v>
      </c>
    </row>
    <row r="1205" spans="1:11" x14ac:dyDescent="0.35">
      <c r="A1205" s="1">
        <v>45553</v>
      </c>
      <c r="B1205" t="s">
        <v>217</v>
      </c>
      <c r="C1205" t="s">
        <v>34</v>
      </c>
      <c r="D1205" t="s">
        <v>13</v>
      </c>
      <c r="E1205" t="s">
        <v>35</v>
      </c>
      <c r="F1205" t="s">
        <v>15</v>
      </c>
      <c r="G1205" t="s">
        <v>39</v>
      </c>
      <c r="H1205">
        <v>2903.55</v>
      </c>
      <c r="I1205">
        <v>3</v>
      </c>
      <c r="J1205">
        <v>8710.65</v>
      </c>
      <c r="K1205">
        <v>1.03</v>
      </c>
    </row>
    <row r="1206" spans="1:11" x14ac:dyDescent="0.35">
      <c r="A1206" s="1">
        <v>45553</v>
      </c>
      <c r="B1206" t="s">
        <v>648</v>
      </c>
      <c r="C1206" t="s">
        <v>12</v>
      </c>
      <c r="D1206" t="s">
        <v>13</v>
      </c>
      <c r="E1206" t="s">
        <v>14</v>
      </c>
      <c r="F1206" t="s">
        <v>45</v>
      </c>
      <c r="G1206" t="s">
        <v>16</v>
      </c>
      <c r="H1206">
        <v>5388.11</v>
      </c>
      <c r="I1206">
        <v>3</v>
      </c>
      <c r="J1206">
        <v>16164.33</v>
      </c>
      <c r="K1206">
        <v>2.2000000000000002</v>
      </c>
    </row>
    <row r="1207" spans="1:11" x14ac:dyDescent="0.35">
      <c r="A1207" s="1">
        <v>45553</v>
      </c>
      <c r="B1207" t="s">
        <v>1450</v>
      </c>
      <c r="C1207" t="s">
        <v>47</v>
      </c>
      <c r="D1207" t="s">
        <v>13</v>
      </c>
      <c r="E1207" t="s">
        <v>48</v>
      </c>
      <c r="F1207" t="s">
        <v>21</v>
      </c>
      <c r="G1207" t="s">
        <v>60</v>
      </c>
      <c r="H1207">
        <v>9431.17</v>
      </c>
      <c r="I1207">
        <v>1</v>
      </c>
      <c r="J1207">
        <v>9431.17</v>
      </c>
      <c r="K1207">
        <v>1.07</v>
      </c>
    </row>
    <row r="1208" spans="1:11" x14ac:dyDescent="0.35">
      <c r="A1208" s="1">
        <v>45553</v>
      </c>
      <c r="B1208" t="s">
        <v>1691</v>
      </c>
      <c r="C1208" t="s">
        <v>47</v>
      </c>
      <c r="D1208" t="s">
        <v>13</v>
      </c>
      <c r="E1208" t="s">
        <v>48</v>
      </c>
      <c r="F1208" t="s">
        <v>21</v>
      </c>
      <c r="G1208" t="s">
        <v>60</v>
      </c>
      <c r="H1208">
        <v>17259.52</v>
      </c>
      <c r="I1208">
        <v>5</v>
      </c>
      <c r="J1208">
        <v>86297.600000000006</v>
      </c>
      <c r="K1208">
        <v>2.77</v>
      </c>
    </row>
    <row r="1209" spans="1:11" x14ac:dyDescent="0.35">
      <c r="A1209" s="1">
        <v>45555</v>
      </c>
      <c r="B1209" t="s">
        <v>1570</v>
      </c>
      <c r="C1209" t="s">
        <v>34</v>
      </c>
      <c r="D1209" t="s">
        <v>13</v>
      </c>
      <c r="E1209" t="s">
        <v>35</v>
      </c>
      <c r="F1209" t="s">
        <v>45</v>
      </c>
      <c r="G1209" t="s">
        <v>27</v>
      </c>
      <c r="H1209">
        <v>15614.03</v>
      </c>
      <c r="I1209">
        <v>5</v>
      </c>
      <c r="J1209">
        <v>78070.149999999994</v>
      </c>
      <c r="K1209">
        <v>3.92</v>
      </c>
    </row>
    <row r="1210" spans="1:11" x14ac:dyDescent="0.35">
      <c r="A1210" s="1">
        <v>45555</v>
      </c>
      <c r="B1210" t="s">
        <v>1770</v>
      </c>
      <c r="C1210" t="s">
        <v>34</v>
      </c>
      <c r="D1210" t="s">
        <v>13</v>
      </c>
      <c r="E1210" t="s">
        <v>35</v>
      </c>
      <c r="F1210" t="s">
        <v>21</v>
      </c>
      <c r="G1210" t="s">
        <v>22</v>
      </c>
      <c r="H1210">
        <v>4544.47</v>
      </c>
      <c r="I1210">
        <v>1</v>
      </c>
      <c r="J1210">
        <v>4544.47</v>
      </c>
      <c r="K1210">
        <v>2.5099999999999998</v>
      </c>
    </row>
    <row r="1211" spans="1:11" x14ac:dyDescent="0.35">
      <c r="A1211" s="1">
        <v>45556</v>
      </c>
      <c r="B1211" t="s">
        <v>922</v>
      </c>
      <c r="C1211" t="s">
        <v>47</v>
      </c>
      <c r="D1211" t="s">
        <v>13</v>
      </c>
      <c r="E1211" t="s">
        <v>48</v>
      </c>
      <c r="F1211" t="s">
        <v>21</v>
      </c>
      <c r="G1211" t="s">
        <v>39</v>
      </c>
      <c r="H1211">
        <v>18635.03</v>
      </c>
      <c r="I1211">
        <v>1</v>
      </c>
      <c r="J1211">
        <v>18635.03</v>
      </c>
      <c r="K1211">
        <v>1.22</v>
      </c>
    </row>
    <row r="1212" spans="1:11" x14ac:dyDescent="0.35">
      <c r="A1212" s="1">
        <v>45557</v>
      </c>
      <c r="B1212" t="s">
        <v>967</v>
      </c>
      <c r="C1212" t="s">
        <v>47</v>
      </c>
      <c r="D1212" t="s">
        <v>13</v>
      </c>
      <c r="E1212" t="s">
        <v>48</v>
      </c>
      <c r="F1212" t="s">
        <v>21</v>
      </c>
      <c r="G1212" t="s">
        <v>60</v>
      </c>
      <c r="H1212">
        <v>3001.58</v>
      </c>
      <c r="I1212">
        <v>5</v>
      </c>
      <c r="J1212">
        <v>15007.9</v>
      </c>
      <c r="K1212">
        <v>2.2599999999999998</v>
      </c>
    </row>
    <row r="1213" spans="1:11" x14ac:dyDescent="0.35">
      <c r="A1213" s="1">
        <v>45557</v>
      </c>
      <c r="B1213" t="s">
        <v>1073</v>
      </c>
      <c r="C1213" t="s">
        <v>12</v>
      </c>
      <c r="D1213" t="s">
        <v>13</v>
      </c>
      <c r="E1213" t="s">
        <v>14</v>
      </c>
      <c r="F1213" t="s">
        <v>21</v>
      </c>
      <c r="G1213" t="s">
        <v>60</v>
      </c>
      <c r="H1213">
        <v>19068.53</v>
      </c>
      <c r="I1213">
        <v>3</v>
      </c>
      <c r="J1213">
        <v>57205.59</v>
      </c>
      <c r="K1213">
        <v>2.94</v>
      </c>
    </row>
    <row r="1214" spans="1:11" x14ac:dyDescent="0.35">
      <c r="A1214" s="1">
        <v>45557</v>
      </c>
      <c r="B1214" t="s">
        <v>2030</v>
      </c>
      <c r="C1214" t="s">
        <v>12</v>
      </c>
      <c r="D1214" t="s">
        <v>13</v>
      </c>
      <c r="E1214" t="s">
        <v>14</v>
      </c>
      <c r="F1214" t="s">
        <v>21</v>
      </c>
      <c r="G1214" t="s">
        <v>60</v>
      </c>
      <c r="H1214">
        <v>16294.61</v>
      </c>
      <c r="I1214">
        <v>4</v>
      </c>
      <c r="J1214">
        <v>65178.44</v>
      </c>
      <c r="K1214">
        <v>1.61</v>
      </c>
    </row>
    <row r="1215" spans="1:11" x14ac:dyDescent="0.35">
      <c r="A1215" s="1">
        <v>45558</v>
      </c>
      <c r="B1215" t="s">
        <v>283</v>
      </c>
      <c r="C1215" t="s">
        <v>12</v>
      </c>
      <c r="D1215" t="s">
        <v>13</v>
      </c>
      <c r="E1215" t="s">
        <v>14</v>
      </c>
      <c r="F1215" t="s">
        <v>45</v>
      </c>
      <c r="G1215" t="s">
        <v>16</v>
      </c>
      <c r="H1215">
        <v>12041.72</v>
      </c>
      <c r="I1215">
        <v>2</v>
      </c>
      <c r="J1215">
        <v>24083.439999999999</v>
      </c>
      <c r="K1215">
        <v>4.45</v>
      </c>
    </row>
    <row r="1216" spans="1:11" x14ac:dyDescent="0.35">
      <c r="A1216" s="1">
        <v>45558</v>
      </c>
      <c r="B1216" t="s">
        <v>1507</v>
      </c>
      <c r="C1216" t="s">
        <v>12</v>
      </c>
      <c r="D1216" t="s">
        <v>13</v>
      </c>
      <c r="E1216" t="s">
        <v>14</v>
      </c>
      <c r="F1216" t="s">
        <v>15</v>
      </c>
      <c r="G1216" t="s">
        <v>39</v>
      </c>
      <c r="H1216">
        <v>6214.04</v>
      </c>
      <c r="I1216">
        <v>5</v>
      </c>
      <c r="J1216">
        <v>31070.2</v>
      </c>
      <c r="K1216">
        <v>4.6100000000000003</v>
      </c>
    </row>
    <row r="1217" spans="1:11" x14ac:dyDescent="0.35">
      <c r="A1217" s="1">
        <v>45559</v>
      </c>
      <c r="B1217" t="s">
        <v>996</v>
      </c>
      <c r="C1217" t="s">
        <v>12</v>
      </c>
      <c r="D1217" t="s">
        <v>13</v>
      </c>
      <c r="E1217" t="s">
        <v>14</v>
      </c>
      <c r="F1217" t="s">
        <v>45</v>
      </c>
      <c r="G1217" t="s">
        <v>39</v>
      </c>
      <c r="H1217">
        <v>19978.169999999998</v>
      </c>
      <c r="I1217">
        <v>3</v>
      </c>
      <c r="J1217">
        <v>59934.51</v>
      </c>
      <c r="K1217">
        <v>4.74</v>
      </c>
    </row>
    <row r="1218" spans="1:11" x14ac:dyDescent="0.35">
      <c r="A1218" s="1">
        <v>45559</v>
      </c>
      <c r="B1218" t="s">
        <v>1342</v>
      </c>
      <c r="C1218" t="s">
        <v>12</v>
      </c>
      <c r="D1218" t="s">
        <v>13</v>
      </c>
      <c r="E1218" t="s">
        <v>14</v>
      </c>
      <c r="F1218" t="s">
        <v>45</v>
      </c>
      <c r="G1218" t="s">
        <v>39</v>
      </c>
      <c r="H1218">
        <v>9710.34</v>
      </c>
      <c r="I1218">
        <v>1</v>
      </c>
      <c r="J1218">
        <v>9710.34</v>
      </c>
      <c r="K1218">
        <v>2.34</v>
      </c>
    </row>
    <row r="1219" spans="1:11" x14ac:dyDescent="0.35">
      <c r="A1219" s="1">
        <v>45559</v>
      </c>
      <c r="B1219" t="s">
        <v>1353</v>
      </c>
      <c r="C1219" t="s">
        <v>34</v>
      </c>
      <c r="D1219" t="s">
        <v>13</v>
      </c>
      <c r="E1219" t="s">
        <v>35</v>
      </c>
      <c r="F1219" t="s">
        <v>45</v>
      </c>
      <c r="G1219" t="s">
        <v>22</v>
      </c>
      <c r="H1219">
        <v>14192.73</v>
      </c>
      <c r="I1219">
        <v>5</v>
      </c>
      <c r="J1219">
        <v>70963.649999999994</v>
      </c>
      <c r="K1219">
        <v>2.62</v>
      </c>
    </row>
    <row r="1220" spans="1:11" x14ac:dyDescent="0.35">
      <c r="A1220" s="1">
        <v>45560</v>
      </c>
      <c r="B1220" t="s">
        <v>747</v>
      </c>
      <c r="C1220" t="s">
        <v>47</v>
      </c>
      <c r="D1220" t="s">
        <v>13</v>
      </c>
      <c r="E1220" t="s">
        <v>48</v>
      </c>
      <c r="F1220" t="s">
        <v>45</v>
      </c>
      <c r="G1220" t="s">
        <v>27</v>
      </c>
      <c r="H1220">
        <v>17793.66</v>
      </c>
      <c r="I1220">
        <v>5</v>
      </c>
      <c r="J1220">
        <v>88968.3</v>
      </c>
      <c r="K1220">
        <v>2.66</v>
      </c>
    </row>
    <row r="1221" spans="1:11" x14ac:dyDescent="0.35">
      <c r="A1221" s="1">
        <v>45560</v>
      </c>
      <c r="B1221" t="s">
        <v>960</v>
      </c>
      <c r="C1221" t="s">
        <v>34</v>
      </c>
      <c r="D1221" t="s">
        <v>13</v>
      </c>
      <c r="E1221" t="s">
        <v>35</v>
      </c>
      <c r="F1221" t="s">
        <v>15</v>
      </c>
      <c r="G1221" t="s">
        <v>32</v>
      </c>
      <c r="H1221">
        <v>2503.38</v>
      </c>
      <c r="I1221">
        <v>1</v>
      </c>
      <c r="J1221">
        <v>2503.38</v>
      </c>
      <c r="K1221">
        <v>1.43</v>
      </c>
    </row>
    <row r="1222" spans="1:11" x14ac:dyDescent="0.35">
      <c r="A1222" s="1">
        <v>45560</v>
      </c>
      <c r="B1222" t="s">
        <v>1966</v>
      </c>
      <c r="C1222" t="s">
        <v>12</v>
      </c>
      <c r="D1222" t="s">
        <v>13</v>
      </c>
      <c r="E1222" t="s">
        <v>14</v>
      </c>
      <c r="F1222" t="s">
        <v>45</v>
      </c>
      <c r="G1222" t="s">
        <v>60</v>
      </c>
      <c r="H1222">
        <v>1377.6</v>
      </c>
      <c r="I1222">
        <v>2</v>
      </c>
      <c r="J1222">
        <v>2755.2</v>
      </c>
      <c r="K1222">
        <v>2.67</v>
      </c>
    </row>
    <row r="1223" spans="1:11" x14ac:dyDescent="0.35">
      <c r="A1223" s="1">
        <v>45561</v>
      </c>
      <c r="B1223" t="s">
        <v>46</v>
      </c>
      <c r="C1223" t="s">
        <v>47</v>
      </c>
      <c r="D1223" t="s">
        <v>13</v>
      </c>
      <c r="E1223" t="s">
        <v>48</v>
      </c>
      <c r="F1223" t="s">
        <v>21</v>
      </c>
      <c r="G1223" t="s">
        <v>39</v>
      </c>
      <c r="H1223">
        <v>6326.57</v>
      </c>
      <c r="I1223">
        <v>3</v>
      </c>
      <c r="J1223">
        <v>18979.71</v>
      </c>
      <c r="K1223">
        <v>2.0499999999999998</v>
      </c>
    </row>
    <row r="1224" spans="1:11" x14ac:dyDescent="0.35">
      <c r="A1224" s="1">
        <v>45562</v>
      </c>
      <c r="B1224" t="s">
        <v>1435</v>
      </c>
      <c r="C1224" t="s">
        <v>47</v>
      </c>
      <c r="D1224" t="s">
        <v>13</v>
      </c>
      <c r="E1224" t="s">
        <v>48</v>
      </c>
      <c r="F1224" t="s">
        <v>45</v>
      </c>
      <c r="G1224" t="s">
        <v>22</v>
      </c>
      <c r="H1224">
        <v>15369.35</v>
      </c>
      <c r="I1224">
        <v>4</v>
      </c>
      <c r="J1224">
        <v>61477.4</v>
      </c>
      <c r="K1224">
        <v>1.39</v>
      </c>
    </row>
    <row r="1225" spans="1:11" x14ac:dyDescent="0.35">
      <c r="A1225" s="1">
        <v>45563</v>
      </c>
      <c r="B1225" t="s">
        <v>330</v>
      </c>
      <c r="C1225" t="s">
        <v>12</v>
      </c>
      <c r="D1225" t="s">
        <v>13</v>
      </c>
      <c r="E1225" t="s">
        <v>14</v>
      </c>
      <c r="F1225" t="s">
        <v>15</v>
      </c>
      <c r="G1225" t="s">
        <v>16</v>
      </c>
      <c r="H1225">
        <v>17175.560000000001</v>
      </c>
      <c r="I1225">
        <v>4</v>
      </c>
      <c r="J1225">
        <v>68702.240000000005</v>
      </c>
      <c r="K1225">
        <v>2.04</v>
      </c>
    </row>
    <row r="1226" spans="1:11" x14ac:dyDescent="0.35">
      <c r="A1226" s="1">
        <v>45563</v>
      </c>
      <c r="B1226" t="s">
        <v>958</v>
      </c>
      <c r="C1226" t="s">
        <v>12</v>
      </c>
      <c r="D1226" t="s">
        <v>13</v>
      </c>
      <c r="E1226" t="s">
        <v>14</v>
      </c>
      <c r="F1226" t="s">
        <v>45</v>
      </c>
      <c r="G1226" t="s">
        <v>39</v>
      </c>
      <c r="H1226">
        <v>17303.509999999998</v>
      </c>
      <c r="I1226">
        <v>5</v>
      </c>
      <c r="J1226">
        <v>86517.55</v>
      </c>
      <c r="K1226">
        <v>2.93</v>
      </c>
    </row>
    <row r="1227" spans="1:11" x14ac:dyDescent="0.35">
      <c r="A1227" s="1">
        <v>45564</v>
      </c>
      <c r="B1227" t="s">
        <v>763</v>
      </c>
      <c r="C1227" t="s">
        <v>34</v>
      </c>
      <c r="D1227" t="s">
        <v>13</v>
      </c>
      <c r="E1227" t="s">
        <v>35</v>
      </c>
      <c r="F1227" t="s">
        <v>21</v>
      </c>
      <c r="G1227" t="s">
        <v>39</v>
      </c>
      <c r="H1227">
        <v>11921.63</v>
      </c>
      <c r="I1227">
        <v>5</v>
      </c>
      <c r="J1227">
        <v>59608.15</v>
      </c>
      <c r="K1227">
        <v>2.99</v>
      </c>
    </row>
    <row r="1228" spans="1:11" x14ac:dyDescent="0.35">
      <c r="A1228" s="1">
        <v>45564</v>
      </c>
      <c r="B1228" t="s">
        <v>1097</v>
      </c>
      <c r="C1228" t="s">
        <v>34</v>
      </c>
      <c r="D1228" t="s">
        <v>13</v>
      </c>
      <c r="E1228" t="s">
        <v>35</v>
      </c>
      <c r="F1228" t="s">
        <v>15</v>
      </c>
      <c r="G1228" t="s">
        <v>32</v>
      </c>
      <c r="H1228">
        <v>4260.68</v>
      </c>
      <c r="I1228">
        <v>3</v>
      </c>
      <c r="J1228">
        <v>12782.04</v>
      </c>
      <c r="K1228">
        <v>3.44</v>
      </c>
    </row>
    <row r="1229" spans="1:11" x14ac:dyDescent="0.35">
      <c r="A1229" s="1">
        <v>45564</v>
      </c>
      <c r="B1229" t="s">
        <v>1143</v>
      </c>
      <c r="C1229" t="s">
        <v>34</v>
      </c>
      <c r="D1229" t="s">
        <v>13</v>
      </c>
      <c r="E1229" t="s">
        <v>35</v>
      </c>
      <c r="F1229" t="s">
        <v>21</v>
      </c>
      <c r="G1229" t="s">
        <v>32</v>
      </c>
      <c r="H1229">
        <v>16997.22</v>
      </c>
      <c r="I1229">
        <v>3</v>
      </c>
      <c r="J1229">
        <v>50991.66</v>
      </c>
      <c r="K1229">
        <v>4.88</v>
      </c>
    </row>
    <row r="1230" spans="1:11" x14ac:dyDescent="0.35">
      <c r="A1230" s="1">
        <v>45565</v>
      </c>
      <c r="B1230" t="s">
        <v>1095</v>
      </c>
      <c r="C1230" t="s">
        <v>47</v>
      </c>
      <c r="D1230" t="s">
        <v>13</v>
      </c>
      <c r="E1230" t="s">
        <v>48</v>
      </c>
      <c r="F1230" t="s">
        <v>21</v>
      </c>
      <c r="G1230" t="s">
        <v>27</v>
      </c>
      <c r="H1230">
        <v>2508.6</v>
      </c>
      <c r="I1230">
        <v>3</v>
      </c>
      <c r="J1230">
        <v>7525.8</v>
      </c>
      <c r="K1230">
        <v>4.1900000000000004</v>
      </c>
    </row>
    <row r="1231" spans="1:11" x14ac:dyDescent="0.35">
      <c r="A1231" s="1">
        <v>45565</v>
      </c>
      <c r="B1231" t="s">
        <v>1598</v>
      </c>
      <c r="C1231" t="s">
        <v>34</v>
      </c>
      <c r="D1231" t="s">
        <v>13</v>
      </c>
      <c r="E1231" t="s">
        <v>35</v>
      </c>
      <c r="F1231" t="s">
        <v>15</v>
      </c>
      <c r="G1231" t="s">
        <v>32</v>
      </c>
      <c r="H1231">
        <v>12054.16</v>
      </c>
      <c r="I1231">
        <v>3</v>
      </c>
      <c r="J1231">
        <v>36162.480000000003</v>
      </c>
      <c r="K1231">
        <v>2.31</v>
      </c>
    </row>
    <row r="1232" spans="1:11" x14ac:dyDescent="0.35">
      <c r="A1232" s="1">
        <v>45565</v>
      </c>
      <c r="B1232" t="s">
        <v>1609</v>
      </c>
      <c r="C1232" t="s">
        <v>34</v>
      </c>
      <c r="D1232" t="s">
        <v>13</v>
      </c>
      <c r="E1232" t="s">
        <v>35</v>
      </c>
      <c r="F1232" t="s">
        <v>15</v>
      </c>
      <c r="G1232" t="s">
        <v>39</v>
      </c>
      <c r="H1232">
        <v>4004.93</v>
      </c>
      <c r="I1232">
        <v>4</v>
      </c>
      <c r="J1232">
        <v>16019.72</v>
      </c>
      <c r="K1232">
        <v>3.27</v>
      </c>
    </row>
    <row r="1233" spans="1:11" x14ac:dyDescent="0.35">
      <c r="A1233" s="1">
        <v>45566</v>
      </c>
      <c r="B1233" t="s">
        <v>96</v>
      </c>
      <c r="C1233" t="s">
        <v>34</v>
      </c>
      <c r="D1233" t="s">
        <v>13</v>
      </c>
      <c r="E1233" t="s">
        <v>35</v>
      </c>
      <c r="F1233" t="s">
        <v>15</v>
      </c>
      <c r="G1233" t="s">
        <v>39</v>
      </c>
      <c r="H1233">
        <v>14895.57</v>
      </c>
      <c r="I1233">
        <v>1</v>
      </c>
      <c r="J1233">
        <v>14895.57</v>
      </c>
      <c r="K1233">
        <v>3.73</v>
      </c>
    </row>
    <row r="1234" spans="1:11" x14ac:dyDescent="0.35">
      <c r="A1234" s="1">
        <v>45566</v>
      </c>
      <c r="B1234" t="s">
        <v>993</v>
      </c>
      <c r="C1234" t="s">
        <v>34</v>
      </c>
      <c r="D1234" t="s">
        <v>13</v>
      </c>
      <c r="E1234" t="s">
        <v>35</v>
      </c>
      <c r="F1234" t="s">
        <v>45</v>
      </c>
      <c r="G1234" t="s">
        <v>60</v>
      </c>
      <c r="H1234">
        <v>16235.27</v>
      </c>
      <c r="I1234">
        <v>4</v>
      </c>
      <c r="J1234">
        <v>64941.08</v>
      </c>
      <c r="K1234">
        <v>1.02</v>
      </c>
    </row>
    <row r="1235" spans="1:11" x14ac:dyDescent="0.35">
      <c r="A1235" s="1">
        <v>45566</v>
      </c>
      <c r="B1235" t="s">
        <v>1280</v>
      </c>
      <c r="C1235" t="s">
        <v>47</v>
      </c>
      <c r="D1235" t="s">
        <v>13</v>
      </c>
      <c r="E1235" t="s">
        <v>48</v>
      </c>
      <c r="F1235" t="s">
        <v>15</v>
      </c>
      <c r="G1235" t="s">
        <v>16</v>
      </c>
      <c r="H1235">
        <v>14069.44</v>
      </c>
      <c r="I1235">
        <v>4</v>
      </c>
      <c r="J1235">
        <v>56277.760000000002</v>
      </c>
      <c r="K1235">
        <v>4.75</v>
      </c>
    </row>
    <row r="1236" spans="1:11" x14ac:dyDescent="0.35">
      <c r="A1236" s="1">
        <v>45567</v>
      </c>
      <c r="B1236" t="s">
        <v>510</v>
      </c>
      <c r="C1236" t="s">
        <v>12</v>
      </c>
      <c r="D1236" t="s">
        <v>13</v>
      </c>
      <c r="E1236" t="s">
        <v>14</v>
      </c>
      <c r="F1236" t="s">
        <v>21</v>
      </c>
      <c r="G1236" t="s">
        <v>16</v>
      </c>
      <c r="H1236">
        <v>16185.45</v>
      </c>
      <c r="I1236">
        <v>3</v>
      </c>
      <c r="J1236">
        <v>48556.35</v>
      </c>
      <c r="K1236">
        <v>1.8</v>
      </c>
    </row>
    <row r="1237" spans="1:11" x14ac:dyDescent="0.35">
      <c r="A1237" s="1">
        <v>45567</v>
      </c>
      <c r="B1237" t="s">
        <v>888</v>
      </c>
      <c r="C1237" t="s">
        <v>47</v>
      </c>
      <c r="D1237" t="s">
        <v>13</v>
      </c>
      <c r="E1237" t="s">
        <v>48</v>
      </c>
      <c r="F1237" t="s">
        <v>15</v>
      </c>
      <c r="G1237" t="s">
        <v>39</v>
      </c>
      <c r="H1237">
        <v>1216.48</v>
      </c>
      <c r="I1237">
        <v>4</v>
      </c>
      <c r="J1237">
        <v>4865.92</v>
      </c>
      <c r="K1237">
        <v>3.16</v>
      </c>
    </row>
    <row r="1238" spans="1:11" x14ac:dyDescent="0.35">
      <c r="A1238" s="1">
        <v>45567</v>
      </c>
      <c r="B1238" t="s">
        <v>1679</v>
      </c>
      <c r="C1238" t="s">
        <v>12</v>
      </c>
      <c r="D1238" t="s">
        <v>13</v>
      </c>
      <c r="E1238" t="s">
        <v>14</v>
      </c>
      <c r="F1238" t="s">
        <v>21</v>
      </c>
      <c r="G1238" t="s">
        <v>22</v>
      </c>
      <c r="H1238">
        <v>5860.1</v>
      </c>
      <c r="I1238">
        <v>4</v>
      </c>
      <c r="J1238">
        <v>23440.400000000001</v>
      </c>
      <c r="K1238">
        <v>1.44</v>
      </c>
    </row>
    <row r="1239" spans="1:11" x14ac:dyDescent="0.35">
      <c r="A1239" s="1">
        <v>45568</v>
      </c>
      <c r="B1239" t="s">
        <v>927</v>
      </c>
      <c r="C1239" t="s">
        <v>34</v>
      </c>
      <c r="D1239" t="s">
        <v>13</v>
      </c>
      <c r="E1239" t="s">
        <v>35</v>
      </c>
      <c r="F1239" t="s">
        <v>45</v>
      </c>
      <c r="G1239" t="s">
        <v>39</v>
      </c>
      <c r="H1239">
        <v>17913.88</v>
      </c>
      <c r="I1239">
        <v>4</v>
      </c>
      <c r="J1239">
        <v>71655.520000000004</v>
      </c>
      <c r="K1239">
        <v>4.3099999999999996</v>
      </c>
    </row>
    <row r="1240" spans="1:11" x14ac:dyDescent="0.35">
      <c r="A1240" s="1">
        <v>45568</v>
      </c>
      <c r="B1240" t="s">
        <v>1103</v>
      </c>
      <c r="C1240" t="s">
        <v>12</v>
      </c>
      <c r="D1240" t="s">
        <v>13</v>
      </c>
      <c r="E1240" t="s">
        <v>14</v>
      </c>
      <c r="F1240" t="s">
        <v>15</v>
      </c>
      <c r="G1240" t="s">
        <v>39</v>
      </c>
      <c r="H1240">
        <v>16746.25</v>
      </c>
      <c r="I1240">
        <v>4</v>
      </c>
      <c r="J1240">
        <v>66985</v>
      </c>
      <c r="K1240">
        <v>4.7</v>
      </c>
    </row>
    <row r="1241" spans="1:11" x14ac:dyDescent="0.35">
      <c r="A1241" s="1">
        <v>45568</v>
      </c>
      <c r="B1241" t="s">
        <v>1161</v>
      </c>
      <c r="C1241" t="s">
        <v>12</v>
      </c>
      <c r="D1241" t="s">
        <v>13</v>
      </c>
      <c r="E1241" t="s">
        <v>14</v>
      </c>
      <c r="F1241" t="s">
        <v>45</v>
      </c>
      <c r="G1241" t="s">
        <v>16</v>
      </c>
      <c r="H1241">
        <v>3725.83</v>
      </c>
      <c r="I1241">
        <v>2</v>
      </c>
      <c r="J1241">
        <v>7451.66</v>
      </c>
      <c r="K1241">
        <v>4.8099999999999996</v>
      </c>
    </row>
    <row r="1242" spans="1:11" x14ac:dyDescent="0.35">
      <c r="A1242" s="1">
        <v>45568</v>
      </c>
      <c r="B1242" t="s">
        <v>1164</v>
      </c>
      <c r="C1242" t="s">
        <v>12</v>
      </c>
      <c r="D1242" t="s">
        <v>13</v>
      </c>
      <c r="E1242" t="s">
        <v>14</v>
      </c>
      <c r="F1242" t="s">
        <v>21</v>
      </c>
      <c r="G1242" t="s">
        <v>32</v>
      </c>
      <c r="H1242">
        <v>1710.05</v>
      </c>
      <c r="I1242">
        <v>5</v>
      </c>
      <c r="J1242">
        <v>8550.25</v>
      </c>
      <c r="K1242">
        <v>2.19</v>
      </c>
    </row>
    <row r="1243" spans="1:11" x14ac:dyDescent="0.35">
      <c r="A1243" s="1">
        <v>45568</v>
      </c>
      <c r="B1243" t="s">
        <v>1368</v>
      </c>
      <c r="C1243" t="s">
        <v>12</v>
      </c>
      <c r="D1243" t="s">
        <v>13</v>
      </c>
      <c r="E1243" t="s">
        <v>14</v>
      </c>
      <c r="F1243" t="s">
        <v>45</v>
      </c>
      <c r="G1243" t="s">
        <v>39</v>
      </c>
      <c r="H1243">
        <v>7364.04</v>
      </c>
      <c r="I1243">
        <v>2</v>
      </c>
      <c r="J1243">
        <v>14728.08</v>
      </c>
      <c r="K1243">
        <v>4.43</v>
      </c>
    </row>
    <row r="1244" spans="1:11" x14ac:dyDescent="0.35">
      <c r="A1244" s="1">
        <v>45568</v>
      </c>
      <c r="B1244" t="s">
        <v>1912</v>
      </c>
      <c r="C1244" t="s">
        <v>12</v>
      </c>
      <c r="D1244" t="s">
        <v>13</v>
      </c>
      <c r="E1244" t="s">
        <v>14</v>
      </c>
      <c r="F1244" t="s">
        <v>15</v>
      </c>
      <c r="G1244" t="s">
        <v>22</v>
      </c>
      <c r="H1244">
        <v>13809.48</v>
      </c>
      <c r="I1244">
        <v>4</v>
      </c>
      <c r="J1244">
        <v>55237.919999999998</v>
      </c>
      <c r="K1244">
        <v>4.7300000000000004</v>
      </c>
    </row>
    <row r="1245" spans="1:11" x14ac:dyDescent="0.35">
      <c r="A1245" s="1">
        <v>45568</v>
      </c>
      <c r="B1245" t="s">
        <v>1915</v>
      </c>
      <c r="C1245" t="s">
        <v>47</v>
      </c>
      <c r="D1245" t="s">
        <v>13</v>
      </c>
      <c r="E1245" t="s">
        <v>48</v>
      </c>
      <c r="F1245" t="s">
        <v>21</v>
      </c>
      <c r="G1245" t="s">
        <v>27</v>
      </c>
      <c r="H1245">
        <v>14739.88</v>
      </c>
      <c r="I1245">
        <v>1</v>
      </c>
      <c r="J1245">
        <v>14739.88</v>
      </c>
      <c r="K1245">
        <v>2.04</v>
      </c>
    </row>
    <row r="1246" spans="1:11" x14ac:dyDescent="0.35">
      <c r="A1246" s="1">
        <v>45569</v>
      </c>
      <c r="B1246" t="s">
        <v>122</v>
      </c>
      <c r="C1246" t="s">
        <v>47</v>
      </c>
      <c r="D1246" t="s">
        <v>13</v>
      </c>
      <c r="E1246" t="s">
        <v>48</v>
      </c>
      <c r="F1246" t="s">
        <v>15</v>
      </c>
      <c r="G1246" t="s">
        <v>16</v>
      </c>
      <c r="H1246">
        <v>19086.5</v>
      </c>
      <c r="I1246">
        <v>5</v>
      </c>
      <c r="J1246">
        <v>95432.5</v>
      </c>
      <c r="K1246">
        <v>3.75</v>
      </c>
    </row>
    <row r="1247" spans="1:11" x14ac:dyDescent="0.35">
      <c r="A1247" s="1">
        <v>45569</v>
      </c>
      <c r="B1247" t="s">
        <v>767</v>
      </c>
      <c r="C1247" t="s">
        <v>12</v>
      </c>
      <c r="D1247" t="s">
        <v>13</v>
      </c>
      <c r="E1247" t="s">
        <v>14</v>
      </c>
      <c r="F1247" t="s">
        <v>21</v>
      </c>
      <c r="G1247" t="s">
        <v>27</v>
      </c>
      <c r="H1247">
        <v>19845.78</v>
      </c>
      <c r="I1247">
        <v>1</v>
      </c>
      <c r="J1247">
        <v>19845.78</v>
      </c>
      <c r="K1247">
        <v>4.26</v>
      </c>
    </row>
    <row r="1248" spans="1:11" x14ac:dyDescent="0.35">
      <c r="A1248" s="1">
        <v>45569</v>
      </c>
      <c r="B1248" t="s">
        <v>1459</v>
      </c>
      <c r="C1248" t="s">
        <v>47</v>
      </c>
      <c r="D1248" t="s">
        <v>13</v>
      </c>
      <c r="E1248" t="s">
        <v>48</v>
      </c>
      <c r="F1248" t="s">
        <v>45</v>
      </c>
      <c r="G1248" t="s">
        <v>39</v>
      </c>
      <c r="H1248">
        <v>1943.08</v>
      </c>
      <c r="I1248">
        <v>3</v>
      </c>
      <c r="J1248">
        <v>5829.24</v>
      </c>
      <c r="K1248">
        <v>1.94</v>
      </c>
    </row>
    <row r="1249" spans="1:11" x14ac:dyDescent="0.35">
      <c r="A1249" s="1">
        <v>45570</v>
      </c>
      <c r="B1249" t="s">
        <v>1756</v>
      </c>
      <c r="C1249" t="s">
        <v>12</v>
      </c>
      <c r="D1249" t="s">
        <v>13</v>
      </c>
      <c r="E1249" t="s">
        <v>14</v>
      </c>
      <c r="F1249" t="s">
        <v>21</v>
      </c>
      <c r="G1249" t="s">
        <v>22</v>
      </c>
      <c r="H1249">
        <v>2372.85</v>
      </c>
      <c r="I1249">
        <v>5</v>
      </c>
      <c r="J1249">
        <v>11864.25</v>
      </c>
      <c r="K1249">
        <v>1.96</v>
      </c>
    </row>
    <row r="1250" spans="1:11" x14ac:dyDescent="0.35">
      <c r="A1250" s="1">
        <v>45571</v>
      </c>
      <c r="B1250" t="s">
        <v>987</v>
      </c>
      <c r="C1250" t="s">
        <v>34</v>
      </c>
      <c r="D1250" t="s">
        <v>13</v>
      </c>
      <c r="E1250" t="s">
        <v>35</v>
      </c>
      <c r="F1250" t="s">
        <v>15</v>
      </c>
      <c r="G1250" t="s">
        <v>27</v>
      </c>
      <c r="H1250">
        <v>16501.8</v>
      </c>
      <c r="I1250">
        <v>3</v>
      </c>
      <c r="J1250">
        <v>49505.4</v>
      </c>
      <c r="K1250">
        <v>2.69</v>
      </c>
    </row>
    <row r="1251" spans="1:11" x14ac:dyDescent="0.35">
      <c r="A1251" s="1">
        <v>45572</v>
      </c>
      <c r="B1251" t="s">
        <v>740</v>
      </c>
      <c r="C1251" t="s">
        <v>34</v>
      </c>
      <c r="D1251" t="s">
        <v>13</v>
      </c>
      <c r="E1251" t="s">
        <v>35</v>
      </c>
      <c r="F1251" t="s">
        <v>45</v>
      </c>
      <c r="G1251" t="s">
        <v>22</v>
      </c>
      <c r="H1251">
        <v>6871.93</v>
      </c>
      <c r="I1251">
        <v>3</v>
      </c>
      <c r="J1251">
        <v>20615.79</v>
      </c>
      <c r="K1251">
        <v>4.3600000000000003</v>
      </c>
    </row>
    <row r="1252" spans="1:11" x14ac:dyDescent="0.35">
      <c r="A1252" s="1">
        <v>45572</v>
      </c>
      <c r="B1252" t="s">
        <v>1029</v>
      </c>
      <c r="C1252" t="s">
        <v>47</v>
      </c>
      <c r="D1252" t="s">
        <v>13</v>
      </c>
      <c r="E1252" t="s">
        <v>48</v>
      </c>
      <c r="F1252" t="s">
        <v>21</v>
      </c>
      <c r="G1252" t="s">
        <v>27</v>
      </c>
      <c r="H1252">
        <v>3622.46</v>
      </c>
      <c r="I1252">
        <v>3</v>
      </c>
      <c r="J1252">
        <v>10867.38</v>
      </c>
      <c r="K1252">
        <v>2.1800000000000002</v>
      </c>
    </row>
    <row r="1253" spans="1:11" x14ac:dyDescent="0.35">
      <c r="A1253" s="1">
        <v>45572</v>
      </c>
      <c r="B1253" t="s">
        <v>1824</v>
      </c>
      <c r="C1253" t="s">
        <v>12</v>
      </c>
      <c r="D1253" t="s">
        <v>13</v>
      </c>
      <c r="E1253" t="s">
        <v>14</v>
      </c>
      <c r="F1253" t="s">
        <v>45</v>
      </c>
      <c r="G1253" t="s">
        <v>39</v>
      </c>
      <c r="H1253">
        <v>10175.61</v>
      </c>
      <c r="I1253">
        <v>2</v>
      </c>
      <c r="J1253">
        <v>20351.22</v>
      </c>
      <c r="K1253">
        <v>4.22</v>
      </c>
    </row>
    <row r="1254" spans="1:11" x14ac:dyDescent="0.35">
      <c r="A1254" s="1">
        <v>45573</v>
      </c>
      <c r="B1254" t="s">
        <v>955</v>
      </c>
      <c r="C1254" t="s">
        <v>34</v>
      </c>
      <c r="D1254" t="s">
        <v>13</v>
      </c>
      <c r="E1254" t="s">
        <v>35</v>
      </c>
      <c r="F1254" t="s">
        <v>15</v>
      </c>
      <c r="G1254" t="s">
        <v>22</v>
      </c>
      <c r="H1254">
        <v>6032.72</v>
      </c>
      <c r="I1254">
        <v>2</v>
      </c>
      <c r="J1254">
        <v>12065.44</v>
      </c>
      <c r="K1254">
        <v>4.1500000000000004</v>
      </c>
    </row>
    <row r="1255" spans="1:11" x14ac:dyDescent="0.35">
      <c r="A1255" s="1">
        <v>45573</v>
      </c>
      <c r="B1255" t="s">
        <v>1527</v>
      </c>
      <c r="C1255" t="s">
        <v>47</v>
      </c>
      <c r="D1255" t="s">
        <v>13</v>
      </c>
      <c r="E1255" t="s">
        <v>48</v>
      </c>
      <c r="F1255" t="s">
        <v>45</v>
      </c>
      <c r="G1255" t="s">
        <v>27</v>
      </c>
      <c r="H1255">
        <v>3098.74</v>
      </c>
      <c r="I1255">
        <v>2</v>
      </c>
      <c r="J1255">
        <v>6197.48</v>
      </c>
      <c r="K1255">
        <v>2.59</v>
      </c>
    </row>
    <row r="1256" spans="1:11" x14ac:dyDescent="0.35">
      <c r="A1256" s="1">
        <v>45574</v>
      </c>
      <c r="B1256" t="s">
        <v>1562</v>
      </c>
      <c r="C1256" t="s">
        <v>34</v>
      </c>
      <c r="D1256" t="s">
        <v>13</v>
      </c>
      <c r="E1256" t="s">
        <v>35</v>
      </c>
      <c r="F1256" t="s">
        <v>21</v>
      </c>
      <c r="G1256" t="s">
        <v>16</v>
      </c>
      <c r="H1256">
        <v>18439.29</v>
      </c>
      <c r="I1256">
        <v>4</v>
      </c>
      <c r="J1256">
        <v>73757.16</v>
      </c>
      <c r="K1256">
        <v>1.24</v>
      </c>
    </row>
    <row r="1257" spans="1:11" x14ac:dyDescent="0.35">
      <c r="A1257" s="1">
        <v>45577</v>
      </c>
      <c r="B1257" t="s">
        <v>575</v>
      </c>
      <c r="C1257" t="s">
        <v>34</v>
      </c>
      <c r="D1257" t="s">
        <v>13</v>
      </c>
      <c r="E1257" t="s">
        <v>35</v>
      </c>
      <c r="F1257" t="s">
        <v>45</v>
      </c>
      <c r="G1257" t="s">
        <v>32</v>
      </c>
      <c r="H1257">
        <v>13365.14</v>
      </c>
      <c r="I1257">
        <v>5</v>
      </c>
      <c r="J1257">
        <v>66825.7</v>
      </c>
      <c r="K1257">
        <v>1.69</v>
      </c>
    </row>
    <row r="1258" spans="1:11" x14ac:dyDescent="0.35">
      <c r="A1258" s="1">
        <v>45577</v>
      </c>
      <c r="B1258" t="s">
        <v>1102</v>
      </c>
      <c r="C1258" t="s">
        <v>12</v>
      </c>
      <c r="D1258" t="s">
        <v>13</v>
      </c>
      <c r="E1258" t="s">
        <v>14</v>
      </c>
      <c r="F1258" t="s">
        <v>15</v>
      </c>
      <c r="G1258" t="s">
        <v>27</v>
      </c>
      <c r="H1258">
        <v>7499.83</v>
      </c>
      <c r="I1258">
        <v>4</v>
      </c>
      <c r="J1258">
        <v>29999.32</v>
      </c>
      <c r="K1258">
        <v>3.64</v>
      </c>
    </row>
    <row r="1259" spans="1:11" x14ac:dyDescent="0.35">
      <c r="A1259" s="1">
        <v>45577</v>
      </c>
      <c r="B1259" t="s">
        <v>1188</v>
      </c>
      <c r="C1259" t="s">
        <v>34</v>
      </c>
      <c r="D1259" t="s">
        <v>13</v>
      </c>
      <c r="E1259" t="s">
        <v>35</v>
      </c>
      <c r="F1259" t="s">
        <v>45</v>
      </c>
      <c r="G1259" t="s">
        <v>16</v>
      </c>
      <c r="H1259">
        <v>9795.94</v>
      </c>
      <c r="I1259">
        <v>1</v>
      </c>
      <c r="J1259">
        <v>9795.94</v>
      </c>
      <c r="K1259">
        <v>2.4300000000000002</v>
      </c>
    </row>
    <row r="1260" spans="1:11" x14ac:dyDescent="0.35">
      <c r="A1260" s="1">
        <v>45577</v>
      </c>
      <c r="B1260" t="s">
        <v>1686</v>
      </c>
      <c r="C1260" t="s">
        <v>34</v>
      </c>
      <c r="D1260" t="s">
        <v>13</v>
      </c>
      <c r="E1260" t="s">
        <v>35</v>
      </c>
      <c r="F1260" t="s">
        <v>45</v>
      </c>
      <c r="G1260" t="s">
        <v>16</v>
      </c>
      <c r="H1260">
        <v>3150.89</v>
      </c>
      <c r="I1260">
        <v>3</v>
      </c>
      <c r="J1260">
        <v>9452.67</v>
      </c>
      <c r="K1260">
        <v>4.8899999999999997</v>
      </c>
    </row>
    <row r="1261" spans="1:11" x14ac:dyDescent="0.35">
      <c r="A1261" s="1">
        <v>45578</v>
      </c>
      <c r="B1261" t="s">
        <v>1217</v>
      </c>
      <c r="C1261" t="s">
        <v>12</v>
      </c>
      <c r="D1261" t="s">
        <v>13</v>
      </c>
      <c r="E1261" t="s">
        <v>14</v>
      </c>
      <c r="F1261" t="s">
        <v>21</v>
      </c>
      <c r="G1261" t="s">
        <v>39</v>
      </c>
      <c r="H1261">
        <v>3514.93</v>
      </c>
      <c r="I1261">
        <v>3</v>
      </c>
      <c r="J1261">
        <v>10544.79</v>
      </c>
      <c r="K1261">
        <v>3.52</v>
      </c>
    </row>
    <row r="1262" spans="1:11" x14ac:dyDescent="0.35">
      <c r="A1262" s="1">
        <v>45580</v>
      </c>
      <c r="B1262" t="s">
        <v>88</v>
      </c>
      <c r="C1262" t="s">
        <v>34</v>
      </c>
      <c r="D1262" t="s">
        <v>13</v>
      </c>
      <c r="E1262" t="s">
        <v>35</v>
      </c>
      <c r="F1262" t="s">
        <v>21</v>
      </c>
      <c r="G1262" t="s">
        <v>27</v>
      </c>
      <c r="H1262">
        <v>8545.16</v>
      </c>
      <c r="I1262">
        <v>2</v>
      </c>
      <c r="J1262">
        <v>17090.32</v>
      </c>
      <c r="K1262">
        <v>1.57</v>
      </c>
    </row>
    <row r="1263" spans="1:11" x14ac:dyDescent="0.35">
      <c r="A1263" s="1">
        <v>45581</v>
      </c>
      <c r="B1263" t="s">
        <v>230</v>
      </c>
      <c r="C1263" t="s">
        <v>34</v>
      </c>
      <c r="D1263" t="s">
        <v>13</v>
      </c>
      <c r="E1263" t="s">
        <v>35</v>
      </c>
      <c r="F1263" t="s">
        <v>21</v>
      </c>
      <c r="G1263" t="s">
        <v>39</v>
      </c>
      <c r="H1263">
        <v>7164.15</v>
      </c>
      <c r="I1263">
        <v>1</v>
      </c>
      <c r="J1263">
        <v>7164.15</v>
      </c>
      <c r="K1263">
        <v>3.64</v>
      </c>
    </row>
    <row r="1264" spans="1:11" x14ac:dyDescent="0.35">
      <c r="A1264" s="1">
        <v>45581</v>
      </c>
      <c r="B1264" t="s">
        <v>449</v>
      </c>
      <c r="C1264" t="s">
        <v>12</v>
      </c>
      <c r="D1264" t="s">
        <v>13</v>
      </c>
      <c r="E1264" t="s">
        <v>14</v>
      </c>
      <c r="F1264" t="s">
        <v>45</v>
      </c>
      <c r="G1264" t="s">
        <v>22</v>
      </c>
      <c r="H1264">
        <v>510.03</v>
      </c>
      <c r="I1264">
        <v>3</v>
      </c>
      <c r="J1264">
        <v>1530.09</v>
      </c>
      <c r="K1264">
        <v>3.99</v>
      </c>
    </row>
    <row r="1265" spans="1:11" x14ac:dyDescent="0.35">
      <c r="A1265" s="1">
        <v>45581</v>
      </c>
      <c r="B1265" t="s">
        <v>472</v>
      </c>
      <c r="C1265" t="s">
        <v>12</v>
      </c>
      <c r="D1265" t="s">
        <v>13</v>
      </c>
      <c r="E1265" t="s">
        <v>14</v>
      </c>
      <c r="F1265" t="s">
        <v>21</v>
      </c>
      <c r="G1265" t="s">
        <v>32</v>
      </c>
      <c r="H1265">
        <v>3572.43</v>
      </c>
      <c r="I1265">
        <v>3</v>
      </c>
      <c r="J1265">
        <v>10717.29</v>
      </c>
      <c r="K1265">
        <v>4.8099999999999996</v>
      </c>
    </row>
    <row r="1266" spans="1:11" x14ac:dyDescent="0.35">
      <c r="A1266" s="1">
        <v>45581</v>
      </c>
      <c r="B1266" t="s">
        <v>778</v>
      </c>
      <c r="C1266" t="s">
        <v>47</v>
      </c>
      <c r="D1266" t="s">
        <v>13</v>
      </c>
      <c r="E1266" t="s">
        <v>48</v>
      </c>
      <c r="F1266" t="s">
        <v>15</v>
      </c>
      <c r="G1266" t="s">
        <v>27</v>
      </c>
      <c r="H1266">
        <v>17310.57</v>
      </c>
      <c r="I1266">
        <v>4</v>
      </c>
      <c r="J1266">
        <v>69242.28</v>
      </c>
      <c r="K1266">
        <v>4.42</v>
      </c>
    </row>
    <row r="1267" spans="1:11" x14ac:dyDescent="0.35">
      <c r="A1267" s="1">
        <v>45581</v>
      </c>
      <c r="B1267" t="s">
        <v>808</v>
      </c>
      <c r="C1267" t="s">
        <v>47</v>
      </c>
      <c r="D1267" t="s">
        <v>13</v>
      </c>
      <c r="E1267" t="s">
        <v>48</v>
      </c>
      <c r="F1267" t="s">
        <v>45</v>
      </c>
      <c r="G1267" t="s">
        <v>32</v>
      </c>
      <c r="H1267">
        <v>17594.5</v>
      </c>
      <c r="I1267">
        <v>3</v>
      </c>
      <c r="J1267">
        <v>52783.5</v>
      </c>
      <c r="K1267">
        <v>1.18</v>
      </c>
    </row>
    <row r="1268" spans="1:11" x14ac:dyDescent="0.35">
      <c r="A1268" s="1">
        <v>45581</v>
      </c>
      <c r="B1268" t="s">
        <v>1498</v>
      </c>
      <c r="C1268" t="s">
        <v>12</v>
      </c>
      <c r="D1268" t="s">
        <v>13</v>
      </c>
      <c r="E1268" t="s">
        <v>14</v>
      </c>
      <c r="F1268" t="s">
        <v>21</v>
      </c>
      <c r="G1268" t="s">
        <v>22</v>
      </c>
      <c r="H1268">
        <v>19435.88</v>
      </c>
      <c r="I1268">
        <v>1</v>
      </c>
      <c r="J1268">
        <v>19435.88</v>
      </c>
      <c r="K1268">
        <v>1.1100000000000001</v>
      </c>
    </row>
    <row r="1269" spans="1:11" x14ac:dyDescent="0.35">
      <c r="A1269" s="1">
        <v>45581</v>
      </c>
      <c r="B1269" t="s">
        <v>1586</v>
      </c>
      <c r="C1269" t="s">
        <v>47</v>
      </c>
      <c r="D1269" t="s">
        <v>13</v>
      </c>
      <c r="E1269" t="s">
        <v>48</v>
      </c>
      <c r="F1269" t="s">
        <v>15</v>
      </c>
      <c r="G1269" t="s">
        <v>60</v>
      </c>
      <c r="H1269">
        <v>14866.42</v>
      </c>
      <c r="I1269">
        <v>3</v>
      </c>
      <c r="J1269">
        <v>44599.26</v>
      </c>
      <c r="K1269">
        <v>3.35</v>
      </c>
    </row>
    <row r="1270" spans="1:11" x14ac:dyDescent="0.35">
      <c r="A1270" s="1">
        <v>45582</v>
      </c>
      <c r="B1270" t="s">
        <v>791</v>
      </c>
      <c r="C1270" t="s">
        <v>34</v>
      </c>
      <c r="D1270" t="s">
        <v>13</v>
      </c>
      <c r="E1270" t="s">
        <v>35</v>
      </c>
      <c r="F1270" t="s">
        <v>21</v>
      </c>
      <c r="G1270" t="s">
        <v>16</v>
      </c>
      <c r="H1270">
        <v>8106.78</v>
      </c>
      <c r="I1270">
        <v>2</v>
      </c>
      <c r="J1270">
        <v>16213.56</v>
      </c>
      <c r="K1270">
        <v>3.37</v>
      </c>
    </row>
    <row r="1271" spans="1:11" x14ac:dyDescent="0.35">
      <c r="A1271" s="1">
        <v>45582</v>
      </c>
      <c r="B1271" t="s">
        <v>1032</v>
      </c>
      <c r="C1271" t="s">
        <v>34</v>
      </c>
      <c r="D1271" t="s">
        <v>13</v>
      </c>
      <c r="E1271" t="s">
        <v>35</v>
      </c>
      <c r="F1271" t="s">
        <v>15</v>
      </c>
      <c r="G1271" t="s">
        <v>22</v>
      </c>
      <c r="H1271">
        <v>2465.58</v>
      </c>
      <c r="I1271">
        <v>3</v>
      </c>
      <c r="J1271">
        <v>7396.74</v>
      </c>
      <c r="K1271">
        <v>2.54</v>
      </c>
    </row>
    <row r="1272" spans="1:11" x14ac:dyDescent="0.35">
      <c r="A1272" s="1">
        <v>45582</v>
      </c>
      <c r="B1272" t="s">
        <v>1360</v>
      </c>
      <c r="C1272" t="s">
        <v>12</v>
      </c>
      <c r="D1272" t="s">
        <v>13</v>
      </c>
      <c r="E1272" t="s">
        <v>14</v>
      </c>
      <c r="F1272" t="s">
        <v>15</v>
      </c>
      <c r="G1272" t="s">
        <v>27</v>
      </c>
      <c r="H1272">
        <v>16957.46</v>
      </c>
      <c r="I1272">
        <v>3</v>
      </c>
      <c r="J1272">
        <v>50872.38</v>
      </c>
      <c r="K1272">
        <v>4.22</v>
      </c>
    </row>
    <row r="1273" spans="1:11" x14ac:dyDescent="0.35">
      <c r="A1273" s="1">
        <v>45584</v>
      </c>
      <c r="B1273" t="s">
        <v>133</v>
      </c>
      <c r="C1273" t="s">
        <v>12</v>
      </c>
      <c r="D1273" t="s">
        <v>13</v>
      </c>
      <c r="E1273" t="s">
        <v>14</v>
      </c>
      <c r="F1273" t="s">
        <v>15</v>
      </c>
      <c r="G1273" t="s">
        <v>27</v>
      </c>
      <c r="H1273">
        <v>5026.21</v>
      </c>
      <c r="I1273">
        <v>1</v>
      </c>
      <c r="J1273">
        <v>5026.21</v>
      </c>
      <c r="K1273">
        <v>3.36</v>
      </c>
    </row>
    <row r="1274" spans="1:11" x14ac:dyDescent="0.35">
      <c r="A1274" s="1">
        <v>45585</v>
      </c>
      <c r="B1274" t="s">
        <v>397</v>
      </c>
      <c r="C1274" t="s">
        <v>47</v>
      </c>
      <c r="D1274" t="s">
        <v>13</v>
      </c>
      <c r="E1274" t="s">
        <v>48</v>
      </c>
      <c r="F1274" t="s">
        <v>15</v>
      </c>
      <c r="G1274" t="s">
        <v>32</v>
      </c>
      <c r="H1274">
        <v>3578.64</v>
      </c>
      <c r="I1274">
        <v>1</v>
      </c>
      <c r="J1274">
        <v>3578.64</v>
      </c>
      <c r="K1274">
        <v>3.79</v>
      </c>
    </row>
    <row r="1275" spans="1:11" x14ac:dyDescent="0.35">
      <c r="A1275" s="1">
        <v>45585</v>
      </c>
      <c r="B1275" t="s">
        <v>1406</v>
      </c>
      <c r="C1275" t="s">
        <v>34</v>
      </c>
      <c r="D1275" t="s">
        <v>13</v>
      </c>
      <c r="E1275" t="s">
        <v>35</v>
      </c>
      <c r="F1275" t="s">
        <v>15</v>
      </c>
      <c r="G1275" t="s">
        <v>32</v>
      </c>
      <c r="H1275">
        <v>13495.32</v>
      </c>
      <c r="I1275">
        <v>5</v>
      </c>
      <c r="J1275">
        <v>67476.600000000006</v>
      </c>
      <c r="K1275">
        <v>1.3</v>
      </c>
    </row>
    <row r="1276" spans="1:11" x14ac:dyDescent="0.35">
      <c r="A1276" s="1">
        <v>45585</v>
      </c>
      <c r="B1276" t="s">
        <v>1709</v>
      </c>
      <c r="C1276" t="s">
        <v>34</v>
      </c>
      <c r="D1276" t="s">
        <v>13</v>
      </c>
      <c r="E1276" t="s">
        <v>35</v>
      </c>
      <c r="F1276" t="s">
        <v>45</v>
      </c>
      <c r="G1276" t="s">
        <v>39</v>
      </c>
      <c r="H1276">
        <v>9438.1200000000008</v>
      </c>
      <c r="I1276">
        <v>2</v>
      </c>
      <c r="J1276">
        <v>18876.240000000002</v>
      </c>
      <c r="K1276">
        <v>2.21</v>
      </c>
    </row>
    <row r="1277" spans="1:11" x14ac:dyDescent="0.35">
      <c r="A1277" s="1">
        <v>45585</v>
      </c>
      <c r="B1277" t="s">
        <v>1937</v>
      </c>
      <c r="C1277" t="s">
        <v>47</v>
      </c>
      <c r="D1277" t="s">
        <v>13</v>
      </c>
      <c r="E1277" t="s">
        <v>48</v>
      </c>
      <c r="F1277" t="s">
        <v>15</v>
      </c>
      <c r="G1277" t="s">
        <v>27</v>
      </c>
      <c r="H1277">
        <v>15848.15</v>
      </c>
      <c r="I1277">
        <v>3</v>
      </c>
      <c r="J1277">
        <v>47544.45</v>
      </c>
      <c r="K1277">
        <v>3.15</v>
      </c>
    </row>
    <row r="1278" spans="1:11" x14ac:dyDescent="0.35">
      <c r="A1278" s="1">
        <v>45586</v>
      </c>
      <c r="B1278" t="s">
        <v>739</v>
      </c>
      <c r="C1278" t="s">
        <v>12</v>
      </c>
      <c r="D1278" t="s">
        <v>13</v>
      </c>
      <c r="E1278" t="s">
        <v>14</v>
      </c>
      <c r="F1278" t="s">
        <v>45</v>
      </c>
      <c r="G1278" t="s">
        <v>16</v>
      </c>
      <c r="H1278">
        <v>16683.04</v>
      </c>
      <c r="I1278">
        <v>3</v>
      </c>
      <c r="J1278">
        <v>50049.120000000003</v>
      </c>
      <c r="K1278">
        <v>1.45</v>
      </c>
    </row>
    <row r="1279" spans="1:11" x14ac:dyDescent="0.35">
      <c r="A1279" s="1">
        <v>45586</v>
      </c>
      <c r="B1279" t="s">
        <v>1043</v>
      </c>
      <c r="C1279" t="s">
        <v>12</v>
      </c>
      <c r="D1279" t="s">
        <v>13</v>
      </c>
      <c r="E1279" t="s">
        <v>14</v>
      </c>
      <c r="F1279" t="s">
        <v>15</v>
      </c>
      <c r="G1279" t="s">
        <v>27</v>
      </c>
      <c r="H1279">
        <v>12653.34</v>
      </c>
      <c r="I1279">
        <v>2</v>
      </c>
      <c r="J1279">
        <v>25306.68</v>
      </c>
      <c r="K1279">
        <v>3.26</v>
      </c>
    </row>
    <row r="1280" spans="1:11" x14ac:dyDescent="0.35">
      <c r="A1280" s="1">
        <v>45587</v>
      </c>
      <c r="B1280" t="s">
        <v>321</v>
      </c>
      <c r="C1280" t="s">
        <v>34</v>
      </c>
      <c r="D1280" t="s">
        <v>13</v>
      </c>
      <c r="E1280" t="s">
        <v>35</v>
      </c>
      <c r="F1280" t="s">
        <v>21</v>
      </c>
      <c r="G1280" t="s">
        <v>16</v>
      </c>
      <c r="H1280">
        <v>806.86</v>
      </c>
      <c r="I1280">
        <v>3</v>
      </c>
      <c r="J1280">
        <v>2420.58</v>
      </c>
      <c r="K1280">
        <v>1.97</v>
      </c>
    </row>
    <row r="1281" spans="1:11" x14ac:dyDescent="0.35">
      <c r="A1281" s="1">
        <v>45587</v>
      </c>
      <c r="B1281" t="s">
        <v>684</v>
      </c>
      <c r="C1281" t="s">
        <v>12</v>
      </c>
      <c r="D1281" t="s">
        <v>13</v>
      </c>
      <c r="E1281" t="s">
        <v>14</v>
      </c>
      <c r="F1281" t="s">
        <v>21</v>
      </c>
      <c r="G1281" t="s">
        <v>27</v>
      </c>
      <c r="H1281">
        <v>17554.95</v>
      </c>
      <c r="I1281">
        <v>3</v>
      </c>
      <c r="J1281">
        <v>52664.85</v>
      </c>
      <c r="K1281">
        <v>2.0299999999999998</v>
      </c>
    </row>
    <row r="1282" spans="1:11" x14ac:dyDescent="0.35">
      <c r="A1282" s="1">
        <v>45588</v>
      </c>
      <c r="B1282" t="s">
        <v>517</v>
      </c>
      <c r="C1282" t="s">
        <v>34</v>
      </c>
      <c r="D1282" t="s">
        <v>13</v>
      </c>
      <c r="E1282" t="s">
        <v>35</v>
      </c>
      <c r="F1282" t="s">
        <v>15</v>
      </c>
      <c r="G1282" t="s">
        <v>16</v>
      </c>
      <c r="H1282">
        <v>1225.08</v>
      </c>
      <c r="I1282">
        <v>3</v>
      </c>
      <c r="J1282">
        <v>3675.24</v>
      </c>
      <c r="K1282">
        <v>4.8600000000000003</v>
      </c>
    </row>
    <row r="1283" spans="1:11" x14ac:dyDescent="0.35">
      <c r="A1283" s="1">
        <v>45588</v>
      </c>
      <c r="B1283" t="s">
        <v>1788</v>
      </c>
      <c r="C1283" t="s">
        <v>12</v>
      </c>
      <c r="D1283" t="s">
        <v>13</v>
      </c>
      <c r="E1283" t="s">
        <v>14</v>
      </c>
      <c r="F1283" t="s">
        <v>45</v>
      </c>
      <c r="G1283" t="s">
        <v>60</v>
      </c>
      <c r="H1283">
        <v>13262.29</v>
      </c>
      <c r="I1283">
        <v>3</v>
      </c>
      <c r="J1283">
        <v>39786.870000000003</v>
      </c>
      <c r="K1283">
        <v>4.7300000000000004</v>
      </c>
    </row>
    <row r="1284" spans="1:11" x14ac:dyDescent="0.35">
      <c r="A1284" s="1">
        <v>45588</v>
      </c>
      <c r="B1284" t="s">
        <v>1974</v>
      </c>
      <c r="C1284" t="s">
        <v>34</v>
      </c>
      <c r="D1284" t="s">
        <v>13</v>
      </c>
      <c r="E1284" t="s">
        <v>35</v>
      </c>
      <c r="F1284" t="s">
        <v>15</v>
      </c>
      <c r="G1284" t="s">
        <v>16</v>
      </c>
      <c r="H1284">
        <v>13604.7</v>
      </c>
      <c r="I1284">
        <v>1</v>
      </c>
      <c r="J1284">
        <v>13604.7</v>
      </c>
      <c r="K1284">
        <v>3.31</v>
      </c>
    </row>
    <row r="1285" spans="1:11" x14ac:dyDescent="0.35">
      <c r="A1285" s="1">
        <v>45589</v>
      </c>
      <c r="B1285" t="s">
        <v>1603</v>
      </c>
      <c r="C1285" t="s">
        <v>34</v>
      </c>
      <c r="D1285" t="s">
        <v>13</v>
      </c>
      <c r="E1285" t="s">
        <v>35</v>
      </c>
      <c r="F1285" t="s">
        <v>15</v>
      </c>
      <c r="G1285" t="s">
        <v>60</v>
      </c>
      <c r="H1285">
        <v>14731.57</v>
      </c>
      <c r="I1285">
        <v>1</v>
      </c>
      <c r="J1285">
        <v>14731.57</v>
      </c>
      <c r="K1285">
        <v>2.11</v>
      </c>
    </row>
    <row r="1286" spans="1:11" x14ac:dyDescent="0.35">
      <c r="A1286" s="1">
        <v>45591</v>
      </c>
      <c r="B1286" t="s">
        <v>892</v>
      </c>
      <c r="C1286" t="s">
        <v>34</v>
      </c>
      <c r="D1286" t="s">
        <v>13</v>
      </c>
      <c r="E1286" t="s">
        <v>35</v>
      </c>
      <c r="F1286" t="s">
        <v>45</v>
      </c>
      <c r="G1286" t="s">
        <v>27</v>
      </c>
      <c r="H1286">
        <v>11389.67</v>
      </c>
      <c r="I1286">
        <v>4</v>
      </c>
      <c r="J1286">
        <v>45558.68</v>
      </c>
      <c r="K1286">
        <v>2.35</v>
      </c>
    </row>
    <row r="1287" spans="1:11" x14ac:dyDescent="0.35">
      <c r="A1287" s="1">
        <v>45591</v>
      </c>
      <c r="B1287" t="s">
        <v>1432</v>
      </c>
      <c r="C1287" t="s">
        <v>47</v>
      </c>
      <c r="D1287" t="s">
        <v>13</v>
      </c>
      <c r="E1287" t="s">
        <v>48</v>
      </c>
      <c r="F1287" t="s">
        <v>45</v>
      </c>
      <c r="G1287" t="s">
        <v>39</v>
      </c>
      <c r="H1287">
        <v>17591.52</v>
      </c>
      <c r="I1287">
        <v>3</v>
      </c>
      <c r="J1287">
        <v>52774.559999999998</v>
      </c>
      <c r="K1287">
        <v>1.42</v>
      </c>
    </row>
    <row r="1288" spans="1:11" x14ac:dyDescent="0.35">
      <c r="A1288" s="1">
        <v>45592</v>
      </c>
      <c r="B1288" t="s">
        <v>675</v>
      </c>
      <c r="C1288" t="s">
        <v>47</v>
      </c>
      <c r="D1288" t="s">
        <v>13</v>
      </c>
      <c r="E1288" t="s">
        <v>48</v>
      </c>
      <c r="F1288" t="s">
        <v>45</v>
      </c>
      <c r="G1288" t="s">
        <v>32</v>
      </c>
      <c r="H1288">
        <v>9180.7999999999993</v>
      </c>
      <c r="I1288">
        <v>2</v>
      </c>
      <c r="J1288">
        <v>18361.599999999999</v>
      </c>
      <c r="K1288">
        <v>2.93</v>
      </c>
    </row>
    <row r="1289" spans="1:11" x14ac:dyDescent="0.35">
      <c r="A1289" s="1">
        <v>45594</v>
      </c>
      <c r="B1289" t="s">
        <v>117</v>
      </c>
      <c r="C1289" t="s">
        <v>12</v>
      </c>
      <c r="D1289" t="s">
        <v>13</v>
      </c>
      <c r="E1289" t="s">
        <v>14</v>
      </c>
      <c r="F1289" t="s">
        <v>45</v>
      </c>
      <c r="G1289" t="s">
        <v>32</v>
      </c>
      <c r="H1289">
        <v>7881.58</v>
      </c>
      <c r="I1289">
        <v>4</v>
      </c>
      <c r="J1289">
        <v>31526.32</v>
      </c>
      <c r="K1289">
        <v>3.73</v>
      </c>
    </row>
    <row r="1290" spans="1:11" x14ac:dyDescent="0.35">
      <c r="A1290" s="1">
        <v>45595</v>
      </c>
      <c r="B1290" t="s">
        <v>607</v>
      </c>
      <c r="C1290" t="s">
        <v>34</v>
      </c>
      <c r="D1290" t="s">
        <v>13</v>
      </c>
      <c r="E1290" t="s">
        <v>35</v>
      </c>
      <c r="F1290" t="s">
        <v>45</v>
      </c>
      <c r="G1290" t="s">
        <v>39</v>
      </c>
      <c r="H1290">
        <v>11466.7</v>
      </c>
      <c r="I1290">
        <v>5</v>
      </c>
      <c r="J1290">
        <v>57333.5</v>
      </c>
      <c r="K1290">
        <v>3.42</v>
      </c>
    </row>
    <row r="1291" spans="1:11" x14ac:dyDescent="0.35">
      <c r="A1291" s="1">
        <v>45595</v>
      </c>
      <c r="B1291" t="s">
        <v>617</v>
      </c>
      <c r="C1291" t="s">
        <v>34</v>
      </c>
      <c r="D1291" t="s">
        <v>13</v>
      </c>
      <c r="E1291" t="s">
        <v>35</v>
      </c>
      <c r="F1291" t="s">
        <v>15</v>
      </c>
      <c r="G1291" t="s">
        <v>32</v>
      </c>
      <c r="H1291">
        <v>3807.48</v>
      </c>
      <c r="I1291">
        <v>3</v>
      </c>
      <c r="J1291">
        <v>11422.44</v>
      </c>
      <c r="K1291">
        <v>3.34</v>
      </c>
    </row>
    <row r="1292" spans="1:11" x14ac:dyDescent="0.35">
      <c r="A1292" s="1">
        <v>45595</v>
      </c>
      <c r="B1292" t="s">
        <v>646</v>
      </c>
      <c r="C1292" t="s">
        <v>12</v>
      </c>
      <c r="D1292" t="s">
        <v>13</v>
      </c>
      <c r="E1292" t="s">
        <v>14</v>
      </c>
      <c r="F1292" t="s">
        <v>15</v>
      </c>
      <c r="G1292" t="s">
        <v>32</v>
      </c>
      <c r="H1292">
        <v>4256.37</v>
      </c>
      <c r="I1292">
        <v>5</v>
      </c>
      <c r="J1292">
        <v>21281.85</v>
      </c>
      <c r="K1292">
        <v>1.55</v>
      </c>
    </row>
    <row r="1293" spans="1:11" x14ac:dyDescent="0.35">
      <c r="A1293" s="1">
        <v>45595</v>
      </c>
      <c r="B1293" t="s">
        <v>1108</v>
      </c>
      <c r="C1293" t="s">
        <v>12</v>
      </c>
      <c r="D1293" t="s">
        <v>13</v>
      </c>
      <c r="E1293" t="s">
        <v>14</v>
      </c>
      <c r="F1293" t="s">
        <v>15</v>
      </c>
      <c r="G1293" t="s">
        <v>16</v>
      </c>
      <c r="H1293">
        <v>18510.22</v>
      </c>
      <c r="I1293">
        <v>1</v>
      </c>
      <c r="J1293">
        <v>18510.22</v>
      </c>
      <c r="K1293">
        <v>3.73</v>
      </c>
    </row>
    <row r="1294" spans="1:11" x14ac:dyDescent="0.35">
      <c r="A1294" s="1">
        <v>45596</v>
      </c>
      <c r="B1294" t="s">
        <v>718</v>
      </c>
      <c r="C1294" t="s">
        <v>34</v>
      </c>
      <c r="D1294" t="s">
        <v>13</v>
      </c>
      <c r="E1294" t="s">
        <v>35</v>
      </c>
      <c r="F1294" t="s">
        <v>45</v>
      </c>
      <c r="G1294" t="s">
        <v>16</v>
      </c>
      <c r="H1294">
        <v>13255.83</v>
      </c>
      <c r="I1294">
        <v>1</v>
      </c>
      <c r="J1294">
        <v>13255.83</v>
      </c>
      <c r="K1294">
        <v>2.73</v>
      </c>
    </row>
    <row r="1295" spans="1:11" x14ac:dyDescent="0.35">
      <c r="A1295" s="1">
        <v>45596</v>
      </c>
      <c r="B1295" t="s">
        <v>953</v>
      </c>
      <c r="C1295" t="s">
        <v>34</v>
      </c>
      <c r="D1295" t="s">
        <v>13</v>
      </c>
      <c r="E1295" t="s">
        <v>35</v>
      </c>
      <c r="F1295" t="s">
        <v>45</v>
      </c>
      <c r="G1295" t="s">
        <v>39</v>
      </c>
      <c r="H1295">
        <v>4292.37</v>
      </c>
      <c r="I1295">
        <v>1</v>
      </c>
      <c r="J1295">
        <v>4292.37</v>
      </c>
      <c r="K1295">
        <v>2.5299999999999998</v>
      </c>
    </row>
    <row r="1296" spans="1:11" x14ac:dyDescent="0.35">
      <c r="A1296" s="1">
        <v>45596</v>
      </c>
      <c r="B1296" t="s">
        <v>1250</v>
      </c>
      <c r="C1296" t="s">
        <v>34</v>
      </c>
      <c r="D1296" t="s">
        <v>13</v>
      </c>
      <c r="E1296" t="s">
        <v>35</v>
      </c>
      <c r="F1296" t="s">
        <v>45</v>
      </c>
      <c r="G1296" t="s">
        <v>27</v>
      </c>
      <c r="H1296">
        <v>5219.28</v>
      </c>
      <c r="I1296">
        <v>3</v>
      </c>
      <c r="J1296">
        <v>15657.84</v>
      </c>
      <c r="K1296">
        <v>3.11</v>
      </c>
    </row>
    <row r="1297" spans="1:11" x14ac:dyDescent="0.35">
      <c r="A1297" s="1">
        <v>45596</v>
      </c>
      <c r="B1297" t="s">
        <v>2010</v>
      </c>
      <c r="C1297" t="s">
        <v>12</v>
      </c>
      <c r="D1297" t="s">
        <v>13</v>
      </c>
      <c r="E1297" t="s">
        <v>14</v>
      </c>
      <c r="F1297" t="s">
        <v>21</v>
      </c>
      <c r="G1297" t="s">
        <v>27</v>
      </c>
      <c r="H1297">
        <v>8763.31</v>
      </c>
      <c r="I1297">
        <v>5</v>
      </c>
      <c r="J1297">
        <v>43816.55</v>
      </c>
      <c r="K1297">
        <v>2.5499999999999998</v>
      </c>
    </row>
    <row r="1298" spans="1:11" x14ac:dyDescent="0.35">
      <c r="A1298" s="1">
        <v>45597</v>
      </c>
      <c r="B1298" t="s">
        <v>158</v>
      </c>
      <c r="C1298" t="s">
        <v>12</v>
      </c>
      <c r="D1298" t="s">
        <v>13</v>
      </c>
      <c r="E1298" t="s">
        <v>14</v>
      </c>
      <c r="F1298" t="s">
        <v>15</v>
      </c>
      <c r="G1298" t="s">
        <v>16</v>
      </c>
      <c r="H1298">
        <v>5317.74</v>
      </c>
      <c r="I1298">
        <v>2</v>
      </c>
      <c r="J1298">
        <v>10635.48</v>
      </c>
      <c r="K1298">
        <v>1.87</v>
      </c>
    </row>
    <row r="1299" spans="1:11" x14ac:dyDescent="0.35">
      <c r="A1299" s="1">
        <v>45597</v>
      </c>
      <c r="B1299" t="s">
        <v>1941</v>
      </c>
      <c r="C1299" t="s">
        <v>12</v>
      </c>
      <c r="D1299" t="s">
        <v>13</v>
      </c>
      <c r="E1299" t="s">
        <v>14</v>
      </c>
      <c r="F1299" t="s">
        <v>15</v>
      </c>
      <c r="G1299" t="s">
        <v>22</v>
      </c>
      <c r="H1299">
        <v>10060.620000000001</v>
      </c>
      <c r="I1299">
        <v>2</v>
      </c>
      <c r="J1299">
        <v>20121.240000000002</v>
      </c>
      <c r="K1299">
        <v>2.62</v>
      </c>
    </row>
    <row r="1300" spans="1:11" x14ac:dyDescent="0.35">
      <c r="A1300" s="1">
        <v>45598</v>
      </c>
      <c r="B1300" t="s">
        <v>315</v>
      </c>
      <c r="C1300" t="s">
        <v>12</v>
      </c>
      <c r="D1300" t="s">
        <v>13</v>
      </c>
      <c r="E1300" t="s">
        <v>14</v>
      </c>
      <c r="F1300" t="s">
        <v>21</v>
      </c>
      <c r="G1300" t="s">
        <v>22</v>
      </c>
      <c r="H1300">
        <v>17023.759999999998</v>
      </c>
      <c r="I1300">
        <v>4</v>
      </c>
      <c r="J1300">
        <v>68095.039999999994</v>
      </c>
      <c r="K1300">
        <v>3.65</v>
      </c>
    </row>
    <row r="1301" spans="1:11" x14ac:dyDescent="0.35">
      <c r="A1301" s="1">
        <v>45598</v>
      </c>
      <c r="B1301" t="s">
        <v>1676</v>
      </c>
      <c r="C1301" t="s">
        <v>47</v>
      </c>
      <c r="D1301" t="s">
        <v>13</v>
      </c>
      <c r="E1301" t="s">
        <v>48</v>
      </c>
      <c r="F1301" t="s">
        <v>15</v>
      </c>
      <c r="G1301" t="s">
        <v>60</v>
      </c>
      <c r="H1301">
        <v>10131.49</v>
      </c>
      <c r="I1301">
        <v>2</v>
      </c>
      <c r="J1301">
        <v>20262.98</v>
      </c>
      <c r="K1301">
        <v>2.52</v>
      </c>
    </row>
    <row r="1302" spans="1:11" x14ac:dyDescent="0.35">
      <c r="A1302" s="1">
        <v>45600</v>
      </c>
      <c r="B1302" t="s">
        <v>119</v>
      </c>
      <c r="C1302" t="s">
        <v>34</v>
      </c>
      <c r="D1302" t="s">
        <v>13</v>
      </c>
      <c r="E1302" t="s">
        <v>35</v>
      </c>
      <c r="F1302" t="s">
        <v>15</v>
      </c>
      <c r="G1302" t="s">
        <v>22</v>
      </c>
      <c r="H1302">
        <v>13558.27</v>
      </c>
      <c r="I1302">
        <v>1</v>
      </c>
      <c r="J1302">
        <v>13558.27</v>
      </c>
      <c r="K1302">
        <v>2.5299999999999998</v>
      </c>
    </row>
    <row r="1303" spans="1:11" x14ac:dyDescent="0.35">
      <c r="A1303" s="1">
        <v>45600</v>
      </c>
      <c r="B1303" t="s">
        <v>1134</v>
      </c>
      <c r="C1303" t="s">
        <v>34</v>
      </c>
      <c r="D1303" t="s">
        <v>13</v>
      </c>
      <c r="E1303" t="s">
        <v>35</v>
      </c>
      <c r="F1303" t="s">
        <v>15</v>
      </c>
      <c r="G1303" t="s">
        <v>27</v>
      </c>
      <c r="H1303">
        <v>9139.01</v>
      </c>
      <c r="I1303">
        <v>1</v>
      </c>
      <c r="J1303">
        <v>9139.01</v>
      </c>
      <c r="K1303">
        <v>2.96</v>
      </c>
    </row>
    <row r="1304" spans="1:11" x14ac:dyDescent="0.35">
      <c r="A1304" s="1">
        <v>45600</v>
      </c>
      <c r="B1304" t="s">
        <v>1765</v>
      </c>
      <c r="C1304" t="s">
        <v>34</v>
      </c>
      <c r="D1304" t="s">
        <v>13</v>
      </c>
      <c r="E1304" t="s">
        <v>35</v>
      </c>
      <c r="F1304" t="s">
        <v>21</v>
      </c>
      <c r="G1304" t="s">
        <v>27</v>
      </c>
      <c r="H1304">
        <v>2883.65</v>
      </c>
      <c r="I1304">
        <v>1</v>
      </c>
      <c r="J1304">
        <v>2883.65</v>
      </c>
      <c r="K1304">
        <v>3.23</v>
      </c>
    </row>
    <row r="1305" spans="1:11" x14ac:dyDescent="0.35">
      <c r="A1305" s="1">
        <v>45601</v>
      </c>
      <c r="B1305" t="s">
        <v>952</v>
      </c>
      <c r="C1305" t="s">
        <v>47</v>
      </c>
      <c r="D1305" t="s">
        <v>13</v>
      </c>
      <c r="E1305" t="s">
        <v>48</v>
      </c>
      <c r="F1305" t="s">
        <v>21</v>
      </c>
      <c r="G1305" t="s">
        <v>39</v>
      </c>
      <c r="H1305">
        <v>6942.68</v>
      </c>
      <c r="I1305">
        <v>5</v>
      </c>
      <c r="J1305">
        <v>34713.4</v>
      </c>
      <c r="K1305">
        <v>2.56</v>
      </c>
    </row>
    <row r="1306" spans="1:11" x14ac:dyDescent="0.35">
      <c r="A1306" s="1">
        <v>45601</v>
      </c>
      <c r="B1306" t="s">
        <v>1207</v>
      </c>
      <c r="C1306" t="s">
        <v>12</v>
      </c>
      <c r="D1306" t="s">
        <v>13</v>
      </c>
      <c r="E1306" t="s">
        <v>14</v>
      </c>
      <c r="F1306" t="s">
        <v>21</v>
      </c>
      <c r="G1306" t="s">
        <v>32</v>
      </c>
      <c r="H1306">
        <v>18376.52</v>
      </c>
      <c r="I1306">
        <v>3</v>
      </c>
      <c r="J1306">
        <v>55129.56</v>
      </c>
      <c r="K1306">
        <v>3.37</v>
      </c>
    </row>
    <row r="1307" spans="1:11" x14ac:dyDescent="0.35">
      <c r="A1307" s="1">
        <v>45601</v>
      </c>
      <c r="B1307" t="s">
        <v>1655</v>
      </c>
      <c r="C1307" t="s">
        <v>12</v>
      </c>
      <c r="D1307" t="s">
        <v>13</v>
      </c>
      <c r="E1307" t="s">
        <v>14</v>
      </c>
      <c r="F1307" t="s">
        <v>45</v>
      </c>
      <c r="G1307" t="s">
        <v>27</v>
      </c>
      <c r="H1307">
        <v>16339.04</v>
      </c>
      <c r="I1307">
        <v>2</v>
      </c>
      <c r="J1307">
        <v>32678.080000000002</v>
      </c>
      <c r="K1307">
        <v>3.7</v>
      </c>
    </row>
    <row r="1308" spans="1:11" x14ac:dyDescent="0.35">
      <c r="A1308" s="1">
        <v>45602</v>
      </c>
      <c r="B1308" t="s">
        <v>703</v>
      </c>
      <c r="C1308" t="s">
        <v>34</v>
      </c>
      <c r="D1308" t="s">
        <v>13</v>
      </c>
      <c r="E1308" t="s">
        <v>35</v>
      </c>
      <c r="F1308" t="s">
        <v>15</v>
      </c>
      <c r="G1308" t="s">
        <v>60</v>
      </c>
      <c r="H1308">
        <v>4361.9399999999996</v>
      </c>
      <c r="I1308">
        <v>1</v>
      </c>
      <c r="J1308">
        <v>4361.9399999999996</v>
      </c>
      <c r="K1308">
        <v>2.19</v>
      </c>
    </row>
    <row r="1309" spans="1:11" x14ac:dyDescent="0.35">
      <c r="A1309" s="1">
        <v>45602</v>
      </c>
      <c r="B1309" t="s">
        <v>1544</v>
      </c>
      <c r="C1309" t="s">
        <v>12</v>
      </c>
      <c r="D1309" t="s">
        <v>13</v>
      </c>
      <c r="E1309" t="s">
        <v>14</v>
      </c>
      <c r="F1309" t="s">
        <v>45</v>
      </c>
      <c r="G1309" t="s">
        <v>60</v>
      </c>
      <c r="H1309">
        <v>3940.7</v>
      </c>
      <c r="I1309">
        <v>2</v>
      </c>
      <c r="J1309">
        <v>7881.4</v>
      </c>
      <c r="K1309">
        <v>4.4000000000000004</v>
      </c>
    </row>
    <row r="1310" spans="1:11" x14ac:dyDescent="0.35">
      <c r="A1310" s="1">
        <v>45603</v>
      </c>
      <c r="B1310" t="s">
        <v>688</v>
      </c>
      <c r="C1310" t="s">
        <v>12</v>
      </c>
      <c r="D1310" t="s">
        <v>13</v>
      </c>
      <c r="E1310" t="s">
        <v>14</v>
      </c>
      <c r="F1310" t="s">
        <v>15</v>
      </c>
      <c r="G1310" t="s">
        <v>22</v>
      </c>
      <c r="H1310">
        <v>9332.07</v>
      </c>
      <c r="I1310">
        <v>5</v>
      </c>
      <c r="J1310">
        <v>46660.35</v>
      </c>
      <c r="K1310">
        <v>3.53</v>
      </c>
    </row>
    <row r="1311" spans="1:11" x14ac:dyDescent="0.35">
      <c r="A1311" s="1">
        <v>45603</v>
      </c>
      <c r="B1311" t="s">
        <v>965</v>
      </c>
      <c r="C1311" t="s">
        <v>34</v>
      </c>
      <c r="D1311" t="s">
        <v>13</v>
      </c>
      <c r="E1311" t="s">
        <v>35</v>
      </c>
      <c r="F1311" t="s">
        <v>45</v>
      </c>
      <c r="G1311" t="s">
        <v>27</v>
      </c>
      <c r="H1311">
        <v>6609.86</v>
      </c>
      <c r="I1311">
        <v>2</v>
      </c>
      <c r="J1311">
        <v>13219.72</v>
      </c>
      <c r="K1311">
        <v>3.94</v>
      </c>
    </row>
    <row r="1312" spans="1:11" x14ac:dyDescent="0.35">
      <c r="A1312" s="1">
        <v>45603</v>
      </c>
      <c r="B1312" t="s">
        <v>1773</v>
      </c>
      <c r="C1312" t="s">
        <v>34</v>
      </c>
      <c r="D1312" t="s">
        <v>13</v>
      </c>
      <c r="E1312" t="s">
        <v>35</v>
      </c>
      <c r="F1312" t="s">
        <v>21</v>
      </c>
      <c r="G1312" t="s">
        <v>32</v>
      </c>
      <c r="H1312">
        <v>5700.46</v>
      </c>
      <c r="I1312">
        <v>4</v>
      </c>
      <c r="J1312">
        <v>22801.84</v>
      </c>
      <c r="K1312">
        <v>1.58</v>
      </c>
    </row>
    <row r="1313" spans="1:11" x14ac:dyDescent="0.35">
      <c r="A1313" s="1">
        <v>45604</v>
      </c>
      <c r="B1313" t="s">
        <v>493</v>
      </c>
      <c r="C1313" t="s">
        <v>34</v>
      </c>
      <c r="D1313" t="s">
        <v>13</v>
      </c>
      <c r="E1313" t="s">
        <v>35</v>
      </c>
      <c r="F1313" t="s">
        <v>15</v>
      </c>
      <c r="G1313" t="s">
        <v>39</v>
      </c>
      <c r="H1313">
        <v>4042.91</v>
      </c>
      <c r="I1313">
        <v>1</v>
      </c>
      <c r="J1313">
        <v>4042.91</v>
      </c>
      <c r="K1313">
        <v>1.47</v>
      </c>
    </row>
    <row r="1314" spans="1:11" x14ac:dyDescent="0.35">
      <c r="A1314" s="1">
        <v>45605</v>
      </c>
      <c r="B1314" t="s">
        <v>1488</v>
      </c>
      <c r="C1314" t="s">
        <v>34</v>
      </c>
      <c r="D1314" t="s">
        <v>13</v>
      </c>
      <c r="E1314" t="s">
        <v>35</v>
      </c>
      <c r="F1314" t="s">
        <v>15</v>
      </c>
      <c r="G1314" t="s">
        <v>16</v>
      </c>
      <c r="H1314">
        <v>5844.32</v>
      </c>
      <c r="I1314">
        <v>3</v>
      </c>
      <c r="J1314">
        <v>17532.96</v>
      </c>
      <c r="K1314">
        <v>2.7</v>
      </c>
    </row>
    <row r="1315" spans="1:11" x14ac:dyDescent="0.35">
      <c r="A1315" s="1">
        <v>45605</v>
      </c>
      <c r="B1315" t="s">
        <v>1662</v>
      </c>
      <c r="C1315" t="s">
        <v>12</v>
      </c>
      <c r="D1315" t="s">
        <v>13</v>
      </c>
      <c r="E1315" t="s">
        <v>14</v>
      </c>
      <c r="F1315" t="s">
        <v>45</v>
      </c>
      <c r="G1315" t="s">
        <v>22</v>
      </c>
      <c r="H1315">
        <v>6520.31</v>
      </c>
      <c r="I1315">
        <v>5</v>
      </c>
      <c r="J1315">
        <v>32601.55</v>
      </c>
      <c r="K1315">
        <v>4.95</v>
      </c>
    </row>
    <row r="1316" spans="1:11" x14ac:dyDescent="0.35">
      <c r="A1316" s="1">
        <v>45605</v>
      </c>
      <c r="B1316" t="s">
        <v>1780</v>
      </c>
      <c r="C1316" t="s">
        <v>47</v>
      </c>
      <c r="D1316" t="s">
        <v>13</v>
      </c>
      <c r="E1316" t="s">
        <v>48</v>
      </c>
      <c r="F1316" t="s">
        <v>21</v>
      </c>
      <c r="G1316" t="s">
        <v>60</v>
      </c>
      <c r="H1316">
        <v>13788.47</v>
      </c>
      <c r="I1316">
        <v>1</v>
      </c>
      <c r="J1316">
        <v>13788.47</v>
      </c>
      <c r="K1316">
        <v>2.66</v>
      </c>
    </row>
    <row r="1317" spans="1:11" x14ac:dyDescent="0.35">
      <c r="A1317" s="1">
        <v>45606</v>
      </c>
      <c r="B1317" t="s">
        <v>370</v>
      </c>
      <c r="C1317" t="s">
        <v>12</v>
      </c>
      <c r="D1317" t="s">
        <v>13</v>
      </c>
      <c r="E1317" t="s">
        <v>14</v>
      </c>
      <c r="F1317" t="s">
        <v>45</v>
      </c>
      <c r="G1317" t="s">
        <v>22</v>
      </c>
      <c r="H1317">
        <v>2032.29</v>
      </c>
      <c r="I1317">
        <v>4</v>
      </c>
      <c r="J1317">
        <v>8129.16</v>
      </c>
      <c r="K1317">
        <v>2.94</v>
      </c>
    </row>
    <row r="1318" spans="1:11" x14ac:dyDescent="0.35">
      <c r="A1318" s="1">
        <v>45607</v>
      </c>
      <c r="B1318" t="s">
        <v>11</v>
      </c>
      <c r="C1318" t="s">
        <v>12</v>
      </c>
      <c r="D1318" t="s">
        <v>13</v>
      </c>
      <c r="E1318" t="s">
        <v>14</v>
      </c>
      <c r="F1318" t="s">
        <v>15</v>
      </c>
      <c r="G1318" t="s">
        <v>16</v>
      </c>
      <c r="H1318">
        <v>16284.02</v>
      </c>
      <c r="I1318">
        <v>1</v>
      </c>
      <c r="J1318">
        <v>16284.02</v>
      </c>
      <c r="K1318">
        <v>1.39</v>
      </c>
    </row>
    <row r="1319" spans="1:11" x14ac:dyDescent="0.35">
      <c r="A1319" s="1">
        <v>45608</v>
      </c>
      <c r="B1319" t="s">
        <v>951</v>
      </c>
      <c r="C1319" t="s">
        <v>34</v>
      </c>
      <c r="D1319" t="s">
        <v>13</v>
      </c>
      <c r="E1319" t="s">
        <v>35</v>
      </c>
      <c r="F1319" t="s">
        <v>21</v>
      </c>
      <c r="G1319" t="s">
        <v>39</v>
      </c>
      <c r="H1319">
        <v>3208.88</v>
      </c>
      <c r="I1319">
        <v>2</v>
      </c>
      <c r="J1319">
        <v>6417.76</v>
      </c>
      <c r="K1319">
        <v>4.92</v>
      </c>
    </row>
    <row r="1320" spans="1:11" x14ac:dyDescent="0.35">
      <c r="A1320" s="1">
        <v>45608</v>
      </c>
      <c r="B1320" t="s">
        <v>1730</v>
      </c>
      <c r="C1320" t="s">
        <v>34</v>
      </c>
      <c r="D1320" t="s">
        <v>13</v>
      </c>
      <c r="E1320" t="s">
        <v>35</v>
      </c>
      <c r="F1320" t="s">
        <v>15</v>
      </c>
      <c r="G1320" t="s">
        <v>32</v>
      </c>
      <c r="H1320">
        <v>7901.04</v>
      </c>
      <c r="I1320">
        <v>1</v>
      </c>
      <c r="J1320">
        <v>7901.04</v>
      </c>
      <c r="K1320">
        <v>1.1000000000000001</v>
      </c>
    </row>
    <row r="1321" spans="1:11" x14ac:dyDescent="0.35">
      <c r="A1321" s="1">
        <v>45608</v>
      </c>
      <c r="B1321" t="s">
        <v>1934</v>
      </c>
      <c r="C1321" t="s">
        <v>12</v>
      </c>
      <c r="D1321" t="s">
        <v>13</v>
      </c>
      <c r="E1321" t="s">
        <v>14</v>
      </c>
      <c r="F1321" t="s">
        <v>45</v>
      </c>
      <c r="G1321" t="s">
        <v>16</v>
      </c>
      <c r="H1321">
        <v>18175.13</v>
      </c>
      <c r="I1321">
        <v>5</v>
      </c>
      <c r="J1321">
        <v>90875.65</v>
      </c>
      <c r="K1321">
        <v>3.96</v>
      </c>
    </row>
    <row r="1322" spans="1:11" x14ac:dyDescent="0.35">
      <c r="A1322" s="1">
        <v>45609</v>
      </c>
      <c r="B1322" t="s">
        <v>221</v>
      </c>
      <c r="C1322" t="s">
        <v>34</v>
      </c>
      <c r="D1322" t="s">
        <v>13</v>
      </c>
      <c r="E1322" t="s">
        <v>35</v>
      </c>
      <c r="F1322" t="s">
        <v>15</v>
      </c>
      <c r="G1322" t="s">
        <v>16</v>
      </c>
      <c r="H1322">
        <v>15494.89</v>
      </c>
      <c r="I1322">
        <v>5</v>
      </c>
      <c r="J1322">
        <v>77474.45</v>
      </c>
      <c r="K1322">
        <v>3.92</v>
      </c>
    </row>
    <row r="1323" spans="1:11" x14ac:dyDescent="0.35">
      <c r="A1323" s="1">
        <v>45609</v>
      </c>
      <c r="B1323" t="s">
        <v>663</v>
      </c>
      <c r="C1323" t="s">
        <v>47</v>
      </c>
      <c r="D1323" t="s">
        <v>13</v>
      </c>
      <c r="E1323" t="s">
        <v>48</v>
      </c>
      <c r="F1323" t="s">
        <v>15</v>
      </c>
      <c r="G1323" t="s">
        <v>27</v>
      </c>
      <c r="H1323">
        <v>10779.44</v>
      </c>
      <c r="I1323">
        <v>2</v>
      </c>
      <c r="J1323">
        <v>21558.880000000001</v>
      </c>
      <c r="K1323">
        <v>3.52</v>
      </c>
    </row>
    <row r="1324" spans="1:11" x14ac:dyDescent="0.35">
      <c r="A1324" s="1">
        <v>45609</v>
      </c>
      <c r="B1324" t="s">
        <v>801</v>
      </c>
      <c r="C1324" t="s">
        <v>47</v>
      </c>
      <c r="D1324" t="s">
        <v>13</v>
      </c>
      <c r="E1324" t="s">
        <v>48</v>
      </c>
      <c r="F1324" t="s">
        <v>21</v>
      </c>
      <c r="G1324" t="s">
        <v>39</v>
      </c>
      <c r="H1324">
        <v>19304.580000000002</v>
      </c>
      <c r="I1324">
        <v>4</v>
      </c>
      <c r="J1324">
        <v>77218.320000000007</v>
      </c>
      <c r="K1324">
        <v>4.16</v>
      </c>
    </row>
    <row r="1325" spans="1:11" x14ac:dyDescent="0.35">
      <c r="A1325" s="1">
        <v>45610</v>
      </c>
      <c r="B1325" t="s">
        <v>1345</v>
      </c>
      <c r="C1325" t="s">
        <v>47</v>
      </c>
      <c r="D1325" t="s">
        <v>13</v>
      </c>
      <c r="E1325" t="s">
        <v>48</v>
      </c>
      <c r="F1325" t="s">
        <v>45</v>
      </c>
      <c r="G1325" t="s">
        <v>27</v>
      </c>
      <c r="H1325">
        <v>7595.25</v>
      </c>
      <c r="I1325">
        <v>3</v>
      </c>
      <c r="J1325">
        <v>22785.75</v>
      </c>
      <c r="K1325">
        <v>1.87</v>
      </c>
    </row>
    <row r="1326" spans="1:11" x14ac:dyDescent="0.35">
      <c r="A1326" s="1">
        <v>45611</v>
      </c>
      <c r="B1326" t="s">
        <v>285</v>
      </c>
      <c r="C1326" t="s">
        <v>12</v>
      </c>
      <c r="D1326" t="s">
        <v>13</v>
      </c>
      <c r="E1326" t="s">
        <v>14</v>
      </c>
      <c r="F1326" t="s">
        <v>21</v>
      </c>
      <c r="G1326" t="s">
        <v>60</v>
      </c>
      <c r="H1326">
        <v>13692.53</v>
      </c>
      <c r="I1326">
        <v>1</v>
      </c>
      <c r="J1326">
        <v>13692.53</v>
      </c>
      <c r="K1326">
        <v>4.45</v>
      </c>
    </row>
    <row r="1327" spans="1:11" x14ac:dyDescent="0.35">
      <c r="A1327" s="1">
        <v>45611</v>
      </c>
      <c r="B1327" t="s">
        <v>1389</v>
      </c>
      <c r="C1327" t="s">
        <v>12</v>
      </c>
      <c r="D1327" t="s">
        <v>13</v>
      </c>
      <c r="E1327" t="s">
        <v>14</v>
      </c>
      <c r="F1327" t="s">
        <v>45</v>
      </c>
      <c r="G1327" t="s">
        <v>32</v>
      </c>
      <c r="H1327">
        <v>17726.47</v>
      </c>
      <c r="I1327">
        <v>3</v>
      </c>
      <c r="J1327">
        <v>53179.41</v>
      </c>
      <c r="K1327">
        <v>1.05</v>
      </c>
    </row>
    <row r="1328" spans="1:11" x14ac:dyDescent="0.35">
      <c r="A1328" s="1">
        <v>45611</v>
      </c>
      <c r="B1328" t="s">
        <v>1706</v>
      </c>
      <c r="C1328" t="s">
        <v>47</v>
      </c>
      <c r="D1328" t="s">
        <v>13</v>
      </c>
      <c r="E1328" t="s">
        <v>48</v>
      </c>
      <c r="F1328" t="s">
        <v>45</v>
      </c>
      <c r="G1328" t="s">
        <v>60</v>
      </c>
      <c r="H1328">
        <v>15633.75</v>
      </c>
      <c r="I1328">
        <v>5</v>
      </c>
      <c r="J1328">
        <v>78168.75</v>
      </c>
      <c r="K1328">
        <v>4.37</v>
      </c>
    </row>
    <row r="1329" spans="1:11" x14ac:dyDescent="0.35">
      <c r="A1329" s="1">
        <v>45612</v>
      </c>
      <c r="B1329" t="s">
        <v>1214</v>
      </c>
      <c r="C1329" t="s">
        <v>34</v>
      </c>
      <c r="D1329" t="s">
        <v>13</v>
      </c>
      <c r="E1329" t="s">
        <v>35</v>
      </c>
      <c r="F1329" t="s">
        <v>15</v>
      </c>
      <c r="G1329" t="s">
        <v>39</v>
      </c>
      <c r="H1329">
        <v>4120.7299999999996</v>
      </c>
      <c r="I1329">
        <v>5</v>
      </c>
      <c r="J1329">
        <v>20603.650000000001</v>
      </c>
      <c r="K1329">
        <v>1.34</v>
      </c>
    </row>
    <row r="1330" spans="1:11" x14ac:dyDescent="0.35">
      <c r="A1330" s="1">
        <v>45613</v>
      </c>
      <c r="B1330" t="s">
        <v>265</v>
      </c>
      <c r="C1330" t="s">
        <v>34</v>
      </c>
      <c r="D1330" t="s">
        <v>13</v>
      </c>
      <c r="E1330" t="s">
        <v>35</v>
      </c>
      <c r="F1330" t="s">
        <v>45</v>
      </c>
      <c r="G1330" t="s">
        <v>22</v>
      </c>
      <c r="H1330">
        <v>14632.09</v>
      </c>
      <c r="I1330">
        <v>5</v>
      </c>
      <c r="J1330">
        <v>73160.45</v>
      </c>
      <c r="K1330">
        <v>3.65</v>
      </c>
    </row>
    <row r="1331" spans="1:11" x14ac:dyDescent="0.35">
      <c r="A1331" s="1">
        <v>45613</v>
      </c>
      <c r="B1331" t="s">
        <v>1290</v>
      </c>
      <c r="C1331" t="s">
        <v>12</v>
      </c>
      <c r="D1331" t="s">
        <v>13</v>
      </c>
      <c r="E1331" t="s">
        <v>14</v>
      </c>
      <c r="F1331" t="s">
        <v>45</v>
      </c>
      <c r="G1331" t="s">
        <v>32</v>
      </c>
      <c r="H1331">
        <v>18426.509999999998</v>
      </c>
      <c r="I1331">
        <v>4</v>
      </c>
      <c r="J1331">
        <v>73706.039999999994</v>
      </c>
      <c r="K1331">
        <v>4.46</v>
      </c>
    </row>
    <row r="1332" spans="1:11" x14ac:dyDescent="0.35">
      <c r="A1332" s="1">
        <v>45614</v>
      </c>
      <c r="B1332" t="s">
        <v>930</v>
      </c>
      <c r="C1332" t="s">
        <v>34</v>
      </c>
      <c r="D1332" t="s">
        <v>13</v>
      </c>
      <c r="E1332" t="s">
        <v>35</v>
      </c>
      <c r="F1332" t="s">
        <v>15</v>
      </c>
      <c r="G1332" t="s">
        <v>16</v>
      </c>
      <c r="H1332">
        <v>13648.26</v>
      </c>
      <c r="I1332">
        <v>4</v>
      </c>
      <c r="J1332">
        <v>54593.04</v>
      </c>
      <c r="K1332">
        <v>3.87</v>
      </c>
    </row>
    <row r="1333" spans="1:11" x14ac:dyDescent="0.35">
      <c r="A1333" s="1">
        <v>45614</v>
      </c>
      <c r="B1333" t="s">
        <v>1228</v>
      </c>
      <c r="C1333" t="s">
        <v>12</v>
      </c>
      <c r="D1333" t="s">
        <v>13</v>
      </c>
      <c r="E1333" t="s">
        <v>14</v>
      </c>
      <c r="F1333" t="s">
        <v>15</v>
      </c>
      <c r="G1333" t="s">
        <v>27</v>
      </c>
      <c r="H1333">
        <v>11145.37</v>
      </c>
      <c r="I1333">
        <v>5</v>
      </c>
      <c r="J1333">
        <v>55726.85</v>
      </c>
      <c r="K1333">
        <v>1.28</v>
      </c>
    </row>
    <row r="1334" spans="1:11" x14ac:dyDescent="0.35">
      <c r="A1334" s="1">
        <v>45614</v>
      </c>
      <c r="B1334" t="s">
        <v>1779</v>
      </c>
      <c r="C1334" t="s">
        <v>12</v>
      </c>
      <c r="D1334" t="s">
        <v>13</v>
      </c>
      <c r="E1334" t="s">
        <v>14</v>
      </c>
      <c r="F1334" t="s">
        <v>21</v>
      </c>
      <c r="G1334" t="s">
        <v>39</v>
      </c>
      <c r="H1334">
        <v>10173.94</v>
      </c>
      <c r="I1334">
        <v>2</v>
      </c>
      <c r="J1334">
        <v>20347.88</v>
      </c>
      <c r="K1334">
        <v>3.74</v>
      </c>
    </row>
    <row r="1335" spans="1:11" x14ac:dyDescent="0.35">
      <c r="A1335" s="1">
        <v>45616</v>
      </c>
      <c r="B1335" t="s">
        <v>273</v>
      </c>
      <c r="C1335" t="s">
        <v>47</v>
      </c>
      <c r="D1335" t="s">
        <v>13</v>
      </c>
      <c r="E1335" t="s">
        <v>48</v>
      </c>
      <c r="F1335" t="s">
        <v>15</v>
      </c>
      <c r="G1335" t="s">
        <v>60</v>
      </c>
      <c r="H1335">
        <v>1408.94</v>
      </c>
      <c r="I1335">
        <v>2</v>
      </c>
      <c r="J1335">
        <v>2817.88</v>
      </c>
      <c r="K1335">
        <v>3.65</v>
      </c>
    </row>
    <row r="1336" spans="1:11" x14ac:dyDescent="0.35">
      <c r="A1336" s="1">
        <v>45616</v>
      </c>
      <c r="B1336" t="s">
        <v>345</v>
      </c>
      <c r="C1336" t="s">
        <v>34</v>
      </c>
      <c r="D1336" t="s">
        <v>13</v>
      </c>
      <c r="E1336" t="s">
        <v>35</v>
      </c>
      <c r="F1336" t="s">
        <v>21</v>
      </c>
      <c r="G1336" t="s">
        <v>32</v>
      </c>
      <c r="H1336">
        <v>4411.57</v>
      </c>
      <c r="I1336">
        <v>5</v>
      </c>
      <c r="J1336">
        <v>22057.85</v>
      </c>
      <c r="K1336">
        <v>3.83</v>
      </c>
    </row>
    <row r="1337" spans="1:11" x14ac:dyDescent="0.35">
      <c r="A1337" s="1">
        <v>45616</v>
      </c>
      <c r="B1337" t="s">
        <v>825</v>
      </c>
      <c r="C1337" t="s">
        <v>12</v>
      </c>
      <c r="D1337" t="s">
        <v>13</v>
      </c>
      <c r="E1337" t="s">
        <v>14</v>
      </c>
      <c r="F1337" t="s">
        <v>21</v>
      </c>
      <c r="G1337" t="s">
        <v>22</v>
      </c>
      <c r="H1337">
        <v>19600.650000000001</v>
      </c>
      <c r="I1337">
        <v>3</v>
      </c>
      <c r="J1337">
        <v>58801.95</v>
      </c>
      <c r="K1337">
        <v>4.84</v>
      </c>
    </row>
    <row r="1338" spans="1:11" x14ac:dyDescent="0.35">
      <c r="A1338" s="1">
        <v>45616</v>
      </c>
      <c r="B1338" t="s">
        <v>1617</v>
      </c>
      <c r="C1338" t="s">
        <v>12</v>
      </c>
      <c r="D1338" t="s">
        <v>13</v>
      </c>
      <c r="E1338" t="s">
        <v>14</v>
      </c>
      <c r="F1338" t="s">
        <v>45</v>
      </c>
      <c r="G1338" t="s">
        <v>39</v>
      </c>
      <c r="H1338">
        <v>9142.9699999999993</v>
      </c>
      <c r="I1338">
        <v>5</v>
      </c>
      <c r="J1338">
        <v>45714.85</v>
      </c>
      <c r="K1338">
        <v>3.3</v>
      </c>
    </row>
    <row r="1339" spans="1:11" x14ac:dyDescent="0.35">
      <c r="A1339" s="1">
        <v>45617</v>
      </c>
      <c r="B1339" t="s">
        <v>292</v>
      </c>
      <c r="C1339" t="s">
        <v>34</v>
      </c>
      <c r="D1339" t="s">
        <v>13</v>
      </c>
      <c r="E1339" t="s">
        <v>35</v>
      </c>
      <c r="F1339" t="s">
        <v>21</v>
      </c>
      <c r="G1339" t="s">
        <v>16</v>
      </c>
      <c r="H1339">
        <v>9932.89</v>
      </c>
      <c r="I1339">
        <v>2</v>
      </c>
      <c r="J1339">
        <v>19865.78</v>
      </c>
      <c r="K1339">
        <v>1.97</v>
      </c>
    </row>
    <row r="1340" spans="1:11" x14ac:dyDescent="0.35">
      <c r="A1340" s="1">
        <v>45617</v>
      </c>
      <c r="B1340" t="s">
        <v>599</v>
      </c>
      <c r="C1340" t="s">
        <v>34</v>
      </c>
      <c r="D1340" t="s">
        <v>13</v>
      </c>
      <c r="E1340" t="s">
        <v>35</v>
      </c>
      <c r="F1340" t="s">
        <v>21</v>
      </c>
      <c r="G1340" t="s">
        <v>39</v>
      </c>
      <c r="H1340">
        <v>18972.32</v>
      </c>
      <c r="I1340">
        <v>5</v>
      </c>
      <c r="J1340">
        <v>94861.6</v>
      </c>
      <c r="K1340">
        <v>2.67</v>
      </c>
    </row>
    <row r="1341" spans="1:11" x14ac:dyDescent="0.35">
      <c r="A1341" s="1">
        <v>45617</v>
      </c>
      <c r="B1341" t="s">
        <v>1604</v>
      </c>
      <c r="C1341" t="s">
        <v>12</v>
      </c>
      <c r="D1341" t="s">
        <v>13</v>
      </c>
      <c r="E1341" t="s">
        <v>14</v>
      </c>
      <c r="F1341" t="s">
        <v>15</v>
      </c>
      <c r="G1341" t="s">
        <v>60</v>
      </c>
      <c r="H1341">
        <v>6755.52</v>
      </c>
      <c r="I1341">
        <v>4</v>
      </c>
      <c r="J1341">
        <v>27022.080000000002</v>
      </c>
      <c r="K1341">
        <v>3.06</v>
      </c>
    </row>
    <row r="1342" spans="1:11" x14ac:dyDescent="0.35">
      <c r="A1342" s="1">
        <v>45617</v>
      </c>
      <c r="B1342" t="s">
        <v>1844</v>
      </c>
      <c r="C1342" t="s">
        <v>12</v>
      </c>
      <c r="D1342" t="s">
        <v>13</v>
      </c>
      <c r="E1342" t="s">
        <v>14</v>
      </c>
      <c r="F1342" t="s">
        <v>15</v>
      </c>
      <c r="G1342" t="s">
        <v>32</v>
      </c>
      <c r="H1342">
        <v>13834.7</v>
      </c>
      <c r="I1342">
        <v>5</v>
      </c>
      <c r="J1342">
        <v>69173.5</v>
      </c>
      <c r="K1342">
        <v>1.23</v>
      </c>
    </row>
    <row r="1343" spans="1:11" x14ac:dyDescent="0.35">
      <c r="A1343" s="1">
        <v>45618</v>
      </c>
      <c r="B1343" t="s">
        <v>1116</v>
      </c>
      <c r="C1343" t="s">
        <v>47</v>
      </c>
      <c r="D1343" t="s">
        <v>13</v>
      </c>
      <c r="E1343" t="s">
        <v>48</v>
      </c>
      <c r="F1343" t="s">
        <v>45</v>
      </c>
      <c r="G1343" t="s">
        <v>60</v>
      </c>
      <c r="H1343">
        <v>8402.33</v>
      </c>
      <c r="I1343">
        <v>1</v>
      </c>
      <c r="J1343">
        <v>8402.33</v>
      </c>
      <c r="K1343">
        <v>4.12</v>
      </c>
    </row>
    <row r="1344" spans="1:11" x14ac:dyDescent="0.35">
      <c r="A1344" s="1">
        <v>45619</v>
      </c>
      <c r="B1344" t="s">
        <v>1042</v>
      </c>
      <c r="C1344" t="s">
        <v>12</v>
      </c>
      <c r="D1344" t="s">
        <v>13</v>
      </c>
      <c r="E1344" t="s">
        <v>14</v>
      </c>
      <c r="F1344" t="s">
        <v>21</v>
      </c>
      <c r="G1344" t="s">
        <v>22</v>
      </c>
      <c r="H1344">
        <v>17199.07</v>
      </c>
      <c r="I1344">
        <v>5</v>
      </c>
      <c r="J1344">
        <v>85995.35</v>
      </c>
      <c r="K1344">
        <v>2.8</v>
      </c>
    </row>
    <row r="1345" spans="1:11" x14ac:dyDescent="0.35">
      <c r="A1345" s="1">
        <v>45619</v>
      </c>
      <c r="B1345" t="s">
        <v>1505</v>
      </c>
      <c r="C1345" t="s">
        <v>47</v>
      </c>
      <c r="D1345" t="s">
        <v>13</v>
      </c>
      <c r="E1345" t="s">
        <v>48</v>
      </c>
      <c r="F1345" t="s">
        <v>21</v>
      </c>
      <c r="G1345" t="s">
        <v>60</v>
      </c>
      <c r="H1345">
        <v>8638.59</v>
      </c>
      <c r="I1345">
        <v>4</v>
      </c>
      <c r="J1345">
        <v>34554.36</v>
      </c>
      <c r="K1345">
        <v>2.5</v>
      </c>
    </row>
    <row r="1346" spans="1:11" x14ac:dyDescent="0.35">
      <c r="A1346" s="1">
        <v>45620</v>
      </c>
      <c r="B1346" t="s">
        <v>1708</v>
      </c>
      <c r="C1346" t="s">
        <v>47</v>
      </c>
      <c r="D1346" t="s">
        <v>13</v>
      </c>
      <c r="E1346" t="s">
        <v>48</v>
      </c>
      <c r="F1346" t="s">
        <v>45</v>
      </c>
      <c r="G1346" t="s">
        <v>32</v>
      </c>
      <c r="H1346">
        <v>2327.0700000000002</v>
      </c>
      <c r="I1346">
        <v>1</v>
      </c>
      <c r="J1346">
        <v>2327.0700000000002</v>
      </c>
      <c r="K1346">
        <v>1.2</v>
      </c>
    </row>
    <row r="1347" spans="1:11" x14ac:dyDescent="0.35">
      <c r="A1347" s="1">
        <v>45621</v>
      </c>
      <c r="B1347" t="s">
        <v>1397</v>
      </c>
      <c r="C1347" t="s">
        <v>12</v>
      </c>
      <c r="D1347" t="s">
        <v>13</v>
      </c>
      <c r="E1347" t="s">
        <v>14</v>
      </c>
      <c r="F1347" t="s">
        <v>21</v>
      </c>
      <c r="G1347" t="s">
        <v>60</v>
      </c>
      <c r="H1347">
        <v>9121.43</v>
      </c>
      <c r="I1347">
        <v>4</v>
      </c>
      <c r="J1347">
        <v>36485.72</v>
      </c>
      <c r="K1347">
        <v>4.43</v>
      </c>
    </row>
    <row r="1348" spans="1:11" x14ac:dyDescent="0.35">
      <c r="A1348" s="1">
        <v>45622</v>
      </c>
      <c r="B1348" t="s">
        <v>594</v>
      </c>
      <c r="C1348" t="s">
        <v>34</v>
      </c>
      <c r="D1348" t="s">
        <v>13</v>
      </c>
      <c r="E1348" t="s">
        <v>35</v>
      </c>
      <c r="F1348" t="s">
        <v>45</v>
      </c>
      <c r="G1348" t="s">
        <v>39</v>
      </c>
      <c r="H1348">
        <v>1989.96</v>
      </c>
      <c r="I1348">
        <v>2</v>
      </c>
      <c r="J1348">
        <v>3979.92</v>
      </c>
      <c r="K1348">
        <v>3.31</v>
      </c>
    </row>
    <row r="1349" spans="1:11" x14ac:dyDescent="0.35">
      <c r="A1349" s="1">
        <v>45622</v>
      </c>
      <c r="B1349" t="s">
        <v>1173</v>
      </c>
      <c r="C1349" t="s">
        <v>47</v>
      </c>
      <c r="D1349" t="s">
        <v>13</v>
      </c>
      <c r="E1349" t="s">
        <v>48</v>
      </c>
      <c r="F1349" t="s">
        <v>15</v>
      </c>
      <c r="G1349" t="s">
        <v>60</v>
      </c>
      <c r="H1349">
        <v>11165.91</v>
      </c>
      <c r="I1349">
        <v>4</v>
      </c>
      <c r="J1349">
        <v>44663.64</v>
      </c>
      <c r="K1349">
        <v>3.4</v>
      </c>
    </row>
    <row r="1350" spans="1:11" x14ac:dyDescent="0.35">
      <c r="A1350" s="1">
        <v>45622</v>
      </c>
      <c r="B1350" t="s">
        <v>1433</v>
      </c>
      <c r="C1350" t="s">
        <v>47</v>
      </c>
      <c r="D1350" t="s">
        <v>13</v>
      </c>
      <c r="E1350" t="s">
        <v>48</v>
      </c>
      <c r="F1350" t="s">
        <v>21</v>
      </c>
      <c r="G1350" t="s">
        <v>60</v>
      </c>
      <c r="H1350">
        <v>11130.49</v>
      </c>
      <c r="I1350">
        <v>2</v>
      </c>
      <c r="J1350">
        <v>22260.98</v>
      </c>
      <c r="K1350">
        <v>4.93</v>
      </c>
    </row>
    <row r="1351" spans="1:11" x14ac:dyDescent="0.35">
      <c r="A1351" s="1">
        <v>45623</v>
      </c>
      <c r="B1351" t="s">
        <v>820</v>
      </c>
      <c r="C1351" t="s">
        <v>12</v>
      </c>
      <c r="D1351" t="s">
        <v>13</v>
      </c>
      <c r="E1351" t="s">
        <v>14</v>
      </c>
      <c r="F1351" t="s">
        <v>15</v>
      </c>
      <c r="G1351" t="s">
        <v>60</v>
      </c>
      <c r="H1351">
        <v>14025.27</v>
      </c>
      <c r="I1351">
        <v>4</v>
      </c>
      <c r="J1351">
        <v>56101.08</v>
      </c>
      <c r="K1351">
        <v>3.88</v>
      </c>
    </row>
    <row r="1352" spans="1:11" x14ac:dyDescent="0.35">
      <c r="A1352" s="1">
        <v>45624</v>
      </c>
      <c r="B1352" t="s">
        <v>86</v>
      </c>
      <c r="C1352" t="s">
        <v>47</v>
      </c>
      <c r="D1352" t="s">
        <v>13</v>
      </c>
      <c r="E1352" t="s">
        <v>48</v>
      </c>
      <c r="F1352" t="s">
        <v>15</v>
      </c>
      <c r="G1352" t="s">
        <v>32</v>
      </c>
      <c r="H1352">
        <v>12852.91</v>
      </c>
      <c r="I1352">
        <v>4</v>
      </c>
      <c r="J1352">
        <v>51411.64</v>
      </c>
      <c r="K1352">
        <v>1.38</v>
      </c>
    </row>
    <row r="1353" spans="1:11" x14ac:dyDescent="0.35">
      <c r="A1353" s="1">
        <v>45624</v>
      </c>
      <c r="B1353" t="s">
        <v>325</v>
      </c>
      <c r="C1353" t="s">
        <v>12</v>
      </c>
      <c r="D1353" t="s">
        <v>13</v>
      </c>
      <c r="E1353" t="s">
        <v>14</v>
      </c>
      <c r="F1353" t="s">
        <v>21</v>
      </c>
      <c r="G1353" t="s">
        <v>22</v>
      </c>
      <c r="H1353">
        <v>2334.8000000000002</v>
      </c>
      <c r="I1353">
        <v>3</v>
      </c>
      <c r="J1353">
        <v>7004.4</v>
      </c>
      <c r="K1353">
        <v>2.0099999999999998</v>
      </c>
    </row>
    <row r="1354" spans="1:11" x14ac:dyDescent="0.35">
      <c r="A1354" s="1">
        <v>45624</v>
      </c>
      <c r="B1354" t="s">
        <v>1127</v>
      </c>
      <c r="C1354" t="s">
        <v>34</v>
      </c>
      <c r="D1354" t="s">
        <v>13</v>
      </c>
      <c r="E1354" t="s">
        <v>35</v>
      </c>
      <c r="F1354" t="s">
        <v>15</v>
      </c>
      <c r="G1354" t="s">
        <v>39</v>
      </c>
      <c r="H1354">
        <v>16627.900000000001</v>
      </c>
      <c r="I1354">
        <v>4</v>
      </c>
      <c r="J1354">
        <v>66511.600000000006</v>
      </c>
      <c r="K1354">
        <v>1.26</v>
      </c>
    </row>
    <row r="1355" spans="1:11" x14ac:dyDescent="0.35">
      <c r="A1355" s="1">
        <v>45625</v>
      </c>
      <c r="B1355" t="s">
        <v>92</v>
      </c>
      <c r="C1355" t="s">
        <v>47</v>
      </c>
      <c r="D1355" t="s">
        <v>13</v>
      </c>
      <c r="E1355" t="s">
        <v>48</v>
      </c>
      <c r="F1355" t="s">
        <v>21</v>
      </c>
      <c r="G1355" t="s">
        <v>27</v>
      </c>
      <c r="H1355">
        <v>12112.14</v>
      </c>
      <c r="I1355">
        <v>3</v>
      </c>
      <c r="J1355">
        <v>36336.42</v>
      </c>
      <c r="K1355">
        <v>3.7</v>
      </c>
    </row>
    <row r="1356" spans="1:11" x14ac:dyDescent="0.35">
      <c r="A1356" s="1">
        <v>45626</v>
      </c>
      <c r="B1356" t="s">
        <v>103</v>
      </c>
      <c r="C1356" t="s">
        <v>34</v>
      </c>
      <c r="D1356" t="s">
        <v>13</v>
      </c>
      <c r="E1356" t="s">
        <v>35</v>
      </c>
      <c r="F1356" t="s">
        <v>15</v>
      </c>
      <c r="G1356" t="s">
        <v>22</v>
      </c>
      <c r="H1356">
        <v>7877.19</v>
      </c>
      <c r="I1356">
        <v>1</v>
      </c>
      <c r="J1356">
        <v>7877.19</v>
      </c>
      <c r="K1356">
        <v>4.33</v>
      </c>
    </row>
    <row r="1357" spans="1:11" x14ac:dyDescent="0.35">
      <c r="A1357" s="1">
        <v>45626</v>
      </c>
      <c r="B1357" t="s">
        <v>155</v>
      </c>
      <c r="C1357" t="s">
        <v>47</v>
      </c>
      <c r="D1357" t="s">
        <v>13</v>
      </c>
      <c r="E1357" t="s">
        <v>48</v>
      </c>
      <c r="F1357" t="s">
        <v>15</v>
      </c>
      <c r="G1357" t="s">
        <v>16</v>
      </c>
      <c r="H1357">
        <v>459.64</v>
      </c>
      <c r="I1357">
        <v>3</v>
      </c>
      <c r="J1357">
        <v>1378.92</v>
      </c>
      <c r="K1357">
        <v>3.74</v>
      </c>
    </row>
    <row r="1358" spans="1:11" x14ac:dyDescent="0.35">
      <c r="A1358" s="1">
        <v>45626</v>
      </c>
      <c r="B1358" t="s">
        <v>584</v>
      </c>
      <c r="C1358" t="s">
        <v>47</v>
      </c>
      <c r="D1358" t="s">
        <v>13</v>
      </c>
      <c r="E1358" t="s">
        <v>48</v>
      </c>
      <c r="F1358" t="s">
        <v>21</v>
      </c>
      <c r="G1358" t="s">
        <v>39</v>
      </c>
      <c r="H1358">
        <v>909.41</v>
      </c>
      <c r="I1358">
        <v>5</v>
      </c>
      <c r="J1358">
        <v>4547.05</v>
      </c>
      <c r="K1358">
        <v>1.78</v>
      </c>
    </row>
    <row r="1359" spans="1:11" x14ac:dyDescent="0.35">
      <c r="A1359" s="1">
        <v>45626</v>
      </c>
      <c r="B1359" t="s">
        <v>1724</v>
      </c>
      <c r="C1359" t="s">
        <v>12</v>
      </c>
      <c r="D1359" t="s">
        <v>13</v>
      </c>
      <c r="E1359" t="s">
        <v>14</v>
      </c>
      <c r="F1359" t="s">
        <v>45</v>
      </c>
      <c r="G1359" t="s">
        <v>39</v>
      </c>
      <c r="H1359">
        <v>1176.58</v>
      </c>
      <c r="I1359">
        <v>2</v>
      </c>
      <c r="J1359">
        <v>2353.16</v>
      </c>
      <c r="K1359">
        <v>3.89</v>
      </c>
    </row>
    <row r="1360" spans="1:11" x14ac:dyDescent="0.35">
      <c r="A1360" s="1">
        <v>45626</v>
      </c>
      <c r="B1360" t="s">
        <v>1843</v>
      </c>
      <c r="C1360" t="s">
        <v>47</v>
      </c>
      <c r="D1360" t="s">
        <v>13</v>
      </c>
      <c r="E1360" t="s">
        <v>48</v>
      </c>
      <c r="F1360" t="s">
        <v>45</v>
      </c>
      <c r="G1360" t="s">
        <v>32</v>
      </c>
      <c r="H1360">
        <v>18980.16</v>
      </c>
      <c r="I1360">
        <v>5</v>
      </c>
      <c r="J1360">
        <v>94900.800000000003</v>
      </c>
      <c r="K1360">
        <v>1.25</v>
      </c>
    </row>
    <row r="1361" spans="1:11" x14ac:dyDescent="0.35">
      <c r="A1361" s="1">
        <v>45627</v>
      </c>
      <c r="B1361" t="s">
        <v>1693</v>
      </c>
      <c r="C1361" t="s">
        <v>34</v>
      </c>
      <c r="D1361" t="s">
        <v>13</v>
      </c>
      <c r="E1361" t="s">
        <v>35</v>
      </c>
      <c r="F1361" t="s">
        <v>45</v>
      </c>
      <c r="G1361" t="s">
        <v>16</v>
      </c>
      <c r="H1361">
        <v>1635.81</v>
      </c>
      <c r="I1361">
        <v>1</v>
      </c>
      <c r="J1361">
        <v>1635.81</v>
      </c>
      <c r="K1361">
        <v>2.67</v>
      </c>
    </row>
    <row r="1362" spans="1:11" x14ac:dyDescent="0.35">
      <c r="A1362" s="1">
        <v>45628</v>
      </c>
      <c r="B1362" t="s">
        <v>113</v>
      </c>
      <c r="C1362" t="s">
        <v>34</v>
      </c>
      <c r="D1362" t="s">
        <v>13</v>
      </c>
      <c r="E1362" t="s">
        <v>35</v>
      </c>
      <c r="F1362" t="s">
        <v>15</v>
      </c>
      <c r="G1362" t="s">
        <v>32</v>
      </c>
      <c r="H1362">
        <v>5639.27</v>
      </c>
      <c r="I1362">
        <v>1</v>
      </c>
      <c r="J1362">
        <v>5639.27</v>
      </c>
      <c r="K1362">
        <v>3.45</v>
      </c>
    </row>
    <row r="1363" spans="1:11" x14ac:dyDescent="0.35">
      <c r="A1363" s="1">
        <v>45628</v>
      </c>
      <c r="B1363" t="s">
        <v>202</v>
      </c>
      <c r="C1363" t="s">
        <v>47</v>
      </c>
      <c r="D1363" t="s">
        <v>13</v>
      </c>
      <c r="E1363" t="s">
        <v>48</v>
      </c>
      <c r="F1363" t="s">
        <v>15</v>
      </c>
      <c r="G1363" t="s">
        <v>27</v>
      </c>
      <c r="H1363">
        <v>18802.41</v>
      </c>
      <c r="I1363">
        <v>5</v>
      </c>
      <c r="J1363">
        <v>94012.05</v>
      </c>
      <c r="K1363">
        <v>4.49</v>
      </c>
    </row>
    <row r="1364" spans="1:11" x14ac:dyDescent="0.35">
      <c r="A1364" s="1">
        <v>45628</v>
      </c>
      <c r="B1364" t="s">
        <v>489</v>
      </c>
      <c r="C1364" t="s">
        <v>47</v>
      </c>
      <c r="D1364" t="s">
        <v>13</v>
      </c>
      <c r="E1364" t="s">
        <v>48</v>
      </c>
      <c r="F1364" t="s">
        <v>15</v>
      </c>
      <c r="G1364" t="s">
        <v>32</v>
      </c>
      <c r="H1364">
        <v>4049.44</v>
      </c>
      <c r="I1364">
        <v>3</v>
      </c>
      <c r="J1364">
        <v>12148.32</v>
      </c>
      <c r="K1364">
        <v>1.1499999999999999</v>
      </c>
    </row>
    <row r="1365" spans="1:11" x14ac:dyDescent="0.35">
      <c r="A1365" s="1">
        <v>45628</v>
      </c>
      <c r="B1365" t="s">
        <v>1763</v>
      </c>
      <c r="C1365" t="s">
        <v>12</v>
      </c>
      <c r="D1365" t="s">
        <v>13</v>
      </c>
      <c r="E1365" t="s">
        <v>14</v>
      </c>
      <c r="F1365" t="s">
        <v>21</v>
      </c>
      <c r="G1365" t="s">
        <v>60</v>
      </c>
      <c r="H1365">
        <v>14199.37</v>
      </c>
      <c r="I1365">
        <v>5</v>
      </c>
      <c r="J1365">
        <v>70996.850000000006</v>
      </c>
      <c r="K1365">
        <v>3.72</v>
      </c>
    </row>
    <row r="1366" spans="1:11" x14ac:dyDescent="0.35">
      <c r="A1366" s="1">
        <v>45629</v>
      </c>
      <c r="B1366" t="s">
        <v>211</v>
      </c>
      <c r="C1366" t="s">
        <v>12</v>
      </c>
      <c r="D1366" t="s">
        <v>13</v>
      </c>
      <c r="E1366" t="s">
        <v>14</v>
      </c>
      <c r="F1366" t="s">
        <v>21</v>
      </c>
      <c r="G1366" t="s">
        <v>32</v>
      </c>
      <c r="H1366">
        <v>13646.15</v>
      </c>
      <c r="I1366">
        <v>2</v>
      </c>
      <c r="J1366">
        <v>27292.3</v>
      </c>
      <c r="K1366">
        <v>4.24</v>
      </c>
    </row>
    <row r="1367" spans="1:11" x14ac:dyDescent="0.35">
      <c r="A1367" s="1">
        <v>45629</v>
      </c>
      <c r="B1367" t="s">
        <v>258</v>
      </c>
      <c r="C1367" t="s">
        <v>12</v>
      </c>
      <c r="D1367" t="s">
        <v>13</v>
      </c>
      <c r="E1367" t="s">
        <v>14</v>
      </c>
      <c r="F1367" t="s">
        <v>21</v>
      </c>
      <c r="G1367" t="s">
        <v>32</v>
      </c>
      <c r="H1367">
        <v>12359.28</v>
      </c>
      <c r="I1367">
        <v>3</v>
      </c>
      <c r="J1367">
        <v>37077.839999999997</v>
      </c>
      <c r="K1367">
        <v>3.74</v>
      </c>
    </row>
    <row r="1368" spans="1:11" x14ac:dyDescent="0.35">
      <c r="A1368" s="1">
        <v>45630</v>
      </c>
      <c r="B1368" t="s">
        <v>1089</v>
      </c>
      <c r="C1368" t="s">
        <v>34</v>
      </c>
      <c r="D1368" t="s">
        <v>13</v>
      </c>
      <c r="E1368" t="s">
        <v>35</v>
      </c>
      <c r="F1368" t="s">
        <v>45</v>
      </c>
      <c r="G1368" t="s">
        <v>27</v>
      </c>
      <c r="H1368">
        <v>19586.150000000001</v>
      </c>
      <c r="I1368">
        <v>3</v>
      </c>
      <c r="J1368">
        <v>58758.45</v>
      </c>
      <c r="K1368">
        <v>4.22</v>
      </c>
    </row>
    <row r="1369" spans="1:11" x14ac:dyDescent="0.35">
      <c r="A1369" s="1">
        <v>45633</v>
      </c>
      <c r="B1369" t="s">
        <v>972</v>
      </c>
      <c r="C1369" t="s">
        <v>12</v>
      </c>
      <c r="D1369" t="s">
        <v>13</v>
      </c>
      <c r="E1369" t="s">
        <v>14</v>
      </c>
      <c r="F1369" t="s">
        <v>21</v>
      </c>
      <c r="G1369" t="s">
        <v>60</v>
      </c>
      <c r="H1369">
        <v>9329.19</v>
      </c>
      <c r="I1369">
        <v>3</v>
      </c>
      <c r="J1369">
        <v>27987.57</v>
      </c>
      <c r="K1369">
        <v>4.6100000000000003</v>
      </c>
    </row>
    <row r="1370" spans="1:11" x14ac:dyDescent="0.35">
      <c r="A1370" s="1">
        <v>45634</v>
      </c>
      <c r="B1370" t="s">
        <v>1396</v>
      </c>
      <c r="C1370" t="s">
        <v>12</v>
      </c>
      <c r="D1370" t="s">
        <v>13</v>
      </c>
      <c r="E1370" t="s">
        <v>14</v>
      </c>
      <c r="F1370" t="s">
        <v>45</v>
      </c>
      <c r="G1370" t="s">
        <v>32</v>
      </c>
      <c r="H1370">
        <v>13225.14</v>
      </c>
      <c r="I1370">
        <v>1</v>
      </c>
      <c r="J1370">
        <v>13225.14</v>
      </c>
      <c r="K1370">
        <v>3.08</v>
      </c>
    </row>
    <row r="1371" spans="1:11" x14ac:dyDescent="0.35">
      <c r="A1371" s="1">
        <v>45635</v>
      </c>
      <c r="B1371" t="s">
        <v>1254</v>
      </c>
      <c r="C1371" t="s">
        <v>47</v>
      </c>
      <c r="D1371" t="s">
        <v>13</v>
      </c>
      <c r="E1371" t="s">
        <v>48</v>
      </c>
      <c r="F1371" t="s">
        <v>45</v>
      </c>
      <c r="G1371" t="s">
        <v>39</v>
      </c>
      <c r="H1371">
        <v>1797.55</v>
      </c>
      <c r="I1371">
        <v>5</v>
      </c>
      <c r="J1371">
        <v>8987.75</v>
      </c>
      <c r="K1371">
        <v>3.21</v>
      </c>
    </row>
    <row r="1372" spans="1:11" x14ac:dyDescent="0.35">
      <c r="A1372" s="1">
        <v>45635</v>
      </c>
      <c r="B1372" t="s">
        <v>1470</v>
      </c>
      <c r="C1372" t="s">
        <v>34</v>
      </c>
      <c r="D1372" t="s">
        <v>13</v>
      </c>
      <c r="E1372" t="s">
        <v>35</v>
      </c>
      <c r="F1372" t="s">
        <v>15</v>
      </c>
      <c r="G1372" t="s">
        <v>32</v>
      </c>
      <c r="H1372">
        <v>7353.75</v>
      </c>
      <c r="I1372">
        <v>1</v>
      </c>
      <c r="J1372">
        <v>7353.75</v>
      </c>
      <c r="K1372">
        <v>3.3</v>
      </c>
    </row>
    <row r="1373" spans="1:11" x14ac:dyDescent="0.35">
      <c r="A1373" s="1">
        <v>45635</v>
      </c>
      <c r="B1373" t="s">
        <v>1752</v>
      </c>
      <c r="C1373" t="s">
        <v>12</v>
      </c>
      <c r="D1373" t="s">
        <v>13</v>
      </c>
      <c r="E1373" t="s">
        <v>14</v>
      </c>
      <c r="F1373" t="s">
        <v>15</v>
      </c>
      <c r="G1373" t="s">
        <v>27</v>
      </c>
      <c r="H1373">
        <v>18671.82</v>
      </c>
      <c r="I1373">
        <v>2</v>
      </c>
      <c r="J1373">
        <v>37343.64</v>
      </c>
      <c r="K1373">
        <v>4.18</v>
      </c>
    </row>
    <row r="1374" spans="1:11" x14ac:dyDescent="0.35">
      <c r="A1374" s="1">
        <v>45636</v>
      </c>
      <c r="B1374" t="s">
        <v>567</v>
      </c>
      <c r="C1374" t="s">
        <v>12</v>
      </c>
      <c r="D1374" t="s">
        <v>13</v>
      </c>
      <c r="E1374" t="s">
        <v>14</v>
      </c>
      <c r="F1374" t="s">
        <v>15</v>
      </c>
      <c r="G1374" t="s">
        <v>22</v>
      </c>
      <c r="H1374">
        <v>13318.98</v>
      </c>
      <c r="I1374">
        <v>3</v>
      </c>
      <c r="J1374">
        <v>39956.94</v>
      </c>
      <c r="K1374">
        <v>2.57</v>
      </c>
    </row>
    <row r="1375" spans="1:11" x14ac:dyDescent="0.35">
      <c r="A1375" s="1">
        <v>45636</v>
      </c>
      <c r="B1375" t="s">
        <v>1299</v>
      </c>
      <c r="C1375" t="s">
        <v>12</v>
      </c>
      <c r="D1375" t="s">
        <v>13</v>
      </c>
      <c r="E1375" t="s">
        <v>14</v>
      </c>
      <c r="F1375" t="s">
        <v>15</v>
      </c>
      <c r="G1375" t="s">
        <v>39</v>
      </c>
      <c r="H1375">
        <v>6694.92</v>
      </c>
      <c r="I1375">
        <v>3</v>
      </c>
      <c r="J1375">
        <v>20084.759999999998</v>
      </c>
      <c r="K1375">
        <v>2.39</v>
      </c>
    </row>
    <row r="1376" spans="1:11" x14ac:dyDescent="0.35">
      <c r="A1376" s="1">
        <v>45636</v>
      </c>
      <c r="B1376" t="s">
        <v>1348</v>
      </c>
      <c r="C1376" t="s">
        <v>12</v>
      </c>
      <c r="D1376" t="s">
        <v>13</v>
      </c>
      <c r="E1376" t="s">
        <v>14</v>
      </c>
      <c r="F1376" t="s">
        <v>15</v>
      </c>
      <c r="G1376" t="s">
        <v>22</v>
      </c>
      <c r="H1376">
        <v>13547.51</v>
      </c>
      <c r="I1376">
        <v>4</v>
      </c>
      <c r="J1376">
        <v>54190.04</v>
      </c>
      <c r="K1376">
        <v>2.88</v>
      </c>
    </row>
    <row r="1377" spans="1:11" x14ac:dyDescent="0.35">
      <c r="A1377" s="1">
        <v>45638</v>
      </c>
      <c r="B1377" t="s">
        <v>755</v>
      </c>
      <c r="C1377" t="s">
        <v>47</v>
      </c>
      <c r="D1377" t="s">
        <v>13</v>
      </c>
      <c r="E1377" t="s">
        <v>48</v>
      </c>
      <c r="F1377" t="s">
        <v>21</v>
      </c>
      <c r="G1377" t="s">
        <v>22</v>
      </c>
      <c r="H1377">
        <v>6059.8</v>
      </c>
      <c r="I1377">
        <v>2</v>
      </c>
      <c r="J1377">
        <v>12119.6</v>
      </c>
      <c r="K1377">
        <v>4.33</v>
      </c>
    </row>
    <row r="1378" spans="1:11" x14ac:dyDescent="0.35">
      <c r="A1378" s="1">
        <v>45639</v>
      </c>
      <c r="B1378" t="s">
        <v>494</v>
      </c>
      <c r="C1378" t="s">
        <v>12</v>
      </c>
      <c r="D1378" t="s">
        <v>13</v>
      </c>
      <c r="E1378" t="s">
        <v>14</v>
      </c>
      <c r="F1378" t="s">
        <v>15</v>
      </c>
      <c r="G1378" t="s">
        <v>27</v>
      </c>
      <c r="H1378">
        <v>2218.9</v>
      </c>
      <c r="I1378">
        <v>5</v>
      </c>
      <c r="J1378">
        <v>11094.5</v>
      </c>
      <c r="K1378">
        <v>2.35</v>
      </c>
    </row>
    <row r="1379" spans="1:11" x14ac:dyDescent="0.35">
      <c r="A1379" s="1">
        <v>45640</v>
      </c>
      <c r="B1379" t="s">
        <v>560</v>
      </c>
      <c r="C1379" t="s">
        <v>34</v>
      </c>
      <c r="D1379" t="s">
        <v>13</v>
      </c>
      <c r="E1379" t="s">
        <v>35</v>
      </c>
      <c r="F1379" t="s">
        <v>21</v>
      </c>
      <c r="G1379" t="s">
        <v>60</v>
      </c>
      <c r="H1379">
        <v>4656.88</v>
      </c>
      <c r="I1379">
        <v>5</v>
      </c>
      <c r="J1379">
        <v>23284.400000000001</v>
      </c>
      <c r="K1379">
        <v>2.19</v>
      </c>
    </row>
    <row r="1380" spans="1:11" x14ac:dyDescent="0.35">
      <c r="A1380" s="1">
        <v>45641</v>
      </c>
      <c r="B1380" t="s">
        <v>619</v>
      </c>
      <c r="C1380" t="s">
        <v>47</v>
      </c>
      <c r="D1380" t="s">
        <v>13</v>
      </c>
      <c r="E1380" t="s">
        <v>48</v>
      </c>
      <c r="F1380" t="s">
        <v>21</v>
      </c>
      <c r="G1380" t="s">
        <v>22</v>
      </c>
      <c r="H1380">
        <v>17311.810000000001</v>
      </c>
      <c r="I1380">
        <v>3</v>
      </c>
      <c r="J1380">
        <v>51935.43</v>
      </c>
      <c r="K1380">
        <v>3.02</v>
      </c>
    </row>
    <row r="1381" spans="1:11" x14ac:dyDescent="0.35">
      <c r="A1381" s="1">
        <v>45642</v>
      </c>
      <c r="B1381" t="s">
        <v>1976</v>
      </c>
      <c r="C1381" t="s">
        <v>12</v>
      </c>
      <c r="D1381" t="s">
        <v>13</v>
      </c>
      <c r="E1381" t="s">
        <v>14</v>
      </c>
      <c r="F1381" t="s">
        <v>15</v>
      </c>
      <c r="G1381" t="s">
        <v>60</v>
      </c>
      <c r="H1381">
        <v>18458.12</v>
      </c>
      <c r="I1381">
        <v>5</v>
      </c>
      <c r="J1381">
        <v>92290.6</v>
      </c>
      <c r="K1381">
        <v>4.51</v>
      </c>
    </row>
    <row r="1382" spans="1:11" x14ac:dyDescent="0.35">
      <c r="A1382" s="1">
        <v>45643</v>
      </c>
      <c r="B1382" t="s">
        <v>452</v>
      </c>
      <c r="C1382" t="s">
        <v>47</v>
      </c>
      <c r="D1382" t="s">
        <v>13</v>
      </c>
      <c r="E1382" t="s">
        <v>48</v>
      </c>
      <c r="F1382" t="s">
        <v>45</v>
      </c>
      <c r="G1382" t="s">
        <v>16</v>
      </c>
      <c r="H1382">
        <v>16680.82</v>
      </c>
      <c r="I1382">
        <v>5</v>
      </c>
      <c r="J1382">
        <v>83404.100000000006</v>
      </c>
      <c r="K1382">
        <v>1.33</v>
      </c>
    </row>
    <row r="1383" spans="1:11" x14ac:dyDescent="0.35">
      <c r="A1383" s="1">
        <v>45643</v>
      </c>
      <c r="B1383" t="s">
        <v>998</v>
      </c>
      <c r="C1383" t="s">
        <v>34</v>
      </c>
      <c r="D1383" t="s">
        <v>13</v>
      </c>
      <c r="E1383" t="s">
        <v>35</v>
      </c>
      <c r="F1383" t="s">
        <v>15</v>
      </c>
      <c r="G1383" t="s">
        <v>32</v>
      </c>
      <c r="H1383">
        <v>14853.26</v>
      </c>
      <c r="I1383">
        <v>4</v>
      </c>
      <c r="J1383">
        <v>59413.04</v>
      </c>
      <c r="K1383">
        <v>3.55</v>
      </c>
    </row>
    <row r="1384" spans="1:11" x14ac:dyDescent="0.35">
      <c r="A1384" s="1">
        <v>45643</v>
      </c>
      <c r="B1384" t="s">
        <v>1053</v>
      </c>
      <c r="C1384" t="s">
        <v>12</v>
      </c>
      <c r="D1384" t="s">
        <v>13</v>
      </c>
      <c r="E1384" t="s">
        <v>14</v>
      </c>
      <c r="F1384" t="s">
        <v>45</v>
      </c>
      <c r="G1384" t="s">
        <v>27</v>
      </c>
      <c r="H1384">
        <v>7850.83</v>
      </c>
      <c r="I1384">
        <v>4</v>
      </c>
      <c r="J1384">
        <v>31403.32</v>
      </c>
      <c r="K1384">
        <v>1.24</v>
      </c>
    </row>
    <row r="1385" spans="1:11" x14ac:dyDescent="0.35">
      <c r="A1385" s="1">
        <v>45643</v>
      </c>
      <c r="B1385" t="s">
        <v>1816</v>
      </c>
      <c r="C1385" t="s">
        <v>47</v>
      </c>
      <c r="D1385" t="s">
        <v>13</v>
      </c>
      <c r="E1385" t="s">
        <v>48</v>
      </c>
      <c r="F1385" t="s">
        <v>45</v>
      </c>
      <c r="G1385" t="s">
        <v>32</v>
      </c>
      <c r="H1385">
        <v>10288.34</v>
      </c>
      <c r="I1385">
        <v>2</v>
      </c>
      <c r="J1385">
        <v>20576.68</v>
      </c>
      <c r="K1385">
        <v>1.92</v>
      </c>
    </row>
    <row r="1386" spans="1:11" x14ac:dyDescent="0.35">
      <c r="A1386" s="1">
        <v>45644</v>
      </c>
      <c r="B1386" t="s">
        <v>796</v>
      </c>
      <c r="C1386" t="s">
        <v>12</v>
      </c>
      <c r="D1386" t="s">
        <v>13</v>
      </c>
      <c r="E1386" t="s">
        <v>14</v>
      </c>
      <c r="F1386" t="s">
        <v>21</v>
      </c>
      <c r="G1386" t="s">
        <v>60</v>
      </c>
      <c r="H1386">
        <v>13072.25</v>
      </c>
      <c r="I1386">
        <v>2</v>
      </c>
      <c r="J1386">
        <v>26144.5</v>
      </c>
      <c r="K1386">
        <v>1.51</v>
      </c>
    </row>
    <row r="1387" spans="1:11" x14ac:dyDescent="0.35">
      <c r="A1387" s="1">
        <v>45644</v>
      </c>
      <c r="B1387" t="s">
        <v>1476</v>
      </c>
      <c r="C1387" t="s">
        <v>34</v>
      </c>
      <c r="D1387" t="s">
        <v>13</v>
      </c>
      <c r="E1387" t="s">
        <v>35</v>
      </c>
      <c r="F1387" t="s">
        <v>15</v>
      </c>
      <c r="G1387" t="s">
        <v>16</v>
      </c>
      <c r="H1387">
        <v>12541.86</v>
      </c>
      <c r="I1387">
        <v>2</v>
      </c>
      <c r="J1387">
        <v>25083.72</v>
      </c>
      <c r="K1387">
        <v>3.53</v>
      </c>
    </row>
    <row r="1388" spans="1:11" x14ac:dyDescent="0.35">
      <c r="A1388" s="1">
        <v>45645</v>
      </c>
      <c r="B1388" t="s">
        <v>1737</v>
      </c>
      <c r="C1388" t="s">
        <v>12</v>
      </c>
      <c r="D1388" t="s">
        <v>13</v>
      </c>
      <c r="E1388" t="s">
        <v>14</v>
      </c>
      <c r="F1388" t="s">
        <v>15</v>
      </c>
      <c r="G1388" t="s">
        <v>27</v>
      </c>
      <c r="H1388">
        <v>12904.86</v>
      </c>
      <c r="I1388">
        <v>3</v>
      </c>
      <c r="J1388">
        <v>38714.58</v>
      </c>
      <c r="K1388">
        <v>3.67</v>
      </c>
    </row>
    <row r="1389" spans="1:11" x14ac:dyDescent="0.35">
      <c r="A1389" s="1">
        <v>45646</v>
      </c>
      <c r="B1389" t="s">
        <v>1120</v>
      </c>
      <c r="C1389" t="s">
        <v>34</v>
      </c>
      <c r="D1389" t="s">
        <v>13</v>
      </c>
      <c r="E1389" t="s">
        <v>35</v>
      </c>
      <c r="F1389" t="s">
        <v>45</v>
      </c>
      <c r="G1389" t="s">
        <v>16</v>
      </c>
      <c r="H1389">
        <v>9410.4</v>
      </c>
      <c r="I1389">
        <v>3</v>
      </c>
      <c r="J1389">
        <v>28231.200000000001</v>
      </c>
      <c r="K1389">
        <v>1.72</v>
      </c>
    </row>
    <row r="1390" spans="1:11" x14ac:dyDescent="0.35">
      <c r="A1390" s="1">
        <v>45646</v>
      </c>
      <c r="B1390" t="s">
        <v>1581</v>
      </c>
      <c r="C1390" t="s">
        <v>47</v>
      </c>
      <c r="D1390" t="s">
        <v>13</v>
      </c>
      <c r="E1390" t="s">
        <v>48</v>
      </c>
      <c r="F1390" t="s">
        <v>21</v>
      </c>
      <c r="G1390" t="s">
        <v>60</v>
      </c>
      <c r="H1390">
        <v>19092.82</v>
      </c>
      <c r="I1390">
        <v>4</v>
      </c>
      <c r="J1390">
        <v>76371.28</v>
      </c>
      <c r="K1390">
        <v>3.45</v>
      </c>
    </row>
    <row r="1391" spans="1:11" x14ac:dyDescent="0.35">
      <c r="A1391" s="1">
        <v>45647</v>
      </c>
      <c r="B1391" t="s">
        <v>352</v>
      </c>
      <c r="C1391" t="s">
        <v>12</v>
      </c>
      <c r="D1391" t="s">
        <v>13</v>
      </c>
      <c r="E1391" t="s">
        <v>14</v>
      </c>
      <c r="F1391" t="s">
        <v>21</v>
      </c>
      <c r="G1391" t="s">
        <v>27</v>
      </c>
      <c r="H1391">
        <v>16012.01</v>
      </c>
      <c r="I1391">
        <v>4</v>
      </c>
      <c r="J1391">
        <v>64048.04</v>
      </c>
      <c r="K1391">
        <v>3.26</v>
      </c>
    </row>
    <row r="1392" spans="1:11" x14ac:dyDescent="0.35">
      <c r="A1392" s="1">
        <v>45647</v>
      </c>
      <c r="B1392" t="s">
        <v>731</v>
      </c>
      <c r="C1392" t="s">
        <v>12</v>
      </c>
      <c r="D1392" t="s">
        <v>13</v>
      </c>
      <c r="E1392" t="s">
        <v>14</v>
      </c>
      <c r="F1392" t="s">
        <v>15</v>
      </c>
      <c r="G1392" t="s">
        <v>32</v>
      </c>
      <c r="H1392">
        <v>2724.48</v>
      </c>
      <c r="I1392">
        <v>3</v>
      </c>
      <c r="J1392">
        <v>8173.44</v>
      </c>
      <c r="K1392">
        <v>4.8600000000000003</v>
      </c>
    </row>
    <row r="1393" spans="1:11" x14ac:dyDescent="0.35">
      <c r="A1393" s="1">
        <v>45648</v>
      </c>
      <c r="B1393" t="s">
        <v>588</v>
      </c>
      <c r="C1393" t="s">
        <v>12</v>
      </c>
      <c r="D1393" t="s">
        <v>13</v>
      </c>
      <c r="E1393" t="s">
        <v>14</v>
      </c>
      <c r="F1393" t="s">
        <v>45</v>
      </c>
      <c r="G1393" t="s">
        <v>22</v>
      </c>
      <c r="H1393">
        <v>18289.3</v>
      </c>
      <c r="I1393">
        <v>2</v>
      </c>
      <c r="J1393">
        <v>36578.6</v>
      </c>
      <c r="K1393">
        <v>1.77</v>
      </c>
    </row>
    <row r="1394" spans="1:11" x14ac:dyDescent="0.35">
      <c r="A1394" s="1">
        <v>45648</v>
      </c>
      <c r="B1394" t="s">
        <v>602</v>
      </c>
      <c r="C1394" t="s">
        <v>12</v>
      </c>
      <c r="D1394" t="s">
        <v>13</v>
      </c>
      <c r="E1394" t="s">
        <v>14</v>
      </c>
      <c r="F1394" t="s">
        <v>45</v>
      </c>
      <c r="G1394" t="s">
        <v>32</v>
      </c>
      <c r="H1394">
        <v>7562.47</v>
      </c>
      <c r="I1394">
        <v>3</v>
      </c>
      <c r="J1394">
        <v>22687.41</v>
      </c>
      <c r="K1394">
        <v>2.08</v>
      </c>
    </row>
    <row r="1395" spans="1:11" x14ac:dyDescent="0.35">
      <c r="A1395" s="1">
        <v>45648</v>
      </c>
      <c r="B1395" t="s">
        <v>1144</v>
      </c>
      <c r="C1395" t="s">
        <v>47</v>
      </c>
      <c r="D1395" t="s">
        <v>13</v>
      </c>
      <c r="E1395" t="s">
        <v>48</v>
      </c>
      <c r="F1395" t="s">
        <v>45</v>
      </c>
      <c r="G1395" t="s">
        <v>39</v>
      </c>
      <c r="H1395">
        <v>17180.330000000002</v>
      </c>
      <c r="I1395">
        <v>5</v>
      </c>
      <c r="J1395">
        <v>85901.65</v>
      </c>
      <c r="K1395">
        <v>4.7300000000000004</v>
      </c>
    </row>
    <row r="1396" spans="1:11" x14ac:dyDescent="0.35">
      <c r="A1396" s="1">
        <v>45648</v>
      </c>
      <c r="B1396" t="s">
        <v>1264</v>
      </c>
      <c r="C1396" t="s">
        <v>47</v>
      </c>
      <c r="D1396" t="s">
        <v>13</v>
      </c>
      <c r="E1396" t="s">
        <v>48</v>
      </c>
      <c r="F1396" t="s">
        <v>21</v>
      </c>
      <c r="G1396" t="s">
        <v>16</v>
      </c>
      <c r="H1396">
        <v>13461.03</v>
      </c>
      <c r="I1396">
        <v>2</v>
      </c>
      <c r="J1396">
        <v>26922.06</v>
      </c>
      <c r="K1396">
        <v>3.21</v>
      </c>
    </row>
    <row r="1397" spans="1:11" x14ac:dyDescent="0.35">
      <c r="A1397" s="1">
        <v>45648</v>
      </c>
      <c r="B1397" t="s">
        <v>1785</v>
      </c>
      <c r="C1397" t="s">
        <v>12</v>
      </c>
      <c r="D1397" t="s">
        <v>13</v>
      </c>
      <c r="E1397" t="s">
        <v>14</v>
      </c>
      <c r="F1397" t="s">
        <v>21</v>
      </c>
      <c r="G1397" t="s">
        <v>39</v>
      </c>
      <c r="H1397">
        <v>938.8</v>
      </c>
      <c r="I1397">
        <v>4</v>
      </c>
      <c r="J1397">
        <v>3755.2</v>
      </c>
      <c r="K1397">
        <v>4.9000000000000004</v>
      </c>
    </row>
    <row r="1398" spans="1:11" x14ac:dyDescent="0.35">
      <c r="A1398" s="1">
        <v>45649</v>
      </c>
      <c r="B1398" t="s">
        <v>95</v>
      </c>
      <c r="C1398" t="s">
        <v>34</v>
      </c>
      <c r="D1398" t="s">
        <v>13</v>
      </c>
      <c r="E1398" t="s">
        <v>35</v>
      </c>
      <c r="F1398" t="s">
        <v>45</v>
      </c>
      <c r="G1398" t="s">
        <v>39</v>
      </c>
      <c r="H1398">
        <v>756.73</v>
      </c>
      <c r="I1398">
        <v>2</v>
      </c>
      <c r="J1398">
        <v>1513.46</v>
      </c>
      <c r="K1398">
        <v>4.57</v>
      </c>
    </row>
    <row r="1399" spans="1:11" x14ac:dyDescent="0.35">
      <c r="A1399" s="1">
        <v>45649</v>
      </c>
      <c r="B1399" t="s">
        <v>720</v>
      </c>
      <c r="C1399" t="s">
        <v>12</v>
      </c>
      <c r="D1399" t="s">
        <v>13</v>
      </c>
      <c r="E1399" t="s">
        <v>14</v>
      </c>
      <c r="F1399" t="s">
        <v>21</v>
      </c>
      <c r="G1399" t="s">
        <v>39</v>
      </c>
      <c r="H1399">
        <v>6416.12</v>
      </c>
      <c r="I1399">
        <v>4</v>
      </c>
      <c r="J1399">
        <v>25664.48</v>
      </c>
      <c r="K1399">
        <v>4.49</v>
      </c>
    </row>
    <row r="1400" spans="1:11" x14ac:dyDescent="0.35">
      <c r="A1400" s="1">
        <v>45649</v>
      </c>
      <c r="B1400" t="s">
        <v>1543</v>
      </c>
      <c r="C1400" t="s">
        <v>47</v>
      </c>
      <c r="D1400" t="s">
        <v>13</v>
      </c>
      <c r="E1400" t="s">
        <v>48</v>
      </c>
      <c r="F1400" t="s">
        <v>15</v>
      </c>
      <c r="G1400" t="s">
        <v>39</v>
      </c>
      <c r="H1400">
        <v>6282.26</v>
      </c>
      <c r="I1400">
        <v>4</v>
      </c>
      <c r="J1400">
        <v>25129.040000000001</v>
      </c>
      <c r="K1400">
        <v>3.82</v>
      </c>
    </row>
    <row r="1401" spans="1:11" x14ac:dyDescent="0.35">
      <c r="A1401" s="1">
        <v>45651</v>
      </c>
      <c r="B1401" t="s">
        <v>1178</v>
      </c>
      <c r="C1401" t="s">
        <v>34</v>
      </c>
      <c r="D1401" t="s">
        <v>13</v>
      </c>
      <c r="E1401" t="s">
        <v>35</v>
      </c>
      <c r="F1401" t="s">
        <v>45</v>
      </c>
      <c r="G1401" t="s">
        <v>16</v>
      </c>
      <c r="H1401">
        <v>16232.46</v>
      </c>
      <c r="I1401">
        <v>4</v>
      </c>
      <c r="J1401">
        <v>64929.84</v>
      </c>
      <c r="K1401">
        <v>4.9000000000000004</v>
      </c>
    </row>
    <row r="1402" spans="1:11" x14ac:dyDescent="0.35">
      <c r="A1402" s="1">
        <v>45651</v>
      </c>
      <c r="B1402" t="s">
        <v>1199</v>
      </c>
      <c r="C1402" t="s">
        <v>12</v>
      </c>
      <c r="D1402" t="s">
        <v>13</v>
      </c>
      <c r="E1402" t="s">
        <v>14</v>
      </c>
      <c r="F1402" t="s">
        <v>15</v>
      </c>
      <c r="G1402" t="s">
        <v>60</v>
      </c>
      <c r="H1402">
        <v>19256.57</v>
      </c>
      <c r="I1402">
        <v>4</v>
      </c>
      <c r="J1402">
        <v>77026.28</v>
      </c>
      <c r="K1402">
        <v>1.48</v>
      </c>
    </row>
    <row r="1403" spans="1:11" x14ac:dyDescent="0.35">
      <c r="A1403" s="1">
        <v>45652</v>
      </c>
      <c r="B1403" t="s">
        <v>131</v>
      </c>
      <c r="C1403" t="s">
        <v>47</v>
      </c>
      <c r="D1403" t="s">
        <v>13</v>
      </c>
      <c r="E1403" t="s">
        <v>48</v>
      </c>
      <c r="F1403" t="s">
        <v>45</v>
      </c>
      <c r="G1403" t="s">
        <v>16</v>
      </c>
      <c r="H1403">
        <v>1052.6300000000001</v>
      </c>
      <c r="I1403">
        <v>2</v>
      </c>
      <c r="J1403">
        <v>2105.2600000000002</v>
      </c>
      <c r="K1403">
        <v>4.3600000000000003</v>
      </c>
    </row>
    <row r="1404" spans="1:11" x14ac:dyDescent="0.35">
      <c r="A1404" s="1">
        <v>45292</v>
      </c>
      <c r="B1404" t="s">
        <v>561</v>
      </c>
      <c r="C1404" t="s">
        <v>18</v>
      </c>
      <c r="D1404" t="s">
        <v>19</v>
      </c>
      <c r="E1404" t="s">
        <v>20</v>
      </c>
      <c r="F1404" t="s">
        <v>45</v>
      </c>
      <c r="G1404" t="s">
        <v>27</v>
      </c>
      <c r="H1404">
        <v>7533</v>
      </c>
      <c r="I1404">
        <v>5</v>
      </c>
      <c r="J1404">
        <v>37665</v>
      </c>
      <c r="K1404">
        <v>4.9800000000000004</v>
      </c>
    </row>
    <row r="1405" spans="1:11" x14ac:dyDescent="0.35">
      <c r="A1405" s="1">
        <v>45292</v>
      </c>
      <c r="B1405" t="s">
        <v>901</v>
      </c>
      <c r="C1405" t="s">
        <v>37</v>
      </c>
      <c r="D1405" t="s">
        <v>19</v>
      </c>
      <c r="E1405" t="s">
        <v>38</v>
      </c>
      <c r="F1405" t="s">
        <v>21</v>
      </c>
      <c r="G1405" t="s">
        <v>22</v>
      </c>
      <c r="H1405">
        <v>15851.24</v>
      </c>
      <c r="I1405">
        <v>3</v>
      </c>
      <c r="J1405">
        <v>47553.72</v>
      </c>
      <c r="K1405">
        <v>4.3499999999999996</v>
      </c>
    </row>
    <row r="1406" spans="1:11" x14ac:dyDescent="0.35">
      <c r="A1406" s="1">
        <v>45293</v>
      </c>
      <c r="B1406" t="s">
        <v>275</v>
      </c>
      <c r="C1406" t="s">
        <v>63</v>
      </c>
      <c r="D1406" t="s">
        <v>19</v>
      </c>
      <c r="E1406" t="s">
        <v>64</v>
      </c>
      <c r="F1406" t="s">
        <v>21</v>
      </c>
      <c r="G1406" t="s">
        <v>39</v>
      </c>
      <c r="H1406">
        <v>17208.740000000002</v>
      </c>
      <c r="I1406">
        <v>2</v>
      </c>
      <c r="J1406">
        <v>34417.480000000003</v>
      </c>
      <c r="K1406">
        <v>1.29</v>
      </c>
    </row>
    <row r="1407" spans="1:11" x14ac:dyDescent="0.35">
      <c r="A1407" s="1">
        <v>45294</v>
      </c>
      <c r="B1407" t="s">
        <v>89</v>
      </c>
      <c r="C1407" t="s">
        <v>18</v>
      </c>
      <c r="D1407" t="s">
        <v>19</v>
      </c>
      <c r="E1407" t="s">
        <v>20</v>
      </c>
      <c r="F1407" t="s">
        <v>21</v>
      </c>
      <c r="G1407" t="s">
        <v>32</v>
      </c>
      <c r="H1407">
        <v>12387.97</v>
      </c>
      <c r="I1407">
        <v>4</v>
      </c>
      <c r="J1407">
        <v>49551.88</v>
      </c>
      <c r="K1407">
        <v>2.3199999999999998</v>
      </c>
    </row>
    <row r="1408" spans="1:11" x14ac:dyDescent="0.35">
      <c r="A1408" s="1">
        <v>45294</v>
      </c>
      <c r="B1408" t="s">
        <v>1148</v>
      </c>
      <c r="C1408" t="s">
        <v>37</v>
      </c>
      <c r="D1408" t="s">
        <v>19</v>
      </c>
      <c r="E1408" t="s">
        <v>38</v>
      </c>
      <c r="F1408" t="s">
        <v>21</v>
      </c>
      <c r="G1408" t="s">
        <v>16</v>
      </c>
      <c r="H1408">
        <v>1323.56</v>
      </c>
      <c r="I1408">
        <v>1</v>
      </c>
      <c r="J1408">
        <v>1323.56</v>
      </c>
      <c r="K1408">
        <v>4.18</v>
      </c>
    </row>
    <row r="1409" spans="1:11" x14ac:dyDescent="0.35">
      <c r="A1409" s="1">
        <v>45294</v>
      </c>
      <c r="B1409" t="s">
        <v>1429</v>
      </c>
      <c r="C1409" t="s">
        <v>63</v>
      </c>
      <c r="D1409" t="s">
        <v>19</v>
      </c>
      <c r="E1409" t="s">
        <v>64</v>
      </c>
      <c r="F1409" t="s">
        <v>15</v>
      </c>
      <c r="G1409" t="s">
        <v>22</v>
      </c>
      <c r="H1409">
        <v>7576.3</v>
      </c>
      <c r="I1409">
        <v>2</v>
      </c>
      <c r="J1409">
        <v>15152.6</v>
      </c>
      <c r="K1409">
        <v>2.25</v>
      </c>
    </row>
    <row r="1410" spans="1:11" x14ac:dyDescent="0.35">
      <c r="A1410" s="1">
        <v>45294</v>
      </c>
      <c r="B1410" t="s">
        <v>1657</v>
      </c>
      <c r="C1410" t="s">
        <v>18</v>
      </c>
      <c r="D1410" t="s">
        <v>19</v>
      </c>
      <c r="E1410" t="s">
        <v>20</v>
      </c>
      <c r="F1410" t="s">
        <v>45</v>
      </c>
      <c r="G1410" t="s">
        <v>60</v>
      </c>
      <c r="H1410">
        <v>3660.3</v>
      </c>
      <c r="I1410">
        <v>1</v>
      </c>
      <c r="J1410">
        <v>3660.3</v>
      </c>
      <c r="K1410">
        <v>1.7</v>
      </c>
    </row>
    <row r="1411" spans="1:11" x14ac:dyDescent="0.35">
      <c r="A1411" s="1">
        <v>45295</v>
      </c>
      <c r="B1411" t="s">
        <v>108</v>
      </c>
      <c r="C1411" t="s">
        <v>37</v>
      </c>
      <c r="D1411" t="s">
        <v>19</v>
      </c>
      <c r="E1411" t="s">
        <v>38</v>
      </c>
      <c r="F1411" t="s">
        <v>21</v>
      </c>
      <c r="G1411" t="s">
        <v>32</v>
      </c>
      <c r="H1411">
        <v>12309.76</v>
      </c>
      <c r="I1411">
        <v>3</v>
      </c>
      <c r="J1411">
        <v>36929.279999999999</v>
      </c>
      <c r="K1411">
        <v>3.85</v>
      </c>
    </row>
    <row r="1412" spans="1:11" x14ac:dyDescent="0.35">
      <c r="A1412" s="1">
        <v>45295</v>
      </c>
      <c r="B1412" t="s">
        <v>1051</v>
      </c>
      <c r="C1412" t="s">
        <v>37</v>
      </c>
      <c r="D1412" t="s">
        <v>19</v>
      </c>
      <c r="E1412" t="s">
        <v>38</v>
      </c>
      <c r="F1412" t="s">
        <v>45</v>
      </c>
      <c r="G1412" t="s">
        <v>39</v>
      </c>
      <c r="H1412">
        <v>19011.560000000001</v>
      </c>
      <c r="I1412">
        <v>4</v>
      </c>
      <c r="J1412">
        <v>76046.240000000005</v>
      </c>
      <c r="K1412">
        <v>4.96</v>
      </c>
    </row>
    <row r="1413" spans="1:11" x14ac:dyDescent="0.35">
      <c r="A1413" s="1">
        <v>45296</v>
      </c>
      <c r="B1413" t="s">
        <v>234</v>
      </c>
      <c r="C1413" t="s">
        <v>63</v>
      </c>
      <c r="D1413" t="s">
        <v>19</v>
      </c>
      <c r="E1413" t="s">
        <v>64</v>
      </c>
      <c r="F1413" t="s">
        <v>15</v>
      </c>
      <c r="G1413" t="s">
        <v>22</v>
      </c>
      <c r="H1413">
        <v>1018</v>
      </c>
      <c r="I1413">
        <v>2</v>
      </c>
      <c r="J1413">
        <v>2036</v>
      </c>
      <c r="K1413">
        <v>2.69</v>
      </c>
    </row>
    <row r="1414" spans="1:11" x14ac:dyDescent="0.35">
      <c r="A1414" s="1">
        <v>45296</v>
      </c>
      <c r="B1414" t="s">
        <v>1338</v>
      </c>
      <c r="C1414" t="s">
        <v>63</v>
      </c>
      <c r="D1414" t="s">
        <v>19</v>
      </c>
      <c r="E1414" t="s">
        <v>64</v>
      </c>
      <c r="F1414" t="s">
        <v>15</v>
      </c>
      <c r="G1414" t="s">
        <v>16</v>
      </c>
      <c r="H1414">
        <v>16093.89</v>
      </c>
      <c r="I1414">
        <v>3</v>
      </c>
      <c r="J1414">
        <v>48281.67</v>
      </c>
      <c r="K1414">
        <v>2.46</v>
      </c>
    </row>
    <row r="1415" spans="1:11" x14ac:dyDescent="0.35">
      <c r="A1415" s="1">
        <v>45296</v>
      </c>
      <c r="B1415" t="s">
        <v>2018</v>
      </c>
      <c r="C1415" t="s">
        <v>18</v>
      </c>
      <c r="D1415" t="s">
        <v>19</v>
      </c>
      <c r="E1415" t="s">
        <v>20</v>
      </c>
      <c r="F1415" t="s">
        <v>15</v>
      </c>
      <c r="G1415" t="s">
        <v>22</v>
      </c>
      <c r="H1415">
        <v>7842.35</v>
      </c>
      <c r="I1415">
        <v>3</v>
      </c>
      <c r="J1415">
        <v>23527.05</v>
      </c>
      <c r="K1415">
        <v>2.5499999999999998</v>
      </c>
    </row>
    <row r="1416" spans="1:11" x14ac:dyDescent="0.35">
      <c r="A1416" s="1">
        <v>45297</v>
      </c>
      <c r="B1416" t="s">
        <v>177</v>
      </c>
      <c r="C1416" t="s">
        <v>63</v>
      </c>
      <c r="D1416" t="s">
        <v>19</v>
      </c>
      <c r="E1416" t="s">
        <v>64</v>
      </c>
      <c r="F1416" t="s">
        <v>15</v>
      </c>
      <c r="G1416" t="s">
        <v>22</v>
      </c>
      <c r="H1416">
        <v>3563.05</v>
      </c>
      <c r="I1416">
        <v>2</v>
      </c>
      <c r="J1416">
        <v>7126.1</v>
      </c>
      <c r="K1416">
        <v>4.6399999999999997</v>
      </c>
    </row>
    <row r="1417" spans="1:11" x14ac:dyDescent="0.35">
      <c r="A1417" s="1">
        <v>45297</v>
      </c>
      <c r="B1417" t="s">
        <v>366</v>
      </c>
      <c r="C1417" t="s">
        <v>63</v>
      </c>
      <c r="D1417" t="s">
        <v>19</v>
      </c>
      <c r="E1417" t="s">
        <v>64</v>
      </c>
      <c r="F1417" t="s">
        <v>45</v>
      </c>
      <c r="G1417" t="s">
        <v>22</v>
      </c>
      <c r="H1417">
        <v>10229.26</v>
      </c>
      <c r="I1417">
        <v>5</v>
      </c>
      <c r="J1417">
        <v>51146.3</v>
      </c>
      <c r="K1417">
        <v>4.25</v>
      </c>
    </row>
    <row r="1418" spans="1:11" x14ac:dyDescent="0.35">
      <c r="A1418" s="1">
        <v>45297</v>
      </c>
      <c r="B1418" t="s">
        <v>441</v>
      </c>
      <c r="C1418" t="s">
        <v>63</v>
      </c>
      <c r="D1418" t="s">
        <v>19</v>
      </c>
      <c r="E1418" t="s">
        <v>64</v>
      </c>
      <c r="F1418" t="s">
        <v>15</v>
      </c>
      <c r="G1418" t="s">
        <v>60</v>
      </c>
      <c r="H1418">
        <v>5681.05</v>
      </c>
      <c r="I1418">
        <v>4</v>
      </c>
      <c r="J1418">
        <v>22724.2</v>
      </c>
      <c r="K1418">
        <v>1.23</v>
      </c>
    </row>
    <row r="1419" spans="1:11" x14ac:dyDescent="0.35">
      <c r="A1419" s="1">
        <v>45297</v>
      </c>
      <c r="B1419" t="s">
        <v>1063</v>
      </c>
      <c r="C1419" t="s">
        <v>18</v>
      </c>
      <c r="D1419" t="s">
        <v>19</v>
      </c>
      <c r="E1419" t="s">
        <v>20</v>
      </c>
      <c r="F1419" t="s">
        <v>15</v>
      </c>
      <c r="G1419" t="s">
        <v>22</v>
      </c>
      <c r="H1419">
        <v>9007.4599999999991</v>
      </c>
      <c r="I1419">
        <v>5</v>
      </c>
      <c r="J1419">
        <v>45037.3</v>
      </c>
      <c r="K1419">
        <v>4.38</v>
      </c>
    </row>
    <row r="1420" spans="1:11" x14ac:dyDescent="0.35">
      <c r="A1420" s="1">
        <v>45298</v>
      </c>
      <c r="B1420" t="s">
        <v>621</v>
      </c>
      <c r="C1420" t="s">
        <v>37</v>
      </c>
      <c r="D1420" t="s">
        <v>19</v>
      </c>
      <c r="E1420" t="s">
        <v>38</v>
      </c>
      <c r="F1420" t="s">
        <v>15</v>
      </c>
      <c r="G1420" t="s">
        <v>22</v>
      </c>
      <c r="H1420">
        <v>7346.62</v>
      </c>
      <c r="I1420">
        <v>3</v>
      </c>
      <c r="J1420">
        <v>22039.86</v>
      </c>
      <c r="K1420">
        <v>3.41</v>
      </c>
    </row>
    <row r="1421" spans="1:11" x14ac:dyDescent="0.35">
      <c r="A1421" s="1">
        <v>45298</v>
      </c>
      <c r="B1421" t="s">
        <v>800</v>
      </c>
      <c r="C1421" t="s">
        <v>63</v>
      </c>
      <c r="D1421" t="s">
        <v>19</v>
      </c>
      <c r="E1421" t="s">
        <v>64</v>
      </c>
      <c r="F1421" t="s">
        <v>21</v>
      </c>
      <c r="G1421" t="s">
        <v>16</v>
      </c>
      <c r="H1421">
        <v>7724.8</v>
      </c>
      <c r="I1421">
        <v>4</v>
      </c>
      <c r="J1421">
        <v>30899.200000000001</v>
      </c>
      <c r="K1421">
        <v>4.6399999999999997</v>
      </c>
    </row>
    <row r="1422" spans="1:11" x14ac:dyDescent="0.35">
      <c r="A1422" s="1">
        <v>45298</v>
      </c>
      <c r="B1422" t="s">
        <v>1329</v>
      </c>
      <c r="C1422" t="s">
        <v>37</v>
      </c>
      <c r="D1422" t="s">
        <v>19</v>
      </c>
      <c r="E1422" t="s">
        <v>38</v>
      </c>
      <c r="F1422" t="s">
        <v>15</v>
      </c>
      <c r="G1422" t="s">
        <v>22</v>
      </c>
      <c r="H1422">
        <v>14755.64</v>
      </c>
      <c r="I1422">
        <v>4</v>
      </c>
      <c r="J1422">
        <v>59022.559999999998</v>
      </c>
      <c r="K1422">
        <v>2.2200000000000002</v>
      </c>
    </row>
    <row r="1423" spans="1:11" x14ac:dyDescent="0.35">
      <c r="A1423" s="1">
        <v>45298</v>
      </c>
      <c r="B1423" t="s">
        <v>1601</v>
      </c>
      <c r="C1423" t="s">
        <v>37</v>
      </c>
      <c r="D1423" t="s">
        <v>19</v>
      </c>
      <c r="E1423" t="s">
        <v>38</v>
      </c>
      <c r="F1423" t="s">
        <v>21</v>
      </c>
      <c r="G1423" t="s">
        <v>39</v>
      </c>
      <c r="H1423">
        <v>18245.05</v>
      </c>
      <c r="I1423">
        <v>5</v>
      </c>
      <c r="J1423">
        <v>91225.25</v>
      </c>
      <c r="K1423">
        <v>2.19</v>
      </c>
    </row>
    <row r="1424" spans="1:11" x14ac:dyDescent="0.35">
      <c r="A1424" s="1">
        <v>45298</v>
      </c>
      <c r="B1424" t="s">
        <v>1872</v>
      </c>
      <c r="C1424" t="s">
        <v>18</v>
      </c>
      <c r="D1424" t="s">
        <v>19</v>
      </c>
      <c r="E1424" t="s">
        <v>20</v>
      </c>
      <c r="F1424" t="s">
        <v>21</v>
      </c>
      <c r="G1424" t="s">
        <v>60</v>
      </c>
      <c r="H1424">
        <v>7333.57</v>
      </c>
      <c r="I1424">
        <v>5</v>
      </c>
      <c r="J1424">
        <v>36667.85</v>
      </c>
      <c r="K1424">
        <v>2.23</v>
      </c>
    </row>
    <row r="1425" spans="1:11" x14ac:dyDescent="0.35">
      <c r="A1425" s="1">
        <v>45299</v>
      </c>
      <c r="B1425" t="s">
        <v>306</v>
      </c>
      <c r="C1425" t="s">
        <v>18</v>
      </c>
      <c r="D1425" t="s">
        <v>19</v>
      </c>
      <c r="E1425" t="s">
        <v>20</v>
      </c>
      <c r="F1425" t="s">
        <v>21</v>
      </c>
      <c r="G1425" t="s">
        <v>60</v>
      </c>
      <c r="H1425">
        <v>14313.63</v>
      </c>
      <c r="I1425">
        <v>5</v>
      </c>
      <c r="J1425">
        <v>71568.149999999994</v>
      </c>
      <c r="K1425">
        <v>4.75</v>
      </c>
    </row>
    <row r="1426" spans="1:11" x14ac:dyDescent="0.35">
      <c r="A1426" s="1">
        <v>45301</v>
      </c>
      <c r="B1426" t="s">
        <v>1867</v>
      </c>
      <c r="C1426" t="s">
        <v>18</v>
      </c>
      <c r="D1426" t="s">
        <v>19</v>
      </c>
      <c r="E1426" t="s">
        <v>20</v>
      </c>
      <c r="F1426" t="s">
        <v>15</v>
      </c>
      <c r="G1426" t="s">
        <v>60</v>
      </c>
      <c r="H1426">
        <v>5089.6000000000004</v>
      </c>
      <c r="I1426">
        <v>3</v>
      </c>
      <c r="J1426">
        <v>15268.8</v>
      </c>
      <c r="K1426">
        <v>3.92</v>
      </c>
    </row>
    <row r="1427" spans="1:11" x14ac:dyDescent="0.35">
      <c r="A1427" s="1">
        <v>45302</v>
      </c>
      <c r="B1427" t="s">
        <v>866</v>
      </c>
      <c r="C1427" t="s">
        <v>37</v>
      </c>
      <c r="D1427" t="s">
        <v>19</v>
      </c>
      <c r="E1427" t="s">
        <v>38</v>
      </c>
      <c r="F1427" t="s">
        <v>21</v>
      </c>
      <c r="G1427" t="s">
        <v>27</v>
      </c>
      <c r="H1427">
        <v>7795.74</v>
      </c>
      <c r="I1427">
        <v>1</v>
      </c>
      <c r="J1427">
        <v>7795.74</v>
      </c>
      <c r="K1427">
        <v>1.4</v>
      </c>
    </row>
    <row r="1428" spans="1:11" x14ac:dyDescent="0.35">
      <c r="A1428" s="1">
        <v>45302</v>
      </c>
      <c r="B1428" t="s">
        <v>909</v>
      </c>
      <c r="C1428" t="s">
        <v>18</v>
      </c>
      <c r="D1428" t="s">
        <v>19</v>
      </c>
      <c r="E1428" t="s">
        <v>20</v>
      </c>
      <c r="F1428" t="s">
        <v>21</v>
      </c>
      <c r="G1428" t="s">
        <v>60</v>
      </c>
      <c r="H1428">
        <v>14137.81</v>
      </c>
      <c r="I1428">
        <v>5</v>
      </c>
      <c r="J1428">
        <v>70689.05</v>
      </c>
      <c r="K1428">
        <v>2.81</v>
      </c>
    </row>
    <row r="1429" spans="1:11" x14ac:dyDescent="0.35">
      <c r="A1429" s="1">
        <v>45302</v>
      </c>
      <c r="B1429" t="s">
        <v>1266</v>
      </c>
      <c r="C1429" t="s">
        <v>37</v>
      </c>
      <c r="D1429" t="s">
        <v>19</v>
      </c>
      <c r="E1429" t="s">
        <v>38</v>
      </c>
      <c r="F1429" t="s">
        <v>21</v>
      </c>
      <c r="G1429" t="s">
        <v>16</v>
      </c>
      <c r="H1429">
        <v>4959.8500000000004</v>
      </c>
      <c r="I1429">
        <v>4</v>
      </c>
      <c r="J1429">
        <v>19839.400000000001</v>
      </c>
      <c r="K1429">
        <v>1.04</v>
      </c>
    </row>
    <row r="1430" spans="1:11" x14ac:dyDescent="0.35">
      <c r="A1430" s="1">
        <v>45305</v>
      </c>
      <c r="B1430" t="s">
        <v>1800</v>
      </c>
      <c r="C1430" t="s">
        <v>63</v>
      </c>
      <c r="D1430" t="s">
        <v>19</v>
      </c>
      <c r="E1430" t="s">
        <v>64</v>
      </c>
      <c r="F1430" t="s">
        <v>15</v>
      </c>
      <c r="G1430" t="s">
        <v>60</v>
      </c>
      <c r="H1430">
        <v>11864.66</v>
      </c>
      <c r="I1430">
        <v>5</v>
      </c>
      <c r="J1430">
        <v>59323.3</v>
      </c>
      <c r="K1430">
        <v>3.37</v>
      </c>
    </row>
    <row r="1431" spans="1:11" x14ac:dyDescent="0.35">
      <c r="A1431" s="1">
        <v>45306</v>
      </c>
      <c r="B1431" t="s">
        <v>1437</v>
      </c>
      <c r="C1431" t="s">
        <v>63</v>
      </c>
      <c r="D1431" t="s">
        <v>19</v>
      </c>
      <c r="E1431" t="s">
        <v>64</v>
      </c>
      <c r="F1431" t="s">
        <v>15</v>
      </c>
      <c r="G1431" t="s">
        <v>16</v>
      </c>
      <c r="H1431">
        <v>18085.349999999999</v>
      </c>
      <c r="I1431">
        <v>5</v>
      </c>
      <c r="J1431">
        <v>90426.75</v>
      </c>
      <c r="K1431">
        <v>1.34</v>
      </c>
    </row>
    <row r="1432" spans="1:11" x14ac:dyDescent="0.35">
      <c r="A1432" s="1">
        <v>45307</v>
      </c>
      <c r="B1432" t="s">
        <v>470</v>
      </c>
      <c r="C1432" t="s">
        <v>18</v>
      </c>
      <c r="D1432" t="s">
        <v>19</v>
      </c>
      <c r="E1432" t="s">
        <v>20</v>
      </c>
      <c r="F1432" t="s">
        <v>21</v>
      </c>
      <c r="G1432" t="s">
        <v>16</v>
      </c>
      <c r="H1432">
        <v>3260.31</v>
      </c>
      <c r="I1432">
        <v>1</v>
      </c>
      <c r="J1432">
        <v>3260.31</v>
      </c>
      <c r="K1432">
        <v>3.11</v>
      </c>
    </row>
    <row r="1433" spans="1:11" x14ac:dyDescent="0.35">
      <c r="A1433" s="1">
        <v>45307</v>
      </c>
      <c r="B1433" t="s">
        <v>1220</v>
      </c>
      <c r="C1433" t="s">
        <v>18</v>
      </c>
      <c r="D1433" t="s">
        <v>19</v>
      </c>
      <c r="E1433" t="s">
        <v>20</v>
      </c>
      <c r="F1433" t="s">
        <v>15</v>
      </c>
      <c r="G1433" t="s">
        <v>27</v>
      </c>
      <c r="H1433">
        <v>883.53</v>
      </c>
      <c r="I1433">
        <v>2</v>
      </c>
      <c r="J1433">
        <v>1767.06</v>
      </c>
      <c r="K1433">
        <v>3.67</v>
      </c>
    </row>
    <row r="1434" spans="1:11" x14ac:dyDescent="0.35">
      <c r="A1434" s="1">
        <v>45309</v>
      </c>
      <c r="B1434" t="s">
        <v>1271</v>
      </c>
      <c r="C1434" t="s">
        <v>18</v>
      </c>
      <c r="D1434" t="s">
        <v>19</v>
      </c>
      <c r="E1434" t="s">
        <v>20</v>
      </c>
      <c r="F1434" t="s">
        <v>21</v>
      </c>
      <c r="G1434" t="s">
        <v>27</v>
      </c>
      <c r="H1434">
        <v>9087.44</v>
      </c>
      <c r="I1434">
        <v>4</v>
      </c>
      <c r="J1434">
        <v>36349.760000000002</v>
      </c>
      <c r="K1434">
        <v>2.31</v>
      </c>
    </row>
    <row r="1435" spans="1:11" x14ac:dyDescent="0.35">
      <c r="A1435" s="1">
        <v>45309</v>
      </c>
      <c r="B1435" t="s">
        <v>1465</v>
      </c>
      <c r="C1435" t="s">
        <v>63</v>
      </c>
      <c r="D1435" t="s">
        <v>19</v>
      </c>
      <c r="E1435" t="s">
        <v>64</v>
      </c>
      <c r="F1435" t="s">
        <v>45</v>
      </c>
      <c r="G1435" t="s">
        <v>27</v>
      </c>
      <c r="H1435">
        <v>16866.95</v>
      </c>
      <c r="I1435">
        <v>4</v>
      </c>
      <c r="J1435">
        <v>67467.8</v>
      </c>
      <c r="K1435">
        <v>3.64</v>
      </c>
    </row>
    <row r="1436" spans="1:11" x14ac:dyDescent="0.35">
      <c r="A1436" s="1">
        <v>45311</v>
      </c>
      <c r="B1436" t="s">
        <v>527</v>
      </c>
      <c r="C1436" t="s">
        <v>37</v>
      </c>
      <c r="D1436" t="s">
        <v>19</v>
      </c>
      <c r="E1436" t="s">
        <v>38</v>
      </c>
      <c r="F1436" t="s">
        <v>45</v>
      </c>
      <c r="G1436" t="s">
        <v>16</v>
      </c>
      <c r="H1436">
        <v>105.59</v>
      </c>
      <c r="I1436">
        <v>2</v>
      </c>
      <c r="J1436">
        <v>211.18</v>
      </c>
      <c r="K1436">
        <v>1.41</v>
      </c>
    </row>
    <row r="1437" spans="1:11" x14ac:dyDescent="0.35">
      <c r="A1437" s="1">
        <v>45312</v>
      </c>
      <c r="B1437" t="s">
        <v>709</v>
      </c>
      <c r="C1437" t="s">
        <v>18</v>
      </c>
      <c r="D1437" t="s">
        <v>19</v>
      </c>
      <c r="E1437" t="s">
        <v>20</v>
      </c>
      <c r="F1437" t="s">
        <v>15</v>
      </c>
      <c r="G1437" t="s">
        <v>16</v>
      </c>
      <c r="H1437">
        <v>17601.150000000001</v>
      </c>
      <c r="I1437">
        <v>2</v>
      </c>
      <c r="J1437">
        <v>35202.300000000003</v>
      </c>
      <c r="K1437">
        <v>1.72</v>
      </c>
    </row>
    <row r="1438" spans="1:11" x14ac:dyDescent="0.35">
      <c r="A1438" s="1">
        <v>45312</v>
      </c>
      <c r="B1438" t="s">
        <v>737</v>
      </c>
      <c r="C1438" t="s">
        <v>37</v>
      </c>
      <c r="D1438" t="s">
        <v>19</v>
      </c>
      <c r="E1438" t="s">
        <v>38</v>
      </c>
      <c r="F1438" t="s">
        <v>45</v>
      </c>
      <c r="G1438" t="s">
        <v>32</v>
      </c>
      <c r="H1438">
        <v>3100.46</v>
      </c>
      <c r="I1438">
        <v>1</v>
      </c>
      <c r="J1438">
        <v>3100.46</v>
      </c>
      <c r="K1438">
        <v>3.31</v>
      </c>
    </row>
    <row r="1439" spans="1:11" x14ac:dyDescent="0.35">
      <c r="A1439" s="1">
        <v>45312</v>
      </c>
      <c r="B1439" t="s">
        <v>1236</v>
      </c>
      <c r="C1439" t="s">
        <v>63</v>
      </c>
      <c r="D1439" t="s">
        <v>19</v>
      </c>
      <c r="E1439" t="s">
        <v>64</v>
      </c>
      <c r="F1439" t="s">
        <v>15</v>
      </c>
      <c r="G1439" t="s">
        <v>27</v>
      </c>
      <c r="H1439">
        <v>18719.07</v>
      </c>
      <c r="I1439">
        <v>4</v>
      </c>
      <c r="J1439">
        <v>74876.28</v>
      </c>
      <c r="K1439">
        <v>4.93</v>
      </c>
    </row>
    <row r="1440" spans="1:11" x14ac:dyDescent="0.35">
      <c r="A1440" s="1">
        <v>45313</v>
      </c>
      <c r="B1440" t="s">
        <v>1605</v>
      </c>
      <c r="C1440" t="s">
        <v>18</v>
      </c>
      <c r="D1440" t="s">
        <v>19</v>
      </c>
      <c r="E1440" t="s">
        <v>20</v>
      </c>
      <c r="F1440" t="s">
        <v>45</v>
      </c>
      <c r="G1440" t="s">
        <v>27</v>
      </c>
      <c r="H1440">
        <v>11152.51</v>
      </c>
      <c r="I1440">
        <v>3</v>
      </c>
      <c r="J1440">
        <v>33457.53</v>
      </c>
      <c r="K1440">
        <v>1.27</v>
      </c>
    </row>
    <row r="1441" spans="1:11" x14ac:dyDescent="0.35">
      <c r="A1441" s="1">
        <v>45313</v>
      </c>
      <c r="B1441" t="s">
        <v>1651</v>
      </c>
      <c r="C1441" t="s">
        <v>63</v>
      </c>
      <c r="D1441" t="s">
        <v>19</v>
      </c>
      <c r="E1441" t="s">
        <v>64</v>
      </c>
      <c r="F1441" t="s">
        <v>15</v>
      </c>
      <c r="G1441" t="s">
        <v>22</v>
      </c>
      <c r="H1441">
        <v>12187.77</v>
      </c>
      <c r="I1441">
        <v>3</v>
      </c>
      <c r="J1441">
        <v>36563.31</v>
      </c>
      <c r="K1441">
        <v>1.1599999999999999</v>
      </c>
    </row>
    <row r="1442" spans="1:11" x14ac:dyDescent="0.35">
      <c r="A1442" s="1">
        <v>45314</v>
      </c>
      <c r="B1442" t="s">
        <v>87</v>
      </c>
      <c r="C1442" t="s">
        <v>18</v>
      </c>
      <c r="D1442" t="s">
        <v>19</v>
      </c>
      <c r="E1442" t="s">
        <v>20</v>
      </c>
      <c r="F1442" t="s">
        <v>15</v>
      </c>
      <c r="G1442" t="s">
        <v>16</v>
      </c>
      <c r="H1442">
        <v>8129.36</v>
      </c>
      <c r="I1442">
        <v>5</v>
      </c>
      <c r="J1442">
        <v>40646.800000000003</v>
      </c>
      <c r="K1442">
        <v>4.28</v>
      </c>
    </row>
    <row r="1443" spans="1:11" x14ac:dyDescent="0.35">
      <c r="A1443" s="1">
        <v>45314</v>
      </c>
      <c r="B1443" t="s">
        <v>238</v>
      </c>
      <c r="C1443" t="s">
        <v>37</v>
      </c>
      <c r="D1443" t="s">
        <v>19</v>
      </c>
      <c r="E1443" t="s">
        <v>38</v>
      </c>
      <c r="F1443" t="s">
        <v>15</v>
      </c>
      <c r="G1443" t="s">
        <v>27</v>
      </c>
      <c r="H1443">
        <v>11811.63</v>
      </c>
      <c r="I1443">
        <v>3</v>
      </c>
      <c r="J1443">
        <v>35434.89</v>
      </c>
      <c r="K1443">
        <v>4.88</v>
      </c>
    </row>
    <row r="1444" spans="1:11" x14ac:dyDescent="0.35">
      <c r="A1444" s="1">
        <v>45314</v>
      </c>
      <c r="B1444" t="s">
        <v>411</v>
      </c>
      <c r="C1444" t="s">
        <v>18</v>
      </c>
      <c r="D1444" t="s">
        <v>19</v>
      </c>
      <c r="E1444" t="s">
        <v>20</v>
      </c>
      <c r="F1444" t="s">
        <v>21</v>
      </c>
      <c r="G1444" t="s">
        <v>16</v>
      </c>
      <c r="H1444">
        <v>6370.33</v>
      </c>
      <c r="I1444">
        <v>3</v>
      </c>
      <c r="J1444">
        <v>19110.990000000002</v>
      </c>
      <c r="K1444">
        <v>1.85</v>
      </c>
    </row>
    <row r="1445" spans="1:11" x14ac:dyDescent="0.35">
      <c r="A1445" s="1">
        <v>45314</v>
      </c>
      <c r="B1445" t="s">
        <v>662</v>
      </c>
      <c r="C1445" t="s">
        <v>18</v>
      </c>
      <c r="D1445" t="s">
        <v>19</v>
      </c>
      <c r="E1445" t="s">
        <v>20</v>
      </c>
      <c r="F1445" t="s">
        <v>21</v>
      </c>
      <c r="G1445" t="s">
        <v>32</v>
      </c>
      <c r="H1445">
        <v>15216.87</v>
      </c>
      <c r="I1445">
        <v>4</v>
      </c>
      <c r="J1445">
        <v>60867.48</v>
      </c>
      <c r="K1445">
        <v>2.39</v>
      </c>
    </row>
    <row r="1446" spans="1:11" x14ac:dyDescent="0.35">
      <c r="A1446" s="1">
        <v>45314</v>
      </c>
      <c r="B1446" t="s">
        <v>1866</v>
      </c>
      <c r="C1446" t="s">
        <v>18</v>
      </c>
      <c r="D1446" t="s">
        <v>19</v>
      </c>
      <c r="E1446" t="s">
        <v>20</v>
      </c>
      <c r="F1446" t="s">
        <v>45</v>
      </c>
      <c r="G1446" t="s">
        <v>32</v>
      </c>
      <c r="H1446">
        <v>15257.16</v>
      </c>
      <c r="I1446">
        <v>5</v>
      </c>
      <c r="J1446">
        <v>76285.8</v>
      </c>
      <c r="K1446">
        <v>1.85</v>
      </c>
    </row>
    <row r="1447" spans="1:11" x14ac:dyDescent="0.35">
      <c r="A1447" s="1">
        <v>45315</v>
      </c>
      <c r="B1447" t="s">
        <v>1111</v>
      </c>
      <c r="C1447" t="s">
        <v>37</v>
      </c>
      <c r="D1447" t="s">
        <v>19</v>
      </c>
      <c r="E1447" t="s">
        <v>38</v>
      </c>
      <c r="F1447" t="s">
        <v>15</v>
      </c>
      <c r="G1447" t="s">
        <v>27</v>
      </c>
      <c r="H1447">
        <v>17577.759999999998</v>
      </c>
      <c r="I1447">
        <v>2</v>
      </c>
      <c r="J1447">
        <v>35155.519999999997</v>
      </c>
      <c r="K1447">
        <v>3.73</v>
      </c>
    </row>
    <row r="1448" spans="1:11" x14ac:dyDescent="0.35">
      <c r="A1448" s="1">
        <v>45316</v>
      </c>
      <c r="B1448" t="s">
        <v>886</v>
      </c>
      <c r="C1448" t="s">
        <v>63</v>
      </c>
      <c r="D1448" t="s">
        <v>19</v>
      </c>
      <c r="E1448" t="s">
        <v>64</v>
      </c>
      <c r="F1448" t="s">
        <v>15</v>
      </c>
      <c r="G1448" t="s">
        <v>60</v>
      </c>
      <c r="H1448">
        <v>19126.009999999998</v>
      </c>
      <c r="I1448">
        <v>1</v>
      </c>
      <c r="J1448">
        <v>19126.009999999998</v>
      </c>
      <c r="K1448">
        <v>3.68</v>
      </c>
    </row>
    <row r="1449" spans="1:11" x14ac:dyDescent="0.35">
      <c r="A1449" s="1">
        <v>45319</v>
      </c>
      <c r="B1449" t="s">
        <v>1200</v>
      </c>
      <c r="C1449" t="s">
        <v>18</v>
      </c>
      <c r="D1449" t="s">
        <v>19</v>
      </c>
      <c r="E1449" t="s">
        <v>20</v>
      </c>
      <c r="F1449" t="s">
        <v>15</v>
      </c>
      <c r="G1449" t="s">
        <v>60</v>
      </c>
      <c r="H1449">
        <v>19551.46</v>
      </c>
      <c r="I1449">
        <v>1</v>
      </c>
      <c r="J1449">
        <v>19551.46</v>
      </c>
      <c r="K1449">
        <v>1.87</v>
      </c>
    </row>
    <row r="1450" spans="1:11" x14ac:dyDescent="0.35">
      <c r="A1450" s="1">
        <v>45319</v>
      </c>
      <c r="B1450" t="s">
        <v>2009</v>
      </c>
      <c r="C1450" t="s">
        <v>37</v>
      </c>
      <c r="D1450" t="s">
        <v>19</v>
      </c>
      <c r="E1450" t="s">
        <v>38</v>
      </c>
      <c r="F1450" t="s">
        <v>15</v>
      </c>
      <c r="G1450" t="s">
        <v>27</v>
      </c>
      <c r="H1450">
        <v>12751.54</v>
      </c>
      <c r="I1450">
        <v>2</v>
      </c>
      <c r="J1450">
        <v>25503.08</v>
      </c>
      <c r="K1450">
        <v>3.07</v>
      </c>
    </row>
    <row r="1451" spans="1:11" x14ac:dyDescent="0.35">
      <c r="A1451" s="1">
        <v>45320</v>
      </c>
      <c r="B1451" t="s">
        <v>1585</v>
      </c>
      <c r="C1451" t="s">
        <v>63</v>
      </c>
      <c r="D1451" t="s">
        <v>19</v>
      </c>
      <c r="E1451" t="s">
        <v>64</v>
      </c>
      <c r="F1451" t="s">
        <v>15</v>
      </c>
      <c r="G1451" t="s">
        <v>16</v>
      </c>
      <c r="H1451">
        <v>533.54</v>
      </c>
      <c r="I1451">
        <v>4</v>
      </c>
      <c r="J1451">
        <v>2134.16</v>
      </c>
      <c r="K1451">
        <v>1.91</v>
      </c>
    </row>
    <row r="1452" spans="1:11" x14ac:dyDescent="0.35">
      <c r="A1452" s="1">
        <v>45321</v>
      </c>
      <c r="B1452" t="s">
        <v>1026</v>
      </c>
      <c r="C1452" t="s">
        <v>63</v>
      </c>
      <c r="D1452" t="s">
        <v>19</v>
      </c>
      <c r="E1452" t="s">
        <v>64</v>
      </c>
      <c r="F1452" t="s">
        <v>15</v>
      </c>
      <c r="G1452" t="s">
        <v>22</v>
      </c>
      <c r="H1452">
        <v>3300.36</v>
      </c>
      <c r="I1452">
        <v>4</v>
      </c>
      <c r="J1452">
        <v>13201.44</v>
      </c>
      <c r="K1452">
        <v>4.12</v>
      </c>
    </row>
    <row r="1453" spans="1:11" x14ac:dyDescent="0.35">
      <c r="A1453" s="1">
        <v>45322</v>
      </c>
      <c r="B1453" t="s">
        <v>942</v>
      </c>
      <c r="C1453" t="s">
        <v>63</v>
      </c>
      <c r="D1453" t="s">
        <v>19</v>
      </c>
      <c r="E1453" t="s">
        <v>64</v>
      </c>
      <c r="F1453" t="s">
        <v>15</v>
      </c>
      <c r="G1453" t="s">
        <v>60</v>
      </c>
      <c r="H1453">
        <v>15312.38</v>
      </c>
      <c r="I1453">
        <v>5</v>
      </c>
      <c r="J1453">
        <v>76561.899999999994</v>
      </c>
      <c r="K1453">
        <v>2.4700000000000002</v>
      </c>
    </row>
    <row r="1454" spans="1:11" x14ac:dyDescent="0.35">
      <c r="A1454" s="1">
        <v>45322</v>
      </c>
      <c r="B1454" t="s">
        <v>1924</v>
      </c>
      <c r="C1454" t="s">
        <v>37</v>
      </c>
      <c r="D1454" t="s">
        <v>19</v>
      </c>
      <c r="E1454" t="s">
        <v>38</v>
      </c>
      <c r="F1454" t="s">
        <v>21</v>
      </c>
      <c r="G1454" t="s">
        <v>60</v>
      </c>
      <c r="H1454">
        <v>2382.73</v>
      </c>
      <c r="I1454">
        <v>3</v>
      </c>
      <c r="J1454">
        <v>7148.19</v>
      </c>
      <c r="K1454">
        <v>1.03</v>
      </c>
    </row>
    <row r="1455" spans="1:11" x14ac:dyDescent="0.35">
      <c r="A1455" s="1">
        <v>45323</v>
      </c>
      <c r="B1455" t="s">
        <v>569</v>
      </c>
      <c r="C1455" t="s">
        <v>18</v>
      </c>
      <c r="D1455" t="s">
        <v>19</v>
      </c>
      <c r="E1455" t="s">
        <v>20</v>
      </c>
      <c r="F1455" t="s">
        <v>21</v>
      </c>
      <c r="G1455" t="s">
        <v>60</v>
      </c>
      <c r="H1455">
        <v>2547.54</v>
      </c>
      <c r="I1455">
        <v>3</v>
      </c>
      <c r="J1455">
        <v>7642.62</v>
      </c>
      <c r="K1455">
        <v>2.12</v>
      </c>
    </row>
    <row r="1456" spans="1:11" x14ac:dyDescent="0.35">
      <c r="A1456" s="1">
        <v>45324</v>
      </c>
      <c r="B1456" t="s">
        <v>600</v>
      </c>
      <c r="C1456" t="s">
        <v>63</v>
      </c>
      <c r="D1456" t="s">
        <v>19</v>
      </c>
      <c r="E1456" t="s">
        <v>64</v>
      </c>
      <c r="F1456" t="s">
        <v>15</v>
      </c>
      <c r="G1456" t="s">
        <v>39</v>
      </c>
      <c r="H1456">
        <v>4595.83</v>
      </c>
      <c r="I1456">
        <v>4</v>
      </c>
      <c r="J1456">
        <v>18383.32</v>
      </c>
      <c r="K1456">
        <v>2.71</v>
      </c>
    </row>
    <row r="1457" spans="1:11" x14ac:dyDescent="0.35">
      <c r="A1457" s="1">
        <v>45326</v>
      </c>
      <c r="B1457" t="s">
        <v>902</v>
      </c>
      <c r="C1457" t="s">
        <v>18</v>
      </c>
      <c r="D1457" t="s">
        <v>19</v>
      </c>
      <c r="E1457" t="s">
        <v>20</v>
      </c>
      <c r="F1457" t="s">
        <v>15</v>
      </c>
      <c r="G1457" t="s">
        <v>32</v>
      </c>
      <c r="H1457">
        <v>1072.01</v>
      </c>
      <c r="I1457">
        <v>2</v>
      </c>
      <c r="J1457">
        <v>2144.02</v>
      </c>
      <c r="K1457">
        <v>3.15</v>
      </c>
    </row>
    <row r="1458" spans="1:11" x14ac:dyDescent="0.35">
      <c r="A1458" s="1">
        <v>45326</v>
      </c>
      <c r="B1458" t="s">
        <v>1255</v>
      </c>
      <c r="C1458" t="s">
        <v>37</v>
      </c>
      <c r="D1458" t="s">
        <v>19</v>
      </c>
      <c r="E1458" t="s">
        <v>38</v>
      </c>
      <c r="F1458" t="s">
        <v>45</v>
      </c>
      <c r="G1458" t="s">
        <v>16</v>
      </c>
      <c r="H1458">
        <v>7312.13</v>
      </c>
      <c r="I1458">
        <v>5</v>
      </c>
      <c r="J1458">
        <v>36560.65</v>
      </c>
      <c r="K1458">
        <v>3.05</v>
      </c>
    </row>
    <row r="1459" spans="1:11" x14ac:dyDescent="0.35">
      <c r="A1459" s="1">
        <v>45326</v>
      </c>
      <c r="B1459" t="s">
        <v>1732</v>
      </c>
      <c r="C1459" t="s">
        <v>37</v>
      </c>
      <c r="D1459" t="s">
        <v>19</v>
      </c>
      <c r="E1459" t="s">
        <v>38</v>
      </c>
      <c r="F1459" t="s">
        <v>45</v>
      </c>
      <c r="G1459" t="s">
        <v>16</v>
      </c>
      <c r="H1459">
        <v>18604.57</v>
      </c>
      <c r="I1459">
        <v>4</v>
      </c>
      <c r="J1459">
        <v>74418.28</v>
      </c>
      <c r="K1459">
        <v>2.35</v>
      </c>
    </row>
    <row r="1460" spans="1:11" x14ac:dyDescent="0.35">
      <c r="A1460" s="1">
        <v>45326</v>
      </c>
      <c r="B1460" t="s">
        <v>1777</v>
      </c>
      <c r="C1460" t="s">
        <v>18</v>
      </c>
      <c r="D1460" t="s">
        <v>19</v>
      </c>
      <c r="E1460" t="s">
        <v>20</v>
      </c>
      <c r="F1460" t="s">
        <v>21</v>
      </c>
      <c r="G1460" t="s">
        <v>27</v>
      </c>
      <c r="H1460">
        <v>3064.77</v>
      </c>
      <c r="I1460">
        <v>2</v>
      </c>
      <c r="J1460">
        <v>6129.54</v>
      </c>
      <c r="K1460">
        <v>1.29</v>
      </c>
    </row>
    <row r="1461" spans="1:11" x14ac:dyDescent="0.35">
      <c r="A1461" s="1">
        <v>45326</v>
      </c>
      <c r="B1461" t="s">
        <v>1931</v>
      </c>
      <c r="C1461" t="s">
        <v>18</v>
      </c>
      <c r="D1461" t="s">
        <v>19</v>
      </c>
      <c r="E1461" t="s">
        <v>20</v>
      </c>
      <c r="F1461" t="s">
        <v>21</v>
      </c>
      <c r="G1461" t="s">
        <v>32</v>
      </c>
      <c r="H1461">
        <v>7699.21</v>
      </c>
      <c r="I1461">
        <v>5</v>
      </c>
      <c r="J1461">
        <v>38496.050000000003</v>
      </c>
      <c r="K1461">
        <v>1.52</v>
      </c>
    </row>
    <row r="1462" spans="1:11" x14ac:dyDescent="0.35">
      <c r="A1462" s="1">
        <v>45327</v>
      </c>
      <c r="B1462" t="s">
        <v>100</v>
      </c>
      <c r="C1462" t="s">
        <v>63</v>
      </c>
      <c r="D1462" t="s">
        <v>19</v>
      </c>
      <c r="E1462" t="s">
        <v>64</v>
      </c>
      <c r="F1462" t="s">
        <v>45</v>
      </c>
      <c r="G1462" t="s">
        <v>60</v>
      </c>
      <c r="H1462">
        <v>19815.580000000002</v>
      </c>
      <c r="I1462">
        <v>5</v>
      </c>
      <c r="J1462">
        <v>99077.9</v>
      </c>
      <c r="K1462">
        <v>3.93</v>
      </c>
    </row>
    <row r="1463" spans="1:11" x14ac:dyDescent="0.35">
      <c r="A1463" s="1">
        <v>45327</v>
      </c>
      <c r="B1463" t="s">
        <v>979</v>
      </c>
      <c r="C1463" t="s">
        <v>37</v>
      </c>
      <c r="D1463" t="s">
        <v>19</v>
      </c>
      <c r="E1463" t="s">
        <v>38</v>
      </c>
      <c r="F1463" t="s">
        <v>21</v>
      </c>
      <c r="G1463" t="s">
        <v>60</v>
      </c>
      <c r="H1463">
        <v>3703.01</v>
      </c>
      <c r="I1463">
        <v>2</v>
      </c>
      <c r="J1463">
        <v>7406.02</v>
      </c>
      <c r="K1463">
        <v>3.84</v>
      </c>
    </row>
    <row r="1464" spans="1:11" x14ac:dyDescent="0.35">
      <c r="A1464" s="1">
        <v>45329</v>
      </c>
      <c r="B1464" t="s">
        <v>465</v>
      </c>
      <c r="C1464" t="s">
        <v>63</v>
      </c>
      <c r="D1464" t="s">
        <v>19</v>
      </c>
      <c r="E1464" t="s">
        <v>64</v>
      </c>
      <c r="F1464" t="s">
        <v>15</v>
      </c>
      <c r="G1464" t="s">
        <v>32</v>
      </c>
      <c r="H1464">
        <v>12143.84</v>
      </c>
      <c r="I1464">
        <v>3</v>
      </c>
      <c r="J1464">
        <v>36431.519999999997</v>
      </c>
      <c r="K1464">
        <v>2.58</v>
      </c>
    </row>
    <row r="1465" spans="1:11" x14ac:dyDescent="0.35">
      <c r="A1465" s="1">
        <v>45329</v>
      </c>
      <c r="B1465" t="s">
        <v>1540</v>
      </c>
      <c r="C1465" t="s">
        <v>18</v>
      </c>
      <c r="D1465" t="s">
        <v>19</v>
      </c>
      <c r="E1465" t="s">
        <v>20</v>
      </c>
      <c r="F1465" t="s">
        <v>45</v>
      </c>
      <c r="G1465" t="s">
        <v>16</v>
      </c>
      <c r="H1465">
        <v>14492.93</v>
      </c>
      <c r="I1465">
        <v>4</v>
      </c>
      <c r="J1465">
        <v>57971.72</v>
      </c>
      <c r="K1465">
        <v>3.39</v>
      </c>
    </row>
    <row r="1466" spans="1:11" x14ac:dyDescent="0.35">
      <c r="A1466" s="1">
        <v>45329</v>
      </c>
      <c r="B1466" t="s">
        <v>1818</v>
      </c>
      <c r="C1466" t="s">
        <v>37</v>
      </c>
      <c r="D1466" t="s">
        <v>19</v>
      </c>
      <c r="E1466" t="s">
        <v>38</v>
      </c>
      <c r="F1466" t="s">
        <v>45</v>
      </c>
      <c r="G1466" t="s">
        <v>22</v>
      </c>
      <c r="H1466">
        <v>18598.580000000002</v>
      </c>
      <c r="I1466">
        <v>3</v>
      </c>
      <c r="J1466">
        <v>55795.74</v>
      </c>
      <c r="K1466">
        <v>3.73</v>
      </c>
    </row>
    <row r="1467" spans="1:11" x14ac:dyDescent="0.35">
      <c r="A1467" s="1">
        <v>45331</v>
      </c>
      <c r="B1467" t="s">
        <v>1087</v>
      </c>
      <c r="C1467" t="s">
        <v>18</v>
      </c>
      <c r="D1467" t="s">
        <v>19</v>
      </c>
      <c r="E1467" t="s">
        <v>20</v>
      </c>
      <c r="F1467" t="s">
        <v>45</v>
      </c>
      <c r="G1467" t="s">
        <v>16</v>
      </c>
      <c r="H1467">
        <v>9907.2199999999993</v>
      </c>
      <c r="I1467">
        <v>3</v>
      </c>
      <c r="J1467">
        <v>29721.66</v>
      </c>
      <c r="K1467">
        <v>3.31</v>
      </c>
    </row>
    <row r="1468" spans="1:11" x14ac:dyDescent="0.35">
      <c r="A1468" s="1">
        <v>45332</v>
      </c>
      <c r="B1468" t="s">
        <v>1045</v>
      </c>
      <c r="C1468" t="s">
        <v>37</v>
      </c>
      <c r="D1468" t="s">
        <v>19</v>
      </c>
      <c r="E1468" t="s">
        <v>38</v>
      </c>
      <c r="F1468" t="s">
        <v>15</v>
      </c>
      <c r="G1468" t="s">
        <v>60</v>
      </c>
      <c r="H1468">
        <v>5171.71</v>
      </c>
      <c r="I1468">
        <v>5</v>
      </c>
      <c r="J1468">
        <v>25858.55</v>
      </c>
      <c r="K1468">
        <v>4.74</v>
      </c>
    </row>
    <row r="1469" spans="1:11" x14ac:dyDescent="0.35">
      <c r="A1469" s="1">
        <v>45332</v>
      </c>
      <c r="B1469" t="s">
        <v>1409</v>
      </c>
      <c r="C1469" t="s">
        <v>37</v>
      </c>
      <c r="D1469" t="s">
        <v>19</v>
      </c>
      <c r="E1469" t="s">
        <v>38</v>
      </c>
      <c r="F1469" t="s">
        <v>45</v>
      </c>
      <c r="G1469" t="s">
        <v>60</v>
      </c>
      <c r="H1469">
        <v>13883.57</v>
      </c>
      <c r="I1469">
        <v>1</v>
      </c>
      <c r="J1469">
        <v>13883.57</v>
      </c>
      <c r="K1469">
        <v>2.0099999999999998</v>
      </c>
    </row>
    <row r="1470" spans="1:11" x14ac:dyDescent="0.35">
      <c r="A1470" s="1">
        <v>45333</v>
      </c>
      <c r="B1470" t="s">
        <v>124</v>
      </c>
      <c r="C1470" t="s">
        <v>18</v>
      </c>
      <c r="D1470" t="s">
        <v>19</v>
      </c>
      <c r="E1470" t="s">
        <v>20</v>
      </c>
      <c r="F1470" t="s">
        <v>15</v>
      </c>
      <c r="G1470" t="s">
        <v>22</v>
      </c>
      <c r="H1470">
        <v>7919.88</v>
      </c>
      <c r="I1470">
        <v>2</v>
      </c>
      <c r="J1470">
        <v>15839.76</v>
      </c>
      <c r="K1470">
        <v>3.03</v>
      </c>
    </row>
    <row r="1471" spans="1:11" x14ac:dyDescent="0.35">
      <c r="A1471" s="1">
        <v>45333</v>
      </c>
      <c r="B1471" t="s">
        <v>386</v>
      </c>
      <c r="C1471" t="s">
        <v>63</v>
      </c>
      <c r="D1471" t="s">
        <v>19</v>
      </c>
      <c r="E1471" t="s">
        <v>64</v>
      </c>
      <c r="F1471" t="s">
        <v>15</v>
      </c>
      <c r="G1471" t="s">
        <v>60</v>
      </c>
      <c r="H1471">
        <v>17861.400000000001</v>
      </c>
      <c r="I1471">
        <v>1</v>
      </c>
      <c r="J1471">
        <v>17861.400000000001</v>
      </c>
      <c r="K1471">
        <v>3.27</v>
      </c>
    </row>
    <row r="1472" spans="1:11" x14ac:dyDescent="0.35">
      <c r="A1472" s="1">
        <v>45333</v>
      </c>
      <c r="B1472" t="s">
        <v>583</v>
      </c>
      <c r="C1472" t="s">
        <v>63</v>
      </c>
      <c r="D1472" t="s">
        <v>19</v>
      </c>
      <c r="E1472" t="s">
        <v>64</v>
      </c>
      <c r="F1472" t="s">
        <v>15</v>
      </c>
      <c r="G1472" t="s">
        <v>16</v>
      </c>
      <c r="H1472">
        <v>15093.32</v>
      </c>
      <c r="I1472">
        <v>2</v>
      </c>
      <c r="J1472">
        <v>30186.639999999999</v>
      </c>
      <c r="K1472">
        <v>1.59</v>
      </c>
    </row>
    <row r="1473" spans="1:11" x14ac:dyDescent="0.35">
      <c r="A1473" s="1">
        <v>45334</v>
      </c>
      <c r="B1473" t="s">
        <v>523</v>
      </c>
      <c r="C1473" t="s">
        <v>37</v>
      </c>
      <c r="D1473" t="s">
        <v>19</v>
      </c>
      <c r="E1473" t="s">
        <v>38</v>
      </c>
      <c r="F1473" t="s">
        <v>21</v>
      </c>
      <c r="G1473" t="s">
        <v>32</v>
      </c>
      <c r="H1473">
        <v>9069.5</v>
      </c>
      <c r="I1473">
        <v>2</v>
      </c>
      <c r="J1473">
        <v>18139</v>
      </c>
      <c r="K1473">
        <v>4.54</v>
      </c>
    </row>
    <row r="1474" spans="1:11" x14ac:dyDescent="0.35">
      <c r="A1474" s="1">
        <v>45334</v>
      </c>
      <c r="B1474" t="s">
        <v>926</v>
      </c>
      <c r="C1474" t="s">
        <v>37</v>
      </c>
      <c r="D1474" t="s">
        <v>19</v>
      </c>
      <c r="E1474" t="s">
        <v>38</v>
      </c>
      <c r="F1474" t="s">
        <v>15</v>
      </c>
      <c r="G1474" t="s">
        <v>27</v>
      </c>
      <c r="H1474">
        <v>16457.04</v>
      </c>
      <c r="I1474">
        <v>5</v>
      </c>
      <c r="J1474">
        <v>82285.2</v>
      </c>
      <c r="K1474">
        <v>4.16</v>
      </c>
    </row>
    <row r="1475" spans="1:11" x14ac:dyDescent="0.35">
      <c r="A1475" s="1">
        <v>45335</v>
      </c>
      <c r="B1475" t="s">
        <v>1224</v>
      </c>
      <c r="C1475" t="s">
        <v>63</v>
      </c>
      <c r="D1475" t="s">
        <v>19</v>
      </c>
      <c r="E1475" t="s">
        <v>64</v>
      </c>
      <c r="F1475" t="s">
        <v>45</v>
      </c>
      <c r="G1475" t="s">
        <v>27</v>
      </c>
      <c r="H1475">
        <v>15628.75</v>
      </c>
      <c r="I1475">
        <v>1</v>
      </c>
      <c r="J1475">
        <v>15628.75</v>
      </c>
      <c r="K1475">
        <v>2.06</v>
      </c>
    </row>
    <row r="1476" spans="1:11" x14ac:dyDescent="0.35">
      <c r="A1476" s="1">
        <v>45338</v>
      </c>
      <c r="B1476" t="s">
        <v>2039</v>
      </c>
      <c r="C1476" t="s">
        <v>18</v>
      </c>
      <c r="D1476" t="s">
        <v>19</v>
      </c>
      <c r="E1476" t="s">
        <v>20</v>
      </c>
      <c r="F1476" t="s">
        <v>21</v>
      </c>
      <c r="G1476" t="s">
        <v>16</v>
      </c>
      <c r="H1476">
        <v>5004.43</v>
      </c>
      <c r="I1476">
        <v>3</v>
      </c>
      <c r="J1476">
        <v>15013.29</v>
      </c>
      <c r="K1476">
        <v>1.75</v>
      </c>
    </row>
    <row r="1477" spans="1:11" x14ac:dyDescent="0.35">
      <c r="A1477" s="1">
        <v>45339</v>
      </c>
      <c r="B1477" t="s">
        <v>637</v>
      </c>
      <c r="C1477" t="s">
        <v>18</v>
      </c>
      <c r="D1477" t="s">
        <v>19</v>
      </c>
      <c r="E1477" t="s">
        <v>20</v>
      </c>
      <c r="F1477" t="s">
        <v>15</v>
      </c>
      <c r="G1477" t="s">
        <v>22</v>
      </c>
      <c r="H1477">
        <v>2905.23</v>
      </c>
      <c r="I1477">
        <v>1</v>
      </c>
      <c r="J1477">
        <v>2905.23</v>
      </c>
      <c r="K1477">
        <v>3.33</v>
      </c>
    </row>
    <row r="1478" spans="1:11" x14ac:dyDescent="0.35">
      <c r="A1478" s="1">
        <v>45339</v>
      </c>
      <c r="B1478" t="s">
        <v>1795</v>
      </c>
      <c r="C1478" t="s">
        <v>18</v>
      </c>
      <c r="D1478" t="s">
        <v>19</v>
      </c>
      <c r="E1478" t="s">
        <v>20</v>
      </c>
      <c r="F1478" t="s">
        <v>45</v>
      </c>
      <c r="G1478" t="s">
        <v>32</v>
      </c>
      <c r="H1478">
        <v>7201.2</v>
      </c>
      <c r="I1478">
        <v>5</v>
      </c>
      <c r="J1478">
        <v>36006</v>
      </c>
      <c r="K1478">
        <v>2.65</v>
      </c>
    </row>
    <row r="1479" spans="1:11" x14ac:dyDescent="0.35">
      <c r="A1479" s="1">
        <v>45341</v>
      </c>
      <c r="B1479" t="s">
        <v>610</v>
      </c>
      <c r="C1479" t="s">
        <v>18</v>
      </c>
      <c r="D1479" t="s">
        <v>19</v>
      </c>
      <c r="E1479" t="s">
        <v>20</v>
      </c>
      <c r="F1479" t="s">
        <v>45</v>
      </c>
      <c r="G1479" t="s">
        <v>39</v>
      </c>
      <c r="H1479">
        <v>2346.7600000000002</v>
      </c>
      <c r="I1479">
        <v>4</v>
      </c>
      <c r="J1479">
        <v>9387.0400000000009</v>
      </c>
      <c r="K1479">
        <v>2.0099999999999998</v>
      </c>
    </row>
    <row r="1480" spans="1:11" x14ac:dyDescent="0.35">
      <c r="A1480" s="1">
        <v>45341</v>
      </c>
      <c r="B1480" t="s">
        <v>992</v>
      </c>
      <c r="C1480" t="s">
        <v>63</v>
      </c>
      <c r="D1480" t="s">
        <v>19</v>
      </c>
      <c r="E1480" t="s">
        <v>64</v>
      </c>
      <c r="F1480" t="s">
        <v>45</v>
      </c>
      <c r="G1480" t="s">
        <v>39</v>
      </c>
      <c r="H1480">
        <v>18256.61</v>
      </c>
      <c r="I1480">
        <v>5</v>
      </c>
      <c r="J1480">
        <v>91283.05</v>
      </c>
      <c r="K1480">
        <v>2.4</v>
      </c>
    </row>
    <row r="1481" spans="1:11" x14ac:dyDescent="0.35">
      <c r="A1481" s="1">
        <v>45343</v>
      </c>
      <c r="B1481" t="s">
        <v>1291</v>
      </c>
      <c r="C1481" t="s">
        <v>37</v>
      </c>
      <c r="D1481" t="s">
        <v>19</v>
      </c>
      <c r="E1481" t="s">
        <v>38</v>
      </c>
      <c r="F1481" t="s">
        <v>45</v>
      </c>
      <c r="G1481" t="s">
        <v>22</v>
      </c>
      <c r="H1481">
        <v>12269.24</v>
      </c>
      <c r="I1481">
        <v>5</v>
      </c>
      <c r="J1481">
        <v>61346.2</v>
      </c>
      <c r="K1481">
        <v>2.74</v>
      </c>
    </row>
    <row r="1482" spans="1:11" x14ac:dyDescent="0.35">
      <c r="A1482" s="1">
        <v>45343</v>
      </c>
      <c r="B1482" t="s">
        <v>1513</v>
      </c>
      <c r="C1482" t="s">
        <v>37</v>
      </c>
      <c r="D1482" t="s">
        <v>19</v>
      </c>
      <c r="E1482" t="s">
        <v>38</v>
      </c>
      <c r="F1482" t="s">
        <v>15</v>
      </c>
      <c r="G1482" t="s">
        <v>16</v>
      </c>
      <c r="H1482">
        <v>18484.93</v>
      </c>
      <c r="I1482">
        <v>4</v>
      </c>
      <c r="J1482">
        <v>73939.72</v>
      </c>
      <c r="K1482">
        <v>3.7</v>
      </c>
    </row>
    <row r="1483" spans="1:11" x14ac:dyDescent="0.35">
      <c r="A1483" s="1">
        <v>45344</v>
      </c>
      <c r="B1483" t="s">
        <v>549</v>
      </c>
      <c r="C1483" t="s">
        <v>18</v>
      </c>
      <c r="D1483" t="s">
        <v>19</v>
      </c>
      <c r="E1483" t="s">
        <v>20</v>
      </c>
      <c r="F1483" t="s">
        <v>21</v>
      </c>
      <c r="G1483" t="s">
        <v>22</v>
      </c>
      <c r="H1483">
        <v>14364.98</v>
      </c>
      <c r="I1483">
        <v>2</v>
      </c>
      <c r="J1483">
        <v>28729.96</v>
      </c>
      <c r="K1483">
        <v>4.71</v>
      </c>
    </row>
    <row r="1484" spans="1:11" x14ac:dyDescent="0.35">
      <c r="A1484" s="1">
        <v>45344</v>
      </c>
      <c r="B1484" t="s">
        <v>572</v>
      </c>
      <c r="C1484" t="s">
        <v>37</v>
      </c>
      <c r="D1484" t="s">
        <v>19</v>
      </c>
      <c r="E1484" t="s">
        <v>38</v>
      </c>
      <c r="F1484" t="s">
        <v>45</v>
      </c>
      <c r="G1484" t="s">
        <v>22</v>
      </c>
      <c r="H1484">
        <v>378.51</v>
      </c>
      <c r="I1484">
        <v>5</v>
      </c>
      <c r="J1484">
        <v>1892.55</v>
      </c>
      <c r="K1484">
        <v>4.6500000000000004</v>
      </c>
    </row>
    <row r="1485" spans="1:11" x14ac:dyDescent="0.35">
      <c r="A1485" s="1">
        <v>45346</v>
      </c>
      <c r="B1485" t="s">
        <v>730</v>
      </c>
      <c r="C1485" t="s">
        <v>63</v>
      </c>
      <c r="D1485" t="s">
        <v>19</v>
      </c>
      <c r="E1485" t="s">
        <v>64</v>
      </c>
      <c r="F1485" t="s">
        <v>21</v>
      </c>
      <c r="G1485" t="s">
        <v>16</v>
      </c>
      <c r="H1485">
        <v>18579.93</v>
      </c>
      <c r="I1485">
        <v>2</v>
      </c>
      <c r="J1485">
        <v>37159.86</v>
      </c>
      <c r="K1485">
        <v>3.34</v>
      </c>
    </row>
    <row r="1486" spans="1:11" x14ac:dyDescent="0.35">
      <c r="A1486" s="1">
        <v>45347</v>
      </c>
      <c r="B1486" t="s">
        <v>417</v>
      </c>
      <c r="C1486" t="s">
        <v>37</v>
      </c>
      <c r="D1486" t="s">
        <v>19</v>
      </c>
      <c r="E1486" t="s">
        <v>38</v>
      </c>
      <c r="F1486" t="s">
        <v>21</v>
      </c>
      <c r="G1486" t="s">
        <v>16</v>
      </c>
      <c r="H1486">
        <v>10811.37</v>
      </c>
      <c r="I1486">
        <v>2</v>
      </c>
      <c r="J1486">
        <v>21622.74</v>
      </c>
      <c r="K1486">
        <v>4.0599999999999996</v>
      </c>
    </row>
    <row r="1487" spans="1:11" x14ac:dyDescent="0.35">
      <c r="A1487" s="1">
        <v>45348</v>
      </c>
      <c r="B1487" t="s">
        <v>1417</v>
      </c>
      <c r="C1487" t="s">
        <v>37</v>
      </c>
      <c r="D1487" t="s">
        <v>19</v>
      </c>
      <c r="E1487" t="s">
        <v>38</v>
      </c>
      <c r="F1487" t="s">
        <v>45</v>
      </c>
      <c r="G1487" t="s">
        <v>27</v>
      </c>
      <c r="H1487">
        <v>1750.94</v>
      </c>
      <c r="I1487">
        <v>5</v>
      </c>
      <c r="J1487">
        <v>8754.7000000000007</v>
      </c>
      <c r="K1487">
        <v>4.4800000000000004</v>
      </c>
    </row>
    <row r="1488" spans="1:11" x14ac:dyDescent="0.35">
      <c r="A1488" s="1">
        <v>45348</v>
      </c>
      <c r="B1488" t="s">
        <v>1856</v>
      </c>
      <c r="C1488" t="s">
        <v>18</v>
      </c>
      <c r="D1488" t="s">
        <v>19</v>
      </c>
      <c r="E1488" t="s">
        <v>20</v>
      </c>
      <c r="F1488" t="s">
        <v>45</v>
      </c>
      <c r="G1488" t="s">
        <v>22</v>
      </c>
      <c r="H1488">
        <v>16858.47</v>
      </c>
      <c r="I1488">
        <v>4</v>
      </c>
      <c r="J1488">
        <v>67433.88</v>
      </c>
      <c r="K1488">
        <v>1.92</v>
      </c>
    </row>
    <row r="1489" spans="1:11" x14ac:dyDescent="0.35">
      <c r="A1489" s="1">
        <v>45349</v>
      </c>
      <c r="B1489" t="s">
        <v>938</v>
      </c>
      <c r="C1489" t="s">
        <v>18</v>
      </c>
      <c r="D1489" t="s">
        <v>19</v>
      </c>
      <c r="E1489" t="s">
        <v>20</v>
      </c>
      <c r="F1489" t="s">
        <v>15</v>
      </c>
      <c r="G1489" t="s">
        <v>39</v>
      </c>
      <c r="H1489">
        <v>8329.85</v>
      </c>
      <c r="I1489">
        <v>1</v>
      </c>
      <c r="J1489">
        <v>8329.85</v>
      </c>
      <c r="K1489">
        <v>4.08</v>
      </c>
    </row>
    <row r="1490" spans="1:11" x14ac:dyDescent="0.35">
      <c r="A1490" s="1">
        <v>45351</v>
      </c>
      <c r="B1490" t="s">
        <v>745</v>
      </c>
      <c r="C1490" t="s">
        <v>37</v>
      </c>
      <c r="D1490" t="s">
        <v>19</v>
      </c>
      <c r="E1490" t="s">
        <v>38</v>
      </c>
      <c r="F1490" t="s">
        <v>15</v>
      </c>
      <c r="G1490" t="s">
        <v>27</v>
      </c>
      <c r="H1490">
        <v>9335.49</v>
      </c>
      <c r="I1490">
        <v>1</v>
      </c>
      <c r="J1490">
        <v>9335.49</v>
      </c>
      <c r="K1490">
        <v>3.11</v>
      </c>
    </row>
    <row r="1491" spans="1:11" x14ac:dyDescent="0.35">
      <c r="A1491" s="1">
        <v>45351</v>
      </c>
      <c r="B1491" t="s">
        <v>1742</v>
      </c>
      <c r="C1491" t="s">
        <v>18</v>
      </c>
      <c r="D1491" t="s">
        <v>19</v>
      </c>
      <c r="E1491" t="s">
        <v>20</v>
      </c>
      <c r="F1491" t="s">
        <v>45</v>
      </c>
      <c r="G1491" t="s">
        <v>39</v>
      </c>
      <c r="H1491">
        <v>15148.84</v>
      </c>
      <c r="I1491">
        <v>2</v>
      </c>
      <c r="J1491">
        <v>30297.68</v>
      </c>
      <c r="K1491">
        <v>2.99</v>
      </c>
    </row>
    <row r="1492" spans="1:11" x14ac:dyDescent="0.35">
      <c r="A1492" s="1">
        <v>45352</v>
      </c>
      <c r="B1492" t="s">
        <v>1351</v>
      </c>
      <c r="C1492" t="s">
        <v>37</v>
      </c>
      <c r="D1492" t="s">
        <v>19</v>
      </c>
      <c r="E1492" t="s">
        <v>38</v>
      </c>
      <c r="F1492" t="s">
        <v>21</v>
      </c>
      <c r="G1492" t="s">
        <v>32</v>
      </c>
      <c r="H1492">
        <v>8726.9599999999991</v>
      </c>
      <c r="I1492">
        <v>2</v>
      </c>
      <c r="J1492">
        <v>17453.919999999998</v>
      </c>
      <c r="K1492">
        <v>2.79</v>
      </c>
    </row>
    <row r="1493" spans="1:11" x14ac:dyDescent="0.35">
      <c r="A1493" s="1">
        <v>45352</v>
      </c>
      <c r="B1493" t="s">
        <v>1868</v>
      </c>
      <c r="C1493" t="s">
        <v>37</v>
      </c>
      <c r="D1493" t="s">
        <v>19</v>
      </c>
      <c r="E1493" t="s">
        <v>38</v>
      </c>
      <c r="F1493" t="s">
        <v>21</v>
      </c>
      <c r="G1493" t="s">
        <v>27</v>
      </c>
      <c r="H1493">
        <v>9038.9500000000007</v>
      </c>
      <c r="I1493">
        <v>1</v>
      </c>
      <c r="J1493">
        <v>9038.9500000000007</v>
      </c>
      <c r="K1493">
        <v>4.2300000000000004</v>
      </c>
    </row>
    <row r="1494" spans="1:11" x14ac:dyDescent="0.35">
      <c r="A1494" s="1">
        <v>45353</v>
      </c>
      <c r="B1494" t="s">
        <v>1702</v>
      </c>
      <c r="C1494" t="s">
        <v>37</v>
      </c>
      <c r="D1494" t="s">
        <v>19</v>
      </c>
      <c r="E1494" t="s">
        <v>38</v>
      </c>
      <c r="F1494" t="s">
        <v>21</v>
      </c>
      <c r="G1494" t="s">
        <v>27</v>
      </c>
      <c r="H1494">
        <v>1911.07</v>
      </c>
      <c r="I1494">
        <v>2</v>
      </c>
      <c r="J1494">
        <v>3822.14</v>
      </c>
      <c r="K1494">
        <v>4.4000000000000004</v>
      </c>
    </row>
    <row r="1495" spans="1:11" x14ac:dyDescent="0.35">
      <c r="A1495" s="1">
        <v>45354</v>
      </c>
      <c r="B1495" t="s">
        <v>562</v>
      </c>
      <c r="C1495" t="s">
        <v>63</v>
      </c>
      <c r="D1495" t="s">
        <v>19</v>
      </c>
      <c r="E1495" t="s">
        <v>64</v>
      </c>
      <c r="F1495" t="s">
        <v>45</v>
      </c>
      <c r="G1495" t="s">
        <v>60</v>
      </c>
      <c r="H1495">
        <v>1501.58</v>
      </c>
      <c r="I1495">
        <v>3</v>
      </c>
      <c r="J1495">
        <v>4504.74</v>
      </c>
      <c r="K1495">
        <v>3.79</v>
      </c>
    </row>
    <row r="1496" spans="1:11" x14ac:dyDescent="0.35">
      <c r="A1496" s="1">
        <v>45354</v>
      </c>
      <c r="B1496" t="s">
        <v>840</v>
      </c>
      <c r="C1496" t="s">
        <v>18</v>
      </c>
      <c r="D1496" t="s">
        <v>19</v>
      </c>
      <c r="E1496" t="s">
        <v>20</v>
      </c>
      <c r="F1496" t="s">
        <v>21</v>
      </c>
      <c r="G1496" t="s">
        <v>60</v>
      </c>
      <c r="H1496">
        <v>3392.63</v>
      </c>
      <c r="I1496">
        <v>4</v>
      </c>
      <c r="J1496">
        <v>13570.52</v>
      </c>
      <c r="K1496">
        <v>2.83</v>
      </c>
    </row>
    <row r="1497" spans="1:11" x14ac:dyDescent="0.35">
      <c r="A1497" s="1">
        <v>45355</v>
      </c>
      <c r="B1497" t="s">
        <v>679</v>
      </c>
      <c r="C1497" t="s">
        <v>37</v>
      </c>
      <c r="D1497" t="s">
        <v>19</v>
      </c>
      <c r="E1497" t="s">
        <v>38</v>
      </c>
      <c r="F1497" t="s">
        <v>45</v>
      </c>
      <c r="G1497" t="s">
        <v>39</v>
      </c>
      <c r="H1497">
        <v>18090.509999999998</v>
      </c>
      <c r="I1497">
        <v>5</v>
      </c>
      <c r="J1497">
        <v>90452.55</v>
      </c>
      <c r="K1497">
        <v>2.75</v>
      </c>
    </row>
    <row r="1498" spans="1:11" x14ac:dyDescent="0.35">
      <c r="A1498" s="1">
        <v>45355</v>
      </c>
      <c r="B1498" t="s">
        <v>1480</v>
      </c>
      <c r="C1498" t="s">
        <v>37</v>
      </c>
      <c r="D1498" t="s">
        <v>19</v>
      </c>
      <c r="E1498" t="s">
        <v>38</v>
      </c>
      <c r="F1498" t="s">
        <v>15</v>
      </c>
      <c r="G1498" t="s">
        <v>60</v>
      </c>
      <c r="H1498">
        <v>16204.04</v>
      </c>
      <c r="I1498">
        <v>2</v>
      </c>
      <c r="J1498">
        <v>32408.080000000002</v>
      </c>
      <c r="K1498">
        <v>2.4700000000000002</v>
      </c>
    </row>
    <row r="1499" spans="1:11" x14ac:dyDescent="0.35">
      <c r="A1499" s="1">
        <v>45356</v>
      </c>
      <c r="B1499" t="s">
        <v>2002</v>
      </c>
      <c r="C1499" t="s">
        <v>37</v>
      </c>
      <c r="D1499" t="s">
        <v>19</v>
      </c>
      <c r="E1499" t="s">
        <v>38</v>
      </c>
      <c r="F1499" t="s">
        <v>15</v>
      </c>
      <c r="G1499" t="s">
        <v>22</v>
      </c>
      <c r="H1499">
        <v>11798.19</v>
      </c>
      <c r="I1499">
        <v>4</v>
      </c>
      <c r="J1499">
        <v>47192.76</v>
      </c>
      <c r="K1499">
        <v>2.42</v>
      </c>
    </row>
    <row r="1500" spans="1:11" x14ac:dyDescent="0.35">
      <c r="A1500" s="1">
        <v>45357</v>
      </c>
      <c r="B1500" t="s">
        <v>1452</v>
      </c>
      <c r="C1500" t="s">
        <v>63</v>
      </c>
      <c r="D1500" t="s">
        <v>19</v>
      </c>
      <c r="E1500" t="s">
        <v>64</v>
      </c>
      <c r="F1500" t="s">
        <v>45</v>
      </c>
      <c r="G1500" t="s">
        <v>22</v>
      </c>
      <c r="H1500">
        <v>1471.8</v>
      </c>
      <c r="I1500">
        <v>3</v>
      </c>
      <c r="J1500">
        <v>4415.3999999999996</v>
      </c>
      <c r="K1500">
        <v>4.33</v>
      </c>
    </row>
    <row r="1501" spans="1:11" x14ac:dyDescent="0.35">
      <c r="A1501" s="1">
        <v>45358</v>
      </c>
      <c r="B1501" t="s">
        <v>307</v>
      </c>
      <c r="C1501" t="s">
        <v>18</v>
      </c>
      <c r="D1501" t="s">
        <v>19</v>
      </c>
      <c r="E1501" t="s">
        <v>20</v>
      </c>
      <c r="F1501" t="s">
        <v>21</v>
      </c>
      <c r="G1501" t="s">
        <v>27</v>
      </c>
      <c r="H1501">
        <v>14809.18</v>
      </c>
      <c r="I1501">
        <v>3</v>
      </c>
      <c r="J1501">
        <v>44427.54</v>
      </c>
      <c r="K1501">
        <v>3.18</v>
      </c>
    </row>
    <row r="1502" spans="1:11" x14ac:dyDescent="0.35">
      <c r="A1502" s="1">
        <v>45358</v>
      </c>
      <c r="B1502" t="s">
        <v>439</v>
      </c>
      <c r="C1502" t="s">
        <v>63</v>
      </c>
      <c r="D1502" t="s">
        <v>19</v>
      </c>
      <c r="E1502" t="s">
        <v>64</v>
      </c>
      <c r="F1502" t="s">
        <v>15</v>
      </c>
      <c r="G1502" t="s">
        <v>39</v>
      </c>
      <c r="H1502">
        <v>19232.259999999998</v>
      </c>
      <c r="I1502">
        <v>2</v>
      </c>
      <c r="J1502">
        <v>38464.519999999997</v>
      </c>
      <c r="K1502">
        <v>2.97</v>
      </c>
    </row>
    <row r="1503" spans="1:11" x14ac:dyDescent="0.35">
      <c r="A1503" s="1">
        <v>45358</v>
      </c>
      <c r="B1503" t="s">
        <v>956</v>
      </c>
      <c r="C1503" t="s">
        <v>63</v>
      </c>
      <c r="D1503" t="s">
        <v>19</v>
      </c>
      <c r="E1503" t="s">
        <v>64</v>
      </c>
      <c r="F1503" t="s">
        <v>15</v>
      </c>
      <c r="G1503" t="s">
        <v>32</v>
      </c>
      <c r="H1503">
        <v>1966.76</v>
      </c>
      <c r="I1503">
        <v>5</v>
      </c>
      <c r="J1503">
        <v>9833.7999999999993</v>
      </c>
      <c r="K1503">
        <v>3.92</v>
      </c>
    </row>
    <row r="1504" spans="1:11" x14ac:dyDescent="0.35">
      <c r="A1504" s="1">
        <v>45358</v>
      </c>
      <c r="B1504" t="s">
        <v>1905</v>
      </c>
      <c r="C1504" t="s">
        <v>37</v>
      </c>
      <c r="D1504" t="s">
        <v>19</v>
      </c>
      <c r="E1504" t="s">
        <v>38</v>
      </c>
      <c r="F1504" t="s">
        <v>15</v>
      </c>
      <c r="G1504" t="s">
        <v>39</v>
      </c>
      <c r="H1504">
        <v>8447.7800000000007</v>
      </c>
      <c r="I1504">
        <v>5</v>
      </c>
      <c r="J1504">
        <v>42238.9</v>
      </c>
      <c r="K1504">
        <v>1.29</v>
      </c>
    </row>
    <row r="1505" spans="1:11" x14ac:dyDescent="0.35">
      <c r="A1505" s="1">
        <v>45360</v>
      </c>
      <c r="B1505" t="s">
        <v>497</v>
      </c>
      <c r="C1505" t="s">
        <v>18</v>
      </c>
      <c r="D1505" t="s">
        <v>19</v>
      </c>
      <c r="E1505" t="s">
        <v>20</v>
      </c>
      <c r="F1505" t="s">
        <v>15</v>
      </c>
      <c r="G1505" t="s">
        <v>32</v>
      </c>
      <c r="H1505">
        <v>10845.38</v>
      </c>
      <c r="I1505">
        <v>4</v>
      </c>
      <c r="J1505">
        <v>43381.52</v>
      </c>
      <c r="K1505">
        <v>2.38</v>
      </c>
    </row>
    <row r="1506" spans="1:11" x14ac:dyDescent="0.35">
      <c r="A1506" s="1">
        <v>45360</v>
      </c>
      <c r="B1506" t="s">
        <v>1085</v>
      </c>
      <c r="C1506" t="s">
        <v>18</v>
      </c>
      <c r="D1506" t="s">
        <v>19</v>
      </c>
      <c r="E1506" t="s">
        <v>20</v>
      </c>
      <c r="F1506" t="s">
        <v>45</v>
      </c>
      <c r="G1506" t="s">
        <v>22</v>
      </c>
      <c r="H1506">
        <v>3537.24</v>
      </c>
      <c r="I1506">
        <v>4</v>
      </c>
      <c r="J1506">
        <v>14148.96</v>
      </c>
      <c r="K1506">
        <v>3.31</v>
      </c>
    </row>
    <row r="1507" spans="1:11" x14ac:dyDescent="0.35">
      <c r="A1507" s="1">
        <v>45360</v>
      </c>
      <c r="B1507" t="s">
        <v>1449</v>
      </c>
      <c r="C1507" t="s">
        <v>63</v>
      </c>
      <c r="D1507" t="s">
        <v>19</v>
      </c>
      <c r="E1507" t="s">
        <v>64</v>
      </c>
      <c r="F1507" t="s">
        <v>15</v>
      </c>
      <c r="G1507" t="s">
        <v>22</v>
      </c>
      <c r="H1507">
        <v>12916.02</v>
      </c>
      <c r="I1507">
        <v>1</v>
      </c>
      <c r="J1507">
        <v>12916.02</v>
      </c>
      <c r="K1507">
        <v>1.0900000000000001</v>
      </c>
    </row>
    <row r="1508" spans="1:11" x14ac:dyDescent="0.35">
      <c r="A1508" s="1">
        <v>45361</v>
      </c>
      <c r="B1508" t="s">
        <v>786</v>
      </c>
      <c r="C1508" t="s">
        <v>37</v>
      </c>
      <c r="D1508" t="s">
        <v>19</v>
      </c>
      <c r="E1508" t="s">
        <v>38</v>
      </c>
      <c r="F1508" t="s">
        <v>45</v>
      </c>
      <c r="G1508" t="s">
        <v>22</v>
      </c>
      <c r="H1508">
        <v>5272.9</v>
      </c>
      <c r="I1508">
        <v>3</v>
      </c>
      <c r="J1508">
        <v>15818.7</v>
      </c>
      <c r="K1508">
        <v>1.9</v>
      </c>
    </row>
    <row r="1509" spans="1:11" x14ac:dyDescent="0.35">
      <c r="A1509" s="1">
        <v>45362</v>
      </c>
      <c r="B1509" t="s">
        <v>724</v>
      </c>
      <c r="C1509" t="s">
        <v>63</v>
      </c>
      <c r="D1509" t="s">
        <v>19</v>
      </c>
      <c r="E1509" t="s">
        <v>64</v>
      </c>
      <c r="F1509" t="s">
        <v>45</v>
      </c>
      <c r="G1509" t="s">
        <v>60</v>
      </c>
      <c r="H1509">
        <v>12351.81</v>
      </c>
      <c r="I1509">
        <v>2</v>
      </c>
      <c r="J1509">
        <v>24703.62</v>
      </c>
      <c r="K1509">
        <v>2.16</v>
      </c>
    </row>
    <row r="1510" spans="1:11" x14ac:dyDescent="0.35">
      <c r="A1510" s="1">
        <v>45362</v>
      </c>
      <c r="B1510" t="s">
        <v>1340</v>
      </c>
      <c r="C1510" t="s">
        <v>37</v>
      </c>
      <c r="D1510" t="s">
        <v>19</v>
      </c>
      <c r="E1510" t="s">
        <v>38</v>
      </c>
      <c r="F1510" t="s">
        <v>45</v>
      </c>
      <c r="G1510" t="s">
        <v>16</v>
      </c>
      <c r="H1510">
        <v>15529.93</v>
      </c>
      <c r="I1510">
        <v>2</v>
      </c>
      <c r="J1510">
        <v>31059.86</v>
      </c>
      <c r="K1510">
        <v>3.13</v>
      </c>
    </row>
    <row r="1511" spans="1:11" x14ac:dyDescent="0.35">
      <c r="A1511" s="1">
        <v>45362</v>
      </c>
      <c r="B1511" t="s">
        <v>1847</v>
      </c>
      <c r="C1511" t="s">
        <v>63</v>
      </c>
      <c r="D1511" t="s">
        <v>19</v>
      </c>
      <c r="E1511" t="s">
        <v>64</v>
      </c>
      <c r="F1511" t="s">
        <v>21</v>
      </c>
      <c r="G1511" t="s">
        <v>60</v>
      </c>
      <c r="H1511">
        <v>1935.46</v>
      </c>
      <c r="I1511">
        <v>1</v>
      </c>
      <c r="J1511">
        <v>1935.46</v>
      </c>
      <c r="K1511">
        <v>2.41</v>
      </c>
    </row>
    <row r="1512" spans="1:11" x14ac:dyDescent="0.35">
      <c r="A1512" s="1">
        <v>45363</v>
      </c>
      <c r="B1512" t="s">
        <v>61</v>
      </c>
      <c r="C1512" t="s">
        <v>37</v>
      </c>
      <c r="D1512" t="s">
        <v>19</v>
      </c>
      <c r="E1512" t="s">
        <v>38</v>
      </c>
      <c r="F1512" t="s">
        <v>15</v>
      </c>
      <c r="G1512" t="s">
        <v>16</v>
      </c>
      <c r="H1512">
        <v>5953.25</v>
      </c>
      <c r="I1512">
        <v>3</v>
      </c>
      <c r="J1512">
        <v>17859.75</v>
      </c>
      <c r="K1512">
        <v>1.99</v>
      </c>
    </row>
    <row r="1513" spans="1:11" x14ac:dyDescent="0.35">
      <c r="A1513" s="1">
        <v>45363</v>
      </c>
      <c r="B1513" t="s">
        <v>399</v>
      </c>
      <c r="C1513" t="s">
        <v>18</v>
      </c>
      <c r="D1513" t="s">
        <v>19</v>
      </c>
      <c r="E1513" t="s">
        <v>20</v>
      </c>
      <c r="F1513" t="s">
        <v>21</v>
      </c>
      <c r="G1513" t="s">
        <v>60</v>
      </c>
      <c r="H1513">
        <v>14637.57</v>
      </c>
      <c r="I1513">
        <v>2</v>
      </c>
      <c r="J1513">
        <v>29275.14</v>
      </c>
      <c r="K1513">
        <v>2.87</v>
      </c>
    </row>
    <row r="1514" spans="1:11" x14ac:dyDescent="0.35">
      <c r="A1514" s="1">
        <v>45363</v>
      </c>
      <c r="B1514" t="s">
        <v>1157</v>
      </c>
      <c r="C1514" t="s">
        <v>18</v>
      </c>
      <c r="D1514" t="s">
        <v>19</v>
      </c>
      <c r="E1514" t="s">
        <v>20</v>
      </c>
      <c r="F1514" t="s">
        <v>15</v>
      </c>
      <c r="G1514" t="s">
        <v>27</v>
      </c>
      <c r="H1514">
        <v>10795.66</v>
      </c>
      <c r="I1514">
        <v>1</v>
      </c>
      <c r="J1514">
        <v>10795.66</v>
      </c>
      <c r="K1514">
        <v>1.53</v>
      </c>
    </row>
    <row r="1515" spans="1:11" x14ac:dyDescent="0.35">
      <c r="A1515" s="1">
        <v>45364</v>
      </c>
      <c r="B1515" t="s">
        <v>805</v>
      </c>
      <c r="C1515" t="s">
        <v>63</v>
      </c>
      <c r="D1515" t="s">
        <v>19</v>
      </c>
      <c r="E1515" t="s">
        <v>64</v>
      </c>
      <c r="F1515" t="s">
        <v>21</v>
      </c>
      <c r="G1515" t="s">
        <v>27</v>
      </c>
      <c r="H1515">
        <v>6422.64</v>
      </c>
      <c r="I1515">
        <v>4</v>
      </c>
      <c r="J1515">
        <v>25690.560000000001</v>
      </c>
      <c r="K1515">
        <v>4.76</v>
      </c>
    </row>
    <row r="1516" spans="1:11" x14ac:dyDescent="0.35">
      <c r="A1516" s="1">
        <v>45365</v>
      </c>
      <c r="B1516" t="s">
        <v>722</v>
      </c>
      <c r="C1516" t="s">
        <v>37</v>
      </c>
      <c r="D1516" t="s">
        <v>19</v>
      </c>
      <c r="E1516" t="s">
        <v>38</v>
      </c>
      <c r="F1516" t="s">
        <v>21</v>
      </c>
      <c r="G1516" t="s">
        <v>22</v>
      </c>
      <c r="H1516">
        <v>5038.78</v>
      </c>
      <c r="I1516">
        <v>2</v>
      </c>
      <c r="J1516">
        <v>10077.56</v>
      </c>
      <c r="K1516">
        <v>2.67</v>
      </c>
    </row>
    <row r="1517" spans="1:11" x14ac:dyDescent="0.35">
      <c r="A1517" s="1">
        <v>45365</v>
      </c>
      <c r="B1517" t="s">
        <v>1653</v>
      </c>
      <c r="C1517" t="s">
        <v>63</v>
      </c>
      <c r="D1517" t="s">
        <v>19</v>
      </c>
      <c r="E1517" t="s">
        <v>64</v>
      </c>
      <c r="F1517" t="s">
        <v>15</v>
      </c>
      <c r="G1517" t="s">
        <v>27</v>
      </c>
      <c r="H1517">
        <v>19392.89</v>
      </c>
      <c r="I1517">
        <v>1</v>
      </c>
      <c r="J1517">
        <v>19392.89</v>
      </c>
      <c r="K1517">
        <v>2.2999999999999998</v>
      </c>
    </row>
    <row r="1518" spans="1:11" x14ac:dyDescent="0.35">
      <c r="A1518" s="1">
        <v>45367</v>
      </c>
      <c r="B1518" t="s">
        <v>756</v>
      </c>
      <c r="C1518" t="s">
        <v>37</v>
      </c>
      <c r="D1518" t="s">
        <v>19</v>
      </c>
      <c r="E1518" t="s">
        <v>38</v>
      </c>
      <c r="F1518" t="s">
        <v>45</v>
      </c>
      <c r="G1518" t="s">
        <v>32</v>
      </c>
      <c r="H1518">
        <v>10375.81</v>
      </c>
      <c r="I1518">
        <v>1</v>
      </c>
      <c r="J1518">
        <v>10375.81</v>
      </c>
      <c r="K1518">
        <v>2.02</v>
      </c>
    </row>
    <row r="1519" spans="1:11" x14ac:dyDescent="0.35">
      <c r="A1519" s="1">
        <v>45368</v>
      </c>
      <c r="B1519" t="s">
        <v>165</v>
      </c>
      <c r="C1519" t="s">
        <v>37</v>
      </c>
      <c r="D1519" t="s">
        <v>19</v>
      </c>
      <c r="E1519" t="s">
        <v>38</v>
      </c>
      <c r="F1519" t="s">
        <v>21</v>
      </c>
      <c r="G1519" t="s">
        <v>60</v>
      </c>
      <c r="H1519">
        <v>3352.72</v>
      </c>
      <c r="I1519">
        <v>3</v>
      </c>
      <c r="J1519">
        <v>10058.16</v>
      </c>
      <c r="K1519">
        <v>1.47</v>
      </c>
    </row>
    <row r="1520" spans="1:11" x14ac:dyDescent="0.35">
      <c r="A1520" s="1">
        <v>45369</v>
      </c>
      <c r="B1520" t="s">
        <v>435</v>
      </c>
      <c r="C1520" t="s">
        <v>63</v>
      </c>
      <c r="D1520" t="s">
        <v>19</v>
      </c>
      <c r="E1520" t="s">
        <v>64</v>
      </c>
      <c r="F1520" t="s">
        <v>21</v>
      </c>
      <c r="G1520" t="s">
        <v>39</v>
      </c>
      <c r="H1520">
        <v>13957.88</v>
      </c>
      <c r="I1520">
        <v>2</v>
      </c>
      <c r="J1520">
        <v>27915.759999999998</v>
      </c>
      <c r="K1520">
        <v>4.7699999999999996</v>
      </c>
    </row>
    <row r="1521" spans="1:11" x14ac:dyDescent="0.35">
      <c r="A1521" s="1">
        <v>45370</v>
      </c>
      <c r="B1521" t="s">
        <v>939</v>
      </c>
      <c r="C1521" t="s">
        <v>37</v>
      </c>
      <c r="D1521" t="s">
        <v>19</v>
      </c>
      <c r="E1521" t="s">
        <v>38</v>
      </c>
      <c r="F1521" t="s">
        <v>15</v>
      </c>
      <c r="G1521" t="s">
        <v>16</v>
      </c>
      <c r="H1521">
        <v>5126.92</v>
      </c>
      <c r="I1521">
        <v>5</v>
      </c>
      <c r="J1521">
        <v>25634.6</v>
      </c>
      <c r="K1521">
        <v>3.69</v>
      </c>
    </row>
    <row r="1522" spans="1:11" x14ac:dyDescent="0.35">
      <c r="A1522" s="1">
        <v>45371</v>
      </c>
      <c r="B1522" t="s">
        <v>1139</v>
      </c>
      <c r="C1522" t="s">
        <v>37</v>
      </c>
      <c r="D1522" t="s">
        <v>19</v>
      </c>
      <c r="E1522" t="s">
        <v>38</v>
      </c>
      <c r="F1522" t="s">
        <v>21</v>
      </c>
      <c r="G1522" t="s">
        <v>16</v>
      </c>
      <c r="H1522">
        <v>1518.88</v>
      </c>
      <c r="I1522">
        <v>1</v>
      </c>
      <c r="J1522">
        <v>1518.88</v>
      </c>
      <c r="K1522">
        <v>3.02</v>
      </c>
    </row>
    <row r="1523" spans="1:11" x14ac:dyDescent="0.35">
      <c r="A1523" s="1">
        <v>45372</v>
      </c>
      <c r="B1523" t="s">
        <v>524</v>
      </c>
      <c r="C1523" t="s">
        <v>63</v>
      </c>
      <c r="D1523" t="s">
        <v>19</v>
      </c>
      <c r="E1523" t="s">
        <v>64</v>
      </c>
      <c r="F1523" t="s">
        <v>21</v>
      </c>
      <c r="G1523" t="s">
        <v>39</v>
      </c>
      <c r="H1523">
        <v>14927.88</v>
      </c>
      <c r="I1523">
        <v>3</v>
      </c>
      <c r="J1523">
        <v>44783.64</v>
      </c>
      <c r="K1523">
        <v>1.08</v>
      </c>
    </row>
    <row r="1524" spans="1:11" x14ac:dyDescent="0.35">
      <c r="A1524" s="1">
        <v>45372</v>
      </c>
      <c r="B1524" t="s">
        <v>781</v>
      </c>
      <c r="C1524" t="s">
        <v>63</v>
      </c>
      <c r="D1524" t="s">
        <v>19</v>
      </c>
      <c r="E1524" t="s">
        <v>64</v>
      </c>
      <c r="F1524" t="s">
        <v>15</v>
      </c>
      <c r="G1524" t="s">
        <v>16</v>
      </c>
      <c r="H1524">
        <v>10456.030000000001</v>
      </c>
      <c r="I1524">
        <v>3</v>
      </c>
      <c r="J1524">
        <v>31368.09</v>
      </c>
      <c r="K1524">
        <v>2.2000000000000002</v>
      </c>
    </row>
    <row r="1525" spans="1:11" x14ac:dyDescent="0.35">
      <c r="A1525" s="1">
        <v>45373</v>
      </c>
      <c r="B1525" t="s">
        <v>1857</v>
      </c>
      <c r="C1525" t="s">
        <v>37</v>
      </c>
      <c r="D1525" t="s">
        <v>19</v>
      </c>
      <c r="E1525" t="s">
        <v>38</v>
      </c>
      <c r="F1525" t="s">
        <v>21</v>
      </c>
      <c r="G1525" t="s">
        <v>32</v>
      </c>
      <c r="H1525">
        <v>1220.55</v>
      </c>
      <c r="I1525">
        <v>2</v>
      </c>
      <c r="J1525">
        <v>2441.1</v>
      </c>
      <c r="K1525">
        <v>3.95</v>
      </c>
    </row>
    <row r="1526" spans="1:11" x14ac:dyDescent="0.35">
      <c r="A1526" s="1">
        <v>45374</v>
      </c>
      <c r="B1526" t="s">
        <v>1421</v>
      </c>
      <c r="C1526" t="s">
        <v>63</v>
      </c>
      <c r="D1526" t="s">
        <v>19</v>
      </c>
      <c r="E1526" t="s">
        <v>64</v>
      </c>
      <c r="F1526" t="s">
        <v>21</v>
      </c>
      <c r="G1526" t="s">
        <v>32</v>
      </c>
      <c r="H1526">
        <v>6212.62</v>
      </c>
      <c r="I1526">
        <v>5</v>
      </c>
      <c r="J1526">
        <v>31063.1</v>
      </c>
      <c r="K1526">
        <v>2.78</v>
      </c>
    </row>
    <row r="1527" spans="1:11" x14ac:dyDescent="0.35">
      <c r="A1527" s="1">
        <v>45376</v>
      </c>
      <c r="B1527" t="s">
        <v>788</v>
      </c>
      <c r="C1527" t="s">
        <v>18</v>
      </c>
      <c r="D1527" t="s">
        <v>19</v>
      </c>
      <c r="E1527" t="s">
        <v>20</v>
      </c>
      <c r="F1527" t="s">
        <v>21</v>
      </c>
      <c r="G1527" t="s">
        <v>32</v>
      </c>
      <c r="H1527">
        <v>18147.71</v>
      </c>
      <c r="I1527">
        <v>5</v>
      </c>
      <c r="J1527">
        <v>90738.55</v>
      </c>
      <c r="K1527">
        <v>1.61</v>
      </c>
    </row>
    <row r="1528" spans="1:11" x14ac:dyDescent="0.35">
      <c r="A1528" s="1">
        <v>45376</v>
      </c>
      <c r="B1528" t="s">
        <v>1569</v>
      </c>
      <c r="C1528" t="s">
        <v>37</v>
      </c>
      <c r="D1528" t="s">
        <v>19</v>
      </c>
      <c r="E1528" t="s">
        <v>38</v>
      </c>
      <c r="F1528" t="s">
        <v>21</v>
      </c>
      <c r="G1528" t="s">
        <v>32</v>
      </c>
      <c r="H1528">
        <v>17708.990000000002</v>
      </c>
      <c r="I1528">
        <v>1</v>
      </c>
      <c r="J1528">
        <v>17708.990000000002</v>
      </c>
      <c r="K1528">
        <v>2.0299999999999998</v>
      </c>
    </row>
    <row r="1529" spans="1:11" x14ac:dyDescent="0.35">
      <c r="A1529" s="1">
        <v>45377</v>
      </c>
      <c r="B1529" t="s">
        <v>143</v>
      </c>
      <c r="C1529" t="s">
        <v>37</v>
      </c>
      <c r="D1529" t="s">
        <v>19</v>
      </c>
      <c r="E1529" t="s">
        <v>38</v>
      </c>
      <c r="F1529" t="s">
        <v>15</v>
      </c>
      <c r="G1529" t="s">
        <v>27</v>
      </c>
      <c r="H1529">
        <v>17649.86</v>
      </c>
      <c r="I1529">
        <v>5</v>
      </c>
      <c r="J1529">
        <v>88249.3</v>
      </c>
      <c r="K1529">
        <v>3.88</v>
      </c>
    </row>
    <row r="1530" spans="1:11" x14ac:dyDescent="0.35">
      <c r="A1530" s="1">
        <v>45377</v>
      </c>
      <c r="B1530" t="s">
        <v>1024</v>
      </c>
      <c r="C1530" t="s">
        <v>18</v>
      </c>
      <c r="D1530" t="s">
        <v>19</v>
      </c>
      <c r="E1530" t="s">
        <v>20</v>
      </c>
      <c r="F1530" t="s">
        <v>21</v>
      </c>
      <c r="G1530" t="s">
        <v>22</v>
      </c>
      <c r="H1530">
        <v>15638.44</v>
      </c>
      <c r="I1530">
        <v>2</v>
      </c>
      <c r="J1530">
        <v>31276.880000000001</v>
      </c>
      <c r="K1530">
        <v>4.9800000000000004</v>
      </c>
    </row>
    <row r="1531" spans="1:11" x14ac:dyDescent="0.35">
      <c r="A1531" s="1">
        <v>45377</v>
      </c>
      <c r="B1531" t="s">
        <v>1222</v>
      </c>
      <c r="C1531" t="s">
        <v>18</v>
      </c>
      <c r="D1531" t="s">
        <v>19</v>
      </c>
      <c r="E1531" t="s">
        <v>20</v>
      </c>
      <c r="F1531" t="s">
        <v>45</v>
      </c>
      <c r="G1531" t="s">
        <v>60</v>
      </c>
      <c r="H1531">
        <v>18229.71</v>
      </c>
      <c r="I1531">
        <v>2</v>
      </c>
      <c r="J1531">
        <v>36459.42</v>
      </c>
      <c r="K1531">
        <v>2.2000000000000002</v>
      </c>
    </row>
    <row r="1532" spans="1:11" x14ac:dyDescent="0.35">
      <c r="A1532" s="1">
        <v>45378</v>
      </c>
      <c r="B1532" t="s">
        <v>116</v>
      </c>
      <c r="C1532" t="s">
        <v>18</v>
      </c>
      <c r="D1532" t="s">
        <v>19</v>
      </c>
      <c r="E1532" t="s">
        <v>20</v>
      </c>
      <c r="F1532" t="s">
        <v>21</v>
      </c>
      <c r="G1532" t="s">
        <v>16</v>
      </c>
      <c r="H1532">
        <v>3963.43</v>
      </c>
      <c r="I1532">
        <v>4</v>
      </c>
      <c r="J1532">
        <v>15853.72</v>
      </c>
      <c r="K1532">
        <v>1.22</v>
      </c>
    </row>
    <row r="1533" spans="1:11" x14ac:dyDescent="0.35">
      <c r="A1533" s="1">
        <v>45378</v>
      </c>
      <c r="B1533" t="s">
        <v>430</v>
      </c>
      <c r="C1533" t="s">
        <v>37</v>
      </c>
      <c r="D1533" t="s">
        <v>19</v>
      </c>
      <c r="E1533" t="s">
        <v>38</v>
      </c>
      <c r="F1533" t="s">
        <v>15</v>
      </c>
      <c r="G1533" t="s">
        <v>27</v>
      </c>
      <c r="H1533">
        <v>3343.36</v>
      </c>
      <c r="I1533">
        <v>4</v>
      </c>
      <c r="J1533">
        <v>13373.44</v>
      </c>
      <c r="K1533">
        <v>2.87</v>
      </c>
    </row>
    <row r="1534" spans="1:11" x14ac:dyDescent="0.35">
      <c r="A1534" s="1">
        <v>45378</v>
      </c>
      <c r="B1534" t="s">
        <v>913</v>
      </c>
      <c r="C1534" t="s">
        <v>37</v>
      </c>
      <c r="D1534" t="s">
        <v>19</v>
      </c>
      <c r="E1534" t="s">
        <v>38</v>
      </c>
      <c r="F1534" t="s">
        <v>21</v>
      </c>
      <c r="G1534" t="s">
        <v>32</v>
      </c>
      <c r="H1534">
        <v>8525.44</v>
      </c>
      <c r="I1534">
        <v>5</v>
      </c>
      <c r="J1534">
        <v>42627.199999999997</v>
      </c>
      <c r="K1534">
        <v>2.97</v>
      </c>
    </row>
    <row r="1535" spans="1:11" x14ac:dyDescent="0.35">
      <c r="A1535" s="1">
        <v>45378</v>
      </c>
      <c r="B1535" t="s">
        <v>1759</v>
      </c>
      <c r="C1535" t="s">
        <v>18</v>
      </c>
      <c r="D1535" t="s">
        <v>19</v>
      </c>
      <c r="E1535" t="s">
        <v>20</v>
      </c>
      <c r="F1535" t="s">
        <v>15</v>
      </c>
      <c r="G1535" t="s">
        <v>39</v>
      </c>
      <c r="H1535">
        <v>15533.33</v>
      </c>
      <c r="I1535">
        <v>3</v>
      </c>
      <c r="J1535">
        <v>46599.99</v>
      </c>
      <c r="K1535">
        <v>4.8499999999999996</v>
      </c>
    </row>
    <row r="1536" spans="1:11" x14ac:dyDescent="0.35">
      <c r="A1536" s="1">
        <v>45379</v>
      </c>
      <c r="B1536" t="s">
        <v>860</v>
      </c>
      <c r="C1536" t="s">
        <v>18</v>
      </c>
      <c r="D1536" t="s">
        <v>19</v>
      </c>
      <c r="E1536" t="s">
        <v>20</v>
      </c>
      <c r="F1536" t="s">
        <v>15</v>
      </c>
      <c r="G1536" t="s">
        <v>60</v>
      </c>
      <c r="H1536">
        <v>4288.49</v>
      </c>
      <c r="I1536">
        <v>1</v>
      </c>
      <c r="J1536">
        <v>4288.49</v>
      </c>
      <c r="K1536">
        <v>3.43</v>
      </c>
    </row>
    <row r="1537" spans="1:11" x14ac:dyDescent="0.35">
      <c r="A1537" s="1">
        <v>45383</v>
      </c>
      <c r="B1537" t="s">
        <v>1105</v>
      </c>
      <c r="C1537" t="s">
        <v>18</v>
      </c>
      <c r="D1537" t="s">
        <v>19</v>
      </c>
      <c r="E1537" t="s">
        <v>20</v>
      </c>
      <c r="F1537" t="s">
        <v>21</v>
      </c>
      <c r="G1537" t="s">
        <v>39</v>
      </c>
      <c r="H1537">
        <v>17842.740000000002</v>
      </c>
      <c r="I1537">
        <v>1</v>
      </c>
      <c r="J1537">
        <v>17842.740000000002</v>
      </c>
      <c r="K1537">
        <v>3.91</v>
      </c>
    </row>
    <row r="1538" spans="1:11" x14ac:dyDescent="0.35">
      <c r="A1538" s="1">
        <v>45383</v>
      </c>
      <c r="B1538" t="s">
        <v>1635</v>
      </c>
      <c r="C1538" t="s">
        <v>63</v>
      </c>
      <c r="D1538" t="s">
        <v>19</v>
      </c>
      <c r="E1538" t="s">
        <v>64</v>
      </c>
      <c r="F1538" t="s">
        <v>21</v>
      </c>
      <c r="G1538" t="s">
        <v>22</v>
      </c>
      <c r="H1538">
        <v>6344.63</v>
      </c>
      <c r="I1538">
        <v>5</v>
      </c>
      <c r="J1538">
        <v>31723.15</v>
      </c>
      <c r="K1538">
        <v>1.82</v>
      </c>
    </row>
    <row r="1539" spans="1:11" x14ac:dyDescent="0.35">
      <c r="A1539" s="1">
        <v>45383</v>
      </c>
      <c r="B1539" t="s">
        <v>1911</v>
      </c>
      <c r="C1539" t="s">
        <v>18</v>
      </c>
      <c r="D1539" t="s">
        <v>19</v>
      </c>
      <c r="E1539" t="s">
        <v>20</v>
      </c>
      <c r="F1539" t="s">
        <v>21</v>
      </c>
      <c r="G1539" t="s">
        <v>39</v>
      </c>
      <c r="H1539">
        <v>3671.54</v>
      </c>
      <c r="I1539">
        <v>4</v>
      </c>
      <c r="J1539">
        <v>14686.16</v>
      </c>
      <c r="K1539">
        <v>1.1599999999999999</v>
      </c>
    </row>
    <row r="1540" spans="1:11" x14ac:dyDescent="0.35">
      <c r="A1540" s="1">
        <v>45384</v>
      </c>
      <c r="B1540" t="s">
        <v>235</v>
      </c>
      <c r="C1540" t="s">
        <v>63</v>
      </c>
      <c r="D1540" t="s">
        <v>19</v>
      </c>
      <c r="E1540" t="s">
        <v>64</v>
      </c>
      <c r="F1540" t="s">
        <v>21</v>
      </c>
      <c r="G1540" t="s">
        <v>22</v>
      </c>
      <c r="H1540">
        <v>16575.349999999999</v>
      </c>
      <c r="I1540">
        <v>5</v>
      </c>
      <c r="J1540">
        <v>82876.75</v>
      </c>
      <c r="K1540">
        <v>4.4800000000000004</v>
      </c>
    </row>
    <row r="1541" spans="1:11" x14ac:dyDescent="0.35">
      <c r="A1541" s="1">
        <v>45384</v>
      </c>
      <c r="B1541" t="s">
        <v>1496</v>
      </c>
      <c r="C1541" t="s">
        <v>18</v>
      </c>
      <c r="D1541" t="s">
        <v>19</v>
      </c>
      <c r="E1541" t="s">
        <v>20</v>
      </c>
      <c r="F1541" t="s">
        <v>21</v>
      </c>
      <c r="G1541" t="s">
        <v>60</v>
      </c>
      <c r="H1541">
        <v>1283.45</v>
      </c>
      <c r="I1541">
        <v>5</v>
      </c>
      <c r="J1541">
        <v>6417.25</v>
      </c>
      <c r="K1541">
        <v>1.56</v>
      </c>
    </row>
    <row r="1542" spans="1:11" x14ac:dyDescent="0.35">
      <c r="A1542" s="1">
        <v>45384</v>
      </c>
      <c r="B1542" t="s">
        <v>1616</v>
      </c>
      <c r="C1542" t="s">
        <v>63</v>
      </c>
      <c r="D1542" t="s">
        <v>19</v>
      </c>
      <c r="E1542" t="s">
        <v>64</v>
      </c>
      <c r="F1542" t="s">
        <v>21</v>
      </c>
      <c r="G1542" t="s">
        <v>22</v>
      </c>
      <c r="H1542">
        <v>19431.66</v>
      </c>
      <c r="I1542">
        <v>2</v>
      </c>
      <c r="J1542">
        <v>38863.32</v>
      </c>
      <c r="K1542">
        <v>3</v>
      </c>
    </row>
    <row r="1543" spans="1:11" x14ac:dyDescent="0.35">
      <c r="A1543" s="1">
        <v>45385</v>
      </c>
      <c r="B1543" t="s">
        <v>1736</v>
      </c>
      <c r="C1543" t="s">
        <v>18</v>
      </c>
      <c r="D1543" t="s">
        <v>19</v>
      </c>
      <c r="E1543" t="s">
        <v>20</v>
      </c>
      <c r="F1543" t="s">
        <v>15</v>
      </c>
      <c r="G1543" t="s">
        <v>22</v>
      </c>
      <c r="H1543">
        <v>1692.36</v>
      </c>
      <c r="I1543">
        <v>4</v>
      </c>
      <c r="J1543">
        <v>6769.44</v>
      </c>
      <c r="K1543">
        <v>4.93</v>
      </c>
    </row>
    <row r="1544" spans="1:11" x14ac:dyDescent="0.35">
      <c r="A1544" s="1">
        <v>45388</v>
      </c>
      <c r="B1544" t="s">
        <v>1747</v>
      </c>
      <c r="C1544" t="s">
        <v>18</v>
      </c>
      <c r="D1544" t="s">
        <v>19</v>
      </c>
      <c r="E1544" t="s">
        <v>20</v>
      </c>
      <c r="F1544" t="s">
        <v>15</v>
      </c>
      <c r="G1544" t="s">
        <v>39</v>
      </c>
      <c r="H1544">
        <v>19596.099999999999</v>
      </c>
      <c r="I1544">
        <v>4</v>
      </c>
      <c r="J1544">
        <v>78384.399999999994</v>
      </c>
      <c r="K1544">
        <v>2.46</v>
      </c>
    </row>
    <row r="1545" spans="1:11" x14ac:dyDescent="0.35">
      <c r="A1545" s="1">
        <v>45390</v>
      </c>
      <c r="B1545" t="s">
        <v>1485</v>
      </c>
      <c r="C1545" t="s">
        <v>37</v>
      </c>
      <c r="D1545" t="s">
        <v>19</v>
      </c>
      <c r="E1545" t="s">
        <v>38</v>
      </c>
      <c r="F1545" t="s">
        <v>45</v>
      </c>
      <c r="G1545" t="s">
        <v>22</v>
      </c>
      <c r="H1545">
        <v>1930.42</v>
      </c>
      <c r="I1545">
        <v>4</v>
      </c>
      <c r="J1545">
        <v>7721.68</v>
      </c>
      <c r="K1545">
        <v>3.84</v>
      </c>
    </row>
    <row r="1546" spans="1:11" x14ac:dyDescent="0.35">
      <c r="A1546" s="1">
        <v>45392</v>
      </c>
      <c r="B1546" t="s">
        <v>1715</v>
      </c>
      <c r="C1546" t="s">
        <v>18</v>
      </c>
      <c r="D1546" t="s">
        <v>19</v>
      </c>
      <c r="E1546" t="s">
        <v>20</v>
      </c>
      <c r="F1546" t="s">
        <v>21</v>
      </c>
      <c r="G1546" t="s">
        <v>32</v>
      </c>
      <c r="H1546">
        <v>1262.72</v>
      </c>
      <c r="I1546">
        <v>2</v>
      </c>
      <c r="J1546">
        <v>2525.44</v>
      </c>
      <c r="K1546">
        <v>2.1800000000000002</v>
      </c>
    </row>
    <row r="1547" spans="1:11" x14ac:dyDescent="0.35">
      <c r="A1547" s="1">
        <v>45393</v>
      </c>
      <c r="B1547" t="s">
        <v>456</v>
      </c>
      <c r="C1547" t="s">
        <v>18</v>
      </c>
      <c r="D1547" t="s">
        <v>19</v>
      </c>
      <c r="E1547" t="s">
        <v>20</v>
      </c>
      <c r="F1547" t="s">
        <v>45</v>
      </c>
      <c r="G1547" t="s">
        <v>22</v>
      </c>
      <c r="H1547">
        <v>6688.64</v>
      </c>
      <c r="I1547">
        <v>4</v>
      </c>
      <c r="J1547">
        <v>26754.560000000001</v>
      </c>
      <c r="K1547">
        <v>1.05</v>
      </c>
    </row>
    <row r="1548" spans="1:11" x14ac:dyDescent="0.35">
      <c r="A1548" s="1">
        <v>45393</v>
      </c>
      <c r="B1548" t="s">
        <v>1369</v>
      </c>
      <c r="C1548" t="s">
        <v>18</v>
      </c>
      <c r="D1548" t="s">
        <v>19</v>
      </c>
      <c r="E1548" t="s">
        <v>20</v>
      </c>
      <c r="F1548" t="s">
        <v>15</v>
      </c>
      <c r="G1548" t="s">
        <v>32</v>
      </c>
      <c r="H1548">
        <v>10889.77</v>
      </c>
      <c r="I1548">
        <v>5</v>
      </c>
      <c r="J1548">
        <v>54448.85</v>
      </c>
      <c r="K1548">
        <v>2.3199999999999998</v>
      </c>
    </row>
    <row r="1549" spans="1:11" x14ac:dyDescent="0.35">
      <c r="A1549" s="1">
        <v>45394</v>
      </c>
      <c r="B1549" t="s">
        <v>1405</v>
      </c>
      <c r="C1549" t="s">
        <v>18</v>
      </c>
      <c r="D1549" t="s">
        <v>19</v>
      </c>
      <c r="E1549" t="s">
        <v>20</v>
      </c>
      <c r="F1549" t="s">
        <v>45</v>
      </c>
      <c r="G1549" t="s">
        <v>27</v>
      </c>
      <c r="H1549">
        <v>6158.51</v>
      </c>
      <c r="I1549">
        <v>2</v>
      </c>
      <c r="J1549">
        <v>12317.02</v>
      </c>
      <c r="K1549">
        <v>3.8</v>
      </c>
    </row>
    <row r="1550" spans="1:11" x14ac:dyDescent="0.35">
      <c r="A1550" s="1">
        <v>45396</v>
      </c>
      <c r="B1550" t="s">
        <v>223</v>
      </c>
      <c r="C1550" t="s">
        <v>37</v>
      </c>
      <c r="D1550" t="s">
        <v>19</v>
      </c>
      <c r="E1550" t="s">
        <v>38</v>
      </c>
      <c r="F1550" t="s">
        <v>21</v>
      </c>
      <c r="G1550" t="s">
        <v>16</v>
      </c>
      <c r="H1550">
        <v>11422.05</v>
      </c>
      <c r="I1550">
        <v>3</v>
      </c>
      <c r="J1550">
        <v>34266.15</v>
      </c>
      <c r="K1550">
        <v>2.29</v>
      </c>
    </row>
    <row r="1551" spans="1:11" x14ac:dyDescent="0.35">
      <c r="A1551" s="1">
        <v>45396</v>
      </c>
      <c r="B1551" t="s">
        <v>491</v>
      </c>
      <c r="C1551" t="s">
        <v>18</v>
      </c>
      <c r="D1551" t="s">
        <v>19</v>
      </c>
      <c r="E1551" t="s">
        <v>20</v>
      </c>
      <c r="F1551" t="s">
        <v>21</v>
      </c>
      <c r="G1551" t="s">
        <v>39</v>
      </c>
      <c r="H1551">
        <v>1852.45</v>
      </c>
      <c r="I1551">
        <v>2</v>
      </c>
      <c r="J1551">
        <v>3704.9</v>
      </c>
      <c r="K1551">
        <v>2.91</v>
      </c>
    </row>
    <row r="1552" spans="1:11" x14ac:dyDescent="0.35">
      <c r="A1552" s="1">
        <v>45396</v>
      </c>
      <c r="B1552" t="s">
        <v>1227</v>
      </c>
      <c r="C1552" t="s">
        <v>63</v>
      </c>
      <c r="D1552" t="s">
        <v>19</v>
      </c>
      <c r="E1552" t="s">
        <v>64</v>
      </c>
      <c r="F1552" t="s">
        <v>45</v>
      </c>
      <c r="G1552" t="s">
        <v>22</v>
      </c>
      <c r="H1552">
        <v>7795.95</v>
      </c>
      <c r="I1552">
        <v>1</v>
      </c>
      <c r="J1552">
        <v>7795.95</v>
      </c>
      <c r="K1552">
        <v>1.0900000000000001</v>
      </c>
    </row>
    <row r="1553" spans="1:11" x14ac:dyDescent="0.35">
      <c r="A1553" s="1">
        <v>45397</v>
      </c>
      <c r="B1553" t="s">
        <v>480</v>
      </c>
      <c r="C1553" t="s">
        <v>18</v>
      </c>
      <c r="D1553" t="s">
        <v>19</v>
      </c>
      <c r="E1553" t="s">
        <v>20</v>
      </c>
      <c r="F1553" t="s">
        <v>21</v>
      </c>
      <c r="G1553" t="s">
        <v>27</v>
      </c>
      <c r="H1553">
        <v>3664.91</v>
      </c>
      <c r="I1553">
        <v>4</v>
      </c>
      <c r="J1553">
        <v>14659.64</v>
      </c>
      <c r="K1553">
        <v>4.5999999999999996</v>
      </c>
    </row>
    <row r="1554" spans="1:11" x14ac:dyDescent="0.35">
      <c r="A1554" s="1">
        <v>45397</v>
      </c>
      <c r="B1554" t="s">
        <v>630</v>
      </c>
      <c r="C1554" t="s">
        <v>63</v>
      </c>
      <c r="D1554" t="s">
        <v>19</v>
      </c>
      <c r="E1554" t="s">
        <v>64</v>
      </c>
      <c r="F1554" t="s">
        <v>45</v>
      </c>
      <c r="G1554" t="s">
        <v>60</v>
      </c>
      <c r="H1554">
        <v>11900.56</v>
      </c>
      <c r="I1554">
        <v>1</v>
      </c>
      <c r="J1554">
        <v>11900.56</v>
      </c>
      <c r="K1554">
        <v>3.36</v>
      </c>
    </row>
    <row r="1555" spans="1:11" x14ac:dyDescent="0.35">
      <c r="A1555" s="1">
        <v>45397</v>
      </c>
      <c r="B1555" t="s">
        <v>1845</v>
      </c>
      <c r="C1555" t="s">
        <v>63</v>
      </c>
      <c r="D1555" t="s">
        <v>19</v>
      </c>
      <c r="E1555" t="s">
        <v>64</v>
      </c>
      <c r="F1555" t="s">
        <v>45</v>
      </c>
      <c r="G1555" t="s">
        <v>16</v>
      </c>
      <c r="H1555">
        <v>9970.17</v>
      </c>
      <c r="I1555">
        <v>3</v>
      </c>
      <c r="J1555">
        <v>29910.51</v>
      </c>
      <c r="K1555">
        <v>4.55</v>
      </c>
    </row>
    <row r="1556" spans="1:11" x14ac:dyDescent="0.35">
      <c r="A1556" s="1">
        <v>45397</v>
      </c>
      <c r="B1556" t="s">
        <v>1929</v>
      </c>
      <c r="C1556" t="s">
        <v>63</v>
      </c>
      <c r="D1556" t="s">
        <v>19</v>
      </c>
      <c r="E1556" t="s">
        <v>64</v>
      </c>
      <c r="F1556" t="s">
        <v>21</v>
      </c>
      <c r="G1556" t="s">
        <v>32</v>
      </c>
      <c r="H1556">
        <v>16240.84</v>
      </c>
      <c r="I1556">
        <v>2</v>
      </c>
      <c r="J1556">
        <v>32481.68</v>
      </c>
      <c r="K1556">
        <v>2.71</v>
      </c>
    </row>
    <row r="1557" spans="1:11" x14ac:dyDescent="0.35">
      <c r="A1557" s="1">
        <v>45399</v>
      </c>
      <c r="B1557" t="s">
        <v>128</v>
      </c>
      <c r="C1557" t="s">
        <v>37</v>
      </c>
      <c r="D1557" t="s">
        <v>19</v>
      </c>
      <c r="E1557" t="s">
        <v>38</v>
      </c>
      <c r="F1557" t="s">
        <v>15</v>
      </c>
      <c r="G1557" t="s">
        <v>32</v>
      </c>
      <c r="H1557">
        <v>11226.5</v>
      </c>
      <c r="I1557">
        <v>4</v>
      </c>
      <c r="J1557">
        <v>44906</v>
      </c>
      <c r="K1557">
        <v>3.09</v>
      </c>
    </row>
    <row r="1558" spans="1:11" x14ac:dyDescent="0.35">
      <c r="A1558" s="1">
        <v>45399</v>
      </c>
      <c r="B1558" t="s">
        <v>1549</v>
      </c>
      <c r="C1558" t="s">
        <v>37</v>
      </c>
      <c r="D1558" t="s">
        <v>19</v>
      </c>
      <c r="E1558" t="s">
        <v>38</v>
      </c>
      <c r="F1558" t="s">
        <v>15</v>
      </c>
      <c r="G1558" t="s">
        <v>16</v>
      </c>
      <c r="H1558">
        <v>17689.71</v>
      </c>
      <c r="I1558">
        <v>1</v>
      </c>
      <c r="J1558">
        <v>17689.71</v>
      </c>
      <c r="K1558">
        <v>1.91</v>
      </c>
    </row>
    <row r="1559" spans="1:11" x14ac:dyDescent="0.35">
      <c r="A1559" s="1">
        <v>45400</v>
      </c>
      <c r="B1559" t="s">
        <v>785</v>
      </c>
      <c r="C1559" t="s">
        <v>63</v>
      </c>
      <c r="D1559" t="s">
        <v>19</v>
      </c>
      <c r="E1559" t="s">
        <v>64</v>
      </c>
      <c r="F1559" t="s">
        <v>45</v>
      </c>
      <c r="G1559" t="s">
        <v>22</v>
      </c>
      <c r="H1559">
        <v>2915.65</v>
      </c>
      <c r="I1559">
        <v>3</v>
      </c>
      <c r="J1559">
        <v>8746.9500000000007</v>
      </c>
      <c r="K1559">
        <v>4.91</v>
      </c>
    </row>
    <row r="1560" spans="1:11" x14ac:dyDescent="0.35">
      <c r="A1560" s="1">
        <v>45400</v>
      </c>
      <c r="B1560" t="s">
        <v>1468</v>
      </c>
      <c r="C1560" t="s">
        <v>63</v>
      </c>
      <c r="D1560" t="s">
        <v>19</v>
      </c>
      <c r="E1560" t="s">
        <v>64</v>
      </c>
      <c r="F1560" t="s">
        <v>45</v>
      </c>
      <c r="G1560" t="s">
        <v>39</v>
      </c>
      <c r="H1560">
        <v>10660.65</v>
      </c>
      <c r="I1560">
        <v>3</v>
      </c>
      <c r="J1560">
        <v>31981.95</v>
      </c>
      <c r="K1560">
        <v>3.31</v>
      </c>
    </row>
    <row r="1561" spans="1:11" x14ac:dyDescent="0.35">
      <c r="A1561" s="1">
        <v>45401</v>
      </c>
      <c r="B1561" t="s">
        <v>241</v>
      </c>
      <c r="C1561" t="s">
        <v>37</v>
      </c>
      <c r="D1561" t="s">
        <v>19</v>
      </c>
      <c r="E1561" t="s">
        <v>38</v>
      </c>
      <c r="F1561" t="s">
        <v>21</v>
      </c>
      <c r="G1561" t="s">
        <v>27</v>
      </c>
      <c r="H1561">
        <v>11547.96</v>
      </c>
      <c r="I1561">
        <v>4</v>
      </c>
      <c r="J1561">
        <v>46191.839999999997</v>
      </c>
      <c r="K1561">
        <v>2.2400000000000002</v>
      </c>
    </row>
    <row r="1562" spans="1:11" x14ac:dyDescent="0.35">
      <c r="A1562" s="1">
        <v>45401</v>
      </c>
      <c r="B1562" t="s">
        <v>1313</v>
      </c>
      <c r="C1562" t="s">
        <v>18</v>
      </c>
      <c r="D1562" t="s">
        <v>19</v>
      </c>
      <c r="E1562" t="s">
        <v>20</v>
      </c>
      <c r="F1562" t="s">
        <v>15</v>
      </c>
      <c r="G1562" t="s">
        <v>39</v>
      </c>
      <c r="H1562">
        <v>16136.42</v>
      </c>
      <c r="I1562">
        <v>1</v>
      </c>
      <c r="J1562">
        <v>16136.42</v>
      </c>
      <c r="K1562">
        <v>2.63</v>
      </c>
    </row>
    <row r="1563" spans="1:11" x14ac:dyDescent="0.35">
      <c r="A1563" s="1">
        <v>45402</v>
      </c>
      <c r="B1563" t="s">
        <v>176</v>
      </c>
      <c r="C1563" t="s">
        <v>63</v>
      </c>
      <c r="D1563" t="s">
        <v>19</v>
      </c>
      <c r="E1563" t="s">
        <v>64</v>
      </c>
      <c r="F1563" t="s">
        <v>15</v>
      </c>
      <c r="G1563" t="s">
        <v>22</v>
      </c>
      <c r="H1563">
        <v>17344.22</v>
      </c>
      <c r="I1563">
        <v>2</v>
      </c>
      <c r="J1563">
        <v>34688.44</v>
      </c>
      <c r="K1563">
        <v>4.5</v>
      </c>
    </row>
    <row r="1564" spans="1:11" x14ac:dyDescent="0.35">
      <c r="A1564" s="1">
        <v>45402</v>
      </c>
      <c r="B1564" t="s">
        <v>190</v>
      </c>
      <c r="C1564" t="s">
        <v>37</v>
      </c>
      <c r="D1564" t="s">
        <v>19</v>
      </c>
      <c r="E1564" t="s">
        <v>38</v>
      </c>
      <c r="F1564" t="s">
        <v>21</v>
      </c>
      <c r="G1564" t="s">
        <v>60</v>
      </c>
      <c r="H1564">
        <v>3964.13</v>
      </c>
      <c r="I1564">
        <v>5</v>
      </c>
      <c r="J1564">
        <v>19820.650000000001</v>
      </c>
      <c r="K1564">
        <v>2.95</v>
      </c>
    </row>
    <row r="1565" spans="1:11" x14ac:dyDescent="0.35">
      <c r="A1565" s="1">
        <v>45402</v>
      </c>
      <c r="B1565" t="s">
        <v>317</v>
      </c>
      <c r="C1565" t="s">
        <v>18</v>
      </c>
      <c r="D1565" t="s">
        <v>19</v>
      </c>
      <c r="E1565" t="s">
        <v>20</v>
      </c>
      <c r="F1565" t="s">
        <v>45</v>
      </c>
      <c r="G1565" t="s">
        <v>60</v>
      </c>
      <c r="H1565">
        <v>17660.77</v>
      </c>
      <c r="I1565">
        <v>5</v>
      </c>
      <c r="J1565">
        <v>88303.85</v>
      </c>
      <c r="K1565">
        <v>4.04</v>
      </c>
    </row>
    <row r="1566" spans="1:11" x14ac:dyDescent="0.35">
      <c r="A1566" s="1">
        <v>45402</v>
      </c>
      <c r="B1566" t="s">
        <v>1718</v>
      </c>
      <c r="C1566" t="s">
        <v>63</v>
      </c>
      <c r="D1566" t="s">
        <v>19</v>
      </c>
      <c r="E1566" t="s">
        <v>64</v>
      </c>
      <c r="F1566" t="s">
        <v>15</v>
      </c>
      <c r="G1566" t="s">
        <v>22</v>
      </c>
      <c r="H1566">
        <v>14494.53</v>
      </c>
      <c r="I1566">
        <v>2</v>
      </c>
      <c r="J1566">
        <v>28989.06</v>
      </c>
      <c r="K1566">
        <v>3.01</v>
      </c>
    </row>
    <row r="1567" spans="1:11" x14ac:dyDescent="0.35">
      <c r="A1567" s="1">
        <v>45403</v>
      </c>
      <c r="B1567" t="s">
        <v>657</v>
      </c>
      <c r="C1567" t="s">
        <v>63</v>
      </c>
      <c r="D1567" t="s">
        <v>19</v>
      </c>
      <c r="E1567" t="s">
        <v>64</v>
      </c>
      <c r="F1567" t="s">
        <v>15</v>
      </c>
      <c r="G1567" t="s">
        <v>39</v>
      </c>
      <c r="H1567">
        <v>5592.38</v>
      </c>
      <c r="I1567">
        <v>3</v>
      </c>
      <c r="J1567">
        <v>16777.14</v>
      </c>
      <c r="K1567">
        <v>1.22</v>
      </c>
    </row>
    <row r="1568" spans="1:11" x14ac:dyDescent="0.35">
      <c r="A1568" s="1">
        <v>45403</v>
      </c>
      <c r="B1568" t="s">
        <v>669</v>
      </c>
      <c r="C1568" t="s">
        <v>37</v>
      </c>
      <c r="D1568" t="s">
        <v>19</v>
      </c>
      <c r="E1568" t="s">
        <v>38</v>
      </c>
      <c r="F1568" t="s">
        <v>45</v>
      </c>
      <c r="G1568" t="s">
        <v>16</v>
      </c>
      <c r="H1568">
        <v>4581.84</v>
      </c>
      <c r="I1568">
        <v>5</v>
      </c>
      <c r="J1568">
        <v>22909.200000000001</v>
      </c>
      <c r="K1568">
        <v>2.29</v>
      </c>
    </row>
    <row r="1569" spans="1:11" x14ac:dyDescent="0.35">
      <c r="A1569" s="1">
        <v>45404</v>
      </c>
      <c r="B1569" t="s">
        <v>876</v>
      </c>
      <c r="C1569" t="s">
        <v>18</v>
      </c>
      <c r="D1569" t="s">
        <v>19</v>
      </c>
      <c r="E1569" t="s">
        <v>20</v>
      </c>
      <c r="F1569" t="s">
        <v>45</v>
      </c>
      <c r="G1569" t="s">
        <v>60</v>
      </c>
      <c r="H1569">
        <v>17317.2</v>
      </c>
      <c r="I1569">
        <v>4</v>
      </c>
      <c r="J1569">
        <v>69268.800000000003</v>
      </c>
      <c r="K1569">
        <v>4.3099999999999996</v>
      </c>
    </row>
    <row r="1570" spans="1:11" x14ac:dyDescent="0.35">
      <c r="A1570" s="1">
        <v>45404</v>
      </c>
      <c r="B1570" t="s">
        <v>981</v>
      </c>
      <c r="C1570" t="s">
        <v>37</v>
      </c>
      <c r="D1570" t="s">
        <v>19</v>
      </c>
      <c r="E1570" t="s">
        <v>38</v>
      </c>
      <c r="F1570" t="s">
        <v>45</v>
      </c>
      <c r="G1570" t="s">
        <v>22</v>
      </c>
      <c r="H1570">
        <v>17039.650000000001</v>
      </c>
      <c r="I1570">
        <v>1</v>
      </c>
      <c r="J1570">
        <v>17039.650000000001</v>
      </c>
      <c r="K1570">
        <v>3.92</v>
      </c>
    </row>
    <row r="1571" spans="1:11" x14ac:dyDescent="0.35">
      <c r="A1571" s="1">
        <v>45405</v>
      </c>
      <c r="B1571" t="s">
        <v>159</v>
      </c>
      <c r="C1571" t="s">
        <v>63</v>
      </c>
      <c r="D1571" t="s">
        <v>19</v>
      </c>
      <c r="E1571" t="s">
        <v>64</v>
      </c>
      <c r="F1571" t="s">
        <v>45</v>
      </c>
      <c r="G1571" t="s">
        <v>32</v>
      </c>
      <c r="H1571">
        <v>17786.64</v>
      </c>
      <c r="I1571">
        <v>2</v>
      </c>
      <c r="J1571">
        <v>35573.279999999999</v>
      </c>
      <c r="K1571">
        <v>1.94</v>
      </c>
    </row>
    <row r="1572" spans="1:11" x14ac:dyDescent="0.35">
      <c r="A1572" s="1">
        <v>45406</v>
      </c>
      <c r="B1572" t="s">
        <v>348</v>
      </c>
      <c r="C1572" t="s">
        <v>18</v>
      </c>
      <c r="D1572" t="s">
        <v>19</v>
      </c>
      <c r="E1572" t="s">
        <v>20</v>
      </c>
      <c r="F1572" t="s">
        <v>15</v>
      </c>
      <c r="G1572" t="s">
        <v>60</v>
      </c>
      <c r="H1572">
        <v>11319.16</v>
      </c>
      <c r="I1572">
        <v>5</v>
      </c>
      <c r="J1572">
        <v>56595.8</v>
      </c>
      <c r="K1572">
        <v>1.74</v>
      </c>
    </row>
    <row r="1573" spans="1:11" x14ac:dyDescent="0.35">
      <c r="A1573" s="1">
        <v>45407</v>
      </c>
      <c r="B1573" t="s">
        <v>680</v>
      </c>
      <c r="C1573" t="s">
        <v>63</v>
      </c>
      <c r="D1573" t="s">
        <v>19</v>
      </c>
      <c r="E1573" t="s">
        <v>64</v>
      </c>
      <c r="F1573" t="s">
        <v>45</v>
      </c>
      <c r="G1573" t="s">
        <v>60</v>
      </c>
      <c r="H1573">
        <v>5006.17</v>
      </c>
      <c r="I1573">
        <v>4</v>
      </c>
      <c r="J1573">
        <v>20024.68</v>
      </c>
      <c r="K1573">
        <v>3.16</v>
      </c>
    </row>
    <row r="1574" spans="1:11" x14ac:dyDescent="0.35">
      <c r="A1574" s="1">
        <v>45407</v>
      </c>
      <c r="B1574" t="s">
        <v>1175</v>
      </c>
      <c r="C1574" t="s">
        <v>63</v>
      </c>
      <c r="D1574" t="s">
        <v>19</v>
      </c>
      <c r="E1574" t="s">
        <v>64</v>
      </c>
      <c r="F1574" t="s">
        <v>45</v>
      </c>
      <c r="G1574" t="s">
        <v>39</v>
      </c>
      <c r="H1574">
        <v>9765.69</v>
      </c>
      <c r="I1574">
        <v>2</v>
      </c>
      <c r="J1574">
        <v>19531.38</v>
      </c>
      <c r="K1574">
        <v>1.51</v>
      </c>
    </row>
    <row r="1575" spans="1:11" x14ac:dyDescent="0.35">
      <c r="A1575" s="1">
        <v>45407</v>
      </c>
      <c r="B1575" t="s">
        <v>1836</v>
      </c>
      <c r="C1575" t="s">
        <v>63</v>
      </c>
      <c r="D1575" t="s">
        <v>19</v>
      </c>
      <c r="E1575" t="s">
        <v>64</v>
      </c>
      <c r="F1575" t="s">
        <v>21</v>
      </c>
      <c r="G1575" t="s">
        <v>60</v>
      </c>
      <c r="H1575">
        <v>8564.58</v>
      </c>
      <c r="I1575">
        <v>2</v>
      </c>
      <c r="J1575">
        <v>17129.16</v>
      </c>
      <c r="K1575">
        <v>3.24</v>
      </c>
    </row>
    <row r="1576" spans="1:11" x14ac:dyDescent="0.35">
      <c r="A1576" s="1">
        <v>45407</v>
      </c>
      <c r="B1576" t="s">
        <v>1880</v>
      </c>
      <c r="C1576" t="s">
        <v>37</v>
      </c>
      <c r="D1576" t="s">
        <v>19</v>
      </c>
      <c r="E1576" t="s">
        <v>38</v>
      </c>
      <c r="F1576" t="s">
        <v>21</v>
      </c>
      <c r="G1576" t="s">
        <v>22</v>
      </c>
      <c r="H1576">
        <v>16583.43</v>
      </c>
      <c r="I1576">
        <v>5</v>
      </c>
      <c r="J1576">
        <v>82917.149999999994</v>
      </c>
      <c r="K1576">
        <v>1.93</v>
      </c>
    </row>
    <row r="1577" spans="1:11" x14ac:dyDescent="0.35">
      <c r="A1577" s="1">
        <v>45408</v>
      </c>
      <c r="B1577" t="s">
        <v>78</v>
      </c>
      <c r="C1577" t="s">
        <v>63</v>
      </c>
      <c r="D1577" t="s">
        <v>19</v>
      </c>
      <c r="E1577" t="s">
        <v>64</v>
      </c>
      <c r="F1577" t="s">
        <v>15</v>
      </c>
      <c r="G1577" t="s">
        <v>39</v>
      </c>
      <c r="H1577">
        <v>8827.9599999999991</v>
      </c>
      <c r="I1577">
        <v>5</v>
      </c>
      <c r="J1577">
        <v>44139.8</v>
      </c>
      <c r="K1577">
        <v>2.2200000000000002</v>
      </c>
    </row>
    <row r="1578" spans="1:11" x14ac:dyDescent="0.35">
      <c r="A1578" s="1">
        <v>45408</v>
      </c>
      <c r="B1578" t="s">
        <v>816</v>
      </c>
      <c r="C1578" t="s">
        <v>63</v>
      </c>
      <c r="D1578" t="s">
        <v>19</v>
      </c>
      <c r="E1578" t="s">
        <v>64</v>
      </c>
      <c r="F1578" t="s">
        <v>21</v>
      </c>
      <c r="G1578" t="s">
        <v>16</v>
      </c>
      <c r="H1578">
        <v>8685.6</v>
      </c>
      <c r="I1578">
        <v>1</v>
      </c>
      <c r="J1578">
        <v>8685.6</v>
      </c>
      <c r="K1578">
        <v>1.94</v>
      </c>
    </row>
    <row r="1579" spans="1:11" x14ac:dyDescent="0.35">
      <c r="A1579" s="1">
        <v>45408</v>
      </c>
      <c r="B1579" t="s">
        <v>1126</v>
      </c>
      <c r="C1579" t="s">
        <v>63</v>
      </c>
      <c r="D1579" t="s">
        <v>19</v>
      </c>
      <c r="E1579" t="s">
        <v>64</v>
      </c>
      <c r="F1579" t="s">
        <v>21</v>
      </c>
      <c r="G1579" t="s">
        <v>16</v>
      </c>
      <c r="H1579">
        <v>4401.1000000000004</v>
      </c>
      <c r="I1579">
        <v>3</v>
      </c>
      <c r="J1579">
        <v>13203.3</v>
      </c>
      <c r="K1579">
        <v>1.1200000000000001</v>
      </c>
    </row>
    <row r="1580" spans="1:11" x14ac:dyDescent="0.35">
      <c r="A1580" s="1">
        <v>45409</v>
      </c>
      <c r="B1580" t="s">
        <v>914</v>
      </c>
      <c r="C1580" t="s">
        <v>18</v>
      </c>
      <c r="D1580" t="s">
        <v>19</v>
      </c>
      <c r="E1580" t="s">
        <v>20</v>
      </c>
      <c r="F1580" t="s">
        <v>15</v>
      </c>
      <c r="G1580" t="s">
        <v>16</v>
      </c>
      <c r="H1580">
        <v>2888.14</v>
      </c>
      <c r="I1580">
        <v>2</v>
      </c>
      <c r="J1580">
        <v>5776.28</v>
      </c>
      <c r="K1580">
        <v>2.19</v>
      </c>
    </row>
    <row r="1581" spans="1:11" x14ac:dyDescent="0.35">
      <c r="A1581" s="1">
        <v>45409</v>
      </c>
      <c r="B1581" t="s">
        <v>1328</v>
      </c>
      <c r="C1581" t="s">
        <v>63</v>
      </c>
      <c r="D1581" t="s">
        <v>19</v>
      </c>
      <c r="E1581" t="s">
        <v>64</v>
      </c>
      <c r="F1581" t="s">
        <v>15</v>
      </c>
      <c r="G1581" t="s">
        <v>39</v>
      </c>
      <c r="H1581">
        <v>15616.82</v>
      </c>
      <c r="I1581">
        <v>2</v>
      </c>
      <c r="J1581">
        <v>31233.64</v>
      </c>
      <c r="K1581">
        <v>4.74</v>
      </c>
    </row>
    <row r="1582" spans="1:11" x14ac:dyDescent="0.35">
      <c r="A1582" s="1">
        <v>45409</v>
      </c>
      <c r="B1582" t="s">
        <v>1614</v>
      </c>
      <c r="C1582" t="s">
        <v>18</v>
      </c>
      <c r="D1582" t="s">
        <v>19</v>
      </c>
      <c r="E1582" t="s">
        <v>20</v>
      </c>
      <c r="F1582" t="s">
        <v>21</v>
      </c>
      <c r="G1582" t="s">
        <v>27</v>
      </c>
      <c r="H1582">
        <v>15562.52</v>
      </c>
      <c r="I1582">
        <v>2</v>
      </c>
      <c r="J1582">
        <v>31125.040000000001</v>
      </c>
      <c r="K1582">
        <v>1.34</v>
      </c>
    </row>
    <row r="1583" spans="1:11" x14ac:dyDescent="0.35">
      <c r="A1583" s="1">
        <v>45410</v>
      </c>
      <c r="B1583" t="s">
        <v>520</v>
      </c>
      <c r="C1583" t="s">
        <v>37</v>
      </c>
      <c r="D1583" t="s">
        <v>19</v>
      </c>
      <c r="E1583" t="s">
        <v>38</v>
      </c>
      <c r="F1583" t="s">
        <v>21</v>
      </c>
      <c r="G1583" t="s">
        <v>32</v>
      </c>
      <c r="H1583">
        <v>11522.44</v>
      </c>
      <c r="I1583">
        <v>1</v>
      </c>
      <c r="J1583">
        <v>11522.44</v>
      </c>
      <c r="K1583">
        <v>4.9800000000000004</v>
      </c>
    </row>
    <row r="1584" spans="1:11" x14ac:dyDescent="0.35">
      <c r="A1584" s="1">
        <v>45410</v>
      </c>
      <c r="B1584" t="s">
        <v>1983</v>
      </c>
      <c r="C1584" t="s">
        <v>37</v>
      </c>
      <c r="D1584" t="s">
        <v>19</v>
      </c>
      <c r="E1584" t="s">
        <v>38</v>
      </c>
      <c r="F1584" t="s">
        <v>15</v>
      </c>
      <c r="G1584" t="s">
        <v>22</v>
      </c>
      <c r="H1584">
        <v>17978.53</v>
      </c>
      <c r="I1584">
        <v>1</v>
      </c>
      <c r="J1584">
        <v>17978.53</v>
      </c>
      <c r="K1584">
        <v>3.79</v>
      </c>
    </row>
    <row r="1585" spans="1:11" x14ac:dyDescent="0.35">
      <c r="A1585" s="1">
        <v>45411</v>
      </c>
      <c r="B1585" t="s">
        <v>658</v>
      </c>
      <c r="C1585" t="s">
        <v>63</v>
      </c>
      <c r="D1585" t="s">
        <v>19</v>
      </c>
      <c r="E1585" t="s">
        <v>64</v>
      </c>
      <c r="F1585" t="s">
        <v>45</v>
      </c>
      <c r="G1585" t="s">
        <v>60</v>
      </c>
      <c r="H1585">
        <v>18157.93</v>
      </c>
      <c r="I1585">
        <v>5</v>
      </c>
      <c r="J1585">
        <v>90789.65</v>
      </c>
      <c r="K1585">
        <v>1.73</v>
      </c>
    </row>
    <row r="1586" spans="1:11" x14ac:dyDescent="0.35">
      <c r="A1586" s="1">
        <v>45412</v>
      </c>
      <c r="B1586" t="s">
        <v>224</v>
      </c>
      <c r="C1586" t="s">
        <v>37</v>
      </c>
      <c r="D1586" t="s">
        <v>19</v>
      </c>
      <c r="E1586" t="s">
        <v>38</v>
      </c>
      <c r="F1586" t="s">
        <v>45</v>
      </c>
      <c r="G1586" t="s">
        <v>27</v>
      </c>
      <c r="H1586">
        <v>10811.24</v>
      </c>
      <c r="I1586">
        <v>4</v>
      </c>
      <c r="J1586">
        <v>43244.959999999999</v>
      </c>
      <c r="K1586">
        <v>2.2599999999999998</v>
      </c>
    </row>
    <row r="1587" spans="1:11" x14ac:dyDescent="0.35">
      <c r="A1587" s="1">
        <v>45414</v>
      </c>
      <c r="B1587" t="s">
        <v>1727</v>
      </c>
      <c r="C1587" t="s">
        <v>18</v>
      </c>
      <c r="D1587" t="s">
        <v>19</v>
      </c>
      <c r="E1587" t="s">
        <v>20</v>
      </c>
      <c r="F1587" t="s">
        <v>45</v>
      </c>
      <c r="G1587" t="s">
        <v>27</v>
      </c>
      <c r="H1587">
        <v>4007.24</v>
      </c>
      <c r="I1587">
        <v>5</v>
      </c>
      <c r="J1587">
        <v>20036.2</v>
      </c>
      <c r="K1587">
        <v>4.05</v>
      </c>
    </row>
    <row r="1588" spans="1:11" x14ac:dyDescent="0.35">
      <c r="A1588" s="1">
        <v>45414</v>
      </c>
      <c r="B1588" t="s">
        <v>1990</v>
      </c>
      <c r="C1588" t="s">
        <v>18</v>
      </c>
      <c r="D1588" t="s">
        <v>19</v>
      </c>
      <c r="E1588" t="s">
        <v>20</v>
      </c>
      <c r="F1588" t="s">
        <v>45</v>
      </c>
      <c r="G1588" t="s">
        <v>60</v>
      </c>
      <c r="H1588">
        <v>12106.42</v>
      </c>
      <c r="I1588">
        <v>4</v>
      </c>
      <c r="J1588">
        <v>48425.68</v>
      </c>
      <c r="K1588">
        <v>2.19</v>
      </c>
    </row>
    <row r="1589" spans="1:11" x14ac:dyDescent="0.35">
      <c r="A1589" s="1">
        <v>45415</v>
      </c>
      <c r="B1589" t="s">
        <v>1333</v>
      </c>
      <c r="C1589" t="s">
        <v>37</v>
      </c>
      <c r="D1589" t="s">
        <v>19</v>
      </c>
      <c r="E1589" t="s">
        <v>38</v>
      </c>
      <c r="F1589" t="s">
        <v>15</v>
      </c>
      <c r="G1589" t="s">
        <v>16</v>
      </c>
      <c r="H1589">
        <v>18356.62</v>
      </c>
      <c r="I1589">
        <v>3</v>
      </c>
      <c r="J1589">
        <v>55069.86</v>
      </c>
      <c r="K1589">
        <v>2.54</v>
      </c>
    </row>
    <row r="1590" spans="1:11" x14ac:dyDescent="0.35">
      <c r="A1590" s="1">
        <v>45415</v>
      </c>
      <c r="B1590" t="s">
        <v>1738</v>
      </c>
      <c r="C1590" t="s">
        <v>18</v>
      </c>
      <c r="D1590" t="s">
        <v>19</v>
      </c>
      <c r="E1590" t="s">
        <v>20</v>
      </c>
      <c r="F1590" t="s">
        <v>21</v>
      </c>
      <c r="G1590" t="s">
        <v>32</v>
      </c>
      <c r="H1590">
        <v>15231.1</v>
      </c>
      <c r="I1590">
        <v>1</v>
      </c>
      <c r="J1590">
        <v>15231.1</v>
      </c>
      <c r="K1590">
        <v>2.2599999999999998</v>
      </c>
    </row>
    <row r="1591" spans="1:11" x14ac:dyDescent="0.35">
      <c r="A1591" s="1">
        <v>45416</v>
      </c>
      <c r="B1591" t="s">
        <v>1628</v>
      </c>
      <c r="C1591" t="s">
        <v>37</v>
      </c>
      <c r="D1591" t="s">
        <v>19</v>
      </c>
      <c r="E1591" t="s">
        <v>38</v>
      </c>
      <c r="F1591" t="s">
        <v>21</v>
      </c>
      <c r="G1591" t="s">
        <v>22</v>
      </c>
      <c r="H1591">
        <v>17065.98</v>
      </c>
      <c r="I1591">
        <v>3</v>
      </c>
      <c r="J1591">
        <v>51197.94</v>
      </c>
      <c r="K1591">
        <v>2.35</v>
      </c>
    </row>
    <row r="1592" spans="1:11" x14ac:dyDescent="0.35">
      <c r="A1592" s="1">
        <v>45417</v>
      </c>
      <c r="B1592" t="s">
        <v>1438</v>
      </c>
      <c r="C1592" t="s">
        <v>37</v>
      </c>
      <c r="D1592" t="s">
        <v>19</v>
      </c>
      <c r="E1592" t="s">
        <v>38</v>
      </c>
      <c r="F1592" t="s">
        <v>15</v>
      </c>
      <c r="G1592" t="s">
        <v>27</v>
      </c>
      <c r="H1592">
        <v>14254.98</v>
      </c>
      <c r="I1592">
        <v>4</v>
      </c>
      <c r="J1592">
        <v>57019.92</v>
      </c>
      <c r="K1592">
        <v>2.58</v>
      </c>
    </row>
    <row r="1593" spans="1:11" x14ac:dyDescent="0.35">
      <c r="A1593" s="1">
        <v>45418</v>
      </c>
      <c r="B1593" t="s">
        <v>1972</v>
      </c>
      <c r="C1593" t="s">
        <v>63</v>
      </c>
      <c r="D1593" t="s">
        <v>19</v>
      </c>
      <c r="E1593" t="s">
        <v>64</v>
      </c>
      <c r="F1593" t="s">
        <v>21</v>
      </c>
      <c r="G1593" t="s">
        <v>32</v>
      </c>
      <c r="H1593">
        <v>15825.48</v>
      </c>
      <c r="I1593">
        <v>2</v>
      </c>
      <c r="J1593">
        <v>31650.959999999999</v>
      </c>
      <c r="K1593">
        <v>3.88</v>
      </c>
    </row>
    <row r="1594" spans="1:11" x14ac:dyDescent="0.35">
      <c r="A1594" s="1">
        <v>45419</v>
      </c>
      <c r="B1594" t="s">
        <v>195</v>
      </c>
      <c r="C1594" t="s">
        <v>63</v>
      </c>
      <c r="D1594" t="s">
        <v>19</v>
      </c>
      <c r="E1594" t="s">
        <v>64</v>
      </c>
      <c r="F1594" t="s">
        <v>21</v>
      </c>
      <c r="G1594" t="s">
        <v>22</v>
      </c>
      <c r="H1594">
        <v>6654.77</v>
      </c>
      <c r="I1594">
        <v>4</v>
      </c>
      <c r="J1594">
        <v>26619.08</v>
      </c>
      <c r="K1594">
        <v>4.62</v>
      </c>
    </row>
    <row r="1595" spans="1:11" x14ac:dyDescent="0.35">
      <c r="A1595" s="1">
        <v>45419</v>
      </c>
      <c r="B1595" t="s">
        <v>1981</v>
      </c>
      <c r="C1595" t="s">
        <v>63</v>
      </c>
      <c r="D1595" t="s">
        <v>19</v>
      </c>
      <c r="E1595" t="s">
        <v>64</v>
      </c>
      <c r="F1595" t="s">
        <v>45</v>
      </c>
      <c r="G1595" t="s">
        <v>22</v>
      </c>
      <c r="H1595">
        <v>7629.43</v>
      </c>
      <c r="I1595">
        <v>4</v>
      </c>
      <c r="J1595">
        <v>30517.72</v>
      </c>
      <c r="K1595">
        <v>4.47</v>
      </c>
    </row>
    <row r="1596" spans="1:11" x14ac:dyDescent="0.35">
      <c r="A1596" s="1">
        <v>45423</v>
      </c>
      <c r="B1596" t="s">
        <v>1183</v>
      </c>
      <c r="C1596" t="s">
        <v>37</v>
      </c>
      <c r="D1596" t="s">
        <v>19</v>
      </c>
      <c r="E1596" t="s">
        <v>38</v>
      </c>
      <c r="F1596" t="s">
        <v>15</v>
      </c>
      <c r="G1596" t="s">
        <v>27</v>
      </c>
      <c r="H1596">
        <v>14765.35</v>
      </c>
      <c r="I1596">
        <v>4</v>
      </c>
      <c r="J1596">
        <v>59061.4</v>
      </c>
      <c r="K1596">
        <v>2.94</v>
      </c>
    </row>
    <row r="1597" spans="1:11" x14ac:dyDescent="0.35">
      <c r="A1597" s="1">
        <v>45423</v>
      </c>
      <c r="B1597" t="s">
        <v>1336</v>
      </c>
      <c r="C1597" t="s">
        <v>18</v>
      </c>
      <c r="D1597" t="s">
        <v>19</v>
      </c>
      <c r="E1597" t="s">
        <v>20</v>
      </c>
      <c r="F1597" t="s">
        <v>45</v>
      </c>
      <c r="G1597" t="s">
        <v>22</v>
      </c>
      <c r="H1597">
        <v>9063.1299999999992</v>
      </c>
      <c r="I1597">
        <v>3</v>
      </c>
      <c r="J1597">
        <v>27189.39</v>
      </c>
      <c r="K1597">
        <v>1.7</v>
      </c>
    </row>
    <row r="1598" spans="1:11" x14ac:dyDescent="0.35">
      <c r="A1598" s="1">
        <v>45424</v>
      </c>
      <c r="B1598" t="s">
        <v>507</v>
      </c>
      <c r="C1598" t="s">
        <v>18</v>
      </c>
      <c r="D1598" t="s">
        <v>19</v>
      </c>
      <c r="E1598" t="s">
        <v>20</v>
      </c>
      <c r="F1598" t="s">
        <v>15</v>
      </c>
      <c r="G1598" t="s">
        <v>27</v>
      </c>
      <c r="H1598">
        <v>5027.0600000000004</v>
      </c>
      <c r="I1598">
        <v>4</v>
      </c>
      <c r="J1598">
        <v>20108.240000000002</v>
      </c>
      <c r="K1598">
        <v>2.6</v>
      </c>
    </row>
    <row r="1599" spans="1:11" x14ac:dyDescent="0.35">
      <c r="A1599" s="1">
        <v>45424</v>
      </c>
      <c r="B1599" t="s">
        <v>1012</v>
      </c>
      <c r="C1599" t="s">
        <v>63</v>
      </c>
      <c r="D1599" t="s">
        <v>19</v>
      </c>
      <c r="E1599" t="s">
        <v>64</v>
      </c>
      <c r="F1599" t="s">
        <v>45</v>
      </c>
      <c r="G1599" t="s">
        <v>16</v>
      </c>
      <c r="H1599">
        <v>6582.41</v>
      </c>
      <c r="I1599">
        <v>2</v>
      </c>
      <c r="J1599">
        <v>13164.82</v>
      </c>
      <c r="K1599">
        <v>4.67</v>
      </c>
    </row>
    <row r="1600" spans="1:11" x14ac:dyDescent="0.35">
      <c r="A1600" s="1">
        <v>45424</v>
      </c>
      <c r="B1600" t="s">
        <v>1210</v>
      </c>
      <c r="C1600" t="s">
        <v>18</v>
      </c>
      <c r="D1600" t="s">
        <v>19</v>
      </c>
      <c r="E1600" t="s">
        <v>20</v>
      </c>
      <c r="F1600" t="s">
        <v>45</v>
      </c>
      <c r="G1600" t="s">
        <v>16</v>
      </c>
      <c r="H1600">
        <v>5713.11</v>
      </c>
      <c r="I1600">
        <v>3</v>
      </c>
      <c r="J1600">
        <v>17139.330000000002</v>
      </c>
      <c r="K1600">
        <v>2.39</v>
      </c>
    </row>
    <row r="1601" spans="1:11" x14ac:dyDescent="0.35">
      <c r="A1601" s="1">
        <v>45425</v>
      </c>
      <c r="B1601" t="s">
        <v>1524</v>
      </c>
      <c r="C1601" t="s">
        <v>18</v>
      </c>
      <c r="D1601" t="s">
        <v>19</v>
      </c>
      <c r="E1601" t="s">
        <v>20</v>
      </c>
      <c r="F1601" t="s">
        <v>45</v>
      </c>
      <c r="G1601" t="s">
        <v>32</v>
      </c>
      <c r="H1601">
        <v>5855.68</v>
      </c>
      <c r="I1601">
        <v>4</v>
      </c>
      <c r="J1601">
        <v>23422.720000000001</v>
      </c>
      <c r="K1601">
        <v>3.59</v>
      </c>
    </row>
    <row r="1602" spans="1:11" x14ac:dyDescent="0.35">
      <c r="A1602" s="1">
        <v>45425</v>
      </c>
      <c r="B1602" t="s">
        <v>1901</v>
      </c>
      <c r="C1602" t="s">
        <v>63</v>
      </c>
      <c r="D1602" t="s">
        <v>19</v>
      </c>
      <c r="E1602" t="s">
        <v>64</v>
      </c>
      <c r="F1602" t="s">
        <v>45</v>
      </c>
      <c r="G1602" t="s">
        <v>27</v>
      </c>
      <c r="H1602">
        <v>18894.669999999998</v>
      </c>
      <c r="I1602">
        <v>2</v>
      </c>
      <c r="J1602">
        <v>37789.339999999997</v>
      </c>
      <c r="K1602">
        <v>2.6</v>
      </c>
    </row>
    <row r="1603" spans="1:11" x14ac:dyDescent="0.35">
      <c r="A1603" s="1">
        <v>45426</v>
      </c>
      <c r="B1603" t="s">
        <v>1274</v>
      </c>
      <c r="C1603" t="s">
        <v>37</v>
      </c>
      <c r="D1603" t="s">
        <v>19</v>
      </c>
      <c r="E1603" t="s">
        <v>38</v>
      </c>
      <c r="F1603" t="s">
        <v>15</v>
      </c>
      <c r="G1603" t="s">
        <v>39</v>
      </c>
      <c r="H1603">
        <v>9736.84</v>
      </c>
      <c r="I1603">
        <v>1</v>
      </c>
      <c r="J1603">
        <v>9736.84</v>
      </c>
      <c r="K1603">
        <v>4.53</v>
      </c>
    </row>
    <row r="1604" spans="1:11" x14ac:dyDescent="0.35">
      <c r="A1604" s="1">
        <v>45427</v>
      </c>
      <c r="B1604" t="s">
        <v>1265</v>
      </c>
      <c r="C1604" t="s">
        <v>18</v>
      </c>
      <c r="D1604" t="s">
        <v>19</v>
      </c>
      <c r="E1604" t="s">
        <v>20</v>
      </c>
      <c r="F1604" t="s">
        <v>45</v>
      </c>
      <c r="G1604" t="s">
        <v>22</v>
      </c>
      <c r="H1604">
        <v>8120.52</v>
      </c>
      <c r="I1604">
        <v>2</v>
      </c>
      <c r="J1604">
        <v>16241.04</v>
      </c>
      <c r="K1604">
        <v>2.7</v>
      </c>
    </row>
    <row r="1605" spans="1:11" x14ac:dyDescent="0.35">
      <c r="A1605" s="1">
        <v>45427</v>
      </c>
      <c r="B1605" t="s">
        <v>1957</v>
      </c>
      <c r="C1605" t="s">
        <v>63</v>
      </c>
      <c r="D1605" t="s">
        <v>19</v>
      </c>
      <c r="E1605" t="s">
        <v>64</v>
      </c>
      <c r="F1605" t="s">
        <v>45</v>
      </c>
      <c r="G1605" t="s">
        <v>22</v>
      </c>
      <c r="H1605">
        <v>8531.93</v>
      </c>
      <c r="I1605">
        <v>5</v>
      </c>
      <c r="J1605">
        <v>42659.65</v>
      </c>
      <c r="K1605">
        <v>3.43</v>
      </c>
    </row>
    <row r="1606" spans="1:11" x14ac:dyDescent="0.35">
      <c r="A1606" s="1">
        <v>45428</v>
      </c>
      <c r="B1606" t="s">
        <v>427</v>
      </c>
      <c r="C1606" t="s">
        <v>37</v>
      </c>
      <c r="D1606" t="s">
        <v>19</v>
      </c>
      <c r="E1606" t="s">
        <v>38</v>
      </c>
      <c r="F1606" t="s">
        <v>15</v>
      </c>
      <c r="G1606" t="s">
        <v>16</v>
      </c>
      <c r="H1606">
        <v>3286.82</v>
      </c>
      <c r="I1606">
        <v>1</v>
      </c>
      <c r="J1606">
        <v>3286.82</v>
      </c>
      <c r="K1606">
        <v>4.7699999999999996</v>
      </c>
    </row>
    <row r="1607" spans="1:11" x14ac:dyDescent="0.35">
      <c r="A1607" s="1">
        <v>45428</v>
      </c>
      <c r="B1607" t="s">
        <v>1568</v>
      </c>
      <c r="C1607" t="s">
        <v>63</v>
      </c>
      <c r="D1607" t="s">
        <v>19</v>
      </c>
      <c r="E1607" t="s">
        <v>64</v>
      </c>
      <c r="F1607" t="s">
        <v>21</v>
      </c>
      <c r="G1607" t="s">
        <v>60</v>
      </c>
      <c r="H1607">
        <v>15235.44</v>
      </c>
      <c r="I1607">
        <v>4</v>
      </c>
      <c r="J1607">
        <v>60941.760000000002</v>
      </c>
      <c r="K1607">
        <v>1.5</v>
      </c>
    </row>
    <row r="1608" spans="1:11" x14ac:dyDescent="0.35">
      <c r="A1608" s="1">
        <v>45430</v>
      </c>
      <c r="B1608" t="s">
        <v>1112</v>
      </c>
      <c r="C1608" t="s">
        <v>37</v>
      </c>
      <c r="D1608" t="s">
        <v>19</v>
      </c>
      <c r="E1608" t="s">
        <v>38</v>
      </c>
      <c r="F1608" t="s">
        <v>15</v>
      </c>
      <c r="G1608" t="s">
        <v>60</v>
      </c>
      <c r="H1608">
        <v>755.39</v>
      </c>
      <c r="I1608">
        <v>3</v>
      </c>
      <c r="J1608">
        <v>2266.17</v>
      </c>
      <c r="K1608">
        <v>3.91</v>
      </c>
    </row>
    <row r="1609" spans="1:11" x14ac:dyDescent="0.35">
      <c r="A1609" s="1">
        <v>45431</v>
      </c>
      <c r="B1609" t="s">
        <v>649</v>
      </c>
      <c r="C1609" t="s">
        <v>37</v>
      </c>
      <c r="D1609" t="s">
        <v>19</v>
      </c>
      <c r="E1609" t="s">
        <v>38</v>
      </c>
      <c r="F1609" t="s">
        <v>15</v>
      </c>
      <c r="G1609" t="s">
        <v>60</v>
      </c>
      <c r="H1609">
        <v>17451.259999999998</v>
      </c>
      <c r="I1609">
        <v>4</v>
      </c>
      <c r="J1609">
        <v>69805.039999999994</v>
      </c>
      <c r="K1609">
        <v>2.2200000000000002</v>
      </c>
    </row>
    <row r="1610" spans="1:11" x14ac:dyDescent="0.35">
      <c r="A1610" s="1">
        <v>45433</v>
      </c>
      <c r="B1610" t="s">
        <v>354</v>
      </c>
      <c r="C1610" t="s">
        <v>37</v>
      </c>
      <c r="D1610" t="s">
        <v>19</v>
      </c>
      <c r="E1610" t="s">
        <v>38</v>
      </c>
      <c r="F1610" t="s">
        <v>21</v>
      </c>
      <c r="G1610" t="s">
        <v>60</v>
      </c>
      <c r="H1610">
        <v>16909.71</v>
      </c>
      <c r="I1610">
        <v>2</v>
      </c>
      <c r="J1610">
        <v>33819.42</v>
      </c>
      <c r="K1610">
        <v>3.93</v>
      </c>
    </row>
    <row r="1611" spans="1:11" x14ac:dyDescent="0.35">
      <c r="A1611" s="1">
        <v>45433</v>
      </c>
      <c r="B1611" t="s">
        <v>1047</v>
      </c>
      <c r="C1611" t="s">
        <v>37</v>
      </c>
      <c r="D1611" t="s">
        <v>19</v>
      </c>
      <c r="E1611" t="s">
        <v>38</v>
      </c>
      <c r="F1611" t="s">
        <v>45</v>
      </c>
      <c r="G1611" t="s">
        <v>39</v>
      </c>
      <c r="H1611">
        <v>19806.599999999999</v>
      </c>
      <c r="I1611">
        <v>4</v>
      </c>
      <c r="J1611">
        <v>79226.399999999994</v>
      </c>
      <c r="K1611">
        <v>1.51</v>
      </c>
    </row>
    <row r="1612" spans="1:11" x14ac:dyDescent="0.35">
      <c r="A1612" s="1">
        <v>45433</v>
      </c>
      <c r="B1612" t="s">
        <v>1918</v>
      </c>
      <c r="C1612" t="s">
        <v>63</v>
      </c>
      <c r="D1612" t="s">
        <v>19</v>
      </c>
      <c r="E1612" t="s">
        <v>64</v>
      </c>
      <c r="F1612" t="s">
        <v>15</v>
      </c>
      <c r="G1612" t="s">
        <v>27</v>
      </c>
      <c r="H1612">
        <v>5678.11</v>
      </c>
      <c r="I1612">
        <v>3</v>
      </c>
      <c r="J1612">
        <v>17034.330000000002</v>
      </c>
      <c r="K1612">
        <v>1.1499999999999999</v>
      </c>
    </row>
    <row r="1613" spans="1:11" x14ac:dyDescent="0.35">
      <c r="A1613" s="1">
        <v>45434</v>
      </c>
      <c r="B1613" t="s">
        <v>118</v>
      </c>
      <c r="C1613" t="s">
        <v>63</v>
      </c>
      <c r="D1613" t="s">
        <v>19</v>
      </c>
      <c r="E1613" t="s">
        <v>64</v>
      </c>
      <c r="F1613" t="s">
        <v>45</v>
      </c>
      <c r="G1613" t="s">
        <v>16</v>
      </c>
      <c r="H1613">
        <v>8551.18</v>
      </c>
      <c r="I1613">
        <v>1</v>
      </c>
      <c r="J1613">
        <v>8551.18</v>
      </c>
      <c r="K1613">
        <v>4.5599999999999996</v>
      </c>
    </row>
    <row r="1614" spans="1:11" x14ac:dyDescent="0.35">
      <c r="A1614" s="1">
        <v>45434</v>
      </c>
      <c r="B1614" t="s">
        <v>789</v>
      </c>
      <c r="C1614" t="s">
        <v>63</v>
      </c>
      <c r="D1614" t="s">
        <v>19</v>
      </c>
      <c r="E1614" t="s">
        <v>64</v>
      </c>
      <c r="F1614" t="s">
        <v>21</v>
      </c>
      <c r="G1614" t="s">
        <v>60</v>
      </c>
      <c r="H1614">
        <v>6413.02</v>
      </c>
      <c r="I1614">
        <v>2</v>
      </c>
      <c r="J1614">
        <v>12826.04</v>
      </c>
      <c r="K1614">
        <v>4.01</v>
      </c>
    </row>
    <row r="1615" spans="1:11" x14ac:dyDescent="0.35">
      <c r="A1615" s="1">
        <v>45434</v>
      </c>
      <c r="B1615" t="s">
        <v>1174</v>
      </c>
      <c r="C1615" t="s">
        <v>63</v>
      </c>
      <c r="D1615" t="s">
        <v>19</v>
      </c>
      <c r="E1615" t="s">
        <v>64</v>
      </c>
      <c r="F1615" t="s">
        <v>45</v>
      </c>
      <c r="G1615" t="s">
        <v>27</v>
      </c>
      <c r="H1615">
        <v>14395.06</v>
      </c>
      <c r="I1615">
        <v>4</v>
      </c>
      <c r="J1615">
        <v>57580.24</v>
      </c>
      <c r="K1615">
        <v>1.36</v>
      </c>
    </row>
    <row r="1616" spans="1:11" x14ac:dyDescent="0.35">
      <c r="A1616" s="1">
        <v>45434</v>
      </c>
      <c r="B1616" t="s">
        <v>1532</v>
      </c>
      <c r="C1616" t="s">
        <v>18</v>
      </c>
      <c r="D1616" t="s">
        <v>19</v>
      </c>
      <c r="E1616" t="s">
        <v>20</v>
      </c>
      <c r="F1616" t="s">
        <v>15</v>
      </c>
      <c r="G1616" t="s">
        <v>27</v>
      </c>
      <c r="H1616">
        <v>7207.35</v>
      </c>
      <c r="I1616">
        <v>1</v>
      </c>
      <c r="J1616">
        <v>7207.35</v>
      </c>
      <c r="K1616">
        <v>3.4</v>
      </c>
    </row>
    <row r="1617" spans="1:11" x14ac:dyDescent="0.35">
      <c r="A1617" s="1">
        <v>45435</v>
      </c>
      <c r="B1617" t="s">
        <v>1268</v>
      </c>
      <c r="C1617" t="s">
        <v>37</v>
      </c>
      <c r="D1617" t="s">
        <v>19</v>
      </c>
      <c r="E1617" t="s">
        <v>38</v>
      </c>
      <c r="F1617" t="s">
        <v>15</v>
      </c>
      <c r="G1617" t="s">
        <v>39</v>
      </c>
      <c r="H1617">
        <v>16164.84</v>
      </c>
      <c r="I1617">
        <v>4</v>
      </c>
      <c r="J1617">
        <v>64659.360000000001</v>
      </c>
      <c r="K1617">
        <v>1.21</v>
      </c>
    </row>
    <row r="1618" spans="1:11" x14ac:dyDescent="0.35">
      <c r="A1618" s="1">
        <v>45435</v>
      </c>
      <c r="B1618" t="s">
        <v>1902</v>
      </c>
      <c r="C1618" t="s">
        <v>18</v>
      </c>
      <c r="D1618" t="s">
        <v>19</v>
      </c>
      <c r="E1618" t="s">
        <v>20</v>
      </c>
      <c r="F1618" t="s">
        <v>21</v>
      </c>
      <c r="G1618" t="s">
        <v>60</v>
      </c>
      <c r="H1618">
        <v>1822.83</v>
      </c>
      <c r="I1618">
        <v>3</v>
      </c>
      <c r="J1618">
        <v>5468.49</v>
      </c>
      <c r="K1618">
        <v>3.32</v>
      </c>
    </row>
    <row r="1619" spans="1:11" x14ac:dyDescent="0.35">
      <c r="A1619" s="1">
        <v>45436</v>
      </c>
      <c r="B1619" t="s">
        <v>1772</v>
      </c>
      <c r="C1619" t="s">
        <v>63</v>
      </c>
      <c r="D1619" t="s">
        <v>19</v>
      </c>
      <c r="E1619" t="s">
        <v>64</v>
      </c>
      <c r="F1619" t="s">
        <v>15</v>
      </c>
      <c r="G1619" t="s">
        <v>32</v>
      </c>
      <c r="H1619">
        <v>18639.96</v>
      </c>
      <c r="I1619">
        <v>1</v>
      </c>
      <c r="J1619">
        <v>18639.96</v>
      </c>
      <c r="K1619">
        <v>2.2000000000000002</v>
      </c>
    </row>
    <row r="1620" spans="1:11" x14ac:dyDescent="0.35">
      <c r="A1620" s="1">
        <v>45437</v>
      </c>
      <c r="B1620" t="s">
        <v>1300</v>
      </c>
      <c r="C1620" t="s">
        <v>37</v>
      </c>
      <c r="D1620" t="s">
        <v>19</v>
      </c>
      <c r="E1620" t="s">
        <v>38</v>
      </c>
      <c r="F1620" t="s">
        <v>15</v>
      </c>
      <c r="G1620" t="s">
        <v>32</v>
      </c>
      <c r="H1620">
        <v>19626.13</v>
      </c>
      <c r="I1620">
        <v>4</v>
      </c>
      <c r="J1620">
        <v>78504.52</v>
      </c>
      <c r="K1620">
        <v>3.09</v>
      </c>
    </row>
    <row r="1621" spans="1:11" x14ac:dyDescent="0.35">
      <c r="A1621" s="1">
        <v>45437</v>
      </c>
      <c r="B1621" t="s">
        <v>1612</v>
      </c>
      <c r="C1621" t="s">
        <v>37</v>
      </c>
      <c r="D1621" t="s">
        <v>19</v>
      </c>
      <c r="E1621" t="s">
        <v>38</v>
      </c>
      <c r="F1621" t="s">
        <v>45</v>
      </c>
      <c r="G1621" t="s">
        <v>60</v>
      </c>
      <c r="H1621">
        <v>5106.51</v>
      </c>
      <c r="I1621">
        <v>1</v>
      </c>
      <c r="J1621">
        <v>5106.51</v>
      </c>
      <c r="K1621">
        <v>4.8499999999999996</v>
      </c>
    </row>
    <row r="1622" spans="1:11" x14ac:dyDescent="0.35">
      <c r="A1622" s="1">
        <v>45438</v>
      </c>
      <c r="B1622" t="s">
        <v>101</v>
      </c>
      <c r="C1622" t="s">
        <v>63</v>
      </c>
      <c r="D1622" t="s">
        <v>19</v>
      </c>
      <c r="E1622" t="s">
        <v>64</v>
      </c>
      <c r="F1622" t="s">
        <v>45</v>
      </c>
      <c r="G1622" t="s">
        <v>27</v>
      </c>
      <c r="H1622">
        <v>2256.7399999999998</v>
      </c>
      <c r="I1622">
        <v>3</v>
      </c>
      <c r="J1622">
        <v>6770.22</v>
      </c>
      <c r="K1622">
        <v>3.45</v>
      </c>
    </row>
    <row r="1623" spans="1:11" x14ac:dyDescent="0.35">
      <c r="A1623" s="1">
        <v>45438</v>
      </c>
      <c r="B1623" t="s">
        <v>502</v>
      </c>
      <c r="C1623" t="s">
        <v>63</v>
      </c>
      <c r="D1623" t="s">
        <v>19</v>
      </c>
      <c r="E1623" t="s">
        <v>64</v>
      </c>
      <c r="F1623" t="s">
        <v>45</v>
      </c>
      <c r="G1623" t="s">
        <v>22</v>
      </c>
      <c r="H1623">
        <v>3174.89</v>
      </c>
      <c r="I1623">
        <v>3</v>
      </c>
      <c r="J1623">
        <v>9524.67</v>
      </c>
      <c r="K1623">
        <v>1.1499999999999999</v>
      </c>
    </row>
    <row r="1624" spans="1:11" x14ac:dyDescent="0.35">
      <c r="A1624" s="1">
        <v>45438</v>
      </c>
      <c r="B1624" t="s">
        <v>1579</v>
      </c>
      <c r="C1624" t="s">
        <v>37</v>
      </c>
      <c r="D1624" t="s">
        <v>19</v>
      </c>
      <c r="E1624" t="s">
        <v>38</v>
      </c>
      <c r="F1624" t="s">
        <v>15</v>
      </c>
      <c r="G1624" t="s">
        <v>39</v>
      </c>
      <c r="H1624">
        <v>8896.2000000000007</v>
      </c>
      <c r="I1624">
        <v>1</v>
      </c>
      <c r="J1624">
        <v>8896.2000000000007</v>
      </c>
      <c r="K1624">
        <v>4.99</v>
      </c>
    </row>
    <row r="1625" spans="1:11" x14ac:dyDescent="0.35">
      <c r="A1625" s="1">
        <v>45439</v>
      </c>
      <c r="B1625" t="s">
        <v>704</v>
      </c>
      <c r="C1625" t="s">
        <v>37</v>
      </c>
      <c r="D1625" t="s">
        <v>19</v>
      </c>
      <c r="E1625" t="s">
        <v>38</v>
      </c>
      <c r="F1625" t="s">
        <v>45</v>
      </c>
      <c r="G1625" t="s">
        <v>39</v>
      </c>
      <c r="H1625">
        <v>11247.49</v>
      </c>
      <c r="I1625">
        <v>3</v>
      </c>
      <c r="J1625">
        <v>33742.47</v>
      </c>
      <c r="K1625">
        <v>3.73</v>
      </c>
    </row>
    <row r="1626" spans="1:11" x14ac:dyDescent="0.35">
      <c r="A1626" s="1">
        <v>45439</v>
      </c>
      <c r="B1626" t="s">
        <v>746</v>
      </c>
      <c r="C1626" t="s">
        <v>37</v>
      </c>
      <c r="D1626" t="s">
        <v>19</v>
      </c>
      <c r="E1626" t="s">
        <v>38</v>
      </c>
      <c r="F1626" t="s">
        <v>21</v>
      </c>
      <c r="G1626" t="s">
        <v>60</v>
      </c>
      <c r="H1626">
        <v>9112.9699999999993</v>
      </c>
      <c r="I1626">
        <v>2</v>
      </c>
      <c r="J1626">
        <v>18225.939999999999</v>
      </c>
      <c r="K1626">
        <v>2.54</v>
      </c>
    </row>
    <row r="1627" spans="1:11" x14ac:dyDescent="0.35">
      <c r="A1627" s="1">
        <v>45439</v>
      </c>
      <c r="B1627" t="s">
        <v>1240</v>
      </c>
      <c r="C1627" t="s">
        <v>37</v>
      </c>
      <c r="D1627" t="s">
        <v>19</v>
      </c>
      <c r="E1627" t="s">
        <v>38</v>
      </c>
      <c r="F1627" t="s">
        <v>15</v>
      </c>
      <c r="G1627" t="s">
        <v>27</v>
      </c>
      <c r="H1627">
        <v>10369.32</v>
      </c>
      <c r="I1627">
        <v>3</v>
      </c>
      <c r="J1627">
        <v>31107.96</v>
      </c>
      <c r="K1627">
        <v>4.63</v>
      </c>
    </row>
    <row r="1628" spans="1:11" x14ac:dyDescent="0.35">
      <c r="A1628" s="1">
        <v>45439</v>
      </c>
      <c r="B1628" t="s">
        <v>1306</v>
      </c>
      <c r="C1628" t="s">
        <v>37</v>
      </c>
      <c r="D1628" t="s">
        <v>19</v>
      </c>
      <c r="E1628" t="s">
        <v>38</v>
      </c>
      <c r="F1628" t="s">
        <v>45</v>
      </c>
      <c r="G1628" t="s">
        <v>16</v>
      </c>
      <c r="H1628">
        <v>8309.49</v>
      </c>
      <c r="I1628">
        <v>5</v>
      </c>
      <c r="J1628">
        <v>41547.449999999997</v>
      </c>
      <c r="K1628">
        <v>1.57</v>
      </c>
    </row>
    <row r="1629" spans="1:11" x14ac:dyDescent="0.35">
      <c r="A1629" s="1">
        <v>45440</v>
      </c>
      <c r="B1629" t="s">
        <v>1746</v>
      </c>
      <c r="C1629" t="s">
        <v>63</v>
      </c>
      <c r="D1629" t="s">
        <v>19</v>
      </c>
      <c r="E1629" t="s">
        <v>64</v>
      </c>
      <c r="F1629" t="s">
        <v>15</v>
      </c>
      <c r="G1629" t="s">
        <v>27</v>
      </c>
      <c r="H1629">
        <v>6906.43</v>
      </c>
      <c r="I1629">
        <v>1</v>
      </c>
      <c r="J1629">
        <v>6906.43</v>
      </c>
      <c r="K1629">
        <v>1.85</v>
      </c>
    </row>
    <row r="1630" spans="1:11" x14ac:dyDescent="0.35">
      <c r="A1630" s="1">
        <v>45440</v>
      </c>
      <c r="B1630" t="s">
        <v>1822</v>
      </c>
      <c r="C1630" t="s">
        <v>37</v>
      </c>
      <c r="D1630" t="s">
        <v>19</v>
      </c>
      <c r="E1630" t="s">
        <v>38</v>
      </c>
      <c r="F1630" t="s">
        <v>21</v>
      </c>
      <c r="G1630" t="s">
        <v>27</v>
      </c>
      <c r="H1630">
        <v>11229.19</v>
      </c>
      <c r="I1630">
        <v>3</v>
      </c>
      <c r="J1630">
        <v>33687.57</v>
      </c>
      <c r="K1630">
        <v>4.88</v>
      </c>
    </row>
    <row r="1631" spans="1:11" x14ac:dyDescent="0.35">
      <c r="A1631" s="1">
        <v>45441</v>
      </c>
      <c r="B1631" t="s">
        <v>962</v>
      </c>
      <c r="C1631" t="s">
        <v>18</v>
      </c>
      <c r="D1631" t="s">
        <v>19</v>
      </c>
      <c r="E1631" t="s">
        <v>20</v>
      </c>
      <c r="F1631" t="s">
        <v>45</v>
      </c>
      <c r="G1631" t="s">
        <v>27</v>
      </c>
      <c r="H1631">
        <v>2060.6999999999998</v>
      </c>
      <c r="I1631">
        <v>2</v>
      </c>
      <c r="J1631">
        <v>4121.3999999999996</v>
      </c>
      <c r="K1631">
        <v>2</v>
      </c>
    </row>
    <row r="1632" spans="1:11" x14ac:dyDescent="0.35">
      <c r="A1632" s="1">
        <v>45441</v>
      </c>
      <c r="B1632" t="s">
        <v>1774</v>
      </c>
      <c r="C1632" t="s">
        <v>37</v>
      </c>
      <c r="D1632" t="s">
        <v>19</v>
      </c>
      <c r="E1632" t="s">
        <v>38</v>
      </c>
      <c r="F1632" t="s">
        <v>15</v>
      </c>
      <c r="G1632" t="s">
        <v>32</v>
      </c>
      <c r="H1632">
        <v>3651.63</v>
      </c>
      <c r="I1632">
        <v>5</v>
      </c>
      <c r="J1632">
        <v>18258.150000000001</v>
      </c>
      <c r="K1632">
        <v>2.4900000000000002</v>
      </c>
    </row>
    <row r="1633" spans="1:11" x14ac:dyDescent="0.35">
      <c r="A1633" s="1">
        <v>45441</v>
      </c>
      <c r="B1633" t="s">
        <v>1984</v>
      </c>
      <c r="C1633" t="s">
        <v>18</v>
      </c>
      <c r="D1633" t="s">
        <v>19</v>
      </c>
      <c r="E1633" t="s">
        <v>20</v>
      </c>
      <c r="F1633" t="s">
        <v>21</v>
      </c>
      <c r="G1633" t="s">
        <v>39</v>
      </c>
      <c r="H1633">
        <v>2375.52</v>
      </c>
      <c r="I1633">
        <v>2</v>
      </c>
      <c r="J1633">
        <v>4751.04</v>
      </c>
      <c r="K1633">
        <v>4.1399999999999997</v>
      </c>
    </row>
    <row r="1634" spans="1:11" x14ac:dyDescent="0.35">
      <c r="A1634" s="1">
        <v>45442</v>
      </c>
      <c r="B1634" t="s">
        <v>218</v>
      </c>
      <c r="C1634" t="s">
        <v>18</v>
      </c>
      <c r="D1634" t="s">
        <v>19</v>
      </c>
      <c r="E1634" t="s">
        <v>20</v>
      </c>
      <c r="F1634" t="s">
        <v>15</v>
      </c>
      <c r="G1634" t="s">
        <v>27</v>
      </c>
      <c r="H1634">
        <v>19212.240000000002</v>
      </c>
      <c r="I1634">
        <v>4</v>
      </c>
      <c r="J1634">
        <v>76848.960000000006</v>
      </c>
      <c r="K1634">
        <v>3.82</v>
      </c>
    </row>
    <row r="1635" spans="1:11" x14ac:dyDescent="0.35">
      <c r="A1635" s="1">
        <v>45443</v>
      </c>
      <c r="B1635" t="s">
        <v>754</v>
      </c>
      <c r="C1635" t="s">
        <v>37</v>
      </c>
      <c r="D1635" t="s">
        <v>19</v>
      </c>
      <c r="E1635" t="s">
        <v>38</v>
      </c>
      <c r="F1635" t="s">
        <v>21</v>
      </c>
      <c r="G1635" t="s">
        <v>60</v>
      </c>
      <c r="H1635">
        <v>8289.67</v>
      </c>
      <c r="I1635">
        <v>1</v>
      </c>
      <c r="J1635">
        <v>8289.67</v>
      </c>
      <c r="K1635">
        <v>4.53</v>
      </c>
    </row>
    <row r="1636" spans="1:11" x14ac:dyDescent="0.35">
      <c r="A1636" s="1">
        <v>45443</v>
      </c>
      <c r="B1636" t="s">
        <v>1849</v>
      </c>
      <c r="C1636" t="s">
        <v>37</v>
      </c>
      <c r="D1636" t="s">
        <v>19</v>
      </c>
      <c r="E1636" t="s">
        <v>38</v>
      </c>
      <c r="F1636" t="s">
        <v>21</v>
      </c>
      <c r="G1636" t="s">
        <v>60</v>
      </c>
      <c r="H1636">
        <v>18383.79</v>
      </c>
      <c r="I1636">
        <v>5</v>
      </c>
      <c r="J1636">
        <v>91918.95</v>
      </c>
      <c r="K1636">
        <v>3.77</v>
      </c>
    </row>
    <row r="1637" spans="1:11" x14ac:dyDescent="0.35">
      <c r="A1637" s="1">
        <v>45444</v>
      </c>
      <c r="B1637" t="s">
        <v>677</v>
      </c>
      <c r="C1637" t="s">
        <v>37</v>
      </c>
      <c r="D1637" t="s">
        <v>19</v>
      </c>
      <c r="E1637" t="s">
        <v>38</v>
      </c>
      <c r="F1637" t="s">
        <v>45</v>
      </c>
      <c r="G1637" t="s">
        <v>22</v>
      </c>
      <c r="H1637">
        <v>10740.57</v>
      </c>
      <c r="I1637">
        <v>4</v>
      </c>
      <c r="J1637">
        <v>42962.28</v>
      </c>
      <c r="K1637">
        <v>3.99</v>
      </c>
    </row>
    <row r="1638" spans="1:11" x14ac:dyDescent="0.35">
      <c r="A1638" s="1">
        <v>45445</v>
      </c>
      <c r="B1638" t="s">
        <v>1878</v>
      </c>
      <c r="C1638" t="s">
        <v>63</v>
      </c>
      <c r="D1638" t="s">
        <v>19</v>
      </c>
      <c r="E1638" t="s">
        <v>64</v>
      </c>
      <c r="F1638" t="s">
        <v>45</v>
      </c>
      <c r="G1638" t="s">
        <v>60</v>
      </c>
      <c r="H1638">
        <v>1904.05</v>
      </c>
      <c r="I1638">
        <v>4</v>
      </c>
      <c r="J1638">
        <v>7616.2</v>
      </c>
      <c r="K1638">
        <v>2.87</v>
      </c>
    </row>
    <row r="1639" spans="1:11" x14ac:dyDescent="0.35">
      <c r="A1639" s="1">
        <v>45446</v>
      </c>
      <c r="B1639" t="s">
        <v>921</v>
      </c>
      <c r="C1639" t="s">
        <v>37</v>
      </c>
      <c r="D1639" t="s">
        <v>19</v>
      </c>
      <c r="E1639" t="s">
        <v>38</v>
      </c>
      <c r="F1639" t="s">
        <v>15</v>
      </c>
      <c r="G1639" t="s">
        <v>60</v>
      </c>
      <c r="H1639">
        <v>16738.919999999998</v>
      </c>
      <c r="I1639">
        <v>4</v>
      </c>
      <c r="J1639">
        <v>66955.679999999993</v>
      </c>
      <c r="K1639">
        <v>2.63</v>
      </c>
    </row>
    <row r="1640" spans="1:11" x14ac:dyDescent="0.35">
      <c r="A1640" s="1">
        <v>45447</v>
      </c>
      <c r="B1640" t="s">
        <v>819</v>
      </c>
      <c r="C1640" t="s">
        <v>37</v>
      </c>
      <c r="D1640" t="s">
        <v>19</v>
      </c>
      <c r="E1640" t="s">
        <v>38</v>
      </c>
      <c r="F1640" t="s">
        <v>21</v>
      </c>
      <c r="G1640" t="s">
        <v>60</v>
      </c>
      <c r="H1640">
        <v>5483.26</v>
      </c>
      <c r="I1640">
        <v>3</v>
      </c>
      <c r="J1640">
        <v>16449.78</v>
      </c>
      <c r="K1640">
        <v>4.97</v>
      </c>
    </row>
    <row r="1641" spans="1:11" x14ac:dyDescent="0.35">
      <c r="A1641" s="1">
        <v>45447</v>
      </c>
      <c r="B1641" t="s">
        <v>850</v>
      </c>
      <c r="C1641" t="s">
        <v>37</v>
      </c>
      <c r="D1641" t="s">
        <v>19</v>
      </c>
      <c r="E1641" t="s">
        <v>38</v>
      </c>
      <c r="F1641" t="s">
        <v>15</v>
      </c>
      <c r="G1641" t="s">
        <v>22</v>
      </c>
      <c r="H1641">
        <v>5758.22</v>
      </c>
      <c r="I1641">
        <v>5</v>
      </c>
      <c r="J1641">
        <v>28791.1</v>
      </c>
      <c r="K1641">
        <v>1.55</v>
      </c>
    </row>
    <row r="1642" spans="1:11" x14ac:dyDescent="0.35">
      <c r="A1642" s="1">
        <v>45447</v>
      </c>
      <c r="B1642" t="s">
        <v>1508</v>
      </c>
      <c r="C1642" t="s">
        <v>63</v>
      </c>
      <c r="D1642" t="s">
        <v>19</v>
      </c>
      <c r="E1642" t="s">
        <v>64</v>
      </c>
      <c r="F1642" t="s">
        <v>15</v>
      </c>
      <c r="G1642" t="s">
        <v>32</v>
      </c>
      <c r="H1642">
        <v>6236.29</v>
      </c>
      <c r="I1642">
        <v>2</v>
      </c>
      <c r="J1642">
        <v>12472.58</v>
      </c>
      <c r="K1642">
        <v>1.2</v>
      </c>
    </row>
    <row r="1643" spans="1:11" x14ac:dyDescent="0.35">
      <c r="A1643" s="1">
        <v>45447</v>
      </c>
      <c r="B1643" t="s">
        <v>1588</v>
      </c>
      <c r="C1643" t="s">
        <v>18</v>
      </c>
      <c r="D1643" t="s">
        <v>19</v>
      </c>
      <c r="E1643" t="s">
        <v>20</v>
      </c>
      <c r="F1643" t="s">
        <v>21</v>
      </c>
      <c r="G1643" t="s">
        <v>32</v>
      </c>
      <c r="H1643">
        <v>7158.62</v>
      </c>
      <c r="I1643">
        <v>2</v>
      </c>
      <c r="J1643">
        <v>14317.24</v>
      </c>
      <c r="K1643">
        <v>2.86</v>
      </c>
    </row>
    <row r="1644" spans="1:11" x14ac:dyDescent="0.35">
      <c r="A1644" s="1">
        <v>45448</v>
      </c>
      <c r="B1644" t="s">
        <v>1832</v>
      </c>
      <c r="C1644" t="s">
        <v>18</v>
      </c>
      <c r="D1644" t="s">
        <v>19</v>
      </c>
      <c r="E1644" t="s">
        <v>20</v>
      </c>
      <c r="F1644" t="s">
        <v>45</v>
      </c>
      <c r="G1644" t="s">
        <v>39</v>
      </c>
      <c r="H1644">
        <v>16899.759999999998</v>
      </c>
      <c r="I1644">
        <v>4</v>
      </c>
      <c r="J1644">
        <v>67599.039999999994</v>
      </c>
      <c r="K1644">
        <v>3.67</v>
      </c>
    </row>
    <row r="1645" spans="1:11" x14ac:dyDescent="0.35">
      <c r="A1645" s="1">
        <v>45448</v>
      </c>
      <c r="B1645" t="s">
        <v>1869</v>
      </c>
      <c r="C1645" t="s">
        <v>18</v>
      </c>
      <c r="D1645" t="s">
        <v>19</v>
      </c>
      <c r="E1645" t="s">
        <v>20</v>
      </c>
      <c r="F1645" t="s">
        <v>21</v>
      </c>
      <c r="G1645" t="s">
        <v>32</v>
      </c>
      <c r="H1645">
        <v>327.19</v>
      </c>
      <c r="I1645">
        <v>3</v>
      </c>
      <c r="J1645">
        <v>981.57</v>
      </c>
      <c r="K1645">
        <v>1.69</v>
      </c>
    </row>
    <row r="1646" spans="1:11" x14ac:dyDescent="0.35">
      <c r="A1646" s="1">
        <v>45449</v>
      </c>
      <c r="B1646" t="s">
        <v>613</v>
      </c>
      <c r="C1646" t="s">
        <v>37</v>
      </c>
      <c r="D1646" t="s">
        <v>19</v>
      </c>
      <c r="E1646" t="s">
        <v>38</v>
      </c>
      <c r="F1646" t="s">
        <v>21</v>
      </c>
      <c r="G1646" t="s">
        <v>27</v>
      </c>
      <c r="H1646">
        <v>11014.75</v>
      </c>
      <c r="I1646">
        <v>4</v>
      </c>
      <c r="J1646">
        <v>44059</v>
      </c>
      <c r="K1646">
        <v>1.05</v>
      </c>
    </row>
    <row r="1647" spans="1:11" x14ac:dyDescent="0.35">
      <c r="A1647" s="1">
        <v>45450</v>
      </c>
      <c r="B1647" t="s">
        <v>127</v>
      </c>
      <c r="C1647" t="s">
        <v>37</v>
      </c>
      <c r="D1647" t="s">
        <v>19</v>
      </c>
      <c r="E1647" t="s">
        <v>38</v>
      </c>
      <c r="F1647" t="s">
        <v>21</v>
      </c>
      <c r="G1647" t="s">
        <v>27</v>
      </c>
      <c r="H1647">
        <v>9574.8799999999992</v>
      </c>
      <c r="I1647">
        <v>2</v>
      </c>
      <c r="J1647">
        <v>19149.759999999998</v>
      </c>
      <c r="K1647">
        <v>4.5999999999999996</v>
      </c>
    </row>
    <row r="1648" spans="1:11" x14ac:dyDescent="0.35">
      <c r="A1648" s="1">
        <v>45450</v>
      </c>
      <c r="B1648" t="s">
        <v>1961</v>
      </c>
      <c r="C1648" t="s">
        <v>37</v>
      </c>
      <c r="D1648" t="s">
        <v>19</v>
      </c>
      <c r="E1648" t="s">
        <v>38</v>
      </c>
      <c r="F1648" t="s">
        <v>15</v>
      </c>
      <c r="G1648" t="s">
        <v>32</v>
      </c>
      <c r="H1648">
        <v>13427.84</v>
      </c>
      <c r="I1648">
        <v>4</v>
      </c>
      <c r="J1648">
        <v>53711.360000000001</v>
      </c>
      <c r="K1648">
        <v>2.46</v>
      </c>
    </row>
    <row r="1649" spans="1:11" x14ac:dyDescent="0.35">
      <c r="A1649" s="1">
        <v>45451</v>
      </c>
      <c r="B1649" t="s">
        <v>1115</v>
      </c>
      <c r="C1649" t="s">
        <v>18</v>
      </c>
      <c r="D1649" t="s">
        <v>19</v>
      </c>
      <c r="E1649" t="s">
        <v>20</v>
      </c>
      <c r="F1649" t="s">
        <v>15</v>
      </c>
      <c r="G1649" t="s">
        <v>39</v>
      </c>
      <c r="H1649">
        <v>16722.22</v>
      </c>
      <c r="I1649">
        <v>4</v>
      </c>
      <c r="J1649">
        <v>66888.88</v>
      </c>
      <c r="K1649">
        <v>4.53</v>
      </c>
    </row>
    <row r="1650" spans="1:11" x14ac:dyDescent="0.35">
      <c r="A1650" s="1">
        <v>45452</v>
      </c>
      <c r="B1650" t="s">
        <v>526</v>
      </c>
      <c r="C1650" t="s">
        <v>18</v>
      </c>
      <c r="D1650" t="s">
        <v>19</v>
      </c>
      <c r="E1650" t="s">
        <v>20</v>
      </c>
      <c r="F1650" t="s">
        <v>21</v>
      </c>
      <c r="G1650" t="s">
        <v>39</v>
      </c>
      <c r="H1650">
        <v>19397.87</v>
      </c>
      <c r="I1650">
        <v>2</v>
      </c>
      <c r="J1650">
        <v>38795.74</v>
      </c>
      <c r="K1650">
        <v>2.4700000000000002</v>
      </c>
    </row>
    <row r="1651" spans="1:11" x14ac:dyDescent="0.35">
      <c r="A1651" s="1">
        <v>45452</v>
      </c>
      <c r="B1651" t="s">
        <v>1401</v>
      </c>
      <c r="C1651" t="s">
        <v>37</v>
      </c>
      <c r="D1651" t="s">
        <v>19</v>
      </c>
      <c r="E1651" t="s">
        <v>38</v>
      </c>
      <c r="F1651" t="s">
        <v>15</v>
      </c>
      <c r="G1651" t="s">
        <v>16</v>
      </c>
      <c r="H1651">
        <v>19295.32</v>
      </c>
      <c r="I1651">
        <v>2</v>
      </c>
      <c r="J1651">
        <v>38590.639999999999</v>
      </c>
      <c r="K1651">
        <v>2.87</v>
      </c>
    </row>
    <row r="1652" spans="1:11" x14ac:dyDescent="0.35">
      <c r="A1652" s="1">
        <v>45453</v>
      </c>
      <c r="B1652" t="s">
        <v>1281</v>
      </c>
      <c r="C1652" t="s">
        <v>37</v>
      </c>
      <c r="D1652" t="s">
        <v>19</v>
      </c>
      <c r="E1652" t="s">
        <v>38</v>
      </c>
      <c r="F1652" t="s">
        <v>15</v>
      </c>
      <c r="G1652" t="s">
        <v>60</v>
      </c>
      <c r="H1652">
        <v>18892.169999999998</v>
      </c>
      <c r="I1652">
        <v>5</v>
      </c>
      <c r="J1652">
        <v>94460.85</v>
      </c>
      <c r="K1652">
        <v>2.85</v>
      </c>
    </row>
    <row r="1653" spans="1:11" x14ac:dyDescent="0.35">
      <c r="A1653" s="1">
        <v>45454</v>
      </c>
      <c r="B1653" t="s">
        <v>915</v>
      </c>
      <c r="C1653" t="s">
        <v>63</v>
      </c>
      <c r="D1653" t="s">
        <v>19</v>
      </c>
      <c r="E1653" t="s">
        <v>64</v>
      </c>
      <c r="F1653" t="s">
        <v>21</v>
      </c>
      <c r="G1653" t="s">
        <v>27</v>
      </c>
      <c r="H1653">
        <v>11361.02</v>
      </c>
      <c r="I1653">
        <v>3</v>
      </c>
      <c r="J1653">
        <v>34083.06</v>
      </c>
      <c r="K1653">
        <v>1.95</v>
      </c>
    </row>
    <row r="1654" spans="1:11" x14ac:dyDescent="0.35">
      <c r="A1654" s="1">
        <v>45454</v>
      </c>
      <c r="B1654" t="s">
        <v>1390</v>
      </c>
      <c r="C1654" t="s">
        <v>18</v>
      </c>
      <c r="D1654" t="s">
        <v>19</v>
      </c>
      <c r="E1654" t="s">
        <v>20</v>
      </c>
      <c r="F1654" t="s">
        <v>15</v>
      </c>
      <c r="G1654" t="s">
        <v>39</v>
      </c>
      <c r="H1654">
        <v>19125.599999999999</v>
      </c>
      <c r="I1654">
        <v>1</v>
      </c>
      <c r="J1654">
        <v>19125.599999999999</v>
      </c>
      <c r="K1654">
        <v>4.1900000000000004</v>
      </c>
    </row>
    <row r="1655" spans="1:11" x14ac:dyDescent="0.35">
      <c r="A1655" s="1">
        <v>45454</v>
      </c>
      <c r="B1655" t="s">
        <v>1490</v>
      </c>
      <c r="C1655" t="s">
        <v>18</v>
      </c>
      <c r="D1655" t="s">
        <v>19</v>
      </c>
      <c r="E1655" t="s">
        <v>20</v>
      </c>
      <c r="F1655" t="s">
        <v>21</v>
      </c>
      <c r="G1655" t="s">
        <v>27</v>
      </c>
      <c r="H1655">
        <v>13039.39</v>
      </c>
      <c r="I1655">
        <v>5</v>
      </c>
      <c r="J1655">
        <v>65196.95</v>
      </c>
      <c r="K1655">
        <v>1.39</v>
      </c>
    </row>
    <row r="1656" spans="1:11" x14ac:dyDescent="0.35">
      <c r="A1656" s="1">
        <v>45456</v>
      </c>
      <c r="B1656" t="s">
        <v>878</v>
      </c>
      <c r="C1656" t="s">
        <v>63</v>
      </c>
      <c r="D1656" t="s">
        <v>19</v>
      </c>
      <c r="E1656" t="s">
        <v>64</v>
      </c>
      <c r="F1656" t="s">
        <v>45</v>
      </c>
      <c r="G1656" t="s">
        <v>16</v>
      </c>
      <c r="H1656">
        <v>3859.16</v>
      </c>
      <c r="I1656">
        <v>1</v>
      </c>
      <c r="J1656">
        <v>3859.16</v>
      </c>
      <c r="K1656">
        <v>4.91</v>
      </c>
    </row>
    <row r="1657" spans="1:11" x14ac:dyDescent="0.35">
      <c r="A1657" s="1">
        <v>45457</v>
      </c>
      <c r="B1657" t="s">
        <v>614</v>
      </c>
      <c r="C1657" t="s">
        <v>63</v>
      </c>
      <c r="D1657" t="s">
        <v>19</v>
      </c>
      <c r="E1657" t="s">
        <v>64</v>
      </c>
      <c r="F1657" t="s">
        <v>45</v>
      </c>
      <c r="G1657" t="s">
        <v>22</v>
      </c>
      <c r="H1657">
        <v>12394.93</v>
      </c>
      <c r="I1657">
        <v>1</v>
      </c>
      <c r="J1657">
        <v>12394.93</v>
      </c>
      <c r="K1657">
        <v>4.71</v>
      </c>
    </row>
    <row r="1658" spans="1:11" x14ac:dyDescent="0.35">
      <c r="A1658" s="1">
        <v>45457</v>
      </c>
      <c r="B1658" t="s">
        <v>1515</v>
      </c>
      <c r="C1658" t="s">
        <v>37</v>
      </c>
      <c r="D1658" t="s">
        <v>19</v>
      </c>
      <c r="E1658" t="s">
        <v>38</v>
      </c>
      <c r="F1658" t="s">
        <v>15</v>
      </c>
      <c r="G1658" t="s">
        <v>39</v>
      </c>
      <c r="H1658">
        <v>11194.85</v>
      </c>
      <c r="I1658">
        <v>5</v>
      </c>
      <c r="J1658">
        <v>55974.25</v>
      </c>
      <c r="K1658">
        <v>4.22</v>
      </c>
    </row>
    <row r="1659" spans="1:11" x14ac:dyDescent="0.35">
      <c r="A1659" s="1">
        <v>45457</v>
      </c>
      <c r="B1659" t="s">
        <v>1610</v>
      </c>
      <c r="C1659" t="s">
        <v>63</v>
      </c>
      <c r="D1659" t="s">
        <v>19</v>
      </c>
      <c r="E1659" t="s">
        <v>64</v>
      </c>
      <c r="F1659" t="s">
        <v>45</v>
      </c>
      <c r="G1659" t="s">
        <v>16</v>
      </c>
      <c r="H1659">
        <v>520.42999999999995</v>
      </c>
      <c r="I1659">
        <v>4</v>
      </c>
      <c r="J1659">
        <v>2081.7199999999998</v>
      </c>
      <c r="K1659">
        <v>2.3199999999999998</v>
      </c>
    </row>
    <row r="1660" spans="1:11" x14ac:dyDescent="0.35">
      <c r="A1660" s="1">
        <v>45458</v>
      </c>
      <c r="B1660" t="s">
        <v>219</v>
      </c>
      <c r="C1660" t="s">
        <v>37</v>
      </c>
      <c r="D1660" t="s">
        <v>19</v>
      </c>
      <c r="E1660" t="s">
        <v>38</v>
      </c>
      <c r="F1660" t="s">
        <v>45</v>
      </c>
      <c r="G1660" t="s">
        <v>27</v>
      </c>
      <c r="H1660">
        <v>14572.72</v>
      </c>
      <c r="I1660">
        <v>5</v>
      </c>
      <c r="J1660">
        <v>72863.600000000006</v>
      </c>
      <c r="K1660">
        <v>1</v>
      </c>
    </row>
    <row r="1661" spans="1:11" x14ac:dyDescent="0.35">
      <c r="A1661" s="1">
        <v>45458</v>
      </c>
      <c r="B1661" t="s">
        <v>297</v>
      </c>
      <c r="C1661" t="s">
        <v>37</v>
      </c>
      <c r="D1661" t="s">
        <v>19</v>
      </c>
      <c r="E1661" t="s">
        <v>38</v>
      </c>
      <c r="F1661" t="s">
        <v>45</v>
      </c>
      <c r="G1661" t="s">
        <v>22</v>
      </c>
      <c r="H1661">
        <v>3928.58</v>
      </c>
      <c r="I1661">
        <v>3</v>
      </c>
      <c r="J1661">
        <v>11785.74</v>
      </c>
      <c r="K1661">
        <v>3.17</v>
      </c>
    </row>
    <row r="1662" spans="1:11" x14ac:dyDescent="0.35">
      <c r="A1662" s="1">
        <v>45458</v>
      </c>
      <c r="B1662" t="s">
        <v>768</v>
      </c>
      <c r="C1662" t="s">
        <v>37</v>
      </c>
      <c r="D1662" t="s">
        <v>19</v>
      </c>
      <c r="E1662" t="s">
        <v>38</v>
      </c>
      <c r="F1662" t="s">
        <v>45</v>
      </c>
      <c r="G1662" t="s">
        <v>22</v>
      </c>
      <c r="H1662">
        <v>2164.83</v>
      </c>
      <c r="I1662">
        <v>5</v>
      </c>
      <c r="J1662">
        <v>10824.15</v>
      </c>
      <c r="K1662">
        <v>4.33</v>
      </c>
    </row>
    <row r="1663" spans="1:11" x14ac:dyDescent="0.35">
      <c r="A1663" s="1">
        <v>45458</v>
      </c>
      <c r="B1663" t="s">
        <v>1170</v>
      </c>
      <c r="C1663" t="s">
        <v>37</v>
      </c>
      <c r="D1663" t="s">
        <v>19</v>
      </c>
      <c r="E1663" t="s">
        <v>38</v>
      </c>
      <c r="F1663" t="s">
        <v>21</v>
      </c>
      <c r="G1663" t="s">
        <v>39</v>
      </c>
      <c r="H1663">
        <v>6080.76</v>
      </c>
      <c r="I1663">
        <v>2</v>
      </c>
      <c r="J1663">
        <v>12161.52</v>
      </c>
      <c r="K1663">
        <v>4.07</v>
      </c>
    </row>
    <row r="1664" spans="1:11" x14ac:dyDescent="0.35">
      <c r="A1664" s="1">
        <v>45458</v>
      </c>
      <c r="B1664" t="s">
        <v>1506</v>
      </c>
      <c r="C1664" t="s">
        <v>37</v>
      </c>
      <c r="D1664" t="s">
        <v>19</v>
      </c>
      <c r="E1664" t="s">
        <v>38</v>
      </c>
      <c r="F1664" t="s">
        <v>45</v>
      </c>
      <c r="G1664" t="s">
        <v>22</v>
      </c>
      <c r="H1664">
        <v>6002.65</v>
      </c>
      <c r="I1664">
        <v>3</v>
      </c>
      <c r="J1664">
        <v>18007.95</v>
      </c>
      <c r="K1664">
        <v>4.18</v>
      </c>
    </row>
    <row r="1665" spans="1:11" x14ac:dyDescent="0.35">
      <c r="A1665" s="1">
        <v>45458</v>
      </c>
      <c r="B1665" t="s">
        <v>1641</v>
      </c>
      <c r="C1665" t="s">
        <v>37</v>
      </c>
      <c r="D1665" t="s">
        <v>19</v>
      </c>
      <c r="E1665" t="s">
        <v>38</v>
      </c>
      <c r="F1665" t="s">
        <v>15</v>
      </c>
      <c r="G1665" t="s">
        <v>60</v>
      </c>
      <c r="H1665">
        <v>18971.54</v>
      </c>
      <c r="I1665">
        <v>5</v>
      </c>
      <c r="J1665">
        <v>94857.7</v>
      </c>
      <c r="K1665">
        <v>2.48</v>
      </c>
    </row>
    <row r="1666" spans="1:11" x14ac:dyDescent="0.35">
      <c r="A1666" s="1">
        <v>45459</v>
      </c>
      <c r="B1666" t="s">
        <v>412</v>
      </c>
      <c r="C1666" t="s">
        <v>18</v>
      </c>
      <c r="D1666" t="s">
        <v>19</v>
      </c>
      <c r="E1666" t="s">
        <v>20</v>
      </c>
      <c r="F1666" t="s">
        <v>21</v>
      </c>
      <c r="G1666" t="s">
        <v>39</v>
      </c>
      <c r="H1666">
        <v>10164.69</v>
      </c>
      <c r="I1666">
        <v>3</v>
      </c>
      <c r="J1666">
        <v>30494.07</v>
      </c>
      <c r="K1666">
        <v>3.92</v>
      </c>
    </row>
    <row r="1667" spans="1:11" x14ac:dyDescent="0.35">
      <c r="A1667" s="1">
        <v>45459</v>
      </c>
      <c r="B1667" t="s">
        <v>661</v>
      </c>
      <c r="C1667" t="s">
        <v>18</v>
      </c>
      <c r="D1667" t="s">
        <v>19</v>
      </c>
      <c r="E1667" t="s">
        <v>20</v>
      </c>
      <c r="F1667" t="s">
        <v>15</v>
      </c>
      <c r="G1667" t="s">
        <v>39</v>
      </c>
      <c r="H1667">
        <v>18936.669999999998</v>
      </c>
      <c r="I1667">
        <v>4</v>
      </c>
      <c r="J1667">
        <v>75746.679999999993</v>
      </c>
      <c r="K1667">
        <v>3.77</v>
      </c>
    </row>
    <row r="1668" spans="1:11" x14ac:dyDescent="0.35">
      <c r="A1668" s="1">
        <v>45459</v>
      </c>
      <c r="B1668" t="s">
        <v>1939</v>
      </c>
      <c r="C1668" t="s">
        <v>37</v>
      </c>
      <c r="D1668" t="s">
        <v>19</v>
      </c>
      <c r="E1668" t="s">
        <v>38</v>
      </c>
      <c r="F1668" t="s">
        <v>15</v>
      </c>
      <c r="G1668" t="s">
        <v>32</v>
      </c>
      <c r="H1668">
        <v>15980.48</v>
      </c>
      <c r="I1668">
        <v>1</v>
      </c>
      <c r="J1668">
        <v>15980.48</v>
      </c>
      <c r="K1668">
        <v>3.69</v>
      </c>
    </row>
    <row r="1669" spans="1:11" x14ac:dyDescent="0.35">
      <c r="A1669" s="1">
        <v>45460</v>
      </c>
      <c r="B1669" t="s">
        <v>834</v>
      </c>
      <c r="C1669" t="s">
        <v>63</v>
      </c>
      <c r="D1669" t="s">
        <v>19</v>
      </c>
      <c r="E1669" t="s">
        <v>64</v>
      </c>
      <c r="F1669" t="s">
        <v>45</v>
      </c>
      <c r="G1669" t="s">
        <v>39</v>
      </c>
      <c r="H1669">
        <v>12448.82</v>
      </c>
      <c r="I1669">
        <v>4</v>
      </c>
      <c r="J1669">
        <v>49795.28</v>
      </c>
      <c r="K1669">
        <v>3.33</v>
      </c>
    </row>
    <row r="1670" spans="1:11" x14ac:dyDescent="0.35">
      <c r="A1670" s="1">
        <v>45460</v>
      </c>
      <c r="B1670" t="s">
        <v>1871</v>
      </c>
      <c r="C1670" t="s">
        <v>18</v>
      </c>
      <c r="D1670" t="s">
        <v>19</v>
      </c>
      <c r="E1670" t="s">
        <v>20</v>
      </c>
      <c r="F1670" t="s">
        <v>45</v>
      </c>
      <c r="G1670" t="s">
        <v>39</v>
      </c>
      <c r="H1670">
        <v>15703.36</v>
      </c>
      <c r="I1670">
        <v>4</v>
      </c>
      <c r="J1670">
        <v>62813.440000000002</v>
      </c>
      <c r="K1670">
        <v>1.81</v>
      </c>
    </row>
    <row r="1671" spans="1:11" x14ac:dyDescent="0.35">
      <c r="A1671" s="1">
        <v>45461</v>
      </c>
      <c r="B1671" t="s">
        <v>342</v>
      </c>
      <c r="C1671" t="s">
        <v>37</v>
      </c>
      <c r="D1671" t="s">
        <v>19</v>
      </c>
      <c r="E1671" t="s">
        <v>38</v>
      </c>
      <c r="F1671" t="s">
        <v>21</v>
      </c>
      <c r="G1671" t="s">
        <v>22</v>
      </c>
      <c r="H1671">
        <v>13794.76</v>
      </c>
      <c r="I1671">
        <v>3</v>
      </c>
      <c r="J1671">
        <v>41384.28</v>
      </c>
      <c r="K1671">
        <v>3.48</v>
      </c>
    </row>
    <row r="1672" spans="1:11" x14ac:dyDescent="0.35">
      <c r="A1672" s="1">
        <v>45462</v>
      </c>
      <c r="B1672" t="s">
        <v>464</v>
      </c>
      <c r="C1672" t="s">
        <v>63</v>
      </c>
      <c r="D1672" t="s">
        <v>19</v>
      </c>
      <c r="E1672" t="s">
        <v>64</v>
      </c>
      <c r="F1672" t="s">
        <v>45</v>
      </c>
      <c r="G1672" t="s">
        <v>27</v>
      </c>
      <c r="H1672">
        <v>14243.59</v>
      </c>
      <c r="I1672">
        <v>2</v>
      </c>
      <c r="J1672">
        <v>28487.18</v>
      </c>
      <c r="K1672">
        <v>1.1200000000000001</v>
      </c>
    </row>
    <row r="1673" spans="1:11" x14ac:dyDescent="0.35">
      <c r="A1673" s="1">
        <v>45462</v>
      </c>
      <c r="B1673" t="s">
        <v>643</v>
      </c>
      <c r="C1673" t="s">
        <v>37</v>
      </c>
      <c r="D1673" t="s">
        <v>19</v>
      </c>
      <c r="E1673" t="s">
        <v>38</v>
      </c>
      <c r="F1673" t="s">
        <v>21</v>
      </c>
      <c r="G1673" t="s">
        <v>60</v>
      </c>
      <c r="H1673">
        <v>5248</v>
      </c>
      <c r="I1673">
        <v>2</v>
      </c>
      <c r="J1673">
        <v>10496</v>
      </c>
      <c r="K1673">
        <v>3.58</v>
      </c>
    </row>
    <row r="1674" spans="1:11" x14ac:dyDescent="0.35">
      <c r="A1674" s="1">
        <v>45462</v>
      </c>
      <c r="B1674" t="s">
        <v>1138</v>
      </c>
      <c r="C1674" t="s">
        <v>37</v>
      </c>
      <c r="D1674" t="s">
        <v>19</v>
      </c>
      <c r="E1674" t="s">
        <v>38</v>
      </c>
      <c r="F1674" t="s">
        <v>15</v>
      </c>
      <c r="G1674" t="s">
        <v>22</v>
      </c>
      <c r="H1674">
        <v>13102.88</v>
      </c>
      <c r="I1674">
        <v>2</v>
      </c>
      <c r="J1674">
        <v>26205.759999999998</v>
      </c>
      <c r="K1674">
        <v>3.21</v>
      </c>
    </row>
    <row r="1675" spans="1:11" x14ac:dyDescent="0.35">
      <c r="A1675" s="1">
        <v>45462</v>
      </c>
      <c r="B1675" t="s">
        <v>1516</v>
      </c>
      <c r="C1675" t="s">
        <v>18</v>
      </c>
      <c r="D1675" t="s">
        <v>19</v>
      </c>
      <c r="E1675" t="s">
        <v>20</v>
      </c>
      <c r="F1675" t="s">
        <v>15</v>
      </c>
      <c r="G1675" t="s">
        <v>22</v>
      </c>
      <c r="H1675">
        <v>6823.52</v>
      </c>
      <c r="I1675">
        <v>3</v>
      </c>
      <c r="J1675">
        <v>20470.560000000001</v>
      </c>
      <c r="K1675">
        <v>1.31</v>
      </c>
    </row>
    <row r="1676" spans="1:11" x14ac:dyDescent="0.35">
      <c r="A1676" s="1">
        <v>45462</v>
      </c>
      <c r="B1676" t="s">
        <v>1521</v>
      </c>
      <c r="C1676" t="s">
        <v>63</v>
      </c>
      <c r="D1676" t="s">
        <v>19</v>
      </c>
      <c r="E1676" t="s">
        <v>64</v>
      </c>
      <c r="F1676" t="s">
        <v>21</v>
      </c>
      <c r="G1676" t="s">
        <v>60</v>
      </c>
      <c r="H1676">
        <v>8414.26</v>
      </c>
      <c r="I1676">
        <v>1</v>
      </c>
      <c r="J1676">
        <v>8414.26</v>
      </c>
      <c r="K1676">
        <v>4.75</v>
      </c>
    </row>
    <row r="1677" spans="1:11" x14ac:dyDescent="0.35">
      <c r="A1677" s="1">
        <v>45463</v>
      </c>
      <c r="B1677" t="s">
        <v>197</v>
      </c>
      <c r="C1677" t="s">
        <v>63</v>
      </c>
      <c r="D1677" t="s">
        <v>19</v>
      </c>
      <c r="E1677" t="s">
        <v>64</v>
      </c>
      <c r="F1677" t="s">
        <v>45</v>
      </c>
      <c r="G1677" t="s">
        <v>27</v>
      </c>
      <c r="H1677">
        <v>13224.65</v>
      </c>
      <c r="I1677">
        <v>5</v>
      </c>
      <c r="J1677">
        <v>66123.25</v>
      </c>
      <c r="K1677">
        <v>3.82</v>
      </c>
    </row>
    <row r="1678" spans="1:11" x14ac:dyDescent="0.35">
      <c r="A1678" s="1">
        <v>45463</v>
      </c>
      <c r="B1678" t="s">
        <v>349</v>
      </c>
      <c r="C1678" t="s">
        <v>63</v>
      </c>
      <c r="D1678" t="s">
        <v>19</v>
      </c>
      <c r="E1678" t="s">
        <v>64</v>
      </c>
      <c r="F1678" t="s">
        <v>21</v>
      </c>
      <c r="G1678" t="s">
        <v>39</v>
      </c>
      <c r="H1678">
        <v>10554.4</v>
      </c>
      <c r="I1678">
        <v>1</v>
      </c>
      <c r="J1678">
        <v>10554.4</v>
      </c>
      <c r="K1678">
        <v>3.67</v>
      </c>
    </row>
    <row r="1679" spans="1:11" x14ac:dyDescent="0.35">
      <c r="A1679" s="1">
        <v>45463</v>
      </c>
      <c r="B1679" t="s">
        <v>515</v>
      </c>
      <c r="C1679" t="s">
        <v>18</v>
      </c>
      <c r="D1679" t="s">
        <v>19</v>
      </c>
      <c r="E1679" t="s">
        <v>20</v>
      </c>
      <c r="F1679" t="s">
        <v>45</v>
      </c>
      <c r="G1679" t="s">
        <v>22</v>
      </c>
      <c r="H1679">
        <v>17346.080000000002</v>
      </c>
      <c r="I1679">
        <v>5</v>
      </c>
      <c r="J1679">
        <v>86730.4</v>
      </c>
      <c r="K1679">
        <v>3</v>
      </c>
    </row>
    <row r="1680" spans="1:11" x14ac:dyDescent="0.35">
      <c r="A1680" s="1">
        <v>45465</v>
      </c>
      <c r="B1680" t="s">
        <v>17</v>
      </c>
      <c r="C1680" t="s">
        <v>18</v>
      </c>
      <c r="D1680" t="s">
        <v>19</v>
      </c>
      <c r="E1680" t="s">
        <v>20</v>
      </c>
      <c r="F1680" t="s">
        <v>21</v>
      </c>
      <c r="G1680" t="s">
        <v>22</v>
      </c>
      <c r="H1680">
        <v>6645.2</v>
      </c>
      <c r="I1680">
        <v>2</v>
      </c>
      <c r="J1680">
        <v>13290.4</v>
      </c>
      <c r="K1680">
        <v>2.56</v>
      </c>
    </row>
    <row r="1681" spans="1:11" x14ac:dyDescent="0.35">
      <c r="A1681" s="1">
        <v>45465</v>
      </c>
      <c r="B1681" t="s">
        <v>522</v>
      </c>
      <c r="C1681" t="s">
        <v>18</v>
      </c>
      <c r="D1681" t="s">
        <v>19</v>
      </c>
      <c r="E1681" t="s">
        <v>20</v>
      </c>
      <c r="F1681" t="s">
        <v>15</v>
      </c>
      <c r="G1681" t="s">
        <v>60</v>
      </c>
      <c r="H1681">
        <v>5124.09</v>
      </c>
      <c r="I1681">
        <v>1</v>
      </c>
      <c r="J1681">
        <v>5124.09</v>
      </c>
      <c r="K1681">
        <v>4.1500000000000004</v>
      </c>
    </row>
    <row r="1682" spans="1:11" x14ac:dyDescent="0.35">
      <c r="A1682" s="1">
        <v>45466</v>
      </c>
      <c r="B1682" t="s">
        <v>289</v>
      </c>
      <c r="C1682" t="s">
        <v>63</v>
      </c>
      <c r="D1682" t="s">
        <v>19</v>
      </c>
      <c r="E1682" t="s">
        <v>64</v>
      </c>
      <c r="F1682" t="s">
        <v>45</v>
      </c>
      <c r="G1682" t="s">
        <v>60</v>
      </c>
      <c r="H1682">
        <v>3051.34</v>
      </c>
      <c r="I1682">
        <v>5</v>
      </c>
      <c r="J1682">
        <v>15256.7</v>
      </c>
      <c r="K1682">
        <v>3.78</v>
      </c>
    </row>
    <row r="1683" spans="1:11" x14ac:dyDescent="0.35">
      <c r="A1683" s="1">
        <v>45466</v>
      </c>
      <c r="B1683" t="s">
        <v>433</v>
      </c>
      <c r="C1683" t="s">
        <v>37</v>
      </c>
      <c r="D1683" t="s">
        <v>19</v>
      </c>
      <c r="E1683" t="s">
        <v>38</v>
      </c>
      <c r="F1683" t="s">
        <v>21</v>
      </c>
      <c r="G1683" t="s">
        <v>22</v>
      </c>
      <c r="H1683">
        <v>8409.42</v>
      </c>
      <c r="I1683">
        <v>1</v>
      </c>
      <c r="J1683">
        <v>8409.42</v>
      </c>
      <c r="K1683">
        <v>4.59</v>
      </c>
    </row>
    <row r="1684" spans="1:11" x14ac:dyDescent="0.35">
      <c r="A1684" s="1">
        <v>45466</v>
      </c>
      <c r="B1684" t="s">
        <v>1460</v>
      </c>
      <c r="C1684" t="s">
        <v>63</v>
      </c>
      <c r="D1684" t="s">
        <v>19</v>
      </c>
      <c r="E1684" t="s">
        <v>64</v>
      </c>
      <c r="F1684" t="s">
        <v>45</v>
      </c>
      <c r="G1684" t="s">
        <v>16</v>
      </c>
      <c r="H1684">
        <v>6779.81</v>
      </c>
      <c r="I1684">
        <v>5</v>
      </c>
      <c r="J1684">
        <v>33899.050000000003</v>
      </c>
      <c r="K1684">
        <v>3.7</v>
      </c>
    </row>
    <row r="1685" spans="1:11" x14ac:dyDescent="0.35">
      <c r="A1685" s="1">
        <v>45467</v>
      </c>
      <c r="B1685" t="s">
        <v>773</v>
      </c>
      <c r="C1685" t="s">
        <v>63</v>
      </c>
      <c r="D1685" t="s">
        <v>19</v>
      </c>
      <c r="E1685" t="s">
        <v>64</v>
      </c>
      <c r="F1685" t="s">
        <v>45</v>
      </c>
      <c r="G1685" t="s">
        <v>22</v>
      </c>
      <c r="H1685">
        <v>1677.26</v>
      </c>
      <c r="I1685">
        <v>1</v>
      </c>
      <c r="J1685">
        <v>1677.26</v>
      </c>
      <c r="K1685">
        <v>4.49</v>
      </c>
    </row>
    <row r="1686" spans="1:11" x14ac:dyDescent="0.35">
      <c r="A1686" s="1">
        <v>45468</v>
      </c>
      <c r="B1686" t="s">
        <v>1700</v>
      </c>
      <c r="C1686" t="s">
        <v>63</v>
      </c>
      <c r="D1686" t="s">
        <v>19</v>
      </c>
      <c r="E1686" t="s">
        <v>64</v>
      </c>
      <c r="F1686" t="s">
        <v>21</v>
      </c>
      <c r="G1686" t="s">
        <v>60</v>
      </c>
      <c r="H1686">
        <v>5068.09</v>
      </c>
      <c r="I1686">
        <v>4</v>
      </c>
      <c r="J1686">
        <v>20272.36</v>
      </c>
      <c r="K1686">
        <v>3.47</v>
      </c>
    </row>
    <row r="1687" spans="1:11" x14ac:dyDescent="0.35">
      <c r="A1687" s="1">
        <v>45469</v>
      </c>
      <c r="B1687" t="s">
        <v>1141</v>
      </c>
      <c r="C1687" t="s">
        <v>63</v>
      </c>
      <c r="D1687" t="s">
        <v>19</v>
      </c>
      <c r="E1687" t="s">
        <v>64</v>
      </c>
      <c r="F1687" t="s">
        <v>15</v>
      </c>
      <c r="G1687" t="s">
        <v>60</v>
      </c>
      <c r="H1687">
        <v>6357.71</v>
      </c>
      <c r="I1687">
        <v>2</v>
      </c>
      <c r="J1687">
        <v>12715.42</v>
      </c>
      <c r="K1687">
        <v>2.33</v>
      </c>
    </row>
    <row r="1688" spans="1:11" x14ac:dyDescent="0.35">
      <c r="A1688" s="1">
        <v>45469</v>
      </c>
      <c r="B1688" t="s">
        <v>1176</v>
      </c>
      <c r="C1688" t="s">
        <v>37</v>
      </c>
      <c r="D1688" t="s">
        <v>19</v>
      </c>
      <c r="E1688" t="s">
        <v>38</v>
      </c>
      <c r="F1688" t="s">
        <v>21</v>
      </c>
      <c r="G1688" t="s">
        <v>22</v>
      </c>
      <c r="H1688">
        <v>6475.12</v>
      </c>
      <c r="I1688">
        <v>3</v>
      </c>
      <c r="J1688">
        <v>19425.36</v>
      </c>
      <c r="K1688">
        <v>3.88</v>
      </c>
    </row>
    <row r="1689" spans="1:11" x14ac:dyDescent="0.35">
      <c r="A1689" s="1">
        <v>45470</v>
      </c>
      <c r="B1689" t="s">
        <v>988</v>
      </c>
      <c r="C1689" t="s">
        <v>63</v>
      </c>
      <c r="D1689" t="s">
        <v>19</v>
      </c>
      <c r="E1689" t="s">
        <v>64</v>
      </c>
      <c r="F1689" t="s">
        <v>21</v>
      </c>
      <c r="G1689" t="s">
        <v>27</v>
      </c>
      <c r="H1689">
        <v>4483.3100000000004</v>
      </c>
      <c r="I1689">
        <v>4</v>
      </c>
      <c r="J1689">
        <v>17933.240000000002</v>
      </c>
      <c r="K1689">
        <v>1.17</v>
      </c>
    </row>
    <row r="1690" spans="1:11" x14ac:dyDescent="0.35">
      <c r="A1690" s="1">
        <v>45471</v>
      </c>
      <c r="B1690" t="s">
        <v>62</v>
      </c>
      <c r="C1690" t="s">
        <v>63</v>
      </c>
      <c r="D1690" t="s">
        <v>19</v>
      </c>
      <c r="E1690" t="s">
        <v>64</v>
      </c>
      <c r="F1690" t="s">
        <v>45</v>
      </c>
      <c r="G1690" t="s">
        <v>32</v>
      </c>
      <c r="H1690">
        <v>9716.9500000000007</v>
      </c>
      <c r="I1690">
        <v>4</v>
      </c>
      <c r="J1690">
        <v>38867.800000000003</v>
      </c>
      <c r="K1690">
        <v>1.76</v>
      </c>
    </row>
    <row r="1691" spans="1:11" x14ac:dyDescent="0.35">
      <c r="A1691" s="1">
        <v>45471</v>
      </c>
      <c r="B1691" t="s">
        <v>225</v>
      </c>
      <c r="C1691" t="s">
        <v>63</v>
      </c>
      <c r="D1691" t="s">
        <v>19</v>
      </c>
      <c r="E1691" t="s">
        <v>64</v>
      </c>
      <c r="F1691" t="s">
        <v>15</v>
      </c>
      <c r="G1691" t="s">
        <v>39</v>
      </c>
      <c r="H1691">
        <v>3783.73</v>
      </c>
      <c r="I1691">
        <v>3</v>
      </c>
      <c r="J1691">
        <v>11351.19</v>
      </c>
      <c r="K1691">
        <v>4.21</v>
      </c>
    </row>
    <row r="1692" spans="1:11" x14ac:dyDescent="0.35">
      <c r="A1692" s="1">
        <v>45471</v>
      </c>
      <c r="B1692" t="s">
        <v>1107</v>
      </c>
      <c r="C1692" t="s">
        <v>18</v>
      </c>
      <c r="D1692" t="s">
        <v>19</v>
      </c>
      <c r="E1692" t="s">
        <v>20</v>
      </c>
      <c r="F1692" t="s">
        <v>45</v>
      </c>
      <c r="G1692" t="s">
        <v>39</v>
      </c>
      <c r="H1692">
        <v>16546.099999999999</v>
      </c>
      <c r="I1692">
        <v>5</v>
      </c>
      <c r="J1692">
        <v>82730.5</v>
      </c>
      <c r="K1692">
        <v>1.62</v>
      </c>
    </row>
    <row r="1693" spans="1:11" x14ac:dyDescent="0.35">
      <c r="A1693" s="1">
        <v>45473</v>
      </c>
      <c r="B1693" t="s">
        <v>505</v>
      </c>
      <c r="C1693" t="s">
        <v>37</v>
      </c>
      <c r="D1693" t="s">
        <v>19</v>
      </c>
      <c r="E1693" t="s">
        <v>38</v>
      </c>
      <c r="F1693" t="s">
        <v>45</v>
      </c>
      <c r="G1693" t="s">
        <v>27</v>
      </c>
      <c r="H1693">
        <v>14565.84</v>
      </c>
      <c r="I1693">
        <v>2</v>
      </c>
      <c r="J1693">
        <v>29131.68</v>
      </c>
      <c r="K1693">
        <v>3.65</v>
      </c>
    </row>
    <row r="1694" spans="1:11" x14ac:dyDescent="0.35">
      <c r="A1694" s="1">
        <v>45473</v>
      </c>
      <c r="B1694" t="s">
        <v>1754</v>
      </c>
      <c r="C1694" t="s">
        <v>37</v>
      </c>
      <c r="D1694" t="s">
        <v>19</v>
      </c>
      <c r="E1694" t="s">
        <v>38</v>
      </c>
      <c r="F1694" t="s">
        <v>21</v>
      </c>
      <c r="G1694" t="s">
        <v>32</v>
      </c>
      <c r="H1694">
        <v>13220.99</v>
      </c>
      <c r="I1694">
        <v>4</v>
      </c>
      <c r="J1694">
        <v>52883.96</v>
      </c>
      <c r="K1694">
        <v>4.8899999999999997</v>
      </c>
    </row>
    <row r="1695" spans="1:11" x14ac:dyDescent="0.35">
      <c r="A1695" s="1">
        <v>45474</v>
      </c>
      <c r="B1695" t="s">
        <v>501</v>
      </c>
      <c r="C1695" t="s">
        <v>18</v>
      </c>
      <c r="D1695" t="s">
        <v>19</v>
      </c>
      <c r="E1695" t="s">
        <v>20</v>
      </c>
      <c r="F1695" t="s">
        <v>45</v>
      </c>
      <c r="G1695" t="s">
        <v>39</v>
      </c>
      <c r="H1695">
        <v>18178.009999999998</v>
      </c>
      <c r="I1695">
        <v>4</v>
      </c>
      <c r="J1695">
        <v>72712.039999999994</v>
      </c>
      <c r="K1695">
        <v>3.25</v>
      </c>
    </row>
    <row r="1696" spans="1:11" x14ac:dyDescent="0.35">
      <c r="A1696" s="1">
        <v>45474</v>
      </c>
      <c r="B1696" t="s">
        <v>544</v>
      </c>
      <c r="C1696" t="s">
        <v>63</v>
      </c>
      <c r="D1696" t="s">
        <v>19</v>
      </c>
      <c r="E1696" t="s">
        <v>64</v>
      </c>
      <c r="F1696" t="s">
        <v>45</v>
      </c>
      <c r="G1696" t="s">
        <v>32</v>
      </c>
      <c r="H1696">
        <v>10260.59</v>
      </c>
      <c r="I1696">
        <v>1</v>
      </c>
      <c r="J1696">
        <v>10260.59</v>
      </c>
      <c r="K1696">
        <v>1.1599999999999999</v>
      </c>
    </row>
    <row r="1697" spans="1:11" x14ac:dyDescent="0.35">
      <c r="A1697" s="1">
        <v>45475</v>
      </c>
      <c r="B1697" t="s">
        <v>40</v>
      </c>
      <c r="C1697" t="s">
        <v>37</v>
      </c>
      <c r="D1697" t="s">
        <v>19</v>
      </c>
      <c r="E1697" t="s">
        <v>38</v>
      </c>
      <c r="F1697" t="s">
        <v>15</v>
      </c>
      <c r="G1697" t="s">
        <v>27</v>
      </c>
      <c r="H1697">
        <v>17796.11</v>
      </c>
      <c r="I1697">
        <v>2</v>
      </c>
      <c r="J1697">
        <v>35592.22</v>
      </c>
      <c r="K1697">
        <v>4.18</v>
      </c>
    </row>
    <row r="1698" spans="1:11" x14ac:dyDescent="0.35">
      <c r="A1698" s="1">
        <v>45475</v>
      </c>
      <c r="B1698" t="s">
        <v>1680</v>
      </c>
      <c r="C1698" t="s">
        <v>18</v>
      </c>
      <c r="D1698" t="s">
        <v>19</v>
      </c>
      <c r="E1698" t="s">
        <v>20</v>
      </c>
      <c r="F1698" t="s">
        <v>21</v>
      </c>
      <c r="G1698" t="s">
        <v>32</v>
      </c>
      <c r="H1698">
        <v>14732.13</v>
      </c>
      <c r="I1698">
        <v>5</v>
      </c>
      <c r="J1698">
        <v>73660.649999999994</v>
      </c>
      <c r="K1698">
        <v>4.91</v>
      </c>
    </row>
    <row r="1699" spans="1:11" x14ac:dyDescent="0.35">
      <c r="A1699" s="1">
        <v>45476</v>
      </c>
      <c r="B1699" t="s">
        <v>98</v>
      </c>
      <c r="C1699" t="s">
        <v>63</v>
      </c>
      <c r="D1699" t="s">
        <v>19</v>
      </c>
      <c r="E1699" t="s">
        <v>64</v>
      </c>
      <c r="F1699" t="s">
        <v>45</v>
      </c>
      <c r="G1699" t="s">
        <v>22</v>
      </c>
      <c r="H1699">
        <v>10005.530000000001</v>
      </c>
      <c r="I1699">
        <v>5</v>
      </c>
      <c r="J1699">
        <v>50027.65</v>
      </c>
      <c r="K1699">
        <v>1.1399999999999999</v>
      </c>
    </row>
    <row r="1700" spans="1:11" x14ac:dyDescent="0.35">
      <c r="A1700" s="1">
        <v>45476</v>
      </c>
      <c r="B1700" t="s">
        <v>111</v>
      </c>
      <c r="C1700" t="s">
        <v>63</v>
      </c>
      <c r="D1700" t="s">
        <v>19</v>
      </c>
      <c r="E1700" t="s">
        <v>64</v>
      </c>
      <c r="F1700" t="s">
        <v>45</v>
      </c>
      <c r="G1700" t="s">
        <v>39</v>
      </c>
      <c r="H1700">
        <v>867.36</v>
      </c>
      <c r="I1700">
        <v>1</v>
      </c>
      <c r="J1700">
        <v>867.36</v>
      </c>
      <c r="K1700">
        <v>4.51</v>
      </c>
    </row>
    <row r="1701" spans="1:11" x14ac:dyDescent="0.35">
      <c r="A1701" s="1">
        <v>45476</v>
      </c>
      <c r="B1701" t="s">
        <v>1950</v>
      </c>
      <c r="C1701" t="s">
        <v>37</v>
      </c>
      <c r="D1701" t="s">
        <v>19</v>
      </c>
      <c r="E1701" t="s">
        <v>38</v>
      </c>
      <c r="F1701" t="s">
        <v>15</v>
      </c>
      <c r="G1701" t="s">
        <v>22</v>
      </c>
      <c r="H1701">
        <v>5225.6899999999996</v>
      </c>
      <c r="I1701">
        <v>2</v>
      </c>
      <c r="J1701">
        <v>10451.379999999999</v>
      </c>
      <c r="K1701">
        <v>1.24</v>
      </c>
    </row>
    <row r="1702" spans="1:11" x14ac:dyDescent="0.35">
      <c r="A1702" s="1">
        <v>45477</v>
      </c>
      <c r="B1702" t="s">
        <v>503</v>
      </c>
      <c r="C1702" t="s">
        <v>63</v>
      </c>
      <c r="D1702" t="s">
        <v>19</v>
      </c>
      <c r="E1702" t="s">
        <v>64</v>
      </c>
      <c r="F1702" t="s">
        <v>21</v>
      </c>
      <c r="G1702" t="s">
        <v>39</v>
      </c>
      <c r="H1702">
        <v>14200.86</v>
      </c>
      <c r="I1702">
        <v>2</v>
      </c>
      <c r="J1702">
        <v>28401.72</v>
      </c>
      <c r="K1702">
        <v>4.72</v>
      </c>
    </row>
    <row r="1703" spans="1:11" x14ac:dyDescent="0.35">
      <c r="A1703" s="1">
        <v>45480</v>
      </c>
      <c r="B1703" t="s">
        <v>794</v>
      </c>
      <c r="C1703" t="s">
        <v>18</v>
      </c>
      <c r="D1703" t="s">
        <v>19</v>
      </c>
      <c r="E1703" t="s">
        <v>20</v>
      </c>
      <c r="F1703" t="s">
        <v>15</v>
      </c>
      <c r="G1703" t="s">
        <v>22</v>
      </c>
      <c r="H1703">
        <v>5561.22</v>
      </c>
      <c r="I1703">
        <v>1</v>
      </c>
      <c r="J1703">
        <v>5561.22</v>
      </c>
      <c r="K1703">
        <v>3.3</v>
      </c>
    </row>
    <row r="1704" spans="1:11" x14ac:dyDescent="0.35">
      <c r="A1704" s="1">
        <v>45480</v>
      </c>
      <c r="B1704" t="s">
        <v>1010</v>
      </c>
      <c r="C1704" t="s">
        <v>18</v>
      </c>
      <c r="D1704" t="s">
        <v>19</v>
      </c>
      <c r="E1704" t="s">
        <v>20</v>
      </c>
      <c r="F1704" t="s">
        <v>45</v>
      </c>
      <c r="G1704" t="s">
        <v>32</v>
      </c>
      <c r="H1704">
        <v>626.97</v>
      </c>
      <c r="I1704">
        <v>4</v>
      </c>
      <c r="J1704">
        <v>2507.88</v>
      </c>
      <c r="K1704">
        <v>4.8099999999999996</v>
      </c>
    </row>
    <row r="1705" spans="1:11" x14ac:dyDescent="0.35">
      <c r="A1705" s="1">
        <v>45480</v>
      </c>
      <c r="B1705" t="s">
        <v>2003</v>
      </c>
      <c r="C1705" t="s">
        <v>63</v>
      </c>
      <c r="D1705" t="s">
        <v>19</v>
      </c>
      <c r="E1705" t="s">
        <v>64</v>
      </c>
      <c r="F1705" t="s">
        <v>21</v>
      </c>
      <c r="G1705" t="s">
        <v>60</v>
      </c>
      <c r="H1705">
        <v>12675.39</v>
      </c>
      <c r="I1705">
        <v>4</v>
      </c>
      <c r="J1705">
        <v>50701.56</v>
      </c>
      <c r="K1705">
        <v>3.19</v>
      </c>
    </row>
    <row r="1706" spans="1:11" x14ac:dyDescent="0.35">
      <c r="A1706" s="1">
        <v>45481</v>
      </c>
      <c r="B1706" t="s">
        <v>833</v>
      </c>
      <c r="C1706" t="s">
        <v>37</v>
      </c>
      <c r="D1706" t="s">
        <v>19</v>
      </c>
      <c r="E1706" t="s">
        <v>38</v>
      </c>
      <c r="F1706" t="s">
        <v>45</v>
      </c>
      <c r="G1706" t="s">
        <v>32</v>
      </c>
      <c r="H1706">
        <v>13385.52</v>
      </c>
      <c r="I1706">
        <v>5</v>
      </c>
      <c r="J1706">
        <v>66927.600000000006</v>
      </c>
      <c r="K1706">
        <v>1.36</v>
      </c>
    </row>
    <row r="1707" spans="1:11" x14ac:dyDescent="0.35">
      <c r="A1707" s="1">
        <v>45482</v>
      </c>
      <c r="B1707" t="s">
        <v>864</v>
      </c>
      <c r="C1707" t="s">
        <v>37</v>
      </c>
      <c r="D1707" t="s">
        <v>19</v>
      </c>
      <c r="E1707" t="s">
        <v>38</v>
      </c>
      <c r="F1707" t="s">
        <v>45</v>
      </c>
      <c r="G1707" t="s">
        <v>16</v>
      </c>
      <c r="H1707">
        <v>18837.419999999998</v>
      </c>
      <c r="I1707">
        <v>2</v>
      </c>
      <c r="J1707">
        <v>37674.839999999997</v>
      </c>
      <c r="K1707">
        <v>2.64</v>
      </c>
    </row>
    <row r="1708" spans="1:11" x14ac:dyDescent="0.35">
      <c r="A1708" s="1">
        <v>45482</v>
      </c>
      <c r="B1708" t="s">
        <v>1383</v>
      </c>
      <c r="C1708" t="s">
        <v>18</v>
      </c>
      <c r="D1708" t="s">
        <v>19</v>
      </c>
      <c r="E1708" t="s">
        <v>20</v>
      </c>
      <c r="F1708" t="s">
        <v>45</v>
      </c>
      <c r="G1708" t="s">
        <v>32</v>
      </c>
      <c r="H1708">
        <v>7679.43</v>
      </c>
      <c r="I1708">
        <v>4</v>
      </c>
      <c r="J1708">
        <v>30717.72</v>
      </c>
      <c r="K1708">
        <v>2.95</v>
      </c>
    </row>
    <row r="1709" spans="1:11" x14ac:dyDescent="0.35">
      <c r="A1709" s="1">
        <v>45482</v>
      </c>
      <c r="B1709" t="s">
        <v>1471</v>
      </c>
      <c r="C1709" t="s">
        <v>63</v>
      </c>
      <c r="D1709" t="s">
        <v>19</v>
      </c>
      <c r="E1709" t="s">
        <v>64</v>
      </c>
      <c r="F1709" t="s">
        <v>15</v>
      </c>
      <c r="G1709" t="s">
        <v>39</v>
      </c>
      <c r="H1709">
        <v>12870.07</v>
      </c>
      <c r="I1709">
        <v>1</v>
      </c>
      <c r="J1709">
        <v>12870.07</v>
      </c>
      <c r="K1709">
        <v>2.19</v>
      </c>
    </row>
    <row r="1710" spans="1:11" x14ac:dyDescent="0.35">
      <c r="A1710" s="1">
        <v>45483</v>
      </c>
      <c r="B1710" t="s">
        <v>905</v>
      </c>
      <c r="C1710" t="s">
        <v>63</v>
      </c>
      <c r="D1710" t="s">
        <v>19</v>
      </c>
      <c r="E1710" t="s">
        <v>64</v>
      </c>
      <c r="F1710" t="s">
        <v>15</v>
      </c>
      <c r="G1710" t="s">
        <v>16</v>
      </c>
      <c r="H1710">
        <v>9183.6200000000008</v>
      </c>
      <c r="I1710">
        <v>4</v>
      </c>
      <c r="J1710">
        <v>36734.480000000003</v>
      </c>
      <c r="K1710">
        <v>1.08</v>
      </c>
    </row>
    <row r="1711" spans="1:11" x14ac:dyDescent="0.35">
      <c r="A1711" s="1">
        <v>45483</v>
      </c>
      <c r="B1711" t="s">
        <v>1970</v>
      </c>
      <c r="C1711" t="s">
        <v>63</v>
      </c>
      <c r="D1711" t="s">
        <v>19</v>
      </c>
      <c r="E1711" t="s">
        <v>64</v>
      </c>
      <c r="F1711" t="s">
        <v>21</v>
      </c>
      <c r="G1711" t="s">
        <v>32</v>
      </c>
      <c r="H1711">
        <v>17349.04</v>
      </c>
      <c r="I1711">
        <v>4</v>
      </c>
      <c r="J1711">
        <v>69396.160000000003</v>
      </c>
      <c r="K1711">
        <v>2.52</v>
      </c>
    </row>
    <row r="1712" spans="1:11" x14ac:dyDescent="0.35">
      <c r="A1712" s="1">
        <v>45484</v>
      </c>
      <c r="B1712" t="s">
        <v>2015</v>
      </c>
      <c r="C1712" t="s">
        <v>63</v>
      </c>
      <c r="D1712" t="s">
        <v>19</v>
      </c>
      <c r="E1712" t="s">
        <v>64</v>
      </c>
      <c r="F1712" t="s">
        <v>15</v>
      </c>
      <c r="G1712" t="s">
        <v>22</v>
      </c>
      <c r="H1712">
        <v>13076.35</v>
      </c>
      <c r="I1712">
        <v>5</v>
      </c>
      <c r="J1712">
        <v>65381.75</v>
      </c>
      <c r="K1712">
        <v>2.25</v>
      </c>
    </row>
    <row r="1713" spans="1:11" x14ac:dyDescent="0.35">
      <c r="A1713" s="1">
        <v>45486</v>
      </c>
      <c r="B1713" t="s">
        <v>673</v>
      </c>
      <c r="C1713" t="s">
        <v>63</v>
      </c>
      <c r="D1713" t="s">
        <v>19</v>
      </c>
      <c r="E1713" t="s">
        <v>64</v>
      </c>
      <c r="F1713" t="s">
        <v>21</v>
      </c>
      <c r="G1713" t="s">
        <v>39</v>
      </c>
      <c r="H1713">
        <v>12996.47</v>
      </c>
      <c r="I1713">
        <v>4</v>
      </c>
      <c r="J1713">
        <v>51985.88</v>
      </c>
      <c r="K1713">
        <v>2.35</v>
      </c>
    </row>
    <row r="1714" spans="1:11" x14ac:dyDescent="0.35">
      <c r="A1714" s="1">
        <v>45486</v>
      </c>
      <c r="B1714" t="s">
        <v>904</v>
      </c>
      <c r="C1714" t="s">
        <v>63</v>
      </c>
      <c r="D1714" t="s">
        <v>19</v>
      </c>
      <c r="E1714" t="s">
        <v>64</v>
      </c>
      <c r="F1714" t="s">
        <v>45</v>
      </c>
      <c r="G1714" t="s">
        <v>60</v>
      </c>
      <c r="H1714">
        <v>16344.42</v>
      </c>
      <c r="I1714">
        <v>4</v>
      </c>
      <c r="J1714">
        <v>65377.68</v>
      </c>
      <c r="K1714">
        <v>1.88</v>
      </c>
    </row>
    <row r="1715" spans="1:11" x14ac:dyDescent="0.35">
      <c r="A1715" s="1">
        <v>45487</v>
      </c>
      <c r="B1715" t="s">
        <v>729</v>
      </c>
      <c r="C1715" t="s">
        <v>18</v>
      </c>
      <c r="D1715" t="s">
        <v>19</v>
      </c>
      <c r="E1715" t="s">
        <v>20</v>
      </c>
      <c r="F1715" t="s">
        <v>15</v>
      </c>
      <c r="G1715" t="s">
        <v>39</v>
      </c>
      <c r="H1715">
        <v>17933.61</v>
      </c>
      <c r="I1715">
        <v>4</v>
      </c>
      <c r="J1715">
        <v>71734.44</v>
      </c>
      <c r="K1715">
        <v>1.59</v>
      </c>
    </row>
    <row r="1716" spans="1:11" x14ac:dyDescent="0.35">
      <c r="A1716" s="1">
        <v>45487</v>
      </c>
      <c r="B1716" t="s">
        <v>844</v>
      </c>
      <c r="C1716" t="s">
        <v>37</v>
      </c>
      <c r="D1716" t="s">
        <v>19</v>
      </c>
      <c r="E1716" t="s">
        <v>38</v>
      </c>
      <c r="F1716" t="s">
        <v>45</v>
      </c>
      <c r="G1716" t="s">
        <v>60</v>
      </c>
      <c r="H1716">
        <v>3616.66</v>
      </c>
      <c r="I1716">
        <v>1</v>
      </c>
      <c r="J1716">
        <v>3616.66</v>
      </c>
      <c r="K1716">
        <v>3.37</v>
      </c>
    </row>
    <row r="1717" spans="1:11" x14ac:dyDescent="0.35">
      <c r="A1717" s="1">
        <v>45487</v>
      </c>
      <c r="B1717" t="s">
        <v>1690</v>
      </c>
      <c r="C1717" t="s">
        <v>18</v>
      </c>
      <c r="D1717" t="s">
        <v>19</v>
      </c>
      <c r="E1717" t="s">
        <v>20</v>
      </c>
      <c r="F1717" t="s">
        <v>45</v>
      </c>
      <c r="G1717" t="s">
        <v>16</v>
      </c>
      <c r="H1717">
        <v>10273.35</v>
      </c>
      <c r="I1717">
        <v>5</v>
      </c>
      <c r="J1717">
        <v>51366.75</v>
      </c>
      <c r="K1717">
        <v>1.54</v>
      </c>
    </row>
    <row r="1718" spans="1:11" x14ac:dyDescent="0.35">
      <c r="A1718" s="1">
        <v>45489</v>
      </c>
      <c r="B1718" t="s">
        <v>490</v>
      </c>
      <c r="C1718" t="s">
        <v>18</v>
      </c>
      <c r="D1718" t="s">
        <v>19</v>
      </c>
      <c r="E1718" t="s">
        <v>20</v>
      </c>
      <c r="F1718" t="s">
        <v>21</v>
      </c>
      <c r="G1718" t="s">
        <v>16</v>
      </c>
      <c r="H1718">
        <v>5210</v>
      </c>
      <c r="I1718">
        <v>4</v>
      </c>
      <c r="J1718">
        <v>20840</v>
      </c>
      <c r="K1718">
        <v>4.54</v>
      </c>
    </row>
    <row r="1719" spans="1:11" x14ac:dyDescent="0.35">
      <c r="A1719" s="1">
        <v>45489</v>
      </c>
      <c r="B1719" t="s">
        <v>1607</v>
      </c>
      <c r="C1719" t="s">
        <v>18</v>
      </c>
      <c r="D1719" t="s">
        <v>19</v>
      </c>
      <c r="E1719" t="s">
        <v>20</v>
      </c>
      <c r="F1719" t="s">
        <v>21</v>
      </c>
      <c r="G1719" t="s">
        <v>27</v>
      </c>
      <c r="H1719">
        <v>14202.78</v>
      </c>
      <c r="I1719">
        <v>4</v>
      </c>
      <c r="J1719">
        <v>56811.12</v>
      </c>
      <c r="K1719">
        <v>3.8</v>
      </c>
    </row>
    <row r="1720" spans="1:11" x14ac:dyDescent="0.35">
      <c r="A1720" s="1">
        <v>45489</v>
      </c>
      <c r="B1720" t="s">
        <v>2034</v>
      </c>
      <c r="C1720" t="s">
        <v>37</v>
      </c>
      <c r="D1720" t="s">
        <v>19</v>
      </c>
      <c r="E1720" t="s">
        <v>38</v>
      </c>
      <c r="F1720" t="s">
        <v>21</v>
      </c>
      <c r="G1720" t="s">
        <v>27</v>
      </c>
      <c r="H1720">
        <v>3354.06</v>
      </c>
      <c r="I1720">
        <v>4</v>
      </c>
      <c r="J1720">
        <v>13416.24</v>
      </c>
      <c r="K1720">
        <v>1.0900000000000001</v>
      </c>
    </row>
    <row r="1721" spans="1:11" x14ac:dyDescent="0.35">
      <c r="A1721" s="1">
        <v>45490</v>
      </c>
      <c r="B1721" t="s">
        <v>1373</v>
      </c>
      <c r="C1721" t="s">
        <v>63</v>
      </c>
      <c r="D1721" t="s">
        <v>19</v>
      </c>
      <c r="E1721" t="s">
        <v>64</v>
      </c>
      <c r="F1721" t="s">
        <v>21</v>
      </c>
      <c r="G1721" t="s">
        <v>22</v>
      </c>
      <c r="H1721">
        <v>3697.45</v>
      </c>
      <c r="I1721">
        <v>2</v>
      </c>
      <c r="J1721">
        <v>7394.9</v>
      </c>
      <c r="K1721">
        <v>3.98</v>
      </c>
    </row>
    <row r="1722" spans="1:11" x14ac:dyDescent="0.35">
      <c r="A1722" s="1">
        <v>45492</v>
      </c>
      <c r="B1722" t="s">
        <v>379</v>
      </c>
      <c r="C1722" t="s">
        <v>18</v>
      </c>
      <c r="D1722" t="s">
        <v>19</v>
      </c>
      <c r="E1722" t="s">
        <v>20</v>
      </c>
      <c r="F1722" t="s">
        <v>21</v>
      </c>
      <c r="G1722" t="s">
        <v>27</v>
      </c>
      <c r="H1722">
        <v>11970.89</v>
      </c>
      <c r="I1722">
        <v>5</v>
      </c>
      <c r="J1722">
        <v>59854.45</v>
      </c>
      <c r="K1722">
        <v>2.04</v>
      </c>
    </row>
    <row r="1723" spans="1:11" x14ac:dyDescent="0.35">
      <c r="A1723" s="1">
        <v>45492</v>
      </c>
      <c r="B1723" t="s">
        <v>1668</v>
      </c>
      <c r="C1723" t="s">
        <v>63</v>
      </c>
      <c r="D1723" t="s">
        <v>19</v>
      </c>
      <c r="E1723" t="s">
        <v>64</v>
      </c>
      <c r="F1723" t="s">
        <v>45</v>
      </c>
      <c r="G1723" t="s">
        <v>32</v>
      </c>
      <c r="H1723">
        <v>4841.75</v>
      </c>
      <c r="I1723">
        <v>4</v>
      </c>
      <c r="J1723">
        <v>19367</v>
      </c>
      <c r="K1723">
        <v>4.03</v>
      </c>
    </row>
    <row r="1724" spans="1:11" x14ac:dyDescent="0.35">
      <c r="A1724" s="1">
        <v>45494</v>
      </c>
      <c r="B1724" t="s">
        <v>421</v>
      </c>
      <c r="C1724" t="s">
        <v>18</v>
      </c>
      <c r="D1724" t="s">
        <v>19</v>
      </c>
      <c r="E1724" t="s">
        <v>20</v>
      </c>
      <c r="F1724" t="s">
        <v>21</v>
      </c>
      <c r="G1724" t="s">
        <v>27</v>
      </c>
      <c r="H1724">
        <v>15573.22</v>
      </c>
      <c r="I1724">
        <v>4</v>
      </c>
      <c r="J1724">
        <v>62292.88</v>
      </c>
      <c r="K1724">
        <v>2.62</v>
      </c>
    </row>
    <row r="1725" spans="1:11" x14ac:dyDescent="0.35">
      <c r="A1725" s="1">
        <v>45495</v>
      </c>
      <c r="B1725" t="s">
        <v>1425</v>
      </c>
      <c r="C1725" t="s">
        <v>37</v>
      </c>
      <c r="D1725" t="s">
        <v>19</v>
      </c>
      <c r="E1725" t="s">
        <v>38</v>
      </c>
      <c r="F1725" t="s">
        <v>15</v>
      </c>
      <c r="G1725" t="s">
        <v>60</v>
      </c>
      <c r="H1725">
        <v>4537.93</v>
      </c>
      <c r="I1725">
        <v>1</v>
      </c>
      <c r="J1725">
        <v>4537.93</v>
      </c>
      <c r="K1725">
        <v>3.41</v>
      </c>
    </row>
    <row r="1726" spans="1:11" x14ac:dyDescent="0.35">
      <c r="A1726" s="1">
        <v>45496</v>
      </c>
      <c r="B1726" t="s">
        <v>725</v>
      </c>
      <c r="C1726" t="s">
        <v>18</v>
      </c>
      <c r="D1726" t="s">
        <v>19</v>
      </c>
      <c r="E1726" t="s">
        <v>20</v>
      </c>
      <c r="F1726" t="s">
        <v>45</v>
      </c>
      <c r="G1726" t="s">
        <v>16</v>
      </c>
      <c r="H1726">
        <v>14702.26</v>
      </c>
      <c r="I1726">
        <v>1</v>
      </c>
      <c r="J1726">
        <v>14702.26</v>
      </c>
      <c r="K1726">
        <v>1.51</v>
      </c>
    </row>
    <row r="1727" spans="1:11" x14ac:dyDescent="0.35">
      <c r="A1727" s="1">
        <v>45496</v>
      </c>
      <c r="B1727" t="s">
        <v>1575</v>
      </c>
      <c r="C1727" t="s">
        <v>18</v>
      </c>
      <c r="D1727" t="s">
        <v>19</v>
      </c>
      <c r="E1727" t="s">
        <v>20</v>
      </c>
      <c r="F1727" t="s">
        <v>15</v>
      </c>
      <c r="G1727" t="s">
        <v>32</v>
      </c>
      <c r="H1727">
        <v>13305.13</v>
      </c>
      <c r="I1727">
        <v>3</v>
      </c>
      <c r="J1727">
        <v>39915.39</v>
      </c>
      <c r="K1727">
        <v>1.3</v>
      </c>
    </row>
    <row r="1728" spans="1:11" x14ac:dyDescent="0.35">
      <c r="A1728" s="1">
        <v>45497</v>
      </c>
      <c r="B1728" t="s">
        <v>90</v>
      </c>
      <c r="C1728" t="s">
        <v>37</v>
      </c>
      <c r="D1728" t="s">
        <v>19</v>
      </c>
      <c r="E1728" t="s">
        <v>38</v>
      </c>
      <c r="F1728" t="s">
        <v>45</v>
      </c>
      <c r="G1728" t="s">
        <v>60</v>
      </c>
      <c r="H1728">
        <v>10278.34</v>
      </c>
      <c r="I1728">
        <v>1</v>
      </c>
      <c r="J1728">
        <v>10278.34</v>
      </c>
      <c r="K1728">
        <v>4.3899999999999997</v>
      </c>
    </row>
    <row r="1729" spans="1:11" x14ac:dyDescent="0.35">
      <c r="A1729" s="1">
        <v>45497</v>
      </c>
      <c r="B1729" t="s">
        <v>387</v>
      </c>
      <c r="C1729" t="s">
        <v>63</v>
      </c>
      <c r="D1729" t="s">
        <v>19</v>
      </c>
      <c r="E1729" t="s">
        <v>64</v>
      </c>
      <c r="F1729" t="s">
        <v>21</v>
      </c>
      <c r="G1729" t="s">
        <v>39</v>
      </c>
      <c r="H1729">
        <v>8788.27</v>
      </c>
      <c r="I1729">
        <v>1</v>
      </c>
      <c r="J1729">
        <v>8788.27</v>
      </c>
      <c r="K1729">
        <v>4.95</v>
      </c>
    </row>
    <row r="1730" spans="1:11" x14ac:dyDescent="0.35">
      <c r="A1730" s="1">
        <v>45497</v>
      </c>
      <c r="B1730" t="s">
        <v>482</v>
      </c>
      <c r="C1730" t="s">
        <v>37</v>
      </c>
      <c r="D1730" t="s">
        <v>19</v>
      </c>
      <c r="E1730" t="s">
        <v>38</v>
      </c>
      <c r="F1730" t="s">
        <v>45</v>
      </c>
      <c r="G1730" t="s">
        <v>39</v>
      </c>
      <c r="H1730">
        <v>8997.84</v>
      </c>
      <c r="I1730">
        <v>3</v>
      </c>
      <c r="J1730">
        <v>26993.52</v>
      </c>
      <c r="K1730">
        <v>4.2300000000000004</v>
      </c>
    </row>
    <row r="1731" spans="1:11" x14ac:dyDescent="0.35">
      <c r="A1731" s="1">
        <v>45497</v>
      </c>
      <c r="B1731" t="s">
        <v>1631</v>
      </c>
      <c r="C1731" t="s">
        <v>18</v>
      </c>
      <c r="D1731" t="s">
        <v>19</v>
      </c>
      <c r="E1731" t="s">
        <v>20</v>
      </c>
      <c r="F1731" t="s">
        <v>15</v>
      </c>
      <c r="G1731" t="s">
        <v>16</v>
      </c>
      <c r="H1731">
        <v>14369.79</v>
      </c>
      <c r="I1731">
        <v>5</v>
      </c>
      <c r="J1731">
        <v>71848.95</v>
      </c>
      <c r="K1731">
        <v>3.84</v>
      </c>
    </row>
    <row r="1732" spans="1:11" x14ac:dyDescent="0.35">
      <c r="A1732" s="1">
        <v>45498</v>
      </c>
      <c r="B1732" t="s">
        <v>160</v>
      </c>
      <c r="C1732" t="s">
        <v>63</v>
      </c>
      <c r="D1732" t="s">
        <v>19</v>
      </c>
      <c r="E1732" t="s">
        <v>64</v>
      </c>
      <c r="F1732" t="s">
        <v>45</v>
      </c>
      <c r="G1732" t="s">
        <v>32</v>
      </c>
      <c r="H1732">
        <v>18219.13</v>
      </c>
      <c r="I1732">
        <v>5</v>
      </c>
      <c r="J1732">
        <v>91095.65</v>
      </c>
      <c r="K1732">
        <v>4.8099999999999996</v>
      </c>
    </row>
    <row r="1733" spans="1:11" x14ac:dyDescent="0.35">
      <c r="A1733" s="1">
        <v>45499</v>
      </c>
      <c r="B1733" t="s">
        <v>340</v>
      </c>
      <c r="C1733" t="s">
        <v>37</v>
      </c>
      <c r="D1733" t="s">
        <v>19</v>
      </c>
      <c r="E1733" t="s">
        <v>38</v>
      </c>
      <c r="F1733" t="s">
        <v>45</v>
      </c>
      <c r="G1733" t="s">
        <v>32</v>
      </c>
      <c r="H1733">
        <v>10934.94</v>
      </c>
      <c r="I1733">
        <v>2</v>
      </c>
      <c r="J1733">
        <v>21869.88</v>
      </c>
      <c r="K1733">
        <v>1.18</v>
      </c>
    </row>
    <row r="1734" spans="1:11" x14ac:dyDescent="0.35">
      <c r="A1734" s="1">
        <v>45501</v>
      </c>
      <c r="B1734" t="s">
        <v>1997</v>
      </c>
      <c r="C1734" t="s">
        <v>18</v>
      </c>
      <c r="D1734" t="s">
        <v>19</v>
      </c>
      <c r="E1734" t="s">
        <v>20</v>
      </c>
      <c r="F1734" t="s">
        <v>21</v>
      </c>
      <c r="G1734" t="s">
        <v>22</v>
      </c>
      <c r="H1734">
        <v>18287.63</v>
      </c>
      <c r="I1734">
        <v>2</v>
      </c>
      <c r="J1734">
        <v>36575.26</v>
      </c>
      <c r="K1734">
        <v>4.16</v>
      </c>
    </row>
    <row r="1735" spans="1:11" x14ac:dyDescent="0.35">
      <c r="A1735" s="1">
        <v>45501</v>
      </c>
      <c r="B1735" t="s">
        <v>2024</v>
      </c>
      <c r="C1735" t="s">
        <v>63</v>
      </c>
      <c r="D1735" t="s">
        <v>19</v>
      </c>
      <c r="E1735" t="s">
        <v>64</v>
      </c>
      <c r="F1735" t="s">
        <v>45</v>
      </c>
      <c r="G1735" t="s">
        <v>32</v>
      </c>
      <c r="H1735">
        <v>619.27</v>
      </c>
      <c r="I1735">
        <v>3</v>
      </c>
      <c r="J1735">
        <v>1857.81</v>
      </c>
      <c r="K1735">
        <v>2.99</v>
      </c>
    </row>
    <row r="1736" spans="1:11" x14ac:dyDescent="0.35">
      <c r="A1736" s="1">
        <v>45502</v>
      </c>
      <c r="B1736" t="s">
        <v>1009</v>
      </c>
      <c r="C1736" t="s">
        <v>63</v>
      </c>
      <c r="D1736" t="s">
        <v>19</v>
      </c>
      <c r="E1736" t="s">
        <v>64</v>
      </c>
      <c r="F1736" t="s">
        <v>21</v>
      </c>
      <c r="G1736" t="s">
        <v>32</v>
      </c>
      <c r="H1736">
        <v>19222.04</v>
      </c>
      <c r="I1736">
        <v>3</v>
      </c>
      <c r="J1736">
        <v>57666.12</v>
      </c>
      <c r="K1736">
        <v>4.21</v>
      </c>
    </row>
    <row r="1737" spans="1:11" x14ac:dyDescent="0.35">
      <c r="A1737" s="1">
        <v>45503</v>
      </c>
      <c r="B1737" t="s">
        <v>961</v>
      </c>
      <c r="C1737" t="s">
        <v>63</v>
      </c>
      <c r="D1737" t="s">
        <v>19</v>
      </c>
      <c r="E1737" t="s">
        <v>64</v>
      </c>
      <c r="F1737" t="s">
        <v>21</v>
      </c>
      <c r="G1737" t="s">
        <v>16</v>
      </c>
      <c r="H1737">
        <v>16104.39</v>
      </c>
      <c r="I1737">
        <v>5</v>
      </c>
      <c r="J1737">
        <v>80521.95</v>
      </c>
      <c r="K1737">
        <v>2.0499999999999998</v>
      </c>
    </row>
    <row r="1738" spans="1:11" x14ac:dyDescent="0.35">
      <c r="A1738" s="1">
        <v>45503</v>
      </c>
      <c r="B1738" t="s">
        <v>1787</v>
      </c>
      <c r="C1738" t="s">
        <v>18</v>
      </c>
      <c r="D1738" t="s">
        <v>19</v>
      </c>
      <c r="E1738" t="s">
        <v>20</v>
      </c>
      <c r="F1738" t="s">
        <v>21</v>
      </c>
      <c r="G1738" t="s">
        <v>16</v>
      </c>
      <c r="H1738">
        <v>9018.8799999999992</v>
      </c>
      <c r="I1738">
        <v>1</v>
      </c>
      <c r="J1738">
        <v>9018.8799999999992</v>
      </c>
      <c r="K1738">
        <v>4.13</v>
      </c>
    </row>
    <row r="1739" spans="1:11" x14ac:dyDescent="0.35">
      <c r="A1739" s="1">
        <v>45504</v>
      </c>
      <c r="B1739" t="s">
        <v>390</v>
      </c>
      <c r="C1739" t="s">
        <v>37</v>
      </c>
      <c r="D1739" t="s">
        <v>19</v>
      </c>
      <c r="E1739" t="s">
        <v>38</v>
      </c>
      <c r="F1739" t="s">
        <v>21</v>
      </c>
      <c r="G1739" t="s">
        <v>32</v>
      </c>
      <c r="H1739">
        <v>12801.38</v>
      </c>
      <c r="I1739">
        <v>5</v>
      </c>
      <c r="J1739">
        <v>64006.9</v>
      </c>
      <c r="K1739">
        <v>1.24</v>
      </c>
    </row>
    <row r="1740" spans="1:11" x14ac:dyDescent="0.35">
      <c r="A1740" s="1">
        <v>45505</v>
      </c>
      <c r="B1740" t="s">
        <v>595</v>
      </c>
      <c r="C1740" t="s">
        <v>37</v>
      </c>
      <c r="D1740" t="s">
        <v>19</v>
      </c>
      <c r="E1740" t="s">
        <v>38</v>
      </c>
      <c r="F1740" t="s">
        <v>15</v>
      </c>
      <c r="G1740" t="s">
        <v>27</v>
      </c>
      <c r="H1740">
        <v>265.95999999999998</v>
      </c>
      <c r="I1740">
        <v>4</v>
      </c>
      <c r="J1740">
        <v>1063.8399999999999</v>
      </c>
      <c r="K1740">
        <v>3.77</v>
      </c>
    </row>
    <row r="1741" spans="1:11" x14ac:dyDescent="0.35">
      <c r="A1741" s="1">
        <v>45505</v>
      </c>
      <c r="B1741" t="s">
        <v>1288</v>
      </c>
      <c r="C1741" t="s">
        <v>63</v>
      </c>
      <c r="D1741" t="s">
        <v>19</v>
      </c>
      <c r="E1741" t="s">
        <v>64</v>
      </c>
      <c r="F1741" t="s">
        <v>21</v>
      </c>
      <c r="G1741" t="s">
        <v>39</v>
      </c>
      <c r="H1741">
        <v>5442.38</v>
      </c>
      <c r="I1741">
        <v>5</v>
      </c>
      <c r="J1741">
        <v>27211.9</v>
      </c>
      <c r="K1741">
        <v>4.21</v>
      </c>
    </row>
    <row r="1742" spans="1:11" x14ac:dyDescent="0.35">
      <c r="A1742" s="1">
        <v>45505</v>
      </c>
      <c r="B1742" t="s">
        <v>1897</v>
      </c>
      <c r="C1742" t="s">
        <v>63</v>
      </c>
      <c r="D1742" t="s">
        <v>19</v>
      </c>
      <c r="E1742" t="s">
        <v>64</v>
      </c>
      <c r="F1742" t="s">
        <v>21</v>
      </c>
      <c r="G1742" t="s">
        <v>16</v>
      </c>
      <c r="H1742">
        <v>15583.72</v>
      </c>
      <c r="I1742">
        <v>1</v>
      </c>
      <c r="J1742">
        <v>15583.72</v>
      </c>
      <c r="K1742">
        <v>1.01</v>
      </c>
    </row>
    <row r="1743" spans="1:11" x14ac:dyDescent="0.35">
      <c r="A1743" s="1">
        <v>45506</v>
      </c>
      <c r="B1743" t="s">
        <v>683</v>
      </c>
      <c r="C1743" t="s">
        <v>63</v>
      </c>
      <c r="D1743" t="s">
        <v>19</v>
      </c>
      <c r="E1743" t="s">
        <v>64</v>
      </c>
      <c r="F1743" t="s">
        <v>21</v>
      </c>
      <c r="G1743" t="s">
        <v>39</v>
      </c>
      <c r="H1743">
        <v>8991.99</v>
      </c>
      <c r="I1743">
        <v>1</v>
      </c>
      <c r="J1743">
        <v>8991.99</v>
      </c>
      <c r="K1743">
        <v>1.33</v>
      </c>
    </row>
    <row r="1744" spans="1:11" x14ac:dyDescent="0.35">
      <c r="A1744" s="1">
        <v>45506</v>
      </c>
      <c r="B1744" t="s">
        <v>1006</v>
      </c>
      <c r="C1744" t="s">
        <v>63</v>
      </c>
      <c r="D1744" t="s">
        <v>19</v>
      </c>
      <c r="E1744" t="s">
        <v>64</v>
      </c>
      <c r="F1744" t="s">
        <v>15</v>
      </c>
      <c r="G1744" t="s">
        <v>27</v>
      </c>
      <c r="H1744">
        <v>19818.36</v>
      </c>
      <c r="I1744">
        <v>3</v>
      </c>
      <c r="J1744">
        <v>59455.08</v>
      </c>
      <c r="K1744">
        <v>4.0199999999999996</v>
      </c>
    </row>
    <row r="1745" spans="1:11" x14ac:dyDescent="0.35">
      <c r="A1745" s="1">
        <v>45506</v>
      </c>
      <c r="B1745" t="s">
        <v>1008</v>
      </c>
      <c r="C1745" t="s">
        <v>63</v>
      </c>
      <c r="D1745" t="s">
        <v>19</v>
      </c>
      <c r="E1745" t="s">
        <v>64</v>
      </c>
      <c r="F1745" t="s">
        <v>45</v>
      </c>
      <c r="G1745" t="s">
        <v>39</v>
      </c>
      <c r="H1745">
        <v>18275.650000000001</v>
      </c>
      <c r="I1745">
        <v>5</v>
      </c>
      <c r="J1745">
        <v>91378.25</v>
      </c>
      <c r="K1745">
        <v>2.72</v>
      </c>
    </row>
    <row r="1746" spans="1:11" x14ac:dyDescent="0.35">
      <c r="A1746" s="1">
        <v>45506</v>
      </c>
      <c r="B1746" t="s">
        <v>1725</v>
      </c>
      <c r="C1746" t="s">
        <v>18</v>
      </c>
      <c r="D1746" t="s">
        <v>19</v>
      </c>
      <c r="E1746" t="s">
        <v>20</v>
      </c>
      <c r="F1746" t="s">
        <v>45</v>
      </c>
      <c r="G1746" t="s">
        <v>39</v>
      </c>
      <c r="H1746">
        <v>10711.32</v>
      </c>
      <c r="I1746">
        <v>1</v>
      </c>
      <c r="J1746">
        <v>10711.32</v>
      </c>
      <c r="K1746">
        <v>4.2</v>
      </c>
    </row>
    <row r="1747" spans="1:11" x14ac:dyDescent="0.35">
      <c r="A1747" s="1">
        <v>45507</v>
      </c>
      <c r="B1747" t="s">
        <v>570</v>
      </c>
      <c r="C1747" t="s">
        <v>18</v>
      </c>
      <c r="D1747" t="s">
        <v>19</v>
      </c>
      <c r="E1747" t="s">
        <v>20</v>
      </c>
      <c r="F1747" t="s">
        <v>45</v>
      </c>
      <c r="G1747" t="s">
        <v>60</v>
      </c>
      <c r="H1747">
        <v>18091.060000000001</v>
      </c>
      <c r="I1747">
        <v>4</v>
      </c>
      <c r="J1747">
        <v>72364.240000000005</v>
      </c>
      <c r="K1747">
        <v>4.93</v>
      </c>
    </row>
    <row r="1748" spans="1:11" x14ac:dyDescent="0.35">
      <c r="A1748" s="1">
        <v>45507</v>
      </c>
      <c r="B1748" t="s">
        <v>1147</v>
      </c>
      <c r="C1748" t="s">
        <v>18</v>
      </c>
      <c r="D1748" t="s">
        <v>19</v>
      </c>
      <c r="E1748" t="s">
        <v>20</v>
      </c>
      <c r="F1748" t="s">
        <v>21</v>
      </c>
      <c r="G1748" t="s">
        <v>39</v>
      </c>
      <c r="H1748">
        <v>17348.7</v>
      </c>
      <c r="I1748">
        <v>2</v>
      </c>
      <c r="J1748">
        <v>34697.4</v>
      </c>
      <c r="K1748">
        <v>4.8600000000000003</v>
      </c>
    </row>
    <row r="1749" spans="1:11" x14ac:dyDescent="0.35">
      <c r="A1749" s="1">
        <v>45509</v>
      </c>
      <c r="B1749" t="s">
        <v>270</v>
      </c>
      <c r="C1749" t="s">
        <v>63</v>
      </c>
      <c r="D1749" t="s">
        <v>19</v>
      </c>
      <c r="E1749" t="s">
        <v>64</v>
      </c>
      <c r="F1749" t="s">
        <v>15</v>
      </c>
      <c r="G1749" t="s">
        <v>27</v>
      </c>
      <c r="H1749">
        <v>6336.78</v>
      </c>
      <c r="I1749">
        <v>1</v>
      </c>
      <c r="J1749">
        <v>6336.78</v>
      </c>
      <c r="K1749">
        <v>3.8</v>
      </c>
    </row>
    <row r="1750" spans="1:11" x14ac:dyDescent="0.35">
      <c r="A1750" s="1">
        <v>45509</v>
      </c>
      <c r="B1750" t="s">
        <v>1606</v>
      </c>
      <c r="C1750" t="s">
        <v>37</v>
      </c>
      <c r="D1750" t="s">
        <v>19</v>
      </c>
      <c r="E1750" t="s">
        <v>38</v>
      </c>
      <c r="F1750" t="s">
        <v>15</v>
      </c>
      <c r="G1750" t="s">
        <v>60</v>
      </c>
      <c r="H1750">
        <v>4949.22</v>
      </c>
      <c r="I1750">
        <v>3</v>
      </c>
      <c r="J1750">
        <v>14847.66</v>
      </c>
      <c r="K1750">
        <v>2.31</v>
      </c>
    </row>
    <row r="1751" spans="1:11" x14ac:dyDescent="0.35">
      <c r="A1751" s="1">
        <v>45510</v>
      </c>
      <c r="B1751" t="s">
        <v>758</v>
      </c>
      <c r="C1751" t="s">
        <v>18</v>
      </c>
      <c r="D1751" t="s">
        <v>19</v>
      </c>
      <c r="E1751" t="s">
        <v>20</v>
      </c>
      <c r="F1751" t="s">
        <v>15</v>
      </c>
      <c r="G1751" t="s">
        <v>60</v>
      </c>
      <c r="H1751">
        <v>13455.37</v>
      </c>
      <c r="I1751">
        <v>1</v>
      </c>
      <c r="J1751">
        <v>13455.37</v>
      </c>
      <c r="K1751">
        <v>3.25</v>
      </c>
    </row>
    <row r="1752" spans="1:11" x14ac:dyDescent="0.35">
      <c r="A1752" s="1">
        <v>45511</v>
      </c>
      <c r="B1752" t="s">
        <v>167</v>
      </c>
      <c r="C1752" t="s">
        <v>18</v>
      </c>
      <c r="D1752" t="s">
        <v>19</v>
      </c>
      <c r="E1752" t="s">
        <v>20</v>
      </c>
      <c r="F1752" t="s">
        <v>15</v>
      </c>
      <c r="G1752" t="s">
        <v>60</v>
      </c>
      <c r="H1752">
        <v>17035.28</v>
      </c>
      <c r="I1752">
        <v>2</v>
      </c>
      <c r="J1752">
        <v>34070.559999999998</v>
      </c>
      <c r="K1752">
        <v>4.6399999999999997</v>
      </c>
    </row>
    <row r="1753" spans="1:11" x14ac:dyDescent="0.35">
      <c r="A1753" s="1">
        <v>45511</v>
      </c>
      <c r="B1753" t="s">
        <v>461</v>
      </c>
      <c r="C1753" t="s">
        <v>63</v>
      </c>
      <c r="D1753" t="s">
        <v>19</v>
      </c>
      <c r="E1753" t="s">
        <v>64</v>
      </c>
      <c r="F1753" t="s">
        <v>45</v>
      </c>
      <c r="G1753" t="s">
        <v>39</v>
      </c>
      <c r="H1753">
        <v>9170.02</v>
      </c>
      <c r="I1753">
        <v>4</v>
      </c>
      <c r="J1753">
        <v>36680.080000000002</v>
      </c>
      <c r="K1753">
        <v>3.08</v>
      </c>
    </row>
    <row r="1754" spans="1:11" x14ac:dyDescent="0.35">
      <c r="A1754" s="1">
        <v>45511</v>
      </c>
      <c r="B1754" t="s">
        <v>666</v>
      </c>
      <c r="C1754" t="s">
        <v>18</v>
      </c>
      <c r="D1754" t="s">
        <v>19</v>
      </c>
      <c r="E1754" t="s">
        <v>20</v>
      </c>
      <c r="F1754" t="s">
        <v>45</v>
      </c>
      <c r="G1754" t="s">
        <v>22</v>
      </c>
      <c r="H1754">
        <v>8110.1</v>
      </c>
      <c r="I1754">
        <v>1</v>
      </c>
      <c r="J1754">
        <v>8110.1</v>
      </c>
      <c r="K1754">
        <v>3.49</v>
      </c>
    </row>
    <row r="1755" spans="1:11" x14ac:dyDescent="0.35">
      <c r="A1755" s="1">
        <v>45511</v>
      </c>
      <c r="B1755" t="s">
        <v>672</v>
      </c>
      <c r="C1755" t="s">
        <v>37</v>
      </c>
      <c r="D1755" t="s">
        <v>19</v>
      </c>
      <c r="E1755" t="s">
        <v>38</v>
      </c>
      <c r="F1755" t="s">
        <v>15</v>
      </c>
      <c r="G1755" t="s">
        <v>60</v>
      </c>
      <c r="H1755">
        <v>17679.04</v>
      </c>
      <c r="I1755">
        <v>2</v>
      </c>
      <c r="J1755">
        <v>35358.080000000002</v>
      </c>
      <c r="K1755">
        <v>4.1900000000000004</v>
      </c>
    </row>
    <row r="1756" spans="1:11" x14ac:dyDescent="0.35">
      <c r="A1756" s="1">
        <v>45512</v>
      </c>
      <c r="B1756" t="s">
        <v>422</v>
      </c>
      <c r="C1756" t="s">
        <v>37</v>
      </c>
      <c r="D1756" t="s">
        <v>19</v>
      </c>
      <c r="E1756" t="s">
        <v>38</v>
      </c>
      <c r="F1756" t="s">
        <v>21</v>
      </c>
      <c r="G1756" t="s">
        <v>16</v>
      </c>
      <c r="H1756">
        <v>13641.94</v>
      </c>
      <c r="I1756">
        <v>3</v>
      </c>
      <c r="J1756">
        <v>40925.82</v>
      </c>
      <c r="K1756">
        <v>2.14</v>
      </c>
    </row>
    <row r="1757" spans="1:11" x14ac:dyDescent="0.35">
      <c r="A1757" s="1">
        <v>45512</v>
      </c>
      <c r="B1757" t="s">
        <v>1225</v>
      </c>
      <c r="C1757" t="s">
        <v>18</v>
      </c>
      <c r="D1757" t="s">
        <v>19</v>
      </c>
      <c r="E1757" t="s">
        <v>20</v>
      </c>
      <c r="F1757" t="s">
        <v>21</v>
      </c>
      <c r="G1757" t="s">
        <v>32</v>
      </c>
      <c r="H1757">
        <v>15249.43</v>
      </c>
      <c r="I1757">
        <v>2</v>
      </c>
      <c r="J1757">
        <v>30498.86</v>
      </c>
      <c r="K1757">
        <v>2.0099999999999998</v>
      </c>
    </row>
    <row r="1758" spans="1:11" x14ac:dyDescent="0.35">
      <c r="A1758" s="1">
        <v>45513</v>
      </c>
      <c r="B1758" t="s">
        <v>416</v>
      </c>
      <c r="C1758" t="s">
        <v>63</v>
      </c>
      <c r="D1758" t="s">
        <v>19</v>
      </c>
      <c r="E1758" t="s">
        <v>64</v>
      </c>
      <c r="F1758" t="s">
        <v>45</v>
      </c>
      <c r="G1758" t="s">
        <v>16</v>
      </c>
      <c r="H1758">
        <v>15476.55</v>
      </c>
      <c r="I1758">
        <v>2</v>
      </c>
      <c r="J1758">
        <v>30953.1</v>
      </c>
      <c r="K1758">
        <v>1.21</v>
      </c>
    </row>
    <row r="1759" spans="1:11" x14ac:dyDescent="0.35">
      <c r="A1759" s="1">
        <v>45513</v>
      </c>
      <c r="B1759" t="s">
        <v>727</v>
      </c>
      <c r="C1759" t="s">
        <v>63</v>
      </c>
      <c r="D1759" t="s">
        <v>19</v>
      </c>
      <c r="E1759" t="s">
        <v>64</v>
      </c>
      <c r="F1759" t="s">
        <v>21</v>
      </c>
      <c r="G1759" t="s">
        <v>16</v>
      </c>
      <c r="H1759">
        <v>14934.19</v>
      </c>
      <c r="I1759">
        <v>3</v>
      </c>
      <c r="J1759">
        <v>44802.57</v>
      </c>
      <c r="K1759">
        <v>2.2999999999999998</v>
      </c>
    </row>
    <row r="1760" spans="1:11" x14ac:dyDescent="0.35">
      <c r="A1760" s="1">
        <v>45514</v>
      </c>
      <c r="B1760" t="s">
        <v>341</v>
      </c>
      <c r="C1760" t="s">
        <v>63</v>
      </c>
      <c r="D1760" t="s">
        <v>19</v>
      </c>
      <c r="E1760" t="s">
        <v>64</v>
      </c>
      <c r="F1760" t="s">
        <v>15</v>
      </c>
      <c r="G1760" t="s">
        <v>39</v>
      </c>
      <c r="H1760">
        <v>3951.31</v>
      </c>
      <c r="I1760">
        <v>4</v>
      </c>
      <c r="J1760">
        <v>15805.24</v>
      </c>
      <c r="K1760">
        <v>2.8</v>
      </c>
    </row>
    <row r="1761" spans="1:11" x14ac:dyDescent="0.35">
      <c r="A1761" s="1">
        <v>45516</v>
      </c>
      <c r="B1761" t="s">
        <v>214</v>
      </c>
      <c r="C1761" t="s">
        <v>18</v>
      </c>
      <c r="D1761" t="s">
        <v>19</v>
      </c>
      <c r="E1761" t="s">
        <v>20</v>
      </c>
      <c r="F1761" t="s">
        <v>21</v>
      </c>
      <c r="G1761" t="s">
        <v>22</v>
      </c>
      <c r="H1761">
        <v>11982.84</v>
      </c>
      <c r="I1761">
        <v>1</v>
      </c>
      <c r="J1761">
        <v>11982.84</v>
      </c>
      <c r="K1761">
        <v>2.99</v>
      </c>
    </row>
    <row r="1762" spans="1:11" x14ac:dyDescent="0.35">
      <c r="A1762" s="1">
        <v>45516</v>
      </c>
      <c r="B1762" t="s">
        <v>305</v>
      </c>
      <c r="C1762" t="s">
        <v>37</v>
      </c>
      <c r="D1762" t="s">
        <v>19</v>
      </c>
      <c r="E1762" t="s">
        <v>38</v>
      </c>
      <c r="F1762" t="s">
        <v>45</v>
      </c>
      <c r="G1762" t="s">
        <v>16</v>
      </c>
      <c r="H1762">
        <v>17113.45</v>
      </c>
      <c r="I1762">
        <v>1</v>
      </c>
      <c r="J1762">
        <v>17113.45</v>
      </c>
      <c r="K1762">
        <v>1.58</v>
      </c>
    </row>
    <row r="1763" spans="1:11" x14ac:dyDescent="0.35">
      <c r="A1763" s="1">
        <v>45516</v>
      </c>
      <c r="B1763" t="s">
        <v>656</v>
      </c>
      <c r="C1763" t="s">
        <v>18</v>
      </c>
      <c r="D1763" t="s">
        <v>19</v>
      </c>
      <c r="E1763" t="s">
        <v>20</v>
      </c>
      <c r="F1763" t="s">
        <v>21</v>
      </c>
      <c r="G1763" t="s">
        <v>27</v>
      </c>
      <c r="H1763">
        <v>11191.91</v>
      </c>
      <c r="I1763">
        <v>5</v>
      </c>
      <c r="J1763">
        <v>55959.55</v>
      </c>
      <c r="K1763">
        <v>3.51</v>
      </c>
    </row>
    <row r="1764" spans="1:11" x14ac:dyDescent="0.35">
      <c r="A1764" s="1">
        <v>45516</v>
      </c>
      <c r="B1764" t="s">
        <v>1283</v>
      </c>
      <c r="C1764" t="s">
        <v>18</v>
      </c>
      <c r="D1764" t="s">
        <v>19</v>
      </c>
      <c r="E1764" t="s">
        <v>20</v>
      </c>
      <c r="F1764" t="s">
        <v>21</v>
      </c>
      <c r="G1764" t="s">
        <v>32</v>
      </c>
      <c r="H1764">
        <v>10897.71</v>
      </c>
      <c r="I1764">
        <v>2</v>
      </c>
      <c r="J1764">
        <v>21795.42</v>
      </c>
      <c r="K1764">
        <v>1.42</v>
      </c>
    </row>
    <row r="1765" spans="1:11" x14ac:dyDescent="0.35">
      <c r="A1765" s="1">
        <v>45516</v>
      </c>
      <c r="B1765" t="s">
        <v>2001</v>
      </c>
      <c r="C1765" t="s">
        <v>18</v>
      </c>
      <c r="D1765" t="s">
        <v>19</v>
      </c>
      <c r="E1765" t="s">
        <v>20</v>
      </c>
      <c r="F1765" t="s">
        <v>21</v>
      </c>
      <c r="G1765" t="s">
        <v>16</v>
      </c>
      <c r="H1765">
        <v>4762.0600000000004</v>
      </c>
      <c r="I1765">
        <v>3</v>
      </c>
      <c r="J1765">
        <v>14286.18</v>
      </c>
      <c r="K1765">
        <v>1.06</v>
      </c>
    </row>
    <row r="1766" spans="1:11" x14ac:dyDescent="0.35">
      <c r="A1766" s="1">
        <v>45517</v>
      </c>
      <c r="B1766" t="s">
        <v>1580</v>
      </c>
      <c r="C1766" t="s">
        <v>18</v>
      </c>
      <c r="D1766" t="s">
        <v>19</v>
      </c>
      <c r="E1766" t="s">
        <v>20</v>
      </c>
      <c r="F1766" t="s">
        <v>45</v>
      </c>
      <c r="G1766" t="s">
        <v>32</v>
      </c>
      <c r="H1766">
        <v>17259.169999999998</v>
      </c>
      <c r="I1766">
        <v>5</v>
      </c>
      <c r="J1766">
        <v>86295.85</v>
      </c>
      <c r="K1766">
        <v>2.84</v>
      </c>
    </row>
    <row r="1767" spans="1:11" x14ac:dyDescent="0.35">
      <c r="A1767" s="1">
        <v>45519</v>
      </c>
      <c r="B1767" t="s">
        <v>1642</v>
      </c>
      <c r="C1767" t="s">
        <v>18</v>
      </c>
      <c r="D1767" t="s">
        <v>19</v>
      </c>
      <c r="E1767" t="s">
        <v>20</v>
      </c>
      <c r="F1767" t="s">
        <v>21</v>
      </c>
      <c r="G1767" t="s">
        <v>16</v>
      </c>
      <c r="H1767">
        <v>17691.8</v>
      </c>
      <c r="I1767">
        <v>5</v>
      </c>
      <c r="J1767">
        <v>88459</v>
      </c>
      <c r="K1767">
        <v>3.61</v>
      </c>
    </row>
    <row r="1768" spans="1:11" x14ac:dyDescent="0.35">
      <c r="A1768" s="1">
        <v>45520</v>
      </c>
      <c r="B1768" t="s">
        <v>674</v>
      </c>
      <c r="C1768" t="s">
        <v>63</v>
      </c>
      <c r="D1768" t="s">
        <v>19</v>
      </c>
      <c r="E1768" t="s">
        <v>64</v>
      </c>
      <c r="F1768" t="s">
        <v>15</v>
      </c>
      <c r="G1768" t="s">
        <v>32</v>
      </c>
      <c r="H1768">
        <v>11951.4</v>
      </c>
      <c r="I1768">
        <v>3</v>
      </c>
      <c r="J1768">
        <v>35854.199999999997</v>
      </c>
      <c r="K1768">
        <v>1.1200000000000001</v>
      </c>
    </row>
    <row r="1769" spans="1:11" x14ac:dyDescent="0.35">
      <c r="A1769" s="1">
        <v>45521</v>
      </c>
      <c r="B1769" t="s">
        <v>1101</v>
      </c>
      <c r="C1769" t="s">
        <v>37</v>
      </c>
      <c r="D1769" t="s">
        <v>19</v>
      </c>
      <c r="E1769" t="s">
        <v>38</v>
      </c>
      <c r="F1769" t="s">
        <v>45</v>
      </c>
      <c r="G1769" t="s">
        <v>22</v>
      </c>
      <c r="H1769">
        <v>12174.44</v>
      </c>
      <c r="I1769">
        <v>3</v>
      </c>
      <c r="J1769">
        <v>36523.32</v>
      </c>
      <c r="K1769">
        <v>2.4900000000000002</v>
      </c>
    </row>
    <row r="1770" spans="1:11" x14ac:dyDescent="0.35">
      <c r="A1770" s="1">
        <v>45522</v>
      </c>
      <c r="B1770" t="s">
        <v>1253</v>
      </c>
      <c r="C1770" t="s">
        <v>37</v>
      </c>
      <c r="D1770" t="s">
        <v>19</v>
      </c>
      <c r="E1770" t="s">
        <v>38</v>
      </c>
      <c r="F1770" t="s">
        <v>15</v>
      </c>
      <c r="G1770" t="s">
        <v>27</v>
      </c>
      <c r="H1770">
        <v>373.86</v>
      </c>
      <c r="I1770">
        <v>3</v>
      </c>
      <c r="J1770">
        <v>1121.58</v>
      </c>
      <c r="K1770">
        <v>2.16</v>
      </c>
    </row>
    <row r="1771" spans="1:11" x14ac:dyDescent="0.35">
      <c r="A1771" s="1">
        <v>45522</v>
      </c>
      <c r="B1771" t="s">
        <v>1622</v>
      </c>
      <c r="C1771" t="s">
        <v>37</v>
      </c>
      <c r="D1771" t="s">
        <v>19</v>
      </c>
      <c r="E1771" t="s">
        <v>38</v>
      </c>
      <c r="F1771" t="s">
        <v>45</v>
      </c>
      <c r="G1771" t="s">
        <v>27</v>
      </c>
      <c r="H1771">
        <v>12728.83</v>
      </c>
      <c r="I1771">
        <v>1</v>
      </c>
      <c r="J1771">
        <v>12728.83</v>
      </c>
      <c r="K1771">
        <v>2.9</v>
      </c>
    </row>
    <row r="1772" spans="1:11" x14ac:dyDescent="0.35">
      <c r="A1772" s="1">
        <v>45522</v>
      </c>
      <c r="B1772" t="s">
        <v>1980</v>
      </c>
      <c r="C1772" t="s">
        <v>37</v>
      </c>
      <c r="D1772" t="s">
        <v>19</v>
      </c>
      <c r="E1772" t="s">
        <v>38</v>
      </c>
      <c r="F1772" t="s">
        <v>15</v>
      </c>
      <c r="G1772" t="s">
        <v>27</v>
      </c>
      <c r="H1772">
        <v>4499.05</v>
      </c>
      <c r="I1772">
        <v>3</v>
      </c>
      <c r="J1772">
        <v>13497.15</v>
      </c>
      <c r="K1772">
        <v>4.91</v>
      </c>
    </row>
    <row r="1773" spans="1:11" x14ac:dyDescent="0.35">
      <c r="A1773" s="1">
        <v>45523</v>
      </c>
      <c r="B1773" t="s">
        <v>303</v>
      </c>
      <c r="C1773" t="s">
        <v>37</v>
      </c>
      <c r="D1773" t="s">
        <v>19</v>
      </c>
      <c r="E1773" t="s">
        <v>38</v>
      </c>
      <c r="F1773" t="s">
        <v>21</v>
      </c>
      <c r="G1773" t="s">
        <v>32</v>
      </c>
      <c r="H1773">
        <v>18094.91</v>
      </c>
      <c r="I1773">
        <v>5</v>
      </c>
      <c r="J1773">
        <v>90474.55</v>
      </c>
      <c r="K1773">
        <v>2.62</v>
      </c>
    </row>
    <row r="1774" spans="1:11" x14ac:dyDescent="0.35">
      <c r="A1774" s="1">
        <v>45523</v>
      </c>
      <c r="B1774" t="s">
        <v>807</v>
      </c>
      <c r="C1774" t="s">
        <v>63</v>
      </c>
      <c r="D1774" t="s">
        <v>19</v>
      </c>
      <c r="E1774" t="s">
        <v>64</v>
      </c>
      <c r="F1774" t="s">
        <v>21</v>
      </c>
      <c r="G1774" t="s">
        <v>60</v>
      </c>
      <c r="H1774">
        <v>17360.599999999999</v>
      </c>
      <c r="I1774">
        <v>4</v>
      </c>
      <c r="J1774">
        <v>69442.399999999994</v>
      </c>
      <c r="K1774">
        <v>3.13</v>
      </c>
    </row>
    <row r="1775" spans="1:11" x14ac:dyDescent="0.35">
      <c r="A1775" s="1">
        <v>45523</v>
      </c>
      <c r="B1775" t="s">
        <v>1256</v>
      </c>
      <c r="C1775" t="s">
        <v>63</v>
      </c>
      <c r="D1775" t="s">
        <v>19</v>
      </c>
      <c r="E1775" t="s">
        <v>64</v>
      </c>
      <c r="F1775" t="s">
        <v>45</v>
      </c>
      <c r="G1775" t="s">
        <v>32</v>
      </c>
      <c r="H1775">
        <v>11436.41</v>
      </c>
      <c r="I1775">
        <v>2</v>
      </c>
      <c r="J1775">
        <v>22872.82</v>
      </c>
      <c r="K1775">
        <v>3.01</v>
      </c>
    </row>
    <row r="1776" spans="1:11" x14ac:dyDescent="0.35">
      <c r="A1776" s="1">
        <v>45523</v>
      </c>
      <c r="B1776" t="s">
        <v>1564</v>
      </c>
      <c r="C1776" t="s">
        <v>63</v>
      </c>
      <c r="D1776" t="s">
        <v>19</v>
      </c>
      <c r="E1776" t="s">
        <v>64</v>
      </c>
      <c r="F1776" t="s">
        <v>45</v>
      </c>
      <c r="G1776" t="s">
        <v>27</v>
      </c>
      <c r="H1776">
        <v>12640.25</v>
      </c>
      <c r="I1776">
        <v>2</v>
      </c>
      <c r="J1776">
        <v>25280.5</v>
      </c>
      <c r="K1776">
        <v>4.5</v>
      </c>
    </row>
    <row r="1777" spans="1:11" x14ac:dyDescent="0.35">
      <c r="A1777" s="1">
        <v>45524</v>
      </c>
      <c r="B1777" t="s">
        <v>256</v>
      </c>
      <c r="C1777" t="s">
        <v>18</v>
      </c>
      <c r="D1777" t="s">
        <v>19</v>
      </c>
      <c r="E1777" t="s">
        <v>20</v>
      </c>
      <c r="F1777" t="s">
        <v>15</v>
      </c>
      <c r="G1777" t="s">
        <v>32</v>
      </c>
      <c r="H1777">
        <v>2547.77</v>
      </c>
      <c r="I1777">
        <v>5</v>
      </c>
      <c r="J1777">
        <v>12738.85</v>
      </c>
      <c r="K1777">
        <v>1.38</v>
      </c>
    </row>
    <row r="1778" spans="1:11" x14ac:dyDescent="0.35">
      <c r="A1778" s="1">
        <v>45524</v>
      </c>
      <c r="B1778" t="s">
        <v>425</v>
      </c>
      <c r="C1778" t="s">
        <v>18</v>
      </c>
      <c r="D1778" t="s">
        <v>19</v>
      </c>
      <c r="E1778" t="s">
        <v>20</v>
      </c>
      <c r="F1778" t="s">
        <v>15</v>
      </c>
      <c r="G1778" t="s">
        <v>22</v>
      </c>
      <c r="H1778">
        <v>3831.68</v>
      </c>
      <c r="I1778">
        <v>1</v>
      </c>
      <c r="J1778">
        <v>3831.68</v>
      </c>
      <c r="K1778">
        <v>2.4300000000000002</v>
      </c>
    </row>
    <row r="1779" spans="1:11" x14ac:dyDescent="0.35">
      <c r="A1779" s="1">
        <v>45524</v>
      </c>
      <c r="B1779" t="s">
        <v>1714</v>
      </c>
      <c r="C1779" t="s">
        <v>63</v>
      </c>
      <c r="D1779" t="s">
        <v>19</v>
      </c>
      <c r="E1779" t="s">
        <v>64</v>
      </c>
      <c r="F1779" t="s">
        <v>45</v>
      </c>
      <c r="G1779" t="s">
        <v>16</v>
      </c>
      <c r="H1779">
        <v>3100.12</v>
      </c>
      <c r="I1779">
        <v>1</v>
      </c>
      <c r="J1779">
        <v>3100.12</v>
      </c>
      <c r="K1779">
        <v>4.4400000000000004</v>
      </c>
    </row>
    <row r="1780" spans="1:11" x14ac:dyDescent="0.35">
      <c r="A1780" s="1">
        <v>45525</v>
      </c>
      <c r="B1780" t="s">
        <v>990</v>
      </c>
      <c r="C1780" t="s">
        <v>63</v>
      </c>
      <c r="D1780" t="s">
        <v>19</v>
      </c>
      <c r="E1780" t="s">
        <v>64</v>
      </c>
      <c r="F1780" t="s">
        <v>45</v>
      </c>
      <c r="G1780" t="s">
        <v>39</v>
      </c>
      <c r="H1780">
        <v>3814.03</v>
      </c>
      <c r="I1780">
        <v>2</v>
      </c>
      <c r="J1780">
        <v>7628.06</v>
      </c>
      <c r="K1780">
        <v>3.3</v>
      </c>
    </row>
    <row r="1781" spans="1:11" x14ac:dyDescent="0.35">
      <c r="A1781" s="1">
        <v>45525</v>
      </c>
      <c r="B1781" t="s">
        <v>1688</v>
      </c>
      <c r="C1781" t="s">
        <v>63</v>
      </c>
      <c r="D1781" t="s">
        <v>19</v>
      </c>
      <c r="E1781" t="s">
        <v>64</v>
      </c>
      <c r="F1781" t="s">
        <v>45</v>
      </c>
      <c r="G1781" t="s">
        <v>60</v>
      </c>
      <c r="H1781">
        <v>6570.75</v>
      </c>
      <c r="I1781">
        <v>1</v>
      </c>
      <c r="J1781">
        <v>6570.75</v>
      </c>
      <c r="K1781">
        <v>4.59</v>
      </c>
    </row>
    <row r="1782" spans="1:11" x14ac:dyDescent="0.35">
      <c r="A1782" s="1">
        <v>45526</v>
      </c>
      <c r="B1782" t="s">
        <v>645</v>
      </c>
      <c r="C1782" t="s">
        <v>63</v>
      </c>
      <c r="D1782" t="s">
        <v>19</v>
      </c>
      <c r="E1782" t="s">
        <v>64</v>
      </c>
      <c r="F1782" t="s">
        <v>21</v>
      </c>
      <c r="G1782" t="s">
        <v>27</v>
      </c>
      <c r="H1782">
        <v>18019.04</v>
      </c>
      <c r="I1782">
        <v>2</v>
      </c>
      <c r="J1782">
        <v>36038.080000000002</v>
      </c>
      <c r="K1782">
        <v>1.84</v>
      </c>
    </row>
    <row r="1783" spans="1:11" x14ac:dyDescent="0.35">
      <c r="A1783" s="1">
        <v>45527</v>
      </c>
      <c r="B1783" t="s">
        <v>1262</v>
      </c>
      <c r="C1783" t="s">
        <v>63</v>
      </c>
      <c r="D1783" t="s">
        <v>19</v>
      </c>
      <c r="E1783" t="s">
        <v>64</v>
      </c>
      <c r="F1783" t="s">
        <v>15</v>
      </c>
      <c r="G1783" t="s">
        <v>39</v>
      </c>
      <c r="H1783">
        <v>939.36</v>
      </c>
      <c r="I1783">
        <v>1</v>
      </c>
      <c r="J1783">
        <v>939.36</v>
      </c>
      <c r="K1783">
        <v>1.49</v>
      </c>
    </row>
    <row r="1784" spans="1:11" x14ac:dyDescent="0.35">
      <c r="A1784" s="1">
        <v>45527</v>
      </c>
      <c r="B1784" t="s">
        <v>1806</v>
      </c>
      <c r="C1784" t="s">
        <v>37</v>
      </c>
      <c r="D1784" t="s">
        <v>19</v>
      </c>
      <c r="E1784" t="s">
        <v>38</v>
      </c>
      <c r="F1784" t="s">
        <v>21</v>
      </c>
      <c r="G1784" t="s">
        <v>27</v>
      </c>
      <c r="H1784">
        <v>15928.22</v>
      </c>
      <c r="I1784">
        <v>3</v>
      </c>
      <c r="J1784">
        <v>47784.66</v>
      </c>
      <c r="K1784">
        <v>3.1</v>
      </c>
    </row>
    <row r="1785" spans="1:11" x14ac:dyDescent="0.35">
      <c r="A1785" s="1">
        <v>45528</v>
      </c>
      <c r="B1785" t="s">
        <v>1582</v>
      </c>
      <c r="C1785" t="s">
        <v>37</v>
      </c>
      <c r="D1785" t="s">
        <v>19</v>
      </c>
      <c r="E1785" t="s">
        <v>38</v>
      </c>
      <c r="F1785" t="s">
        <v>45</v>
      </c>
      <c r="G1785" t="s">
        <v>32</v>
      </c>
      <c r="H1785">
        <v>15942.59</v>
      </c>
      <c r="I1785">
        <v>2</v>
      </c>
      <c r="J1785">
        <v>31885.18</v>
      </c>
      <c r="K1785">
        <v>3.27</v>
      </c>
    </row>
    <row r="1786" spans="1:11" x14ac:dyDescent="0.35">
      <c r="A1786" s="1">
        <v>45529</v>
      </c>
      <c r="B1786" t="s">
        <v>651</v>
      </c>
      <c r="C1786" t="s">
        <v>18</v>
      </c>
      <c r="D1786" t="s">
        <v>19</v>
      </c>
      <c r="E1786" t="s">
        <v>20</v>
      </c>
      <c r="F1786" t="s">
        <v>45</v>
      </c>
      <c r="G1786" t="s">
        <v>22</v>
      </c>
      <c r="H1786">
        <v>15788.29</v>
      </c>
      <c r="I1786">
        <v>5</v>
      </c>
      <c r="J1786">
        <v>78941.45</v>
      </c>
      <c r="K1786">
        <v>4.51</v>
      </c>
    </row>
    <row r="1787" spans="1:11" x14ac:dyDescent="0.35">
      <c r="A1787" s="1">
        <v>45529</v>
      </c>
      <c r="B1787" t="s">
        <v>837</v>
      </c>
      <c r="C1787" t="s">
        <v>37</v>
      </c>
      <c r="D1787" t="s">
        <v>19</v>
      </c>
      <c r="E1787" t="s">
        <v>38</v>
      </c>
      <c r="F1787" t="s">
        <v>15</v>
      </c>
      <c r="G1787" t="s">
        <v>22</v>
      </c>
      <c r="H1787">
        <v>9446.2900000000009</v>
      </c>
      <c r="I1787">
        <v>3</v>
      </c>
      <c r="J1787">
        <v>28338.87</v>
      </c>
      <c r="K1787">
        <v>1.17</v>
      </c>
    </row>
    <row r="1788" spans="1:11" x14ac:dyDescent="0.35">
      <c r="A1788" s="1">
        <v>45530</v>
      </c>
      <c r="B1788" t="s">
        <v>513</v>
      </c>
      <c r="C1788" t="s">
        <v>37</v>
      </c>
      <c r="D1788" t="s">
        <v>19</v>
      </c>
      <c r="E1788" t="s">
        <v>38</v>
      </c>
      <c r="F1788" t="s">
        <v>21</v>
      </c>
      <c r="G1788" t="s">
        <v>16</v>
      </c>
      <c r="H1788">
        <v>11249.5</v>
      </c>
      <c r="I1788">
        <v>1</v>
      </c>
      <c r="J1788">
        <v>11249.5</v>
      </c>
      <c r="K1788">
        <v>2.14</v>
      </c>
    </row>
    <row r="1789" spans="1:11" x14ac:dyDescent="0.35">
      <c r="A1789" s="1">
        <v>45530</v>
      </c>
      <c r="B1789" t="s">
        <v>728</v>
      </c>
      <c r="C1789" t="s">
        <v>37</v>
      </c>
      <c r="D1789" t="s">
        <v>19</v>
      </c>
      <c r="E1789" t="s">
        <v>38</v>
      </c>
      <c r="F1789" t="s">
        <v>45</v>
      </c>
      <c r="G1789" t="s">
        <v>60</v>
      </c>
      <c r="H1789">
        <v>10892.9</v>
      </c>
      <c r="I1789">
        <v>1</v>
      </c>
      <c r="J1789">
        <v>10892.9</v>
      </c>
      <c r="K1789">
        <v>3.16</v>
      </c>
    </row>
    <row r="1790" spans="1:11" x14ac:dyDescent="0.35">
      <c r="A1790" s="1">
        <v>45531</v>
      </c>
      <c r="B1790" t="s">
        <v>1020</v>
      </c>
      <c r="C1790" t="s">
        <v>37</v>
      </c>
      <c r="D1790" t="s">
        <v>19</v>
      </c>
      <c r="E1790" t="s">
        <v>38</v>
      </c>
      <c r="F1790" t="s">
        <v>21</v>
      </c>
      <c r="G1790" t="s">
        <v>39</v>
      </c>
      <c r="H1790">
        <v>7594.47</v>
      </c>
      <c r="I1790">
        <v>1</v>
      </c>
      <c r="J1790">
        <v>7594.47</v>
      </c>
      <c r="K1790">
        <v>3.79</v>
      </c>
    </row>
    <row r="1791" spans="1:11" x14ac:dyDescent="0.35">
      <c r="A1791" s="1">
        <v>45531</v>
      </c>
      <c r="B1791" t="s">
        <v>1947</v>
      </c>
      <c r="C1791" t="s">
        <v>63</v>
      </c>
      <c r="D1791" t="s">
        <v>19</v>
      </c>
      <c r="E1791" t="s">
        <v>64</v>
      </c>
      <c r="F1791" t="s">
        <v>21</v>
      </c>
      <c r="G1791" t="s">
        <v>60</v>
      </c>
      <c r="H1791">
        <v>16006.5</v>
      </c>
      <c r="I1791">
        <v>4</v>
      </c>
      <c r="J1791">
        <v>64026</v>
      </c>
      <c r="K1791">
        <v>2.82</v>
      </c>
    </row>
    <row r="1792" spans="1:11" x14ac:dyDescent="0.35">
      <c r="A1792" s="1">
        <v>45532</v>
      </c>
      <c r="B1792" t="s">
        <v>373</v>
      </c>
      <c r="C1792" t="s">
        <v>18</v>
      </c>
      <c r="D1792" t="s">
        <v>19</v>
      </c>
      <c r="E1792" t="s">
        <v>20</v>
      </c>
      <c r="F1792" t="s">
        <v>45</v>
      </c>
      <c r="G1792" t="s">
        <v>39</v>
      </c>
      <c r="H1792">
        <v>133.61000000000001</v>
      </c>
      <c r="I1792">
        <v>4</v>
      </c>
      <c r="J1792">
        <v>534.44000000000005</v>
      </c>
      <c r="K1792">
        <v>4.1100000000000003</v>
      </c>
    </row>
    <row r="1793" spans="1:11" x14ac:dyDescent="0.35">
      <c r="A1793" s="1">
        <v>45533</v>
      </c>
      <c r="B1793" t="s">
        <v>201</v>
      </c>
      <c r="C1793" t="s">
        <v>37</v>
      </c>
      <c r="D1793" t="s">
        <v>19</v>
      </c>
      <c r="E1793" t="s">
        <v>38</v>
      </c>
      <c r="F1793" t="s">
        <v>15</v>
      </c>
      <c r="G1793" t="s">
        <v>27</v>
      </c>
      <c r="H1793">
        <v>816.2</v>
      </c>
      <c r="I1793">
        <v>2</v>
      </c>
      <c r="J1793">
        <v>1632.4</v>
      </c>
      <c r="K1793">
        <v>4.54</v>
      </c>
    </row>
    <row r="1794" spans="1:11" x14ac:dyDescent="0.35">
      <c r="A1794" s="1">
        <v>45533</v>
      </c>
      <c r="B1794" t="s">
        <v>1663</v>
      </c>
      <c r="C1794" t="s">
        <v>18</v>
      </c>
      <c r="D1794" t="s">
        <v>19</v>
      </c>
      <c r="E1794" t="s">
        <v>20</v>
      </c>
      <c r="F1794" t="s">
        <v>45</v>
      </c>
      <c r="G1794" t="s">
        <v>39</v>
      </c>
      <c r="H1794">
        <v>1350.6</v>
      </c>
      <c r="I1794">
        <v>3</v>
      </c>
      <c r="J1794">
        <v>4051.8</v>
      </c>
      <c r="K1794">
        <v>4.95</v>
      </c>
    </row>
    <row r="1795" spans="1:11" x14ac:dyDescent="0.35">
      <c r="A1795" s="1">
        <v>45534</v>
      </c>
      <c r="B1795" t="s">
        <v>971</v>
      </c>
      <c r="C1795" t="s">
        <v>37</v>
      </c>
      <c r="D1795" t="s">
        <v>19</v>
      </c>
      <c r="E1795" t="s">
        <v>38</v>
      </c>
      <c r="F1795" t="s">
        <v>21</v>
      </c>
      <c r="G1795" t="s">
        <v>32</v>
      </c>
      <c r="H1795">
        <v>9723.02</v>
      </c>
      <c r="I1795">
        <v>1</v>
      </c>
      <c r="J1795">
        <v>9723.02</v>
      </c>
      <c r="K1795">
        <v>4.9400000000000004</v>
      </c>
    </row>
    <row r="1796" spans="1:11" x14ac:dyDescent="0.35">
      <c r="A1796" s="1">
        <v>45534</v>
      </c>
      <c r="B1796" t="s">
        <v>1245</v>
      </c>
      <c r="C1796" t="s">
        <v>37</v>
      </c>
      <c r="D1796" t="s">
        <v>19</v>
      </c>
      <c r="E1796" t="s">
        <v>38</v>
      </c>
      <c r="F1796" t="s">
        <v>21</v>
      </c>
      <c r="G1796" t="s">
        <v>32</v>
      </c>
      <c r="H1796">
        <v>7912.41</v>
      </c>
      <c r="I1796">
        <v>2</v>
      </c>
      <c r="J1796">
        <v>15824.82</v>
      </c>
      <c r="K1796">
        <v>2.0699999999999998</v>
      </c>
    </row>
    <row r="1797" spans="1:11" x14ac:dyDescent="0.35">
      <c r="A1797" s="1">
        <v>45534</v>
      </c>
      <c r="B1797" t="s">
        <v>1556</v>
      </c>
      <c r="C1797" t="s">
        <v>18</v>
      </c>
      <c r="D1797" t="s">
        <v>19</v>
      </c>
      <c r="E1797" t="s">
        <v>20</v>
      </c>
      <c r="F1797" t="s">
        <v>45</v>
      </c>
      <c r="G1797" t="s">
        <v>32</v>
      </c>
      <c r="H1797">
        <v>826.43</v>
      </c>
      <c r="I1797">
        <v>5</v>
      </c>
      <c r="J1797">
        <v>4132.1499999999996</v>
      </c>
      <c r="K1797">
        <v>3.73</v>
      </c>
    </row>
    <row r="1798" spans="1:11" x14ac:dyDescent="0.35">
      <c r="A1798" s="1">
        <v>45534</v>
      </c>
      <c r="B1798" t="s">
        <v>1793</v>
      </c>
      <c r="C1798" t="s">
        <v>63</v>
      </c>
      <c r="D1798" t="s">
        <v>19</v>
      </c>
      <c r="E1798" t="s">
        <v>64</v>
      </c>
      <c r="F1798" t="s">
        <v>21</v>
      </c>
      <c r="G1798" t="s">
        <v>60</v>
      </c>
      <c r="H1798">
        <v>6024.55</v>
      </c>
      <c r="I1798">
        <v>2</v>
      </c>
      <c r="J1798">
        <v>12049.1</v>
      </c>
      <c r="K1798">
        <v>4.7</v>
      </c>
    </row>
    <row r="1799" spans="1:11" x14ac:dyDescent="0.35">
      <c r="A1799" s="1">
        <v>45536</v>
      </c>
      <c r="B1799" t="s">
        <v>1786</v>
      </c>
      <c r="C1799" t="s">
        <v>63</v>
      </c>
      <c r="D1799" t="s">
        <v>19</v>
      </c>
      <c r="E1799" t="s">
        <v>64</v>
      </c>
      <c r="F1799" t="s">
        <v>45</v>
      </c>
      <c r="G1799" t="s">
        <v>39</v>
      </c>
      <c r="H1799">
        <v>5402.68</v>
      </c>
      <c r="I1799">
        <v>4</v>
      </c>
      <c r="J1799">
        <v>21610.720000000001</v>
      </c>
      <c r="K1799">
        <v>1.76</v>
      </c>
    </row>
    <row r="1800" spans="1:11" x14ac:dyDescent="0.35">
      <c r="A1800" s="1">
        <v>45538</v>
      </c>
      <c r="B1800" t="s">
        <v>196</v>
      </c>
      <c r="C1800" t="s">
        <v>63</v>
      </c>
      <c r="D1800" t="s">
        <v>19</v>
      </c>
      <c r="E1800" t="s">
        <v>64</v>
      </c>
      <c r="F1800" t="s">
        <v>21</v>
      </c>
      <c r="G1800" t="s">
        <v>27</v>
      </c>
      <c r="H1800">
        <v>4081.63</v>
      </c>
      <c r="I1800">
        <v>1</v>
      </c>
      <c r="J1800">
        <v>4081.63</v>
      </c>
      <c r="K1800">
        <v>4.3600000000000003</v>
      </c>
    </row>
    <row r="1801" spans="1:11" x14ac:dyDescent="0.35">
      <c r="A1801" s="1">
        <v>45538</v>
      </c>
      <c r="B1801" t="s">
        <v>983</v>
      </c>
      <c r="C1801" t="s">
        <v>18</v>
      </c>
      <c r="D1801" t="s">
        <v>19</v>
      </c>
      <c r="E1801" t="s">
        <v>20</v>
      </c>
      <c r="F1801" t="s">
        <v>21</v>
      </c>
      <c r="G1801" t="s">
        <v>22</v>
      </c>
      <c r="H1801">
        <v>13216.81</v>
      </c>
      <c r="I1801">
        <v>3</v>
      </c>
      <c r="J1801">
        <v>39650.43</v>
      </c>
      <c r="K1801">
        <v>3.12</v>
      </c>
    </row>
    <row r="1802" spans="1:11" x14ac:dyDescent="0.35">
      <c r="A1802" s="1">
        <v>45538</v>
      </c>
      <c r="B1802" t="s">
        <v>1341</v>
      </c>
      <c r="C1802" t="s">
        <v>63</v>
      </c>
      <c r="D1802" t="s">
        <v>19</v>
      </c>
      <c r="E1802" t="s">
        <v>64</v>
      </c>
      <c r="F1802" t="s">
        <v>45</v>
      </c>
      <c r="G1802" t="s">
        <v>27</v>
      </c>
      <c r="H1802">
        <v>406.76</v>
      </c>
      <c r="I1802">
        <v>4</v>
      </c>
      <c r="J1802">
        <v>1627.04</v>
      </c>
      <c r="K1802">
        <v>1.18</v>
      </c>
    </row>
    <row r="1803" spans="1:11" x14ac:dyDescent="0.35">
      <c r="A1803" s="1">
        <v>45538</v>
      </c>
      <c r="B1803" t="s">
        <v>1798</v>
      </c>
      <c r="C1803" t="s">
        <v>63</v>
      </c>
      <c r="D1803" t="s">
        <v>19</v>
      </c>
      <c r="E1803" t="s">
        <v>64</v>
      </c>
      <c r="F1803" t="s">
        <v>21</v>
      </c>
      <c r="G1803" t="s">
        <v>16</v>
      </c>
      <c r="H1803">
        <v>9248.68</v>
      </c>
      <c r="I1803">
        <v>5</v>
      </c>
      <c r="J1803">
        <v>46243.4</v>
      </c>
      <c r="K1803">
        <v>3.79</v>
      </c>
    </row>
    <row r="1804" spans="1:11" x14ac:dyDescent="0.35">
      <c r="A1804" s="1">
        <v>45539</v>
      </c>
      <c r="B1804" t="s">
        <v>471</v>
      </c>
      <c r="C1804" t="s">
        <v>63</v>
      </c>
      <c r="D1804" t="s">
        <v>19</v>
      </c>
      <c r="E1804" t="s">
        <v>64</v>
      </c>
      <c r="F1804" t="s">
        <v>21</v>
      </c>
      <c r="G1804" t="s">
        <v>27</v>
      </c>
      <c r="H1804">
        <v>18883.009999999998</v>
      </c>
      <c r="I1804">
        <v>4</v>
      </c>
      <c r="J1804">
        <v>75532.039999999994</v>
      </c>
      <c r="K1804">
        <v>1.66</v>
      </c>
    </row>
    <row r="1805" spans="1:11" x14ac:dyDescent="0.35">
      <c r="A1805" s="1">
        <v>45539</v>
      </c>
      <c r="B1805" t="s">
        <v>1469</v>
      </c>
      <c r="C1805" t="s">
        <v>63</v>
      </c>
      <c r="D1805" t="s">
        <v>19</v>
      </c>
      <c r="E1805" t="s">
        <v>64</v>
      </c>
      <c r="F1805" t="s">
        <v>15</v>
      </c>
      <c r="G1805" t="s">
        <v>39</v>
      </c>
      <c r="H1805">
        <v>11423.37</v>
      </c>
      <c r="I1805">
        <v>2</v>
      </c>
      <c r="J1805">
        <v>22846.74</v>
      </c>
      <c r="K1805">
        <v>3.38</v>
      </c>
    </row>
    <row r="1806" spans="1:11" x14ac:dyDescent="0.35">
      <c r="A1806" s="1">
        <v>45540</v>
      </c>
      <c r="B1806" t="s">
        <v>574</v>
      </c>
      <c r="C1806" t="s">
        <v>63</v>
      </c>
      <c r="D1806" t="s">
        <v>19</v>
      </c>
      <c r="E1806" t="s">
        <v>64</v>
      </c>
      <c r="F1806" t="s">
        <v>21</v>
      </c>
      <c r="G1806" t="s">
        <v>22</v>
      </c>
      <c r="H1806">
        <v>17042.849999999999</v>
      </c>
      <c r="I1806">
        <v>1</v>
      </c>
      <c r="J1806">
        <v>17042.849999999999</v>
      </c>
      <c r="K1806">
        <v>3.95</v>
      </c>
    </row>
    <row r="1807" spans="1:11" x14ac:dyDescent="0.35">
      <c r="A1807" s="1">
        <v>45540</v>
      </c>
      <c r="B1807" t="s">
        <v>1017</v>
      </c>
      <c r="C1807" t="s">
        <v>18</v>
      </c>
      <c r="D1807" t="s">
        <v>19</v>
      </c>
      <c r="E1807" t="s">
        <v>20</v>
      </c>
      <c r="F1807" t="s">
        <v>21</v>
      </c>
      <c r="G1807" t="s">
        <v>39</v>
      </c>
      <c r="H1807">
        <v>5493.96</v>
      </c>
      <c r="I1807">
        <v>1</v>
      </c>
      <c r="J1807">
        <v>5493.96</v>
      </c>
      <c r="K1807">
        <v>1.31</v>
      </c>
    </row>
    <row r="1808" spans="1:11" x14ac:dyDescent="0.35">
      <c r="A1808" s="1">
        <v>45540</v>
      </c>
      <c r="B1808" t="s">
        <v>1781</v>
      </c>
      <c r="C1808" t="s">
        <v>37</v>
      </c>
      <c r="D1808" t="s">
        <v>19</v>
      </c>
      <c r="E1808" t="s">
        <v>38</v>
      </c>
      <c r="F1808" t="s">
        <v>15</v>
      </c>
      <c r="G1808" t="s">
        <v>32</v>
      </c>
      <c r="H1808">
        <v>19921.73</v>
      </c>
      <c r="I1808">
        <v>4</v>
      </c>
      <c r="J1808">
        <v>79686.92</v>
      </c>
      <c r="K1808">
        <v>3.2</v>
      </c>
    </row>
    <row r="1809" spans="1:11" x14ac:dyDescent="0.35">
      <c r="A1809" s="1">
        <v>45541</v>
      </c>
      <c r="B1809" t="s">
        <v>226</v>
      </c>
      <c r="C1809" t="s">
        <v>18</v>
      </c>
      <c r="D1809" t="s">
        <v>19</v>
      </c>
      <c r="E1809" t="s">
        <v>20</v>
      </c>
      <c r="F1809" t="s">
        <v>45</v>
      </c>
      <c r="G1809" t="s">
        <v>39</v>
      </c>
      <c r="H1809">
        <v>5063.71</v>
      </c>
      <c r="I1809">
        <v>3</v>
      </c>
      <c r="J1809">
        <v>15191.13</v>
      </c>
      <c r="K1809">
        <v>4.32</v>
      </c>
    </row>
    <row r="1810" spans="1:11" x14ac:dyDescent="0.35">
      <c r="A1810" s="1">
        <v>45541</v>
      </c>
      <c r="B1810" t="s">
        <v>447</v>
      </c>
      <c r="C1810" t="s">
        <v>37</v>
      </c>
      <c r="D1810" t="s">
        <v>19</v>
      </c>
      <c r="E1810" t="s">
        <v>38</v>
      </c>
      <c r="F1810" t="s">
        <v>21</v>
      </c>
      <c r="G1810" t="s">
        <v>27</v>
      </c>
      <c r="H1810">
        <v>14557.88</v>
      </c>
      <c r="I1810">
        <v>5</v>
      </c>
      <c r="J1810">
        <v>72789.399999999994</v>
      </c>
      <c r="K1810">
        <v>3.04</v>
      </c>
    </row>
    <row r="1811" spans="1:11" x14ac:dyDescent="0.35">
      <c r="A1811" s="1">
        <v>45541</v>
      </c>
      <c r="B1811" t="s">
        <v>483</v>
      </c>
      <c r="C1811" t="s">
        <v>37</v>
      </c>
      <c r="D1811" t="s">
        <v>19</v>
      </c>
      <c r="E1811" t="s">
        <v>38</v>
      </c>
      <c r="F1811" t="s">
        <v>21</v>
      </c>
      <c r="G1811" t="s">
        <v>39</v>
      </c>
      <c r="H1811">
        <v>13826.8</v>
      </c>
      <c r="I1811">
        <v>3</v>
      </c>
      <c r="J1811">
        <v>41480.400000000001</v>
      </c>
      <c r="K1811">
        <v>4.04</v>
      </c>
    </row>
    <row r="1812" spans="1:11" x14ac:dyDescent="0.35">
      <c r="A1812" s="1">
        <v>45542</v>
      </c>
      <c r="B1812" t="s">
        <v>1422</v>
      </c>
      <c r="C1812" t="s">
        <v>18</v>
      </c>
      <c r="D1812" t="s">
        <v>19</v>
      </c>
      <c r="E1812" t="s">
        <v>20</v>
      </c>
      <c r="F1812" t="s">
        <v>45</v>
      </c>
      <c r="G1812" t="s">
        <v>22</v>
      </c>
      <c r="H1812">
        <v>17069.68</v>
      </c>
      <c r="I1812">
        <v>2</v>
      </c>
      <c r="J1812">
        <v>34139.360000000001</v>
      </c>
      <c r="K1812">
        <v>3.15</v>
      </c>
    </row>
    <row r="1813" spans="1:11" x14ac:dyDescent="0.35">
      <c r="A1813" s="1">
        <v>45543</v>
      </c>
      <c r="B1813" t="s">
        <v>168</v>
      </c>
      <c r="C1813" t="s">
        <v>18</v>
      </c>
      <c r="D1813" t="s">
        <v>19</v>
      </c>
      <c r="E1813" t="s">
        <v>20</v>
      </c>
      <c r="F1813" t="s">
        <v>45</v>
      </c>
      <c r="G1813" t="s">
        <v>27</v>
      </c>
      <c r="H1813">
        <v>2582.44</v>
      </c>
      <c r="I1813">
        <v>4</v>
      </c>
      <c r="J1813">
        <v>10329.76</v>
      </c>
      <c r="K1813">
        <v>3.82</v>
      </c>
    </row>
    <row r="1814" spans="1:11" x14ac:dyDescent="0.35">
      <c r="A1814" s="1">
        <v>45544</v>
      </c>
      <c r="B1814" t="s">
        <v>1324</v>
      </c>
      <c r="C1814" t="s">
        <v>37</v>
      </c>
      <c r="D1814" t="s">
        <v>19</v>
      </c>
      <c r="E1814" t="s">
        <v>38</v>
      </c>
      <c r="F1814" t="s">
        <v>45</v>
      </c>
      <c r="G1814" t="s">
        <v>39</v>
      </c>
      <c r="H1814">
        <v>14780.15</v>
      </c>
      <c r="I1814">
        <v>4</v>
      </c>
      <c r="J1814">
        <v>59120.6</v>
      </c>
      <c r="K1814">
        <v>3.99</v>
      </c>
    </row>
    <row r="1815" spans="1:11" x14ac:dyDescent="0.35">
      <c r="A1815" s="1">
        <v>45545</v>
      </c>
      <c r="B1815" t="s">
        <v>408</v>
      </c>
      <c r="C1815" t="s">
        <v>18</v>
      </c>
      <c r="D1815" t="s">
        <v>19</v>
      </c>
      <c r="E1815" t="s">
        <v>20</v>
      </c>
      <c r="F1815" t="s">
        <v>15</v>
      </c>
      <c r="G1815" t="s">
        <v>32</v>
      </c>
      <c r="H1815">
        <v>3043.11</v>
      </c>
      <c r="I1815">
        <v>5</v>
      </c>
      <c r="J1815">
        <v>15215.55</v>
      </c>
      <c r="K1815">
        <v>4.54</v>
      </c>
    </row>
    <row r="1816" spans="1:11" x14ac:dyDescent="0.35">
      <c r="A1816" s="1">
        <v>45545</v>
      </c>
      <c r="B1816" t="s">
        <v>538</v>
      </c>
      <c r="C1816" t="s">
        <v>37</v>
      </c>
      <c r="D1816" t="s">
        <v>19</v>
      </c>
      <c r="E1816" t="s">
        <v>38</v>
      </c>
      <c r="F1816" t="s">
        <v>45</v>
      </c>
      <c r="G1816" t="s">
        <v>39</v>
      </c>
      <c r="H1816">
        <v>14567.37</v>
      </c>
      <c r="I1816">
        <v>4</v>
      </c>
      <c r="J1816">
        <v>58269.48</v>
      </c>
      <c r="K1816">
        <v>1.55</v>
      </c>
    </row>
    <row r="1817" spans="1:11" x14ac:dyDescent="0.35">
      <c r="A1817" s="1">
        <v>45546</v>
      </c>
      <c r="B1817" t="s">
        <v>2025</v>
      </c>
      <c r="C1817" t="s">
        <v>37</v>
      </c>
      <c r="D1817" t="s">
        <v>19</v>
      </c>
      <c r="E1817" t="s">
        <v>38</v>
      </c>
      <c r="F1817" t="s">
        <v>21</v>
      </c>
      <c r="G1817" t="s">
        <v>39</v>
      </c>
      <c r="H1817">
        <v>5983.66</v>
      </c>
      <c r="I1817">
        <v>4</v>
      </c>
      <c r="J1817">
        <v>23934.639999999999</v>
      </c>
      <c r="K1817">
        <v>1.74</v>
      </c>
    </row>
    <row r="1818" spans="1:11" x14ac:dyDescent="0.35">
      <c r="A1818" s="1">
        <v>45547</v>
      </c>
      <c r="B1818" t="s">
        <v>468</v>
      </c>
      <c r="C1818" t="s">
        <v>18</v>
      </c>
      <c r="D1818" t="s">
        <v>19</v>
      </c>
      <c r="E1818" t="s">
        <v>20</v>
      </c>
      <c r="F1818" t="s">
        <v>21</v>
      </c>
      <c r="G1818" t="s">
        <v>60</v>
      </c>
      <c r="H1818">
        <v>13229.82</v>
      </c>
      <c r="I1818">
        <v>4</v>
      </c>
      <c r="J1818">
        <v>52919.28</v>
      </c>
      <c r="K1818">
        <v>2.19</v>
      </c>
    </row>
    <row r="1819" spans="1:11" x14ac:dyDescent="0.35">
      <c r="A1819" s="1">
        <v>45547</v>
      </c>
      <c r="B1819" t="s">
        <v>1356</v>
      </c>
      <c r="C1819" t="s">
        <v>18</v>
      </c>
      <c r="D1819" t="s">
        <v>19</v>
      </c>
      <c r="E1819" t="s">
        <v>20</v>
      </c>
      <c r="F1819" t="s">
        <v>15</v>
      </c>
      <c r="G1819" t="s">
        <v>22</v>
      </c>
      <c r="H1819">
        <v>11541.52</v>
      </c>
      <c r="I1819">
        <v>4</v>
      </c>
      <c r="J1819">
        <v>46166.080000000002</v>
      </c>
      <c r="K1819">
        <v>2.56</v>
      </c>
    </row>
    <row r="1820" spans="1:11" x14ac:dyDescent="0.35">
      <c r="A1820" s="1">
        <v>45547</v>
      </c>
      <c r="B1820" t="s">
        <v>1440</v>
      </c>
      <c r="C1820" t="s">
        <v>63</v>
      </c>
      <c r="D1820" t="s">
        <v>19</v>
      </c>
      <c r="E1820" t="s">
        <v>64</v>
      </c>
      <c r="F1820" t="s">
        <v>21</v>
      </c>
      <c r="G1820" t="s">
        <v>27</v>
      </c>
      <c r="H1820">
        <v>9632.0400000000009</v>
      </c>
      <c r="I1820">
        <v>5</v>
      </c>
      <c r="J1820">
        <v>48160.2</v>
      </c>
      <c r="K1820">
        <v>3.99</v>
      </c>
    </row>
    <row r="1821" spans="1:11" x14ac:dyDescent="0.35">
      <c r="A1821" s="1">
        <v>45548</v>
      </c>
      <c r="B1821" t="s">
        <v>487</v>
      </c>
      <c r="C1821" t="s">
        <v>37</v>
      </c>
      <c r="D1821" t="s">
        <v>19</v>
      </c>
      <c r="E1821" t="s">
        <v>38</v>
      </c>
      <c r="F1821" t="s">
        <v>15</v>
      </c>
      <c r="G1821" t="s">
        <v>27</v>
      </c>
      <c r="H1821">
        <v>11805.34</v>
      </c>
      <c r="I1821">
        <v>5</v>
      </c>
      <c r="J1821">
        <v>59026.7</v>
      </c>
      <c r="K1821">
        <v>3.88</v>
      </c>
    </row>
    <row r="1822" spans="1:11" x14ac:dyDescent="0.35">
      <c r="A1822" s="1">
        <v>45548</v>
      </c>
      <c r="B1822" t="s">
        <v>1151</v>
      </c>
      <c r="C1822" t="s">
        <v>18</v>
      </c>
      <c r="D1822" t="s">
        <v>19</v>
      </c>
      <c r="E1822" t="s">
        <v>20</v>
      </c>
      <c r="F1822" t="s">
        <v>15</v>
      </c>
      <c r="G1822" t="s">
        <v>16</v>
      </c>
      <c r="H1822">
        <v>3457.63</v>
      </c>
      <c r="I1822">
        <v>1</v>
      </c>
      <c r="J1822">
        <v>3457.63</v>
      </c>
      <c r="K1822">
        <v>2.23</v>
      </c>
    </row>
    <row r="1823" spans="1:11" x14ac:dyDescent="0.35">
      <c r="A1823" s="1">
        <v>45548</v>
      </c>
      <c r="B1823" t="s">
        <v>1166</v>
      </c>
      <c r="C1823" t="s">
        <v>18</v>
      </c>
      <c r="D1823" t="s">
        <v>19</v>
      </c>
      <c r="E1823" t="s">
        <v>20</v>
      </c>
      <c r="F1823" t="s">
        <v>21</v>
      </c>
      <c r="G1823" t="s">
        <v>27</v>
      </c>
      <c r="H1823">
        <v>9942.0499999999993</v>
      </c>
      <c r="I1823">
        <v>1</v>
      </c>
      <c r="J1823">
        <v>9942.0499999999993</v>
      </c>
      <c r="K1823">
        <v>2.79</v>
      </c>
    </row>
    <row r="1824" spans="1:11" x14ac:dyDescent="0.35">
      <c r="A1824" s="1">
        <v>45549</v>
      </c>
      <c r="B1824" t="s">
        <v>841</v>
      </c>
      <c r="C1824" t="s">
        <v>18</v>
      </c>
      <c r="D1824" t="s">
        <v>19</v>
      </c>
      <c r="E1824" t="s">
        <v>20</v>
      </c>
      <c r="F1824" t="s">
        <v>21</v>
      </c>
      <c r="G1824" t="s">
        <v>39</v>
      </c>
      <c r="H1824">
        <v>13801.39</v>
      </c>
      <c r="I1824">
        <v>1</v>
      </c>
      <c r="J1824">
        <v>13801.39</v>
      </c>
      <c r="K1824">
        <v>1.63</v>
      </c>
    </row>
    <row r="1825" spans="1:11" x14ac:dyDescent="0.35">
      <c r="A1825" s="1">
        <v>45549</v>
      </c>
      <c r="B1825" t="s">
        <v>1182</v>
      </c>
      <c r="C1825" t="s">
        <v>63</v>
      </c>
      <c r="D1825" t="s">
        <v>19</v>
      </c>
      <c r="E1825" t="s">
        <v>64</v>
      </c>
      <c r="F1825" t="s">
        <v>15</v>
      </c>
      <c r="G1825" t="s">
        <v>32</v>
      </c>
      <c r="H1825">
        <v>6941.15</v>
      </c>
      <c r="I1825">
        <v>4</v>
      </c>
      <c r="J1825">
        <v>27764.6</v>
      </c>
      <c r="K1825">
        <v>2.91</v>
      </c>
    </row>
    <row r="1826" spans="1:11" x14ac:dyDescent="0.35">
      <c r="A1826" s="1">
        <v>45549</v>
      </c>
      <c r="B1826" t="s">
        <v>1272</v>
      </c>
      <c r="C1826" t="s">
        <v>63</v>
      </c>
      <c r="D1826" t="s">
        <v>19</v>
      </c>
      <c r="E1826" t="s">
        <v>64</v>
      </c>
      <c r="F1826" t="s">
        <v>21</v>
      </c>
      <c r="G1826" t="s">
        <v>32</v>
      </c>
      <c r="H1826">
        <v>8255.7000000000007</v>
      </c>
      <c r="I1826">
        <v>5</v>
      </c>
      <c r="J1826">
        <v>41278.5</v>
      </c>
      <c r="K1826">
        <v>2.9</v>
      </c>
    </row>
    <row r="1827" spans="1:11" x14ac:dyDescent="0.35">
      <c r="A1827" s="1">
        <v>45551</v>
      </c>
      <c r="B1827" t="s">
        <v>818</v>
      </c>
      <c r="C1827" t="s">
        <v>63</v>
      </c>
      <c r="D1827" t="s">
        <v>19</v>
      </c>
      <c r="E1827" t="s">
        <v>64</v>
      </c>
      <c r="F1827" t="s">
        <v>15</v>
      </c>
      <c r="G1827" t="s">
        <v>39</v>
      </c>
      <c r="H1827">
        <v>19150.97</v>
      </c>
      <c r="I1827">
        <v>1</v>
      </c>
      <c r="J1827">
        <v>19150.97</v>
      </c>
      <c r="K1827">
        <v>3.79</v>
      </c>
    </row>
    <row r="1828" spans="1:11" x14ac:dyDescent="0.35">
      <c r="A1828" s="1">
        <v>45551</v>
      </c>
      <c r="B1828" t="s">
        <v>824</v>
      </c>
      <c r="C1828" t="s">
        <v>37</v>
      </c>
      <c r="D1828" t="s">
        <v>19</v>
      </c>
      <c r="E1828" t="s">
        <v>38</v>
      </c>
      <c r="F1828" t="s">
        <v>21</v>
      </c>
      <c r="G1828" t="s">
        <v>39</v>
      </c>
      <c r="H1828">
        <v>7182.08</v>
      </c>
      <c r="I1828">
        <v>4</v>
      </c>
      <c r="J1828">
        <v>28728.32</v>
      </c>
      <c r="K1828">
        <v>4.5</v>
      </c>
    </row>
    <row r="1829" spans="1:11" x14ac:dyDescent="0.35">
      <c r="A1829" s="1">
        <v>45551</v>
      </c>
      <c r="B1829" t="s">
        <v>1504</v>
      </c>
      <c r="C1829" t="s">
        <v>37</v>
      </c>
      <c r="D1829" t="s">
        <v>19</v>
      </c>
      <c r="E1829" t="s">
        <v>38</v>
      </c>
      <c r="F1829" t="s">
        <v>21</v>
      </c>
      <c r="G1829" t="s">
        <v>16</v>
      </c>
      <c r="H1829">
        <v>16523.22</v>
      </c>
      <c r="I1829">
        <v>5</v>
      </c>
      <c r="J1829">
        <v>82616.100000000006</v>
      </c>
      <c r="K1829">
        <v>4.18</v>
      </c>
    </row>
    <row r="1830" spans="1:11" x14ac:dyDescent="0.35">
      <c r="A1830" s="1">
        <v>45551</v>
      </c>
      <c r="B1830" t="s">
        <v>1870</v>
      </c>
      <c r="C1830" t="s">
        <v>18</v>
      </c>
      <c r="D1830" t="s">
        <v>19</v>
      </c>
      <c r="E1830" t="s">
        <v>20</v>
      </c>
      <c r="F1830" t="s">
        <v>15</v>
      </c>
      <c r="G1830" t="s">
        <v>16</v>
      </c>
      <c r="H1830">
        <v>17260.23</v>
      </c>
      <c r="I1830">
        <v>4</v>
      </c>
      <c r="J1830">
        <v>69040.92</v>
      </c>
      <c r="K1830">
        <v>4.13</v>
      </c>
    </row>
    <row r="1831" spans="1:11" x14ac:dyDescent="0.35">
      <c r="A1831" s="1">
        <v>45551</v>
      </c>
      <c r="B1831" t="s">
        <v>1946</v>
      </c>
      <c r="C1831" t="s">
        <v>37</v>
      </c>
      <c r="D1831" t="s">
        <v>19</v>
      </c>
      <c r="E1831" t="s">
        <v>38</v>
      </c>
      <c r="F1831" t="s">
        <v>15</v>
      </c>
      <c r="G1831" t="s">
        <v>60</v>
      </c>
      <c r="H1831">
        <v>423.43</v>
      </c>
      <c r="I1831">
        <v>2</v>
      </c>
      <c r="J1831">
        <v>846.86</v>
      </c>
      <c r="K1831">
        <v>1.8</v>
      </c>
    </row>
    <row r="1832" spans="1:11" x14ac:dyDescent="0.35">
      <c r="A1832" s="1">
        <v>45552</v>
      </c>
      <c r="B1832" t="s">
        <v>1578</v>
      </c>
      <c r="C1832" t="s">
        <v>37</v>
      </c>
      <c r="D1832" t="s">
        <v>19</v>
      </c>
      <c r="E1832" t="s">
        <v>38</v>
      </c>
      <c r="F1832" t="s">
        <v>15</v>
      </c>
      <c r="G1832" t="s">
        <v>16</v>
      </c>
      <c r="H1832">
        <v>17665.14</v>
      </c>
      <c r="I1832">
        <v>1</v>
      </c>
      <c r="J1832">
        <v>17665.14</v>
      </c>
      <c r="K1832">
        <v>2.52</v>
      </c>
    </row>
    <row r="1833" spans="1:11" x14ac:dyDescent="0.35">
      <c r="A1833" s="1">
        <v>45552</v>
      </c>
      <c r="B1833" t="s">
        <v>1595</v>
      </c>
      <c r="C1833" t="s">
        <v>63</v>
      </c>
      <c r="D1833" t="s">
        <v>19</v>
      </c>
      <c r="E1833" t="s">
        <v>64</v>
      </c>
      <c r="F1833" t="s">
        <v>45</v>
      </c>
      <c r="G1833" t="s">
        <v>32</v>
      </c>
      <c r="H1833">
        <v>2769.24</v>
      </c>
      <c r="I1833">
        <v>3</v>
      </c>
      <c r="J1833">
        <v>8307.7199999999993</v>
      </c>
      <c r="K1833">
        <v>3.33</v>
      </c>
    </row>
    <row r="1834" spans="1:11" x14ac:dyDescent="0.35">
      <c r="A1834" s="1">
        <v>45553</v>
      </c>
      <c r="B1834" t="s">
        <v>738</v>
      </c>
      <c r="C1834" t="s">
        <v>37</v>
      </c>
      <c r="D1834" t="s">
        <v>19</v>
      </c>
      <c r="E1834" t="s">
        <v>38</v>
      </c>
      <c r="F1834" t="s">
        <v>45</v>
      </c>
      <c r="G1834" t="s">
        <v>22</v>
      </c>
      <c r="H1834">
        <v>13882.41</v>
      </c>
      <c r="I1834">
        <v>4</v>
      </c>
      <c r="J1834">
        <v>55529.64</v>
      </c>
      <c r="K1834">
        <v>2.2799999999999998</v>
      </c>
    </row>
    <row r="1835" spans="1:11" x14ac:dyDescent="0.35">
      <c r="A1835" s="1">
        <v>45553</v>
      </c>
      <c r="B1835" t="s">
        <v>766</v>
      </c>
      <c r="C1835" t="s">
        <v>63</v>
      </c>
      <c r="D1835" t="s">
        <v>19</v>
      </c>
      <c r="E1835" t="s">
        <v>64</v>
      </c>
      <c r="F1835" t="s">
        <v>15</v>
      </c>
      <c r="G1835" t="s">
        <v>39</v>
      </c>
      <c r="H1835">
        <v>15957.36</v>
      </c>
      <c r="I1835">
        <v>5</v>
      </c>
      <c r="J1835">
        <v>79786.8</v>
      </c>
      <c r="K1835">
        <v>4.29</v>
      </c>
    </row>
    <row r="1836" spans="1:11" x14ac:dyDescent="0.35">
      <c r="A1836" s="1">
        <v>45553</v>
      </c>
      <c r="B1836" t="s">
        <v>917</v>
      </c>
      <c r="C1836" t="s">
        <v>18</v>
      </c>
      <c r="D1836" t="s">
        <v>19</v>
      </c>
      <c r="E1836" t="s">
        <v>20</v>
      </c>
      <c r="F1836" t="s">
        <v>45</v>
      </c>
      <c r="G1836" t="s">
        <v>16</v>
      </c>
      <c r="H1836">
        <v>9330.5300000000007</v>
      </c>
      <c r="I1836">
        <v>1</v>
      </c>
      <c r="J1836">
        <v>9330.5300000000007</v>
      </c>
      <c r="K1836">
        <v>2.56</v>
      </c>
    </row>
    <row r="1837" spans="1:11" x14ac:dyDescent="0.35">
      <c r="A1837" s="1">
        <v>45553</v>
      </c>
      <c r="B1837" t="s">
        <v>1229</v>
      </c>
      <c r="C1837" t="s">
        <v>37</v>
      </c>
      <c r="D1837" t="s">
        <v>19</v>
      </c>
      <c r="E1837" t="s">
        <v>38</v>
      </c>
      <c r="F1837" t="s">
        <v>21</v>
      </c>
      <c r="G1837" t="s">
        <v>60</v>
      </c>
      <c r="H1837">
        <v>3887.6</v>
      </c>
      <c r="I1837">
        <v>3</v>
      </c>
      <c r="J1837">
        <v>11662.8</v>
      </c>
      <c r="K1837">
        <v>1.0900000000000001</v>
      </c>
    </row>
    <row r="1838" spans="1:11" x14ac:dyDescent="0.35">
      <c r="A1838" s="1">
        <v>45553</v>
      </c>
      <c r="B1838" t="s">
        <v>1646</v>
      </c>
      <c r="C1838" t="s">
        <v>63</v>
      </c>
      <c r="D1838" t="s">
        <v>19</v>
      </c>
      <c r="E1838" t="s">
        <v>64</v>
      </c>
      <c r="F1838" t="s">
        <v>21</v>
      </c>
      <c r="G1838" t="s">
        <v>32</v>
      </c>
      <c r="H1838">
        <v>15757.8</v>
      </c>
      <c r="I1838">
        <v>4</v>
      </c>
      <c r="J1838">
        <v>63031.199999999997</v>
      </c>
      <c r="K1838">
        <v>4.0999999999999996</v>
      </c>
    </row>
    <row r="1839" spans="1:11" x14ac:dyDescent="0.35">
      <c r="A1839" s="1">
        <v>45553</v>
      </c>
      <c r="B1839" t="s">
        <v>1964</v>
      </c>
      <c r="C1839" t="s">
        <v>18</v>
      </c>
      <c r="D1839" t="s">
        <v>19</v>
      </c>
      <c r="E1839" t="s">
        <v>20</v>
      </c>
      <c r="F1839" t="s">
        <v>21</v>
      </c>
      <c r="G1839" t="s">
        <v>39</v>
      </c>
      <c r="H1839">
        <v>793.66</v>
      </c>
      <c r="I1839">
        <v>3</v>
      </c>
      <c r="J1839">
        <v>2380.98</v>
      </c>
      <c r="K1839">
        <v>2.87</v>
      </c>
    </row>
    <row r="1840" spans="1:11" x14ac:dyDescent="0.35">
      <c r="A1840" s="1">
        <v>45554</v>
      </c>
      <c r="B1840" t="s">
        <v>592</v>
      </c>
      <c r="C1840" t="s">
        <v>18</v>
      </c>
      <c r="D1840" t="s">
        <v>19</v>
      </c>
      <c r="E1840" t="s">
        <v>20</v>
      </c>
      <c r="F1840" t="s">
        <v>45</v>
      </c>
      <c r="G1840" t="s">
        <v>32</v>
      </c>
      <c r="H1840">
        <v>16016.71</v>
      </c>
      <c r="I1840">
        <v>4</v>
      </c>
      <c r="J1840">
        <v>64066.84</v>
      </c>
      <c r="K1840">
        <v>3.37</v>
      </c>
    </row>
    <row r="1841" spans="1:11" x14ac:dyDescent="0.35">
      <c r="A1841" s="1">
        <v>45554</v>
      </c>
      <c r="B1841" t="s">
        <v>1169</v>
      </c>
      <c r="C1841" t="s">
        <v>63</v>
      </c>
      <c r="D1841" t="s">
        <v>19</v>
      </c>
      <c r="E1841" t="s">
        <v>64</v>
      </c>
      <c r="F1841" t="s">
        <v>45</v>
      </c>
      <c r="G1841" t="s">
        <v>22</v>
      </c>
      <c r="H1841">
        <v>6220.45</v>
      </c>
      <c r="I1841">
        <v>4</v>
      </c>
      <c r="J1841">
        <v>24881.8</v>
      </c>
      <c r="K1841">
        <v>4.6399999999999997</v>
      </c>
    </row>
    <row r="1842" spans="1:11" x14ac:dyDescent="0.35">
      <c r="A1842" s="1">
        <v>45554</v>
      </c>
      <c r="B1842" t="s">
        <v>1572</v>
      </c>
      <c r="C1842" t="s">
        <v>63</v>
      </c>
      <c r="D1842" t="s">
        <v>19</v>
      </c>
      <c r="E1842" t="s">
        <v>64</v>
      </c>
      <c r="F1842" t="s">
        <v>21</v>
      </c>
      <c r="G1842" t="s">
        <v>16</v>
      </c>
      <c r="H1842">
        <v>14006.34</v>
      </c>
      <c r="I1842">
        <v>5</v>
      </c>
      <c r="J1842">
        <v>70031.7</v>
      </c>
      <c r="K1842">
        <v>2.95</v>
      </c>
    </row>
    <row r="1843" spans="1:11" x14ac:dyDescent="0.35">
      <c r="A1843" s="1">
        <v>45554</v>
      </c>
      <c r="B1843" t="s">
        <v>1633</v>
      </c>
      <c r="C1843" t="s">
        <v>37</v>
      </c>
      <c r="D1843" t="s">
        <v>19</v>
      </c>
      <c r="E1843" t="s">
        <v>38</v>
      </c>
      <c r="F1843" t="s">
        <v>21</v>
      </c>
      <c r="G1843" t="s">
        <v>60</v>
      </c>
      <c r="H1843">
        <v>9789.26</v>
      </c>
      <c r="I1843">
        <v>1</v>
      </c>
      <c r="J1843">
        <v>9789.26</v>
      </c>
      <c r="K1843">
        <v>4.88</v>
      </c>
    </row>
    <row r="1844" spans="1:11" x14ac:dyDescent="0.35">
      <c r="A1844" s="1">
        <v>45555</v>
      </c>
      <c r="B1844" t="s">
        <v>898</v>
      </c>
      <c r="C1844" t="s">
        <v>37</v>
      </c>
      <c r="D1844" t="s">
        <v>19</v>
      </c>
      <c r="E1844" t="s">
        <v>38</v>
      </c>
      <c r="F1844" t="s">
        <v>15</v>
      </c>
      <c r="G1844" t="s">
        <v>39</v>
      </c>
      <c r="H1844">
        <v>19748.27</v>
      </c>
      <c r="I1844">
        <v>5</v>
      </c>
      <c r="J1844">
        <v>98741.35</v>
      </c>
      <c r="K1844">
        <v>3.3</v>
      </c>
    </row>
    <row r="1845" spans="1:11" x14ac:dyDescent="0.35">
      <c r="A1845" s="1">
        <v>45556</v>
      </c>
      <c r="B1845" t="s">
        <v>44</v>
      </c>
      <c r="C1845" t="s">
        <v>37</v>
      </c>
      <c r="D1845" t="s">
        <v>19</v>
      </c>
      <c r="E1845" t="s">
        <v>38</v>
      </c>
      <c r="F1845" t="s">
        <v>45</v>
      </c>
      <c r="G1845" t="s">
        <v>32</v>
      </c>
      <c r="H1845">
        <v>510.3</v>
      </c>
      <c r="I1845">
        <v>5</v>
      </c>
      <c r="J1845">
        <v>2551.5</v>
      </c>
      <c r="K1845">
        <v>1.17</v>
      </c>
    </row>
    <row r="1846" spans="1:11" x14ac:dyDescent="0.35">
      <c r="A1846" s="1">
        <v>45556</v>
      </c>
      <c r="B1846" t="s">
        <v>129</v>
      </c>
      <c r="C1846" t="s">
        <v>63</v>
      </c>
      <c r="D1846" t="s">
        <v>19</v>
      </c>
      <c r="E1846" t="s">
        <v>64</v>
      </c>
      <c r="F1846" t="s">
        <v>21</v>
      </c>
      <c r="G1846" t="s">
        <v>27</v>
      </c>
      <c r="H1846">
        <v>1569.06</v>
      </c>
      <c r="I1846">
        <v>4</v>
      </c>
      <c r="J1846">
        <v>6276.24</v>
      </c>
      <c r="K1846">
        <v>4.92</v>
      </c>
    </row>
    <row r="1847" spans="1:11" x14ac:dyDescent="0.35">
      <c r="A1847" s="1">
        <v>45556</v>
      </c>
      <c r="B1847" t="s">
        <v>365</v>
      </c>
      <c r="C1847" t="s">
        <v>18</v>
      </c>
      <c r="D1847" t="s">
        <v>19</v>
      </c>
      <c r="E1847" t="s">
        <v>20</v>
      </c>
      <c r="F1847" t="s">
        <v>21</v>
      </c>
      <c r="G1847" t="s">
        <v>60</v>
      </c>
      <c r="H1847">
        <v>11441.73</v>
      </c>
      <c r="I1847">
        <v>4</v>
      </c>
      <c r="J1847">
        <v>45766.92</v>
      </c>
      <c r="K1847">
        <v>3.26</v>
      </c>
    </row>
    <row r="1848" spans="1:11" x14ac:dyDescent="0.35">
      <c r="A1848" s="1">
        <v>45556</v>
      </c>
      <c r="B1848" t="s">
        <v>1716</v>
      </c>
      <c r="C1848" t="s">
        <v>63</v>
      </c>
      <c r="D1848" t="s">
        <v>19</v>
      </c>
      <c r="E1848" t="s">
        <v>64</v>
      </c>
      <c r="F1848" t="s">
        <v>15</v>
      </c>
      <c r="G1848" t="s">
        <v>27</v>
      </c>
      <c r="H1848">
        <v>1123.2</v>
      </c>
      <c r="I1848">
        <v>4</v>
      </c>
      <c r="J1848">
        <v>4492.8</v>
      </c>
      <c r="K1848">
        <v>1.44</v>
      </c>
    </row>
    <row r="1849" spans="1:11" x14ac:dyDescent="0.35">
      <c r="A1849" s="1">
        <v>45556</v>
      </c>
      <c r="B1849" t="s">
        <v>1933</v>
      </c>
      <c r="C1849" t="s">
        <v>63</v>
      </c>
      <c r="D1849" t="s">
        <v>19</v>
      </c>
      <c r="E1849" t="s">
        <v>64</v>
      </c>
      <c r="F1849" t="s">
        <v>21</v>
      </c>
      <c r="G1849" t="s">
        <v>60</v>
      </c>
      <c r="H1849">
        <v>17869.41</v>
      </c>
      <c r="I1849">
        <v>3</v>
      </c>
      <c r="J1849">
        <v>53608.23</v>
      </c>
      <c r="K1849">
        <v>2.29</v>
      </c>
    </row>
    <row r="1850" spans="1:11" x14ac:dyDescent="0.35">
      <c r="A1850" s="1">
        <v>45557</v>
      </c>
      <c r="B1850" t="s">
        <v>151</v>
      </c>
      <c r="C1850" t="s">
        <v>63</v>
      </c>
      <c r="D1850" t="s">
        <v>19</v>
      </c>
      <c r="E1850" t="s">
        <v>64</v>
      </c>
      <c r="F1850" t="s">
        <v>45</v>
      </c>
      <c r="G1850" t="s">
        <v>22</v>
      </c>
      <c r="H1850">
        <v>4120.3599999999997</v>
      </c>
      <c r="I1850">
        <v>2</v>
      </c>
      <c r="J1850">
        <v>8240.7199999999993</v>
      </c>
      <c r="K1850">
        <v>3.97</v>
      </c>
    </row>
    <row r="1851" spans="1:11" x14ac:dyDescent="0.35">
      <c r="A1851" s="1">
        <v>45557</v>
      </c>
      <c r="B1851" t="s">
        <v>1082</v>
      </c>
      <c r="C1851" t="s">
        <v>18</v>
      </c>
      <c r="D1851" t="s">
        <v>19</v>
      </c>
      <c r="E1851" t="s">
        <v>20</v>
      </c>
      <c r="F1851" t="s">
        <v>15</v>
      </c>
      <c r="G1851" t="s">
        <v>32</v>
      </c>
      <c r="H1851">
        <v>2552.5500000000002</v>
      </c>
      <c r="I1851">
        <v>4</v>
      </c>
      <c r="J1851">
        <v>10210.200000000001</v>
      </c>
      <c r="K1851">
        <v>1.62</v>
      </c>
    </row>
    <row r="1852" spans="1:11" x14ac:dyDescent="0.35">
      <c r="A1852" s="1">
        <v>45557</v>
      </c>
      <c r="B1852" t="s">
        <v>1805</v>
      </c>
      <c r="C1852" t="s">
        <v>37</v>
      </c>
      <c r="D1852" t="s">
        <v>19</v>
      </c>
      <c r="E1852" t="s">
        <v>38</v>
      </c>
      <c r="F1852" t="s">
        <v>45</v>
      </c>
      <c r="G1852" t="s">
        <v>16</v>
      </c>
      <c r="H1852">
        <v>9825.01</v>
      </c>
      <c r="I1852">
        <v>5</v>
      </c>
      <c r="J1852">
        <v>49125.05</v>
      </c>
      <c r="K1852">
        <v>4.32</v>
      </c>
    </row>
    <row r="1853" spans="1:11" x14ac:dyDescent="0.35">
      <c r="A1853" s="1">
        <v>45558</v>
      </c>
      <c r="B1853" t="s">
        <v>1346</v>
      </c>
      <c r="C1853" t="s">
        <v>37</v>
      </c>
      <c r="D1853" t="s">
        <v>19</v>
      </c>
      <c r="E1853" t="s">
        <v>38</v>
      </c>
      <c r="F1853" t="s">
        <v>15</v>
      </c>
      <c r="G1853" t="s">
        <v>27</v>
      </c>
      <c r="H1853">
        <v>14558.75</v>
      </c>
      <c r="I1853">
        <v>4</v>
      </c>
      <c r="J1853">
        <v>58235</v>
      </c>
      <c r="K1853">
        <v>1.52</v>
      </c>
    </row>
    <row r="1854" spans="1:11" x14ac:dyDescent="0.35">
      <c r="A1854" s="1">
        <v>45558</v>
      </c>
      <c r="B1854" t="s">
        <v>1879</v>
      </c>
      <c r="C1854" t="s">
        <v>63</v>
      </c>
      <c r="D1854" t="s">
        <v>19</v>
      </c>
      <c r="E1854" t="s">
        <v>64</v>
      </c>
      <c r="F1854" t="s">
        <v>15</v>
      </c>
      <c r="G1854" t="s">
        <v>16</v>
      </c>
      <c r="H1854">
        <v>3102.54</v>
      </c>
      <c r="I1854">
        <v>2</v>
      </c>
      <c r="J1854">
        <v>6205.08</v>
      </c>
      <c r="K1854">
        <v>1.8</v>
      </c>
    </row>
    <row r="1855" spans="1:11" x14ac:dyDescent="0.35">
      <c r="A1855" s="1">
        <v>45560</v>
      </c>
      <c r="B1855" t="s">
        <v>287</v>
      </c>
      <c r="C1855" t="s">
        <v>37</v>
      </c>
      <c r="D1855" t="s">
        <v>19</v>
      </c>
      <c r="E1855" t="s">
        <v>38</v>
      </c>
      <c r="F1855" t="s">
        <v>45</v>
      </c>
      <c r="G1855" t="s">
        <v>27</v>
      </c>
      <c r="H1855">
        <v>619.04</v>
      </c>
      <c r="I1855">
        <v>5</v>
      </c>
      <c r="J1855">
        <v>3095.2</v>
      </c>
      <c r="K1855">
        <v>1.52</v>
      </c>
    </row>
    <row r="1856" spans="1:11" x14ac:dyDescent="0.35">
      <c r="A1856" s="1">
        <v>45560</v>
      </c>
      <c r="B1856" t="s">
        <v>448</v>
      </c>
      <c r="C1856" t="s">
        <v>63</v>
      </c>
      <c r="D1856" t="s">
        <v>19</v>
      </c>
      <c r="E1856" t="s">
        <v>64</v>
      </c>
      <c r="F1856" t="s">
        <v>45</v>
      </c>
      <c r="G1856" t="s">
        <v>32</v>
      </c>
      <c r="H1856">
        <v>13181.51</v>
      </c>
      <c r="I1856">
        <v>4</v>
      </c>
      <c r="J1856">
        <v>52726.04</v>
      </c>
      <c r="K1856">
        <v>1.72</v>
      </c>
    </row>
    <row r="1857" spans="1:11" x14ac:dyDescent="0.35">
      <c r="A1857" s="1">
        <v>45560</v>
      </c>
      <c r="B1857" t="s">
        <v>1755</v>
      </c>
      <c r="C1857" t="s">
        <v>37</v>
      </c>
      <c r="D1857" t="s">
        <v>19</v>
      </c>
      <c r="E1857" t="s">
        <v>38</v>
      </c>
      <c r="F1857" t="s">
        <v>15</v>
      </c>
      <c r="G1857" t="s">
        <v>32</v>
      </c>
      <c r="H1857">
        <v>8198.5499999999993</v>
      </c>
      <c r="I1857">
        <v>4</v>
      </c>
      <c r="J1857">
        <v>32794.199999999997</v>
      </c>
      <c r="K1857">
        <v>1.55</v>
      </c>
    </row>
    <row r="1858" spans="1:11" x14ac:dyDescent="0.35">
      <c r="A1858" s="1">
        <v>45561</v>
      </c>
      <c r="B1858" t="s">
        <v>255</v>
      </c>
      <c r="C1858" t="s">
        <v>18</v>
      </c>
      <c r="D1858" t="s">
        <v>19</v>
      </c>
      <c r="E1858" t="s">
        <v>20</v>
      </c>
      <c r="F1858" t="s">
        <v>45</v>
      </c>
      <c r="G1858" t="s">
        <v>39</v>
      </c>
      <c r="H1858">
        <v>5956.97</v>
      </c>
      <c r="I1858">
        <v>1</v>
      </c>
      <c r="J1858">
        <v>5956.97</v>
      </c>
      <c r="K1858">
        <v>4.18</v>
      </c>
    </row>
    <row r="1859" spans="1:11" x14ac:dyDescent="0.35">
      <c r="A1859" s="1">
        <v>45561</v>
      </c>
      <c r="B1859" t="s">
        <v>931</v>
      </c>
      <c r="C1859" t="s">
        <v>63</v>
      </c>
      <c r="D1859" t="s">
        <v>19</v>
      </c>
      <c r="E1859" t="s">
        <v>64</v>
      </c>
      <c r="F1859" t="s">
        <v>45</v>
      </c>
      <c r="G1859" t="s">
        <v>27</v>
      </c>
      <c r="H1859">
        <v>18076.64</v>
      </c>
      <c r="I1859">
        <v>2</v>
      </c>
      <c r="J1859">
        <v>36153.279999999999</v>
      </c>
      <c r="K1859">
        <v>1.3</v>
      </c>
    </row>
    <row r="1860" spans="1:11" x14ac:dyDescent="0.35">
      <c r="A1860" s="1">
        <v>45561</v>
      </c>
      <c r="B1860" t="s">
        <v>933</v>
      </c>
      <c r="C1860" t="s">
        <v>18</v>
      </c>
      <c r="D1860" t="s">
        <v>19</v>
      </c>
      <c r="E1860" t="s">
        <v>20</v>
      </c>
      <c r="F1860" t="s">
        <v>21</v>
      </c>
      <c r="G1860" t="s">
        <v>22</v>
      </c>
      <c r="H1860">
        <v>6044.38</v>
      </c>
      <c r="I1860">
        <v>1</v>
      </c>
      <c r="J1860">
        <v>6044.38</v>
      </c>
      <c r="K1860">
        <v>4.1399999999999997</v>
      </c>
    </row>
    <row r="1861" spans="1:11" x14ac:dyDescent="0.35">
      <c r="A1861" s="1">
        <v>45561</v>
      </c>
      <c r="B1861" t="s">
        <v>1304</v>
      </c>
      <c r="C1861" t="s">
        <v>63</v>
      </c>
      <c r="D1861" t="s">
        <v>19</v>
      </c>
      <c r="E1861" t="s">
        <v>64</v>
      </c>
      <c r="F1861" t="s">
        <v>45</v>
      </c>
      <c r="G1861" t="s">
        <v>39</v>
      </c>
      <c r="H1861">
        <v>723.78</v>
      </c>
      <c r="I1861">
        <v>4</v>
      </c>
      <c r="J1861">
        <v>2895.12</v>
      </c>
      <c r="K1861">
        <v>4.0999999999999996</v>
      </c>
    </row>
    <row r="1862" spans="1:11" x14ac:dyDescent="0.35">
      <c r="A1862" s="1">
        <v>45561</v>
      </c>
      <c r="B1862" t="s">
        <v>1875</v>
      </c>
      <c r="C1862" t="s">
        <v>63</v>
      </c>
      <c r="D1862" t="s">
        <v>19</v>
      </c>
      <c r="E1862" t="s">
        <v>64</v>
      </c>
      <c r="F1862" t="s">
        <v>45</v>
      </c>
      <c r="G1862" t="s">
        <v>39</v>
      </c>
      <c r="H1862">
        <v>7595.95</v>
      </c>
      <c r="I1862">
        <v>4</v>
      </c>
      <c r="J1862">
        <v>30383.8</v>
      </c>
      <c r="K1862">
        <v>1.46</v>
      </c>
    </row>
    <row r="1863" spans="1:11" x14ac:dyDescent="0.35">
      <c r="A1863" s="1">
        <v>45562</v>
      </c>
      <c r="B1863" t="s">
        <v>1154</v>
      </c>
      <c r="C1863" t="s">
        <v>63</v>
      </c>
      <c r="D1863" t="s">
        <v>19</v>
      </c>
      <c r="E1863" t="s">
        <v>64</v>
      </c>
      <c r="F1863" t="s">
        <v>21</v>
      </c>
      <c r="G1863" t="s">
        <v>27</v>
      </c>
      <c r="H1863">
        <v>11479.5</v>
      </c>
      <c r="I1863">
        <v>5</v>
      </c>
      <c r="J1863">
        <v>57397.5</v>
      </c>
      <c r="K1863">
        <v>4.6399999999999997</v>
      </c>
    </row>
    <row r="1864" spans="1:11" x14ac:dyDescent="0.35">
      <c r="A1864" s="1">
        <v>45562</v>
      </c>
      <c r="B1864" t="s">
        <v>1223</v>
      </c>
      <c r="C1864" t="s">
        <v>37</v>
      </c>
      <c r="D1864" t="s">
        <v>19</v>
      </c>
      <c r="E1864" t="s">
        <v>38</v>
      </c>
      <c r="F1864" t="s">
        <v>21</v>
      </c>
      <c r="G1864" t="s">
        <v>39</v>
      </c>
      <c r="H1864">
        <v>19820.46</v>
      </c>
      <c r="I1864">
        <v>4</v>
      </c>
      <c r="J1864">
        <v>79281.84</v>
      </c>
      <c r="K1864">
        <v>3.53</v>
      </c>
    </row>
    <row r="1865" spans="1:11" x14ac:dyDescent="0.35">
      <c r="A1865" s="1">
        <v>45563</v>
      </c>
      <c r="B1865" t="s">
        <v>36</v>
      </c>
      <c r="C1865" t="s">
        <v>37</v>
      </c>
      <c r="D1865" t="s">
        <v>19</v>
      </c>
      <c r="E1865" t="s">
        <v>38</v>
      </c>
      <c r="F1865" t="s">
        <v>15</v>
      </c>
      <c r="G1865" t="s">
        <v>39</v>
      </c>
      <c r="H1865">
        <v>19869.86</v>
      </c>
      <c r="I1865">
        <v>5</v>
      </c>
      <c r="J1865">
        <v>99349.3</v>
      </c>
      <c r="K1865">
        <v>3.91</v>
      </c>
    </row>
    <row r="1866" spans="1:11" x14ac:dyDescent="0.35">
      <c r="A1866" s="1">
        <v>45563</v>
      </c>
      <c r="B1866" t="s">
        <v>222</v>
      </c>
      <c r="C1866" t="s">
        <v>37</v>
      </c>
      <c r="D1866" t="s">
        <v>19</v>
      </c>
      <c r="E1866" t="s">
        <v>38</v>
      </c>
      <c r="F1866" t="s">
        <v>45</v>
      </c>
      <c r="G1866" t="s">
        <v>16</v>
      </c>
      <c r="H1866">
        <v>15204.36</v>
      </c>
      <c r="I1866">
        <v>1</v>
      </c>
      <c r="J1866">
        <v>15204.36</v>
      </c>
      <c r="K1866">
        <v>4.68</v>
      </c>
    </row>
    <row r="1867" spans="1:11" x14ac:dyDescent="0.35">
      <c r="A1867" s="1">
        <v>45563</v>
      </c>
      <c r="B1867" t="s">
        <v>1677</v>
      </c>
      <c r="C1867" t="s">
        <v>37</v>
      </c>
      <c r="D1867" t="s">
        <v>19</v>
      </c>
      <c r="E1867" t="s">
        <v>38</v>
      </c>
      <c r="F1867" t="s">
        <v>45</v>
      </c>
      <c r="G1867" t="s">
        <v>16</v>
      </c>
      <c r="H1867">
        <v>12024.25</v>
      </c>
      <c r="I1867">
        <v>3</v>
      </c>
      <c r="J1867">
        <v>36072.75</v>
      </c>
      <c r="K1867">
        <v>2.1800000000000002</v>
      </c>
    </row>
    <row r="1868" spans="1:11" x14ac:dyDescent="0.35">
      <c r="A1868" s="1">
        <v>45565</v>
      </c>
      <c r="B1868" t="s">
        <v>1692</v>
      </c>
      <c r="C1868" t="s">
        <v>37</v>
      </c>
      <c r="D1868" t="s">
        <v>19</v>
      </c>
      <c r="E1868" t="s">
        <v>38</v>
      </c>
      <c r="F1868" t="s">
        <v>15</v>
      </c>
      <c r="G1868" t="s">
        <v>32</v>
      </c>
      <c r="H1868">
        <v>434.21</v>
      </c>
      <c r="I1868">
        <v>4</v>
      </c>
      <c r="J1868">
        <v>1736.84</v>
      </c>
      <c r="K1868">
        <v>2.52</v>
      </c>
    </row>
    <row r="1869" spans="1:11" x14ac:dyDescent="0.35">
      <c r="A1869" s="1">
        <v>45566</v>
      </c>
      <c r="B1869" t="s">
        <v>1206</v>
      </c>
      <c r="C1869" t="s">
        <v>37</v>
      </c>
      <c r="D1869" t="s">
        <v>19</v>
      </c>
      <c r="E1869" t="s">
        <v>38</v>
      </c>
      <c r="F1869" t="s">
        <v>21</v>
      </c>
      <c r="G1869" t="s">
        <v>16</v>
      </c>
      <c r="H1869">
        <v>15589.18</v>
      </c>
      <c r="I1869">
        <v>2</v>
      </c>
      <c r="J1869">
        <v>31178.36</v>
      </c>
      <c r="K1869">
        <v>4.37</v>
      </c>
    </row>
    <row r="1870" spans="1:11" x14ac:dyDescent="0.35">
      <c r="A1870" s="1">
        <v>45567</v>
      </c>
      <c r="B1870" t="s">
        <v>516</v>
      </c>
      <c r="C1870" t="s">
        <v>18</v>
      </c>
      <c r="D1870" t="s">
        <v>19</v>
      </c>
      <c r="E1870" t="s">
        <v>20</v>
      </c>
      <c r="F1870" t="s">
        <v>21</v>
      </c>
      <c r="G1870" t="s">
        <v>60</v>
      </c>
      <c r="H1870">
        <v>169.2</v>
      </c>
      <c r="I1870">
        <v>1</v>
      </c>
      <c r="J1870">
        <v>169.2</v>
      </c>
      <c r="K1870">
        <v>3.62</v>
      </c>
    </row>
    <row r="1871" spans="1:11" x14ac:dyDescent="0.35">
      <c r="A1871" s="1">
        <v>45572</v>
      </c>
      <c r="B1871" t="s">
        <v>170</v>
      </c>
      <c r="C1871" t="s">
        <v>63</v>
      </c>
      <c r="D1871" t="s">
        <v>19</v>
      </c>
      <c r="E1871" t="s">
        <v>64</v>
      </c>
      <c r="F1871" t="s">
        <v>21</v>
      </c>
      <c r="G1871" t="s">
        <v>16</v>
      </c>
      <c r="H1871">
        <v>1178.25</v>
      </c>
      <c r="I1871">
        <v>2</v>
      </c>
      <c r="J1871">
        <v>2356.5</v>
      </c>
      <c r="K1871">
        <v>2.2400000000000002</v>
      </c>
    </row>
    <row r="1872" spans="1:11" x14ac:dyDescent="0.35">
      <c r="A1872" s="1">
        <v>45572</v>
      </c>
      <c r="B1872" t="s">
        <v>1150</v>
      </c>
      <c r="C1872" t="s">
        <v>63</v>
      </c>
      <c r="D1872" t="s">
        <v>19</v>
      </c>
      <c r="E1872" t="s">
        <v>64</v>
      </c>
      <c r="F1872" t="s">
        <v>21</v>
      </c>
      <c r="G1872" t="s">
        <v>32</v>
      </c>
      <c r="H1872">
        <v>7924.16</v>
      </c>
      <c r="I1872">
        <v>4</v>
      </c>
      <c r="J1872">
        <v>31696.639999999999</v>
      </c>
      <c r="K1872">
        <v>4.93</v>
      </c>
    </row>
    <row r="1873" spans="1:11" x14ac:dyDescent="0.35">
      <c r="A1873" s="1">
        <v>45572</v>
      </c>
      <c r="B1873" t="s">
        <v>1326</v>
      </c>
      <c r="C1873" t="s">
        <v>18</v>
      </c>
      <c r="D1873" t="s">
        <v>19</v>
      </c>
      <c r="E1873" t="s">
        <v>20</v>
      </c>
      <c r="F1873" t="s">
        <v>21</v>
      </c>
      <c r="G1873" t="s">
        <v>27</v>
      </c>
      <c r="H1873">
        <v>14958.81</v>
      </c>
      <c r="I1873">
        <v>4</v>
      </c>
      <c r="J1873">
        <v>59835.24</v>
      </c>
      <c r="K1873">
        <v>2.13</v>
      </c>
    </row>
    <row r="1874" spans="1:11" x14ac:dyDescent="0.35">
      <c r="A1874" s="1">
        <v>45574</v>
      </c>
      <c r="B1874" t="s">
        <v>1385</v>
      </c>
      <c r="C1874" t="s">
        <v>63</v>
      </c>
      <c r="D1874" t="s">
        <v>19</v>
      </c>
      <c r="E1874" t="s">
        <v>64</v>
      </c>
      <c r="F1874" t="s">
        <v>15</v>
      </c>
      <c r="G1874" t="s">
        <v>16</v>
      </c>
      <c r="H1874">
        <v>10448.26</v>
      </c>
      <c r="I1874">
        <v>4</v>
      </c>
      <c r="J1874">
        <v>41793.040000000001</v>
      </c>
      <c r="K1874">
        <v>1.42</v>
      </c>
    </row>
    <row r="1875" spans="1:11" x14ac:dyDescent="0.35">
      <c r="A1875" s="1">
        <v>45575</v>
      </c>
      <c r="B1875" t="s">
        <v>586</v>
      </c>
      <c r="C1875" t="s">
        <v>63</v>
      </c>
      <c r="D1875" t="s">
        <v>19</v>
      </c>
      <c r="E1875" t="s">
        <v>64</v>
      </c>
      <c r="F1875" t="s">
        <v>21</v>
      </c>
      <c r="G1875" t="s">
        <v>16</v>
      </c>
      <c r="H1875">
        <v>14757.28</v>
      </c>
      <c r="I1875">
        <v>5</v>
      </c>
      <c r="J1875">
        <v>73786.399999999994</v>
      </c>
      <c r="K1875">
        <v>1.1000000000000001</v>
      </c>
    </row>
    <row r="1876" spans="1:11" x14ac:dyDescent="0.35">
      <c r="A1876" s="1">
        <v>45576</v>
      </c>
      <c r="B1876" t="s">
        <v>1442</v>
      </c>
      <c r="C1876" t="s">
        <v>37</v>
      </c>
      <c r="D1876" t="s">
        <v>19</v>
      </c>
      <c r="E1876" t="s">
        <v>38</v>
      </c>
      <c r="F1876" t="s">
        <v>15</v>
      </c>
      <c r="G1876" t="s">
        <v>39</v>
      </c>
      <c r="H1876">
        <v>19297.259999999998</v>
      </c>
      <c r="I1876">
        <v>5</v>
      </c>
      <c r="J1876">
        <v>96486.3</v>
      </c>
      <c r="K1876">
        <v>2.4</v>
      </c>
    </row>
    <row r="1877" spans="1:11" x14ac:dyDescent="0.35">
      <c r="A1877" s="1">
        <v>45579</v>
      </c>
      <c r="B1877" t="s">
        <v>799</v>
      </c>
      <c r="C1877" t="s">
        <v>63</v>
      </c>
      <c r="D1877" t="s">
        <v>19</v>
      </c>
      <c r="E1877" t="s">
        <v>64</v>
      </c>
      <c r="F1877" t="s">
        <v>21</v>
      </c>
      <c r="G1877" t="s">
        <v>60</v>
      </c>
      <c r="H1877">
        <v>3293.39</v>
      </c>
      <c r="I1877">
        <v>3</v>
      </c>
      <c r="J1877">
        <v>9880.17</v>
      </c>
      <c r="K1877">
        <v>3.86</v>
      </c>
    </row>
    <row r="1878" spans="1:11" x14ac:dyDescent="0.35">
      <c r="A1878" s="1">
        <v>45579</v>
      </c>
      <c r="B1878" t="s">
        <v>1301</v>
      </c>
      <c r="C1878" t="s">
        <v>37</v>
      </c>
      <c r="D1878" t="s">
        <v>19</v>
      </c>
      <c r="E1878" t="s">
        <v>38</v>
      </c>
      <c r="F1878" t="s">
        <v>15</v>
      </c>
      <c r="G1878" t="s">
        <v>60</v>
      </c>
      <c r="H1878">
        <v>16178.69</v>
      </c>
      <c r="I1878">
        <v>5</v>
      </c>
      <c r="J1878">
        <v>80893.45</v>
      </c>
      <c r="K1878">
        <v>2.19</v>
      </c>
    </row>
    <row r="1879" spans="1:11" x14ac:dyDescent="0.35">
      <c r="A1879" s="1">
        <v>45579</v>
      </c>
      <c r="B1879" t="s">
        <v>1593</v>
      </c>
      <c r="C1879" t="s">
        <v>18</v>
      </c>
      <c r="D1879" t="s">
        <v>19</v>
      </c>
      <c r="E1879" t="s">
        <v>20</v>
      </c>
      <c r="F1879" t="s">
        <v>45</v>
      </c>
      <c r="G1879" t="s">
        <v>16</v>
      </c>
      <c r="H1879">
        <v>2454.52</v>
      </c>
      <c r="I1879">
        <v>1</v>
      </c>
      <c r="J1879">
        <v>2454.52</v>
      </c>
      <c r="K1879">
        <v>2.91</v>
      </c>
    </row>
    <row r="1880" spans="1:11" x14ac:dyDescent="0.35">
      <c r="A1880" s="1">
        <v>45580</v>
      </c>
      <c r="B1880" t="s">
        <v>360</v>
      </c>
      <c r="C1880" t="s">
        <v>37</v>
      </c>
      <c r="D1880" t="s">
        <v>19</v>
      </c>
      <c r="E1880" t="s">
        <v>38</v>
      </c>
      <c r="F1880" t="s">
        <v>45</v>
      </c>
      <c r="G1880" t="s">
        <v>39</v>
      </c>
      <c r="H1880">
        <v>3778.65</v>
      </c>
      <c r="I1880">
        <v>4</v>
      </c>
      <c r="J1880">
        <v>15114.6</v>
      </c>
      <c r="K1880">
        <v>3.12</v>
      </c>
    </row>
    <row r="1881" spans="1:11" x14ac:dyDescent="0.35">
      <c r="A1881" s="1">
        <v>45580</v>
      </c>
      <c r="B1881" t="s">
        <v>1803</v>
      </c>
      <c r="C1881" t="s">
        <v>18</v>
      </c>
      <c r="D1881" t="s">
        <v>19</v>
      </c>
      <c r="E1881" t="s">
        <v>20</v>
      </c>
      <c r="F1881" t="s">
        <v>15</v>
      </c>
      <c r="G1881" t="s">
        <v>16</v>
      </c>
      <c r="H1881">
        <v>14639.8</v>
      </c>
      <c r="I1881">
        <v>1</v>
      </c>
      <c r="J1881">
        <v>14639.8</v>
      </c>
      <c r="K1881">
        <v>1.71</v>
      </c>
    </row>
    <row r="1882" spans="1:11" x14ac:dyDescent="0.35">
      <c r="A1882" s="1">
        <v>45581</v>
      </c>
      <c r="B1882" t="s">
        <v>1917</v>
      </c>
      <c r="C1882" t="s">
        <v>37</v>
      </c>
      <c r="D1882" t="s">
        <v>19</v>
      </c>
      <c r="E1882" t="s">
        <v>38</v>
      </c>
      <c r="F1882" t="s">
        <v>15</v>
      </c>
      <c r="G1882" t="s">
        <v>27</v>
      </c>
      <c r="H1882">
        <v>940.06</v>
      </c>
      <c r="I1882">
        <v>4</v>
      </c>
      <c r="J1882">
        <v>3760.24</v>
      </c>
      <c r="K1882">
        <v>1.34</v>
      </c>
    </row>
    <row r="1883" spans="1:11" x14ac:dyDescent="0.35">
      <c r="A1883" s="1">
        <v>45582</v>
      </c>
      <c r="B1883" t="s">
        <v>1000</v>
      </c>
      <c r="C1883" t="s">
        <v>18</v>
      </c>
      <c r="D1883" t="s">
        <v>19</v>
      </c>
      <c r="E1883" t="s">
        <v>20</v>
      </c>
      <c r="F1883" t="s">
        <v>15</v>
      </c>
      <c r="G1883" t="s">
        <v>60</v>
      </c>
      <c r="H1883">
        <v>4502.6400000000003</v>
      </c>
      <c r="I1883">
        <v>2</v>
      </c>
      <c r="J1883">
        <v>9005.2800000000007</v>
      </c>
      <c r="K1883">
        <v>2.57</v>
      </c>
    </row>
    <row r="1884" spans="1:11" x14ac:dyDescent="0.35">
      <c r="A1884" s="1">
        <v>45584</v>
      </c>
      <c r="B1884" t="s">
        <v>1016</v>
      </c>
      <c r="C1884" t="s">
        <v>18</v>
      </c>
      <c r="D1884" t="s">
        <v>19</v>
      </c>
      <c r="E1884" t="s">
        <v>20</v>
      </c>
      <c r="F1884" t="s">
        <v>21</v>
      </c>
      <c r="G1884" t="s">
        <v>60</v>
      </c>
      <c r="H1884">
        <v>2469.5500000000002</v>
      </c>
      <c r="I1884">
        <v>1</v>
      </c>
      <c r="J1884">
        <v>2469.5500000000002</v>
      </c>
      <c r="K1884">
        <v>3.19</v>
      </c>
    </row>
    <row r="1885" spans="1:11" x14ac:dyDescent="0.35">
      <c r="A1885" s="1">
        <v>45585</v>
      </c>
      <c r="B1885" t="s">
        <v>1213</v>
      </c>
      <c r="C1885" t="s">
        <v>37</v>
      </c>
      <c r="D1885" t="s">
        <v>19</v>
      </c>
      <c r="E1885" t="s">
        <v>38</v>
      </c>
      <c r="F1885" t="s">
        <v>15</v>
      </c>
      <c r="G1885" t="s">
        <v>22</v>
      </c>
      <c r="H1885">
        <v>19534.8</v>
      </c>
      <c r="I1885">
        <v>5</v>
      </c>
      <c r="J1885">
        <v>97674</v>
      </c>
      <c r="K1885">
        <v>1.7</v>
      </c>
    </row>
    <row r="1886" spans="1:11" x14ac:dyDescent="0.35">
      <c r="A1886" s="1">
        <v>45585</v>
      </c>
      <c r="B1886" t="s">
        <v>1782</v>
      </c>
      <c r="C1886" t="s">
        <v>18</v>
      </c>
      <c r="D1886" t="s">
        <v>19</v>
      </c>
      <c r="E1886" t="s">
        <v>20</v>
      </c>
      <c r="F1886" t="s">
        <v>15</v>
      </c>
      <c r="G1886" t="s">
        <v>22</v>
      </c>
      <c r="H1886">
        <v>15529.03</v>
      </c>
      <c r="I1886">
        <v>5</v>
      </c>
      <c r="J1886">
        <v>77645.149999999994</v>
      </c>
      <c r="K1886">
        <v>4.17</v>
      </c>
    </row>
    <row r="1887" spans="1:11" x14ac:dyDescent="0.35">
      <c r="A1887" s="1">
        <v>45585</v>
      </c>
      <c r="B1887" t="s">
        <v>1907</v>
      </c>
      <c r="C1887" t="s">
        <v>63</v>
      </c>
      <c r="D1887" t="s">
        <v>19</v>
      </c>
      <c r="E1887" t="s">
        <v>64</v>
      </c>
      <c r="F1887" t="s">
        <v>45</v>
      </c>
      <c r="G1887" t="s">
        <v>22</v>
      </c>
      <c r="H1887">
        <v>10905.65</v>
      </c>
      <c r="I1887">
        <v>1</v>
      </c>
      <c r="J1887">
        <v>10905.65</v>
      </c>
      <c r="K1887">
        <v>2.4700000000000002</v>
      </c>
    </row>
    <row r="1888" spans="1:11" x14ac:dyDescent="0.35">
      <c r="A1888" s="1">
        <v>45586</v>
      </c>
      <c r="B1888" t="s">
        <v>1037</v>
      </c>
      <c r="C1888" t="s">
        <v>37</v>
      </c>
      <c r="D1888" t="s">
        <v>19</v>
      </c>
      <c r="E1888" t="s">
        <v>38</v>
      </c>
      <c r="F1888" t="s">
        <v>15</v>
      </c>
      <c r="G1888" t="s">
        <v>22</v>
      </c>
      <c r="H1888">
        <v>19628.79</v>
      </c>
      <c r="I1888">
        <v>2</v>
      </c>
      <c r="J1888">
        <v>39257.58</v>
      </c>
      <c r="K1888">
        <v>2.4500000000000002</v>
      </c>
    </row>
    <row r="1889" spans="1:11" x14ac:dyDescent="0.35">
      <c r="A1889" s="1">
        <v>45587</v>
      </c>
      <c r="B1889" t="s">
        <v>429</v>
      </c>
      <c r="C1889" t="s">
        <v>63</v>
      </c>
      <c r="D1889" t="s">
        <v>19</v>
      </c>
      <c r="E1889" t="s">
        <v>64</v>
      </c>
      <c r="F1889" t="s">
        <v>15</v>
      </c>
      <c r="G1889" t="s">
        <v>16</v>
      </c>
      <c r="H1889">
        <v>2897.69</v>
      </c>
      <c r="I1889">
        <v>5</v>
      </c>
      <c r="J1889">
        <v>14488.45</v>
      </c>
      <c r="K1889">
        <v>3.89</v>
      </c>
    </row>
    <row r="1890" spans="1:11" x14ac:dyDescent="0.35">
      <c r="A1890" s="1">
        <v>45587</v>
      </c>
      <c r="B1890" t="s">
        <v>1989</v>
      </c>
      <c r="C1890" t="s">
        <v>63</v>
      </c>
      <c r="D1890" t="s">
        <v>19</v>
      </c>
      <c r="E1890" t="s">
        <v>64</v>
      </c>
      <c r="F1890" t="s">
        <v>21</v>
      </c>
      <c r="G1890" t="s">
        <v>27</v>
      </c>
      <c r="H1890">
        <v>10403.39</v>
      </c>
      <c r="I1890">
        <v>4</v>
      </c>
      <c r="J1890">
        <v>41613.56</v>
      </c>
      <c r="K1890">
        <v>1.46</v>
      </c>
    </row>
    <row r="1891" spans="1:11" x14ac:dyDescent="0.35">
      <c r="A1891" s="1">
        <v>45588</v>
      </c>
      <c r="B1891" t="s">
        <v>628</v>
      </c>
      <c r="C1891" t="s">
        <v>37</v>
      </c>
      <c r="D1891" t="s">
        <v>19</v>
      </c>
      <c r="E1891" t="s">
        <v>38</v>
      </c>
      <c r="F1891" t="s">
        <v>45</v>
      </c>
      <c r="G1891" t="s">
        <v>32</v>
      </c>
      <c r="H1891">
        <v>13676.46</v>
      </c>
      <c r="I1891">
        <v>3</v>
      </c>
      <c r="J1891">
        <v>41029.379999999997</v>
      </c>
      <c r="K1891">
        <v>2.38</v>
      </c>
    </row>
    <row r="1892" spans="1:11" x14ac:dyDescent="0.35">
      <c r="A1892" s="1">
        <v>45588</v>
      </c>
      <c r="B1892" t="s">
        <v>846</v>
      </c>
      <c r="C1892" t="s">
        <v>18</v>
      </c>
      <c r="D1892" t="s">
        <v>19</v>
      </c>
      <c r="E1892" t="s">
        <v>20</v>
      </c>
      <c r="F1892" t="s">
        <v>15</v>
      </c>
      <c r="G1892" t="s">
        <v>22</v>
      </c>
      <c r="H1892">
        <v>12552.79</v>
      </c>
      <c r="I1892">
        <v>2</v>
      </c>
      <c r="J1892">
        <v>25105.58</v>
      </c>
      <c r="K1892">
        <v>3.22</v>
      </c>
    </row>
    <row r="1893" spans="1:11" x14ac:dyDescent="0.35">
      <c r="A1893" s="1">
        <v>45588</v>
      </c>
      <c r="B1893" t="s">
        <v>1403</v>
      </c>
      <c r="C1893" t="s">
        <v>18</v>
      </c>
      <c r="D1893" t="s">
        <v>19</v>
      </c>
      <c r="E1893" t="s">
        <v>20</v>
      </c>
      <c r="F1893" t="s">
        <v>45</v>
      </c>
      <c r="G1893" t="s">
        <v>16</v>
      </c>
      <c r="H1893">
        <v>4215.1899999999996</v>
      </c>
      <c r="I1893">
        <v>5</v>
      </c>
      <c r="J1893">
        <v>21075.95</v>
      </c>
      <c r="K1893">
        <v>3.96</v>
      </c>
    </row>
    <row r="1894" spans="1:11" x14ac:dyDescent="0.35">
      <c r="A1894" s="1">
        <v>45588</v>
      </c>
      <c r="B1894" t="s">
        <v>1838</v>
      </c>
      <c r="C1894" t="s">
        <v>18</v>
      </c>
      <c r="D1894" t="s">
        <v>19</v>
      </c>
      <c r="E1894" t="s">
        <v>20</v>
      </c>
      <c r="F1894" t="s">
        <v>15</v>
      </c>
      <c r="G1894" t="s">
        <v>32</v>
      </c>
      <c r="H1894">
        <v>7688.57</v>
      </c>
      <c r="I1894">
        <v>4</v>
      </c>
      <c r="J1894">
        <v>30754.28</v>
      </c>
      <c r="K1894">
        <v>1.68</v>
      </c>
    </row>
    <row r="1895" spans="1:11" x14ac:dyDescent="0.35">
      <c r="A1895" s="1">
        <v>45589</v>
      </c>
      <c r="B1895" t="s">
        <v>1072</v>
      </c>
      <c r="C1895" t="s">
        <v>18</v>
      </c>
      <c r="D1895" t="s">
        <v>19</v>
      </c>
      <c r="E1895" t="s">
        <v>20</v>
      </c>
      <c r="F1895" t="s">
        <v>21</v>
      </c>
      <c r="G1895" t="s">
        <v>32</v>
      </c>
      <c r="H1895">
        <v>12670.94</v>
      </c>
      <c r="I1895">
        <v>4</v>
      </c>
      <c r="J1895">
        <v>50683.76</v>
      </c>
      <c r="K1895">
        <v>4.71</v>
      </c>
    </row>
    <row r="1896" spans="1:11" x14ac:dyDescent="0.35">
      <c r="A1896" s="1">
        <v>45590</v>
      </c>
      <c r="B1896" t="s">
        <v>1768</v>
      </c>
      <c r="C1896" t="s">
        <v>37</v>
      </c>
      <c r="D1896" t="s">
        <v>19</v>
      </c>
      <c r="E1896" t="s">
        <v>38</v>
      </c>
      <c r="F1896" t="s">
        <v>45</v>
      </c>
      <c r="G1896" t="s">
        <v>22</v>
      </c>
      <c r="H1896">
        <v>5492.52</v>
      </c>
      <c r="I1896">
        <v>5</v>
      </c>
      <c r="J1896">
        <v>27462.6</v>
      </c>
      <c r="K1896">
        <v>1.7</v>
      </c>
    </row>
    <row r="1897" spans="1:11" x14ac:dyDescent="0.35">
      <c r="A1897" s="1">
        <v>45590</v>
      </c>
      <c r="B1897" t="s">
        <v>1965</v>
      </c>
      <c r="C1897" t="s">
        <v>63</v>
      </c>
      <c r="D1897" t="s">
        <v>19</v>
      </c>
      <c r="E1897" t="s">
        <v>64</v>
      </c>
      <c r="F1897" t="s">
        <v>45</v>
      </c>
      <c r="G1897" t="s">
        <v>27</v>
      </c>
      <c r="H1897">
        <v>5942.1</v>
      </c>
      <c r="I1897">
        <v>3</v>
      </c>
      <c r="J1897">
        <v>17826.3</v>
      </c>
      <c r="K1897">
        <v>3.74</v>
      </c>
    </row>
    <row r="1898" spans="1:11" x14ac:dyDescent="0.35">
      <c r="A1898" s="1">
        <v>45591</v>
      </c>
      <c r="B1898" t="s">
        <v>1091</v>
      </c>
      <c r="C1898" t="s">
        <v>37</v>
      </c>
      <c r="D1898" t="s">
        <v>19</v>
      </c>
      <c r="E1898" t="s">
        <v>38</v>
      </c>
      <c r="F1898" t="s">
        <v>45</v>
      </c>
      <c r="G1898" t="s">
        <v>16</v>
      </c>
      <c r="H1898">
        <v>11358.85</v>
      </c>
      <c r="I1898">
        <v>1</v>
      </c>
      <c r="J1898">
        <v>11358.85</v>
      </c>
      <c r="K1898">
        <v>3.68</v>
      </c>
    </row>
    <row r="1899" spans="1:11" x14ac:dyDescent="0.35">
      <c r="A1899" s="1">
        <v>45591</v>
      </c>
      <c r="B1899" t="s">
        <v>1400</v>
      </c>
      <c r="C1899" t="s">
        <v>37</v>
      </c>
      <c r="D1899" t="s">
        <v>19</v>
      </c>
      <c r="E1899" t="s">
        <v>38</v>
      </c>
      <c r="F1899" t="s">
        <v>21</v>
      </c>
      <c r="G1899" t="s">
        <v>32</v>
      </c>
      <c r="H1899">
        <v>169.56</v>
      </c>
      <c r="I1899">
        <v>2</v>
      </c>
      <c r="J1899">
        <v>339.12</v>
      </c>
      <c r="K1899">
        <v>4.9000000000000004</v>
      </c>
    </row>
    <row r="1900" spans="1:11" x14ac:dyDescent="0.35">
      <c r="A1900" s="1">
        <v>45592</v>
      </c>
      <c r="B1900" t="s">
        <v>479</v>
      </c>
      <c r="C1900" t="s">
        <v>18</v>
      </c>
      <c r="D1900" t="s">
        <v>19</v>
      </c>
      <c r="E1900" t="s">
        <v>20</v>
      </c>
      <c r="F1900" t="s">
        <v>15</v>
      </c>
      <c r="G1900" t="s">
        <v>22</v>
      </c>
      <c r="H1900">
        <v>2307.4499999999998</v>
      </c>
      <c r="I1900">
        <v>4</v>
      </c>
      <c r="J1900">
        <v>9229.7999999999993</v>
      </c>
      <c r="K1900">
        <v>1.3</v>
      </c>
    </row>
    <row r="1901" spans="1:11" x14ac:dyDescent="0.35">
      <c r="A1901" s="1">
        <v>45592</v>
      </c>
      <c r="B1901" t="s">
        <v>1211</v>
      </c>
      <c r="C1901" t="s">
        <v>37</v>
      </c>
      <c r="D1901" t="s">
        <v>19</v>
      </c>
      <c r="E1901" t="s">
        <v>38</v>
      </c>
      <c r="F1901" t="s">
        <v>15</v>
      </c>
      <c r="G1901" t="s">
        <v>27</v>
      </c>
      <c r="H1901">
        <v>10843.28</v>
      </c>
      <c r="I1901">
        <v>4</v>
      </c>
      <c r="J1901">
        <v>43373.120000000003</v>
      </c>
      <c r="K1901">
        <v>3.51</v>
      </c>
    </row>
    <row r="1902" spans="1:11" x14ac:dyDescent="0.35">
      <c r="A1902" s="1">
        <v>45592</v>
      </c>
      <c r="B1902" t="s">
        <v>1959</v>
      </c>
      <c r="C1902" t="s">
        <v>18</v>
      </c>
      <c r="D1902" t="s">
        <v>19</v>
      </c>
      <c r="E1902" t="s">
        <v>20</v>
      </c>
      <c r="F1902" t="s">
        <v>15</v>
      </c>
      <c r="G1902" t="s">
        <v>22</v>
      </c>
      <c r="H1902">
        <v>8606.0300000000007</v>
      </c>
      <c r="I1902">
        <v>4</v>
      </c>
      <c r="J1902">
        <v>34424.120000000003</v>
      </c>
      <c r="K1902">
        <v>1.23</v>
      </c>
    </row>
    <row r="1903" spans="1:11" x14ac:dyDescent="0.35">
      <c r="A1903" s="1">
        <v>45593</v>
      </c>
      <c r="B1903" t="s">
        <v>145</v>
      </c>
      <c r="C1903" t="s">
        <v>63</v>
      </c>
      <c r="D1903" t="s">
        <v>19</v>
      </c>
      <c r="E1903" t="s">
        <v>64</v>
      </c>
      <c r="F1903" t="s">
        <v>15</v>
      </c>
      <c r="G1903" t="s">
        <v>16</v>
      </c>
      <c r="H1903">
        <v>12553.72</v>
      </c>
      <c r="I1903">
        <v>5</v>
      </c>
      <c r="J1903">
        <v>62768.6</v>
      </c>
      <c r="K1903">
        <v>4.03</v>
      </c>
    </row>
    <row r="1904" spans="1:11" x14ac:dyDescent="0.35">
      <c r="A1904" s="1">
        <v>45595</v>
      </c>
      <c r="B1904" t="s">
        <v>1100</v>
      </c>
      <c r="C1904" t="s">
        <v>18</v>
      </c>
      <c r="D1904" t="s">
        <v>19</v>
      </c>
      <c r="E1904" t="s">
        <v>20</v>
      </c>
      <c r="F1904" t="s">
        <v>45</v>
      </c>
      <c r="G1904" t="s">
        <v>32</v>
      </c>
      <c r="H1904">
        <v>822.15</v>
      </c>
      <c r="I1904">
        <v>2</v>
      </c>
      <c r="J1904">
        <v>1644.3</v>
      </c>
      <c r="K1904">
        <v>3.5</v>
      </c>
    </row>
    <row r="1905" spans="1:11" x14ac:dyDescent="0.35">
      <c r="A1905" s="1">
        <v>45595</v>
      </c>
      <c r="B1905" t="s">
        <v>1835</v>
      </c>
      <c r="C1905" t="s">
        <v>37</v>
      </c>
      <c r="D1905" t="s">
        <v>19</v>
      </c>
      <c r="E1905" t="s">
        <v>38</v>
      </c>
      <c r="F1905" t="s">
        <v>15</v>
      </c>
      <c r="G1905" t="s">
        <v>32</v>
      </c>
      <c r="H1905">
        <v>5080.57</v>
      </c>
      <c r="I1905">
        <v>3</v>
      </c>
      <c r="J1905">
        <v>15241.71</v>
      </c>
      <c r="K1905">
        <v>1.22</v>
      </c>
    </row>
    <row r="1906" spans="1:11" x14ac:dyDescent="0.35">
      <c r="A1906" s="1">
        <v>45596</v>
      </c>
      <c r="B1906" t="s">
        <v>552</v>
      </c>
      <c r="C1906" t="s">
        <v>18</v>
      </c>
      <c r="D1906" t="s">
        <v>19</v>
      </c>
      <c r="E1906" t="s">
        <v>20</v>
      </c>
      <c r="F1906" t="s">
        <v>21</v>
      </c>
      <c r="G1906" t="s">
        <v>16</v>
      </c>
      <c r="H1906">
        <v>16344.35</v>
      </c>
      <c r="I1906">
        <v>2</v>
      </c>
      <c r="J1906">
        <v>32688.7</v>
      </c>
      <c r="K1906">
        <v>4.7699999999999996</v>
      </c>
    </row>
    <row r="1907" spans="1:11" x14ac:dyDescent="0.35">
      <c r="A1907" s="1">
        <v>45596</v>
      </c>
      <c r="B1907" t="s">
        <v>1671</v>
      </c>
      <c r="C1907" t="s">
        <v>63</v>
      </c>
      <c r="D1907" t="s">
        <v>19</v>
      </c>
      <c r="E1907" t="s">
        <v>64</v>
      </c>
      <c r="F1907" t="s">
        <v>15</v>
      </c>
      <c r="G1907" t="s">
        <v>27</v>
      </c>
      <c r="H1907">
        <v>13794.91</v>
      </c>
      <c r="I1907">
        <v>2</v>
      </c>
      <c r="J1907">
        <v>27589.82</v>
      </c>
      <c r="K1907">
        <v>3.57</v>
      </c>
    </row>
    <row r="1908" spans="1:11" x14ac:dyDescent="0.35">
      <c r="A1908" s="1">
        <v>45597</v>
      </c>
      <c r="B1908" t="s">
        <v>1039</v>
      </c>
      <c r="C1908" t="s">
        <v>18</v>
      </c>
      <c r="D1908" t="s">
        <v>19</v>
      </c>
      <c r="E1908" t="s">
        <v>20</v>
      </c>
      <c r="F1908" t="s">
        <v>15</v>
      </c>
      <c r="G1908" t="s">
        <v>16</v>
      </c>
      <c r="H1908">
        <v>12495.93</v>
      </c>
      <c r="I1908">
        <v>1</v>
      </c>
      <c r="J1908">
        <v>12495.93</v>
      </c>
      <c r="K1908">
        <v>1.77</v>
      </c>
    </row>
    <row r="1909" spans="1:11" x14ac:dyDescent="0.35">
      <c r="A1909" s="1">
        <v>45597</v>
      </c>
      <c r="B1909" t="s">
        <v>1809</v>
      </c>
      <c r="C1909" t="s">
        <v>37</v>
      </c>
      <c r="D1909" t="s">
        <v>19</v>
      </c>
      <c r="E1909" t="s">
        <v>38</v>
      </c>
      <c r="F1909" t="s">
        <v>21</v>
      </c>
      <c r="G1909" t="s">
        <v>27</v>
      </c>
      <c r="H1909">
        <v>2123.5500000000002</v>
      </c>
      <c r="I1909">
        <v>5</v>
      </c>
      <c r="J1909">
        <v>10617.75</v>
      </c>
      <c r="K1909">
        <v>1.03</v>
      </c>
    </row>
    <row r="1910" spans="1:11" x14ac:dyDescent="0.35">
      <c r="A1910" s="1">
        <v>45598</v>
      </c>
      <c r="B1910" t="s">
        <v>1416</v>
      </c>
      <c r="C1910" t="s">
        <v>18</v>
      </c>
      <c r="D1910" t="s">
        <v>19</v>
      </c>
      <c r="E1910" t="s">
        <v>20</v>
      </c>
      <c r="F1910" t="s">
        <v>15</v>
      </c>
      <c r="G1910" t="s">
        <v>16</v>
      </c>
      <c r="H1910">
        <v>5033.2</v>
      </c>
      <c r="I1910">
        <v>3</v>
      </c>
      <c r="J1910">
        <v>15099.6</v>
      </c>
      <c r="K1910">
        <v>1.87</v>
      </c>
    </row>
    <row r="1911" spans="1:11" x14ac:dyDescent="0.35">
      <c r="A1911" s="1">
        <v>45598</v>
      </c>
      <c r="B1911" t="s">
        <v>1734</v>
      </c>
      <c r="C1911" t="s">
        <v>63</v>
      </c>
      <c r="D1911" t="s">
        <v>19</v>
      </c>
      <c r="E1911" t="s">
        <v>64</v>
      </c>
      <c r="F1911" t="s">
        <v>21</v>
      </c>
      <c r="G1911" t="s">
        <v>16</v>
      </c>
      <c r="H1911">
        <v>10422.620000000001</v>
      </c>
      <c r="I1911">
        <v>2</v>
      </c>
      <c r="J1911">
        <v>20845.240000000002</v>
      </c>
      <c r="K1911">
        <v>4.99</v>
      </c>
    </row>
    <row r="1912" spans="1:11" x14ac:dyDescent="0.35">
      <c r="A1912" s="1">
        <v>45599</v>
      </c>
      <c r="B1912" t="s">
        <v>716</v>
      </c>
      <c r="C1912" t="s">
        <v>18</v>
      </c>
      <c r="D1912" t="s">
        <v>19</v>
      </c>
      <c r="E1912" t="s">
        <v>20</v>
      </c>
      <c r="F1912" t="s">
        <v>45</v>
      </c>
      <c r="G1912" t="s">
        <v>60</v>
      </c>
      <c r="H1912">
        <v>3979.45</v>
      </c>
      <c r="I1912">
        <v>3</v>
      </c>
      <c r="J1912">
        <v>11938.35</v>
      </c>
      <c r="K1912">
        <v>4.6500000000000004</v>
      </c>
    </row>
    <row r="1913" spans="1:11" x14ac:dyDescent="0.35">
      <c r="A1913" s="1">
        <v>45599</v>
      </c>
      <c r="B1913" t="s">
        <v>1305</v>
      </c>
      <c r="C1913" t="s">
        <v>37</v>
      </c>
      <c r="D1913" t="s">
        <v>19</v>
      </c>
      <c r="E1913" t="s">
        <v>38</v>
      </c>
      <c r="F1913" t="s">
        <v>21</v>
      </c>
      <c r="G1913" t="s">
        <v>16</v>
      </c>
      <c r="H1913">
        <v>12447.62</v>
      </c>
      <c r="I1913">
        <v>2</v>
      </c>
      <c r="J1913">
        <v>24895.24</v>
      </c>
      <c r="K1913">
        <v>4.3</v>
      </c>
    </row>
    <row r="1914" spans="1:11" x14ac:dyDescent="0.35">
      <c r="A1914" s="1">
        <v>45600</v>
      </c>
      <c r="B1914" t="s">
        <v>402</v>
      </c>
      <c r="C1914" t="s">
        <v>18</v>
      </c>
      <c r="D1914" t="s">
        <v>19</v>
      </c>
      <c r="E1914" t="s">
        <v>20</v>
      </c>
      <c r="F1914" t="s">
        <v>15</v>
      </c>
      <c r="G1914" t="s">
        <v>16</v>
      </c>
      <c r="H1914">
        <v>16846.13</v>
      </c>
      <c r="I1914">
        <v>1</v>
      </c>
      <c r="J1914">
        <v>16846.13</v>
      </c>
      <c r="K1914">
        <v>1.82</v>
      </c>
    </row>
    <row r="1915" spans="1:11" x14ac:dyDescent="0.35">
      <c r="A1915" s="1">
        <v>45600</v>
      </c>
      <c r="B1915" t="s">
        <v>976</v>
      </c>
      <c r="C1915" t="s">
        <v>63</v>
      </c>
      <c r="D1915" t="s">
        <v>19</v>
      </c>
      <c r="E1915" t="s">
        <v>64</v>
      </c>
      <c r="F1915" t="s">
        <v>45</v>
      </c>
      <c r="G1915" t="s">
        <v>32</v>
      </c>
      <c r="H1915">
        <v>1701.49</v>
      </c>
      <c r="I1915">
        <v>4</v>
      </c>
      <c r="J1915">
        <v>6805.96</v>
      </c>
      <c r="K1915">
        <v>4.04</v>
      </c>
    </row>
    <row r="1916" spans="1:11" x14ac:dyDescent="0.35">
      <c r="A1916" s="1">
        <v>45600</v>
      </c>
      <c r="B1916" t="s">
        <v>1799</v>
      </c>
      <c r="C1916" t="s">
        <v>37</v>
      </c>
      <c r="D1916" t="s">
        <v>19</v>
      </c>
      <c r="E1916" t="s">
        <v>38</v>
      </c>
      <c r="F1916" t="s">
        <v>21</v>
      </c>
      <c r="G1916" t="s">
        <v>39</v>
      </c>
      <c r="H1916">
        <v>10764.38</v>
      </c>
      <c r="I1916">
        <v>4</v>
      </c>
      <c r="J1916">
        <v>43057.52</v>
      </c>
      <c r="K1916">
        <v>3.64</v>
      </c>
    </row>
    <row r="1917" spans="1:11" x14ac:dyDescent="0.35">
      <c r="A1917" s="1">
        <v>45601</v>
      </c>
      <c r="B1917" t="s">
        <v>1375</v>
      </c>
      <c r="C1917" t="s">
        <v>63</v>
      </c>
      <c r="D1917" t="s">
        <v>19</v>
      </c>
      <c r="E1917" t="s">
        <v>64</v>
      </c>
      <c r="F1917" t="s">
        <v>15</v>
      </c>
      <c r="G1917" t="s">
        <v>22</v>
      </c>
      <c r="H1917">
        <v>16923.900000000001</v>
      </c>
      <c r="I1917">
        <v>1</v>
      </c>
      <c r="J1917">
        <v>16923.900000000001</v>
      </c>
      <c r="K1917">
        <v>4.54</v>
      </c>
    </row>
    <row r="1918" spans="1:11" x14ac:dyDescent="0.35">
      <c r="A1918" s="1">
        <v>45602</v>
      </c>
      <c r="B1918" t="s">
        <v>1371</v>
      </c>
      <c r="C1918" t="s">
        <v>18</v>
      </c>
      <c r="D1918" t="s">
        <v>19</v>
      </c>
      <c r="E1918" t="s">
        <v>20</v>
      </c>
      <c r="F1918" t="s">
        <v>21</v>
      </c>
      <c r="G1918" t="s">
        <v>16</v>
      </c>
      <c r="H1918">
        <v>17514.939999999999</v>
      </c>
      <c r="I1918">
        <v>2</v>
      </c>
      <c r="J1918">
        <v>35029.879999999997</v>
      </c>
      <c r="K1918">
        <v>3.84</v>
      </c>
    </row>
    <row r="1919" spans="1:11" x14ac:dyDescent="0.35">
      <c r="A1919" s="1">
        <v>45602</v>
      </c>
      <c r="B1919" t="s">
        <v>1509</v>
      </c>
      <c r="C1919" t="s">
        <v>63</v>
      </c>
      <c r="D1919" t="s">
        <v>19</v>
      </c>
      <c r="E1919" t="s">
        <v>64</v>
      </c>
      <c r="F1919" t="s">
        <v>21</v>
      </c>
      <c r="G1919" t="s">
        <v>27</v>
      </c>
      <c r="H1919">
        <v>12596.42</v>
      </c>
      <c r="I1919">
        <v>1</v>
      </c>
      <c r="J1919">
        <v>12596.42</v>
      </c>
      <c r="K1919">
        <v>1.45</v>
      </c>
    </row>
    <row r="1920" spans="1:11" x14ac:dyDescent="0.35">
      <c r="A1920" s="1">
        <v>45603</v>
      </c>
      <c r="B1920" t="s">
        <v>1892</v>
      </c>
      <c r="C1920" t="s">
        <v>63</v>
      </c>
      <c r="D1920" t="s">
        <v>19</v>
      </c>
      <c r="E1920" t="s">
        <v>64</v>
      </c>
      <c r="F1920" t="s">
        <v>15</v>
      </c>
      <c r="G1920" t="s">
        <v>22</v>
      </c>
      <c r="H1920">
        <v>16895.27</v>
      </c>
      <c r="I1920">
        <v>2</v>
      </c>
      <c r="J1920">
        <v>33790.54</v>
      </c>
      <c r="K1920">
        <v>1.67</v>
      </c>
    </row>
    <row r="1921" spans="1:11" x14ac:dyDescent="0.35">
      <c r="A1921" s="1">
        <v>45605</v>
      </c>
      <c r="B1921" t="s">
        <v>591</v>
      </c>
      <c r="C1921" t="s">
        <v>37</v>
      </c>
      <c r="D1921" t="s">
        <v>19</v>
      </c>
      <c r="E1921" t="s">
        <v>38</v>
      </c>
      <c r="F1921" t="s">
        <v>45</v>
      </c>
      <c r="G1921" t="s">
        <v>16</v>
      </c>
      <c r="H1921">
        <v>2944.59</v>
      </c>
      <c r="I1921">
        <v>1</v>
      </c>
      <c r="J1921">
        <v>2944.59</v>
      </c>
      <c r="K1921">
        <v>4.79</v>
      </c>
    </row>
    <row r="1922" spans="1:11" x14ac:dyDescent="0.35">
      <c r="A1922" s="1">
        <v>45605</v>
      </c>
      <c r="B1922" t="s">
        <v>1634</v>
      </c>
      <c r="C1922" t="s">
        <v>37</v>
      </c>
      <c r="D1922" t="s">
        <v>19</v>
      </c>
      <c r="E1922" t="s">
        <v>38</v>
      </c>
      <c r="F1922" t="s">
        <v>21</v>
      </c>
      <c r="G1922" t="s">
        <v>32</v>
      </c>
      <c r="H1922">
        <v>10049.15</v>
      </c>
      <c r="I1922">
        <v>2</v>
      </c>
      <c r="J1922">
        <v>20098.3</v>
      </c>
      <c r="K1922">
        <v>3.19</v>
      </c>
    </row>
    <row r="1923" spans="1:11" x14ac:dyDescent="0.35">
      <c r="A1923" s="1">
        <v>45606</v>
      </c>
      <c r="B1923" t="s">
        <v>986</v>
      </c>
      <c r="C1923" t="s">
        <v>63</v>
      </c>
      <c r="D1923" t="s">
        <v>19</v>
      </c>
      <c r="E1923" t="s">
        <v>64</v>
      </c>
      <c r="F1923" t="s">
        <v>15</v>
      </c>
      <c r="G1923" t="s">
        <v>32</v>
      </c>
      <c r="H1923">
        <v>17333.689999999999</v>
      </c>
      <c r="I1923">
        <v>1</v>
      </c>
      <c r="J1923">
        <v>17333.689999999999</v>
      </c>
      <c r="K1923">
        <v>4.62</v>
      </c>
    </row>
    <row r="1924" spans="1:11" x14ac:dyDescent="0.35">
      <c r="A1924" s="1">
        <v>45606</v>
      </c>
      <c r="B1924" t="s">
        <v>1936</v>
      </c>
      <c r="C1924" t="s">
        <v>63</v>
      </c>
      <c r="D1924" t="s">
        <v>19</v>
      </c>
      <c r="E1924" t="s">
        <v>64</v>
      </c>
      <c r="F1924" t="s">
        <v>15</v>
      </c>
      <c r="G1924" t="s">
        <v>39</v>
      </c>
      <c r="H1924">
        <v>16915.18</v>
      </c>
      <c r="I1924">
        <v>2</v>
      </c>
      <c r="J1924">
        <v>33830.36</v>
      </c>
      <c r="K1924">
        <v>4.9800000000000004</v>
      </c>
    </row>
    <row r="1925" spans="1:11" x14ac:dyDescent="0.35">
      <c r="A1925" s="1">
        <v>45607</v>
      </c>
      <c r="B1925" t="s">
        <v>288</v>
      </c>
      <c r="C1925" t="s">
        <v>37</v>
      </c>
      <c r="D1925" t="s">
        <v>19</v>
      </c>
      <c r="E1925" t="s">
        <v>38</v>
      </c>
      <c r="F1925" t="s">
        <v>21</v>
      </c>
      <c r="G1925" t="s">
        <v>16</v>
      </c>
      <c r="H1925">
        <v>9249.34</v>
      </c>
      <c r="I1925">
        <v>1</v>
      </c>
      <c r="J1925">
        <v>9249.34</v>
      </c>
      <c r="K1925">
        <v>2.76</v>
      </c>
    </row>
    <row r="1926" spans="1:11" x14ac:dyDescent="0.35">
      <c r="A1926" s="1">
        <v>45608</v>
      </c>
      <c r="B1926" t="s">
        <v>1235</v>
      </c>
      <c r="C1926" t="s">
        <v>63</v>
      </c>
      <c r="D1926" t="s">
        <v>19</v>
      </c>
      <c r="E1926" t="s">
        <v>64</v>
      </c>
      <c r="F1926" t="s">
        <v>45</v>
      </c>
      <c r="G1926" t="s">
        <v>16</v>
      </c>
      <c r="H1926">
        <v>3835.29</v>
      </c>
      <c r="I1926">
        <v>2</v>
      </c>
      <c r="J1926">
        <v>7670.58</v>
      </c>
      <c r="K1926">
        <v>1.77</v>
      </c>
    </row>
    <row r="1927" spans="1:11" x14ac:dyDescent="0.35">
      <c r="A1927" s="1">
        <v>45608</v>
      </c>
      <c r="B1927" t="s">
        <v>1386</v>
      </c>
      <c r="C1927" t="s">
        <v>37</v>
      </c>
      <c r="D1927" t="s">
        <v>19</v>
      </c>
      <c r="E1927" t="s">
        <v>38</v>
      </c>
      <c r="F1927" t="s">
        <v>45</v>
      </c>
      <c r="G1927" t="s">
        <v>60</v>
      </c>
      <c r="H1927">
        <v>10779.4</v>
      </c>
      <c r="I1927">
        <v>1</v>
      </c>
      <c r="J1927">
        <v>10779.4</v>
      </c>
      <c r="K1927">
        <v>5</v>
      </c>
    </row>
    <row r="1928" spans="1:11" x14ac:dyDescent="0.35">
      <c r="A1928" s="1">
        <v>45608</v>
      </c>
      <c r="B1928" t="s">
        <v>1477</v>
      </c>
      <c r="C1928" t="s">
        <v>37</v>
      </c>
      <c r="D1928" t="s">
        <v>19</v>
      </c>
      <c r="E1928" t="s">
        <v>38</v>
      </c>
      <c r="F1928" t="s">
        <v>21</v>
      </c>
      <c r="G1928" t="s">
        <v>22</v>
      </c>
      <c r="H1928">
        <v>11809.77</v>
      </c>
      <c r="I1928">
        <v>5</v>
      </c>
      <c r="J1928">
        <v>59048.85</v>
      </c>
      <c r="K1928">
        <v>2.91</v>
      </c>
    </row>
    <row r="1929" spans="1:11" x14ac:dyDescent="0.35">
      <c r="A1929" s="1">
        <v>45610</v>
      </c>
      <c r="B1929" t="s">
        <v>212</v>
      </c>
      <c r="C1929" t="s">
        <v>18</v>
      </c>
      <c r="D1929" t="s">
        <v>19</v>
      </c>
      <c r="E1929" t="s">
        <v>20</v>
      </c>
      <c r="F1929" t="s">
        <v>21</v>
      </c>
      <c r="G1929" t="s">
        <v>22</v>
      </c>
      <c r="H1929">
        <v>8140.53</v>
      </c>
      <c r="I1929">
        <v>2</v>
      </c>
      <c r="J1929">
        <v>16281.06</v>
      </c>
      <c r="K1929">
        <v>2.31</v>
      </c>
    </row>
    <row r="1930" spans="1:11" x14ac:dyDescent="0.35">
      <c r="A1930" s="1">
        <v>45610</v>
      </c>
      <c r="B1930" t="s">
        <v>393</v>
      </c>
      <c r="C1930" t="s">
        <v>18</v>
      </c>
      <c r="D1930" t="s">
        <v>19</v>
      </c>
      <c r="E1930" t="s">
        <v>20</v>
      </c>
      <c r="F1930" t="s">
        <v>45</v>
      </c>
      <c r="G1930" t="s">
        <v>39</v>
      </c>
      <c r="H1930">
        <v>288.68</v>
      </c>
      <c r="I1930">
        <v>5</v>
      </c>
      <c r="J1930">
        <v>1443.4</v>
      </c>
      <c r="K1930">
        <v>3.01</v>
      </c>
    </row>
    <row r="1931" spans="1:11" x14ac:dyDescent="0.35">
      <c r="A1931" s="1">
        <v>45610</v>
      </c>
      <c r="B1931" t="s">
        <v>1201</v>
      </c>
      <c r="C1931" t="s">
        <v>37</v>
      </c>
      <c r="D1931" t="s">
        <v>19</v>
      </c>
      <c r="E1931" t="s">
        <v>38</v>
      </c>
      <c r="F1931" t="s">
        <v>21</v>
      </c>
      <c r="G1931" t="s">
        <v>39</v>
      </c>
      <c r="H1931">
        <v>8104.25</v>
      </c>
      <c r="I1931">
        <v>3</v>
      </c>
      <c r="J1931">
        <v>24312.75</v>
      </c>
      <c r="K1931">
        <v>2.11</v>
      </c>
    </row>
    <row r="1932" spans="1:11" x14ac:dyDescent="0.35">
      <c r="A1932" s="1">
        <v>45610</v>
      </c>
      <c r="B1932" t="s">
        <v>1357</v>
      </c>
      <c r="C1932" t="s">
        <v>18</v>
      </c>
      <c r="D1932" t="s">
        <v>19</v>
      </c>
      <c r="E1932" t="s">
        <v>20</v>
      </c>
      <c r="F1932" t="s">
        <v>45</v>
      </c>
      <c r="G1932" t="s">
        <v>22</v>
      </c>
      <c r="H1932">
        <v>18040.830000000002</v>
      </c>
      <c r="I1932">
        <v>5</v>
      </c>
      <c r="J1932">
        <v>90204.15</v>
      </c>
      <c r="K1932">
        <v>3.43</v>
      </c>
    </row>
    <row r="1933" spans="1:11" x14ac:dyDescent="0.35">
      <c r="A1933" s="1">
        <v>45611</v>
      </c>
      <c r="B1933" t="s">
        <v>640</v>
      </c>
      <c r="C1933" t="s">
        <v>18</v>
      </c>
      <c r="D1933" t="s">
        <v>19</v>
      </c>
      <c r="E1933" t="s">
        <v>20</v>
      </c>
      <c r="F1933" t="s">
        <v>15</v>
      </c>
      <c r="G1933" t="s">
        <v>60</v>
      </c>
      <c r="H1933">
        <v>3063.93</v>
      </c>
      <c r="I1933">
        <v>4</v>
      </c>
      <c r="J1933">
        <v>12255.72</v>
      </c>
      <c r="K1933">
        <v>1.87</v>
      </c>
    </row>
    <row r="1934" spans="1:11" x14ac:dyDescent="0.35">
      <c r="A1934" s="1">
        <v>45612</v>
      </c>
      <c r="B1934" t="s">
        <v>879</v>
      </c>
      <c r="C1934" t="s">
        <v>37</v>
      </c>
      <c r="D1934" t="s">
        <v>19</v>
      </c>
      <c r="E1934" t="s">
        <v>38</v>
      </c>
      <c r="F1934" t="s">
        <v>21</v>
      </c>
      <c r="G1934" t="s">
        <v>27</v>
      </c>
      <c r="H1934">
        <v>3032.55</v>
      </c>
      <c r="I1934">
        <v>4</v>
      </c>
      <c r="J1934">
        <v>12130.2</v>
      </c>
      <c r="K1934">
        <v>3.67</v>
      </c>
    </row>
    <row r="1935" spans="1:11" x14ac:dyDescent="0.35">
      <c r="A1935" s="1">
        <v>45614</v>
      </c>
      <c r="B1935" t="s">
        <v>438</v>
      </c>
      <c r="C1935" t="s">
        <v>37</v>
      </c>
      <c r="D1935" t="s">
        <v>19</v>
      </c>
      <c r="E1935" t="s">
        <v>38</v>
      </c>
      <c r="F1935" t="s">
        <v>15</v>
      </c>
      <c r="G1935" t="s">
        <v>32</v>
      </c>
      <c r="H1935">
        <v>5953.35</v>
      </c>
      <c r="I1935">
        <v>4</v>
      </c>
      <c r="J1935">
        <v>23813.4</v>
      </c>
      <c r="K1935">
        <v>2.44</v>
      </c>
    </row>
    <row r="1936" spans="1:11" x14ac:dyDescent="0.35">
      <c r="A1936" s="1">
        <v>45614</v>
      </c>
      <c r="B1936" t="s">
        <v>1431</v>
      </c>
      <c r="C1936" t="s">
        <v>18</v>
      </c>
      <c r="D1936" t="s">
        <v>19</v>
      </c>
      <c r="E1936" t="s">
        <v>20</v>
      </c>
      <c r="F1936" t="s">
        <v>15</v>
      </c>
      <c r="G1936" t="s">
        <v>16</v>
      </c>
      <c r="H1936">
        <v>14417.44</v>
      </c>
      <c r="I1936">
        <v>3</v>
      </c>
      <c r="J1936">
        <v>43252.32</v>
      </c>
      <c r="K1936">
        <v>1.21</v>
      </c>
    </row>
    <row r="1937" spans="1:11" x14ac:dyDescent="0.35">
      <c r="A1937" s="1">
        <v>45614</v>
      </c>
      <c r="B1937" t="s">
        <v>1475</v>
      </c>
      <c r="C1937" t="s">
        <v>18</v>
      </c>
      <c r="D1937" t="s">
        <v>19</v>
      </c>
      <c r="E1937" t="s">
        <v>20</v>
      </c>
      <c r="F1937" t="s">
        <v>21</v>
      </c>
      <c r="G1937" t="s">
        <v>32</v>
      </c>
      <c r="H1937">
        <v>212.01</v>
      </c>
      <c r="I1937">
        <v>5</v>
      </c>
      <c r="J1937">
        <v>1060.05</v>
      </c>
      <c r="K1937">
        <v>2.62</v>
      </c>
    </row>
    <row r="1938" spans="1:11" x14ac:dyDescent="0.35">
      <c r="A1938" s="1">
        <v>45616</v>
      </c>
      <c r="B1938" t="s">
        <v>907</v>
      </c>
      <c r="C1938" t="s">
        <v>63</v>
      </c>
      <c r="D1938" t="s">
        <v>19</v>
      </c>
      <c r="E1938" t="s">
        <v>64</v>
      </c>
      <c r="F1938" t="s">
        <v>21</v>
      </c>
      <c r="G1938" t="s">
        <v>32</v>
      </c>
      <c r="H1938">
        <v>18798.39</v>
      </c>
      <c r="I1938">
        <v>2</v>
      </c>
      <c r="J1938">
        <v>37596.78</v>
      </c>
      <c r="K1938">
        <v>4.78</v>
      </c>
    </row>
    <row r="1939" spans="1:11" x14ac:dyDescent="0.35">
      <c r="A1939" s="1">
        <v>45616</v>
      </c>
      <c r="B1939" t="s">
        <v>1523</v>
      </c>
      <c r="C1939" t="s">
        <v>37</v>
      </c>
      <c r="D1939" t="s">
        <v>19</v>
      </c>
      <c r="E1939" t="s">
        <v>38</v>
      </c>
      <c r="F1939" t="s">
        <v>45</v>
      </c>
      <c r="G1939" t="s">
        <v>32</v>
      </c>
      <c r="H1939">
        <v>3927.4</v>
      </c>
      <c r="I1939">
        <v>5</v>
      </c>
      <c r="J1939">
        <v>19637</v>
      </c>
      <c r="K1939">
        <v>2.4900000000000002</v>
      </c>
    </row>
    <row r="1940" spans="1:11" x14ac:dyDescent="0.35">
      <c r="A1940" s="1">
        <v>45616</v>
      </c>
      <c r="B1940" t="s">
        <v>1654</v>
      </c>
      <c r="C1940" t="s">
        <v>37</v>
      </c>
      <c r="D1940" t="s">
        <v>19</v>
      </c>
      <c r="E1940" t="s">
        <v>38</v>
      </c>
      <c r="F1940" t="s">
        <v>45</v>
      </c>
      <c r="G1940" t="s">
        <v>27</v>
      </c>
      <c r="H1940">
        <v>4852.08</v>
      </c>
      <c r="I1940">
        <v>2</v>
      </c>
      <c r="J1940">
        <v>9704.16</v>
      </c>
      <c r="K1940">
        <v>4.5</v>
      </c>
    </row>
    <row r="1941" spans="1:11" x14ac:dyDescent="0.35">
      <c r="A1941" s="1">
        <v>45616</v>
      </c>
      <c r="B1941" t="s">
        <v>1703</v>
      </c>
      <c r="C1941" t="s">
        <v>37</v>
      </c>
      <c r="D1941" t="s">
        <v>19</v>
      </c>
      <c r="E1941" t="s">
        <v>38</v>
      </c>
      <c r="F1941" t="s">
        <v>15</v>
      </c>
      <c r="G1941" t="s">
        <v>60</v>
      </c>
      <c r="H1941">
        <v>17753.849999999999</v>
      </c>
      <c r="I1941">
        <v>4</v>
      </c>
      <c r="J1941">
        <v>71015.399999999994</v>
      </c>
      <c r="K1941">
        <v>4.33</v>
      </c>
    </row>
    <row r="1942" spans="1:11" x14ac:dyDescent="0.35">
      <c r="A1942" s="1">
        <v>45617</v>
      </c>
      <c r="B1942" t="s">
        <v>1013</v>
      </c>
      <c r="C1942" t="s">
        <v>18</v>
      </c>
      <c r="D1942" t="s">
        <v>19</v>
      </c>
      <c r="E1942" t="s">
        <v>20</v>
      </c>
      <c r="F1942" t="s">
        <v>45</v>
      </c>
      <c r="G1942" t="s">
        <v>32</v>
      </c>
      <c r="H1942">
        <v>16337.18</v>
      </c>
      <c r="I1942">
        <v>1</v>
      </c>
      <c r="J1942">
        <v>16337.18</v>
      </c>
      <c r="K1942">
        <v>1.08</v>
      </c>
    </row>
    <row r="1943" spans="1:11" x14ac:dyDescent="0.35">
      <c r="A1943" s="1">
        <v>45618</v>
      </c>
      <c r="B1943" t="s">
        <v>125</v>
      </c>
      <c r="C1943" t="s">
        <v>63</v>
      </c>
      <c r="D1943" t="s">
        <v>19</v>
      </c>
      <c r="E1943" t="s">
        <v>64</v>
      </c>
      <c r="F1943" t="s">
        <v>15</v>
      </c>
      <c r="G1943" t="s">
        <v>60</v>
      </c>
      <c r="H1943">
        <v>17787.919999999998</v>
      </c>
      <c r="I1943">
        <v>3</v>
      </c>
      <c r="J1943">
        <v>53363.76</v>
      </c>
      <c r="K1943">
        <v>4.92</v>
      </c>
    </row>
    <row r="1944" spans="1:11" x14ac:dyDescent="0.35">
      <c r="A1944" s="1">
        <v>45618</v>
      </c>
      <c r="B1944" t="s">
        <v>398</v>
      </c>
      <c r="C1944" t="s">
        <v>37</v>
      </c>
      <c r="D1944" t="s">
        <v>19</v>
      </c>
      <c r="E1944" t="s">
        <v>38</v>
      </c>
      <c r="F1944" t="s">
        <v>45</v>
      </c>
      <c r="G1944" t="s">
        <v>32</v>
      </c>
      <c r="H1944">
        <v>16066.49</v>
      </c>
      <c r="I1944">
        <v>1</v>
      </c>
      <c r="J1944">
        <v>16066.49</v>
      </c>
      <c r="K1944">
        <v>1.59</v>
      </c>
    </row>
    <row r="1945" spans="1:11" x14ac:dyDescent="0.35">
      <c r="A1945" s="1">
        <v>45618</v>
      </c>
      <c r="B1945" t="s">
        <v>1894</v>
      </c>
      <c r="C1945" t="s">
        <v>18</v>
      </c>
      <c r="D1945" t="s">
        <v>19</v>
      </c>
      <c r="E1945" t="s">
        <v>20</v>
      </c>
      <c r="F1945" t="s">
        <v>45</v>
      </c>
      <c r="G1945" t="s">
        <v>22</v>
      </c>
      <c r="H1945">
        <v>19452.34</v>
      </c>
      <c r="I1945">
        <v>4</v>
      </c>
      <c r="J1945">
        <v>77809.36</v>
      </c>
      <c r="K1945">
        <v>1.19</v>
      </c>
    </row>
    <row r="1946" spans="1:11" x14ac:dyDescent="0.35">
      <c r="A1946" s="1">
        <v>45619</v>
      </c>
      <c r="B1946" t="s">
        <v>1312</v>
      </c>
      <c r="C1946" t="s">
        <v>18</v>
      </c>
      <c r="D1946" t="s">
        <v>19</v>
      </c>
      <c r="E1946" t="s">
        <v>20</v>
      </c>
      <c r="F1946" t="s">
        <v>15</v>
      </c>
      <c r="G1946" t="s">
        <v>39</v>
      </c>
      <c r="H1946">
        <v>8357.3799999999992</v>
      </c>
      <c r="I1946">
        <v>5</v>
      </c>
      <c r="J1946">
        <v>41786.9</v>
      </c>
      <c r="K1946">
        <v>3.15</v>
      </c>
    </row>
    <row r="1947" spans="1:11" x14ac:dyDescent="0.35">
      <c r="A1947" s="1">
        <v>45620</v>
      </c>
      <c r="B1947" t="s">
        <v>91</v>
      </c>
      <c r="C1947" t="s">
        <v>18</v>
      </c>
      <c r="D1947" t="s">
        <v>19</v>
      </c>
      <c r="E1947" t="s">
        <v>20</v>
      </c>
      <c r="F1947" t="s">
        <v>21</v>
      </c>
      <c r="G1947" t="s">
        <v>60</v>
      </c>
      <c r="H1947">
        <v>11576.04</v>
      </c>
      <c r="I1947">
        <v>5</v>
      </c>
      <c r="J1947">
        <v>57880.2</v>
      </c>
      <c r="K1947">
        <v>3.97</v>
      </c>
    </row>
    <row r="1948" spans="1:11" x14ac:dyDescent="0.35">
      <c r="A1948" s="1">
        <v>45620</v>
      </c>
      <c r="B1948" t="s">
        <v>676</v>
      </c>
      <c r="C1948" t="s">
        <v>18</v>
      </c>
      <c r="D1948" t="s">
        <v>19</v>
      </c>
      <c r="E1948" t="s">
        <v>20</v>
      </c>
      <c r="F1948" t="s">
        <v>21</v>
      </c>
      <c r="G1948" t="s">
        <v>39</v>
      </c>
      <c r="H1948">
        <v>12350.94</v>
      </c>
      <c r="I1948">
        <v>5</v>
      </c>
      <c r="J1948">
        <v>61754.7</v>
      </c>
      <c r="K1948">
        <v>3.95</v>
      </c>
    </row>
    <row r="1949" spans="1:11" x14ac:dyDescent="0.35">
      <c r="A1949" s="1">
        <v>45620</v>
      </c>
      <c r="B1949" t="s">
        <v>1645</v>
      </c>
      <c r="C1949" t="s">
        <v>18</v>
      </c>
      <c r="D1949" t="s">
        <v>19</v>
      </c>
      <c r="E1949" t="s">
        <v>20</v>
      </c>
      <c r="F1949" t="s">
        <v>45</v>
      </c>
      <c r="G1949" t="s">
        <v>60</v>
      </c>
      <c r="H1949">
        <v>11098.13</v>
      </c>
      <c r="I1949">
        <v>4</v>
      </c>
      <c r="J1949">
        <v>44392.52</v>
      </c>
      <c r="K1949">
        <v>3.2</v>
      </c>
    </row>
    <row r="1950" spans="1:11" x14ac:dyDescent="0.35">
      <c r="A1950" s="1">
        <v>45621</v>
      </c>
      <c r="B1950" t="s">
        <v>623</v>
      </c>
      <c r="C1950" t="s">
        <v>37</v>
      </c>
      <c r="D1950" t="s">
        <v>19</v>
      </c>
      <c r="E1950" t="s">
        <v>38</v>
      </c>
      <c r="F1950" t="s">
        <v>45</v>
      </c>
      <c r="G1950" t="s">
        <v>32</v>
      </c>
      <c r="H1950">
        <v>9299.64</v>
      </c>
      <c r="I1950">
        <v>1</v>
      </c>
      <c r="J1950">
        <v>9299.64</v>
      </c>
      <c r="K1950">
        <v>1.32</v>
      </c>
    </row>
    <row r="1951" spans="1:11" x14ac:dyDescent="0.35">
      <c r="A1951" s="1">
        <v>45621</v>
      </c>
      <c r="B1951" t="s">
        <v>1823</v>
      </c>
      <c r="C1951" t="s">
        <v>18</v>
      </c>
      <c r="D1951" t="s">
        <v>19</v>
      </c>
      <c r="E1951" t="s">
        <v>20</v>
      </c>
      <c r="F1951" t="s">
        <v>45</v>
      </c>
      <c r="G1951" t="s">
        <v>32</v>
      </c>
      <c r="H1951">
        <v>18916.47</v>
      </c>
      <c r="I1951">
        <v>2</v>
      </c>
      <c r="J1951">
        <v>37832.94</v>
      </c>
      <c r="K1951">
        <v>4.91</v>
      </c>
    </row>
    <row r="1952" spans="1:11" x14ac:dyDescent="0.35">
      <c r="A1952" s="1">
        <v>45622</v>
      </c>
      <c r="B1952" t="s">
        <v>77</v>
      </c>
      <c r="C1952" t="s">
        <v>63</v>
      </c>
      <c r="D1952" t="s">
        <v>19</v>
      </c>
      <c r="E1952" t="s">
        <v>64</v>
      </c>
      <c r="F1952" t="s">
        <v>15</v>
      </c>
      <c r="G1952" t="s">
        <v>22</v>
      </c>
      <c r="H1952">
        <v>9205.93</v>
      </c>
      <c r="I1952">
        <v>2</v>
      </c>
      <c r="J1952">
        <v>18411.86</v>
      </c>
      <c r="K1952">
        <v>1.53</v>
      </c>
    </row>
    <row r="1953" spans="1:11" x14ac:dyDescent="0.35">
      <c r="A1953" s="1">
        <v>45622</v>
      </c>
      <c r="B1953" t="s">
        <v>827</v>
      </c>
      <c r="C1953" t="s">
        <v>37</v>
      </c>
      <c r="D1953" t="s">
        <v>19</v>
      </c>
      <c r="E1953" t="s">
        <v>38</v>
      </c>
      <c r="F1953" t="s">
        <v>15</v>
      </c>
      <c r="G1953" t="s">
        <v>27</v>
      </c>
      <c r="H1953">
        <v>2958.05</v>
      </c>
      <c r="I1953">
        <v>1</v>
      </c>
      <c r="J1953">
        <v>2958.05</v>
      </c>
      <c r="K1953">
        <v>4.22</v>
      </c>
    </row>
    <row r="1954" spans="1:11" x14ac:dyDescent="0.35">
      <c r="A1954" s="1">
        <v>45623</v>
      </c>
      <c r="B1954" t="s">
        <v>590</v>
      </c>
      <c r="C1954" t="s">
        <v>18</v>
      </c>
      <c r="D1954" t="s">
        <v>19</v>
      </c>
      <c r="E1954" t="s">
        <v>20</v>
      </c>
      <c r="F1954" t="s">
        <v>45</v>
      </c>
      <c r="G1954" t="s">
        <v>60</v>
      </c>
      <c r="H1954">
        <v>17672.8</v>
      </c>
      <c r="I1954">
        <v>2</v>
      </c>
      <c r="J1954">
        <v>35345.599999999999</v>
      </c>
      <c r="K1954">
        <v>3.65</v>
      </c>
    </row>
    <row r="1955" spans="1:11" x14ac:dyDescent="0.35">
      <c r="A1955" s="1">
        <v>45623</v>
      </c>
      <c r="B1955" t="s">
        <v>1629</v>
      </c>
      <c r="C1955" t="s">
        <v>63</v>
      </c>
      <c r="D1955" t="s">
        <v>19</v>
      </c>
      <c r="E1955" t="s">
        <v>64</v>
      </c>
      <c r="F1955" t="s">
        <v>45</v>
      </c>
      <c r="G1955" t="s">
        <v>60</v>
      </c>
      <c r="H1955">
        <v>11515.42</v>
      </c>
      <c r="I1955">
        <v>3</v>
      </c>
      <c r="J1955">
        <v>34546.26</v>
      </c>
      <c r="K1955">
        <v>3.83</v>
      </c>
    </row>
    <row r="1956" spans="1:11" x14ac:dyDescent="0.35">
      <c r="A1956" s="1">
        <v>45624</v>
      </c>
      <c r="B1956" t="s">
        <v>826</v>
      </c>
      <c r="C1956" t="s">
        <v>63</v>
      </c>
      <c r="D1956" t="s">
        <v>19</v>
      </c>
      <c r="E1956" t="s">
        <v>64</v>
      </c>
      <c r="F1956" t="s">
        <v>21</v>
      </c>
      <c r="G1956" t="s">
        <v>39</v>
      </c>
      <c r="H1956">
        <v>19023.13</v>
      </c>
      <c r="I1956">
        <v>2</v>
      </c>
      <c r="J1956">
        <v>38046.26</v>
      </c>
      <c r="K1956">
        <v>2.73</v>
      </c>
    </row>
    <row r="1957" spans="1:11" x14ac:dyDescent="0.35">
      <c r="A1957" s="1">
        <v>45624</v>
      </c>
      <c r="B1957" t="s">
        <v>1208</v>
      </c>
      <c r="C1957" t="s">
        <v>63</v>
      </c>
      <c r="D1957" t="s">
        <v>19</v>
      </c>
      <c r="E1957" t="s">
        <v>64</v>
      </c>
      <c r="F1957" t="s">
        <v>15</v>
      </c>
      <c r="G1957" t="s">
        <v>16</v>
      </c>
      <c r="H1957">
        <v>9925.11</v>
      </c>
      <c r="I1957">
        <v>1</v>
      </c>
      <c r="J1957">
        <v>9925.11</v>
      </c>
      <c r="K1957">
        <v>2.39</v>
      </c>
    </row>
    <row r="1958" spans="1:11" x14ac:dyDescent="0.35">
      <c r="A1958" s="1">
        <v>45625</v>
      </c>
      <c r="B1958" t="s">
        <v>1639</v>
      </c>
      <c r="C1958" t="s">
        <v>37</v>
      </c>
      <c r="D1958" t="s">
        <v>19</v>
      </c>
      <c r="E1958" t="s">
        <v>38</v>
      </c>
      <c r="F1958" t="s">
        <v>45</v>
      </c>
      <c r="G1958" t="s">
        <v>39</v>
      </c>
      <c r="H1958">
        <v>15303.81</v>
      </c>
      <c r="I1958">
        <v>4</v>
      </c>
      <c r="J1958">
        <v>61215.24</v>
      </c>
      <c r="K1958">
        <v>1.8</v>
      </c>
    </row>
    <row r="1959" spans="1:11" x14ac:dyDescent="0.35">
      <c r="A1959" s="1">
        <v>45626</v>
      </c>
      <c r="B1959" t="s">
        <v>213</v>
      </c>
      <c r="C1959" t="s">
        <v>18</v>
      </c>
      <c r="D1959" t="s">
        <v>19</v>
      </c>
      <c r="E1959" t="s">
        <v>20</v>
      </c>
      <c r="F1959" t="s">
        <v>45</v>
      </c>
      <c r="G1959" t="s">
        <v>27</v>
      </c>
      <c r="H1959">
        <v>4310.63</v>
      </c>
      <c r="I1959">
        <v>2</v>
      </c>
      <c r="J1959">
        <v>8621.26</v>
      </c>
      <c r="K1959">
        <v>1.78</v>
      </c>
    </row>
    <row r="1960" spans="1:11" x14ac:dyDescent="0.35">
      <c r="A1960" s="1">
        <v>45626</v>
      </c>
      <c r="B1960" t="s">
        <v>1132</v>
      </c>
      <c r="C1960" t="s">
        <v>63</v>
      </c>
      <c r="D1960" t="s">
        <v>19</v>
      </c>
      <c r="E1960" t="s">
        <v>64</v>
      </c>
      <c r="F1960" t="s">
        <v>21</v>
      </c>
      <c r="G1960" t="s">
        <v>39</v>
      </c>
      <c r="H1960">
        <v>5754.25</v>
      </c>
      <c r="I1960">
        <v>5</v>
      </c>
      <c r="J1960">
        <v>28771.25</v>
      </c>
      <c r="K1960">
        <v>2.4900000000000002</v>
      </c>
    </row>
    <row r="1961" spans="1:11" x14ac:dyDescent="0.35">
      <c r="A1961" s="1">
        <v>45626</v>
      </c>
      <c r="B1961" t="s">
        <v>1455</v>
      </c>
      <c r="C1961" t="s">
        <v>63</v>
      </c>
      <c r="D1961" t="s">
        <v>19</v>
      </c>
      <c r="E1961" t="s">
        <v>64</v>
      </c>
      <c r="F1961" t="s">
        <v>21</v>
      </c>
      <c r="G1961" t="s">
        <v>22</v>
      </c>
      <c r="H1961">
        <v>12141.65</v>
      </c>
      <c r="I1961">
        <v>5</v>
      </c>
      <c r="J1961">
        <v>60708.25</v>
      </c>
      <c r="K1961">
        <v>2.83</v>
      </c>
    </row>
    <row r="1962" spans="1:11" x14ac:dyDescent="0.35">
      <c r="A1962" s="1">
        <v>45627</v>
      </c>
      <c r="B1962" t="s">
        <v>670</v>
      </c>
      <c r="C1962" t="s">
        <v>18</v>
      </c>
      <c r="D1962" t="s">
        <v>19</v>
      </c>
      <c r="E1962" t="s">
        <v>20</v>
      </c>
      <c r="F1962" t="s">
        <v>45</v>
      </c>
      <c r="G1962" t="s">
        <v>39</v>
      </c>
      <c r="H1962">
        <v>5615.51</v>
      </c>
      <c r="I1962">
        <v>3</v>
      </c>
      <c r="J1962">
        <v>16846.53</v>
      </c>
      <c r="K1962">
        <v>2.71</v>
      </c>
    </row>
    <row r="1963" spans="1:11" x14ac:dyDescent="0.35">
      <c r="A1963" s="1">
        <v>45627</v>
      </c>
      <c r="B1963" t="s">
        <v>1493</v>
      </c>
      <c r="C1963" t="s">
        <v>63</v>
      </c>
      <c r="D1963" t="s">
        <v>19</v>
      </c>
      <c r="E1963" t="s">
        <v>64</v>
      </c>
      <c r="F1963" t="s">
        <v>21</v>
      </c>
      <c r="G1963" t="s">
        <v>39</v>
      </c>
      <c r="H1963">
        <v>235.04</v>
      </c>
      <c r="I1963">
        <v>5</v>
      </c>
      <c r="J1963">
        <v>1175.2</v>
      </c>
      <c r="K1963">
        <v>4.82</v>
      </c>
    </row>
    <row r="1964" spans="1:11" x14ac:dyDescent="0.35">
      <c r="A1964" s="1">
        <v>45628</v>
      </c>
      <c r="B1964" t="s">
        <v>1226</v>
      </c>
      <c r="C1964" t="s">
        <v>37</v>
      </c>
      <c r="D1964" t="s">
        <v>19</v>
      </c>
      <c r="E1964" t="s">
        <v>38</v>
      </c>
      <c r="F1964" t="s">
        <v>15</v>
      </c>
      <c r="G1964" t="s">
        <v>27</v>
      </c>
      <c r="H1964">
        <v>9212.6299999999992</v>
      </c>
      <c r="I1964">
        <v>4</v>
      </c>
      <c r="J1964">
        <v>36850.519999999997</v>
      </c>
      <c r="K1964">
        <v>1.67</v>
      </c>
    </row>
    <row r="1965" spans="1:11" x14ac:dyDescent="0.35">
      <c r="A1965" s="1">
        <v>45628</v>
      </c>
      <c r="B1965" t="s">
        <v>1315</v>
      </c>
      <c r="C1965" t="s">
        <v>37</v>
      </c>
      <c r="D1965" t="s">
        <v>19</v>
      </c>
      <c r="E1965" t="s">
        <v>38</v>
      </c>
      <c r="F1965" t="s">
        <v>15</v>
      </c>
      <c r="G1965" t="s">
        <v>16</v>
      </c>
      <c r="H1965">
        <v>982.16</v>
      </c>
      <c r="I1965">
        <v>5</v>
      </c>
      <c r="J1965">
        <v>4910.8</v>
      </c>
      <c r="K1965">
        <v>1.04</v>
      </c>
    </row>
    <row r="1966" spans="1:11" x14ac:dyDescent="0.35">
      <c r="A1966" s="1">
        <v>45628</v>
      </c>
      <c r="B1966" t="s">
        <v>1891</v>
      </c>
      <c r="C1966" t="s">
        <v>63</v>
      </c>
      <c r="D1966" t="s">
        <v>19</v>
      </c>
      <c r="E1966" t="s">
        <v>64</v>
      </c>
      <c r="F1966" t="s">
        <v>45</v>
      </c>
      <c r="G1966" t="s">
        <v>16</v>
      </c>
      <c r="H1966">
        <v>17300.099999999999</v>
      </c>
      <c r="I1966">
        <v>3</v>
      </c>
      <c r="J1966">
        <v>51900.3</v>
      </c>
      <c r="K1966">
        <v>4.95</v>
      </c>
    </row>
    <row r="1967" spans="1:11" x14ac:dyDescent="0.35">
      <c r="A1967" s="1">
        <v>45628</v>
      </c>
      <c r="B1967" t="s">
        <v>1925</v>
      </c>
      <c r="C1967" t="s">
        <v>63</v>
      </c>
      <c r="D1967" t="s">
        <v>19</v>
      </c>
      <c r="E1967" t="s">
        <v>64</v>
      </c>
      <c r="F1967" t="s">
        <v>15</v>
      </c>
      <c r="G1967" t="s">
        <v>39</v>
      </c>
      <c r="H1967">
        <v>1348.63</v>
      </c>
      <c r="I1967">
        <v>1</v>
      </c>
      <c r="J1967">
        <v>1348.63</v>
      </c>
      <c r="K1967">
        <v>1.05</v>
      </c>
    </row>
    <row r="1968" spans="1:11" x14ac:dyDescent="0.35">
      <c r="A1968" s="1">
        <v>45630</v>
      </c>
      <c r="B1968" t="s">
        <v>1249</v>
      </c>
      <c r="C1968" t="s">
        <v>63</v>
      </c>
      <c r="D1968" t="s">
        <v>19</v>
      </c>
      <c r="E1968" t="s">
        <v>64</v>
      </c>
      <c r="F1968" t="s">
        <v>45</v>
      </c>
      <c r="G1968" t="s">
        <v>60</v>
      </c>
      <c r="H1968">
        <v>13923.27</v>
      </c>
      <c r="I1968">
        <v>1</v>
      </c>
      <c r="J1968">
        <v>13923.27</v>
      </c>
      <c r="K1968">
        <v>1.17</v>
      </c>
    </row>
    <row r="1969" spans="1:11" x14ac:dyDescent="0.35">
      <c r="A1969" s="1">
        <v>45631</v>
      </c>
      <c r="B1969" t="s">
        <v>367</v>
      </c>
      <c r="C1969" t="s">
        <v>63</v>
      </c>
      <c r="D1969" t="s">
        <v>19</v>
      </c>
      <c r="E1969" t="s">
        <v>64</v>
      </c>
      <c r="F1969" t="s">
        <v>45</v>
      </c>
      <c r="G1969" t="s">
        <v>32</v>
      </c>
      <c r="H1969">
        <v>8400.8700000000008</v>
      </c>
      <c r="I1969">
        <v>5</v>
      </c>
      <c r="J1969">
        <v>42004.35</v>
      </c>
      <c r="K1969">
        <v>1.77</v>
      </c>
    </row>
    <row r="1970" spans="1:11" x14ac:dyDescent="0.35">
      <c r="A1970" s="1">
        <v>45632</v>
      </c>
      <c r="B1970" t="s">
        <v>409</v>
      </c>
      <c r="C1970" t="s">
        <v>63</v>
      </c>
      <c r="D1970" t="s">
        <v>19</v>
      </c>
      <c r="E1970" t="s">
        <v>64</v>
      </c>
      <c r="F1970" t="s">
        <v>21</v>
      </c>
      <c r="G1970" t="s">
        <v>32</v>
      </c>
      <c r="H1970">
        <v>8023.96</v>
      </c>
      <c r="I1970">
        <v>3</v>
      </c>
      <c r="J1970">
        <v>24071.88</v>
      </c>
      <c r="K1970">
        <v>4.88</v>
      </c>
    </row>
    <row r="1971" spans="1:11" x14ac:dyDescent="0.35">
      <c r="A1971" s="1">
        <v>45632</v>
      </c>
      <c r="B1971" t="s">
        <v>1289</v>
      </c>
      <c r="C1971" t="s">
        <v>18</v>
      </c>
      <c r="D1971" t="s">
        <v>19</v>
      </c>
      <c r="E1971" t="s">
        <v>20</v>
      </c>
      <c r="F1971" t="s">
        <v>45</v>
      </c>
      <c r="G1971" t="s">
        <v>16</v>
      </c>
      <c r="H1971">
        <v>14364.26</v>
      </c>
      <c r="I1971">
        <v>2</v>
      </c>
      <c r="J1971">
        <v>28728.52</v>
      </c>
      <c r="K1971">
        <v>4.78</v>
      </c>
    </row>
    <row r="1972" spans="1:11" x14ac:dyDescent="0.35">
      <c r="A1972" s="1">
        <v>45634</v>
      </c>
      <c r="B1972" t="s">
        <v>477</v>
      </c>
      <c r="C1972" t="s">
        <v>18</v>
      </c>
      <c r="D1972" t="s">
        <v>19</v>
      </c>
      <c r="E1972" t="s">
        <v>20</v>
      </c>
      <c r="F1972" t="s">
        <v>21</v>
      </c>
      <c r="G1972" t="s">
        <v>60</v>
      </c>
      <c r="H1972">
        <v>15187.69</v>
      </c>
      <c r="I1972">
        <v>5</v>
      </c>
      <c r="J1972">
        <v>75938.45</v>
      </c>
      <c r="K1972">
        <v>2.57</v>
      </c>
    </row>
    <row r="1973" spans="1:11" x14ac:dyDescent="0.35">
      <c r="A1973" s="1">
        <v>45634</v>
      </c>
      <c r="B1973" t="s">
        <v>1275</v>
      </c>
      <c r="C1973" t="s">
        <v>37</v>
      </c>
      <c r="D1973" t="s">
        <v>19</v>
      </c>
      <c r="E1973" t="s">
        <v>38</v>
      </c>
      <c r="F1973" t="s">
        <v>21</v>
      </c>
      <c r="G1973" t="s">
        <v>16</v>
      </c>
      <c r="H1973">
        <v>15667.24</v>
      </c>
      <c r="I1973">
        <v>1</v>
      </c>
      <c r="J1973">
        <v>15667.24</v>
      </c>
      <c r="K1973">
        <v>3.33</v>
      </c>
    </row>
    <row r="1974" spans="1:11" x14ac:dyDescent="0.35">
      <c r="A1974" s="1">
        <v>45635</v>
      </c>
      <c r="B1974" t="s">
        <v>1180</v>
      </c>
      <c r="C1974" t="s">
        <v>63</v>
      </c>
      <c r="D1974" t="s">
        <v>19</v>
      </c>
      <c r="E1974" t="s">
        <v>64</v>
      </c>
      <c r="F1974" t="s">
        <v>15</v>
      </c>
      <c r="G1974" t="s">
        <v>60</v>
      </c>
      <c r="H1974">
        <v>680.95</v>
      </c>
      <c r="I1974">
        <v>3</v>
      </c>
      <c r="J1974">
        <v>2042.85</v>
      </c>
      <c r="K1974">
        <v>2.99</v>
      </c>
    </row>
    <row r="1975" spans="1:11" x14ac:dyDescent="0.35">
      <c r="A1975" s="1">
        <v>45637</v>
      </c>
      <c r="B1975" t="s">
        <v>375</v>
      </c>
      <c r="C1975" t="s">
        <v>63</v>
      </c>
      <c r="D1975" t="s">
        <v>19</v>
      </c>
      <c r="E1975" t="s">
        <v>64</v>
      </c>
      <c r="F1975" t="s">
        <v>45</v>
      </c>
      <c r="G1975" t="s">
        <v>22</v>
      </c>
      <c r="H1975">
        <v>7726.28</v>
      </c>
      <c r="I1975">
        <v>5</v>
      </c>
      <c r="J1975">
        <v>38631.4</v>
      </c>
      <c r="K1975">
        <v>4.83</v>
      </c>
    </row>
    <row r="1976" spans="1:11" x14ac:dyDescent="0.35">
      <c r="A1976" s="1">
        <v>45637</v>
      </c>
      <c r="B1976" t="s">
        <v>678</v>
      </c>
      <c r="C1976" t="s">
        <v>37</v>
      </c>
      <c r="D1976" t="s">
        <v>19</v>
      </c>
      <c r="E1976" t="s">
        <v>38</v>
      </c>
      <c r="F1976" t="s">
        <v>15</v>
      </c>
      <c r="G1976" t="s">
        <v>16</v>
      </c>
      <c r="H1976">
        <v>17018.22</v>
      </c>
      <c r="I1976">
        <v>5</v>
      </c>
      <c r="J1976">
        <v>85091.1</v>
      </c>
      <c r="K1976">
        <v>1.27</v>
      </c>
    </row>
    <row r="1977" spans="1:11" x14ac:dyDescent="0.35">
      <c r="A1977" s="1">
        <v>45638</v>
      </c>
      <c r="B1977" t="s">
        <v>178</v>
      </c>
      <c r="C1977" t="s">
        <v>63</v>
      </c>
      <c r="D1977" t="s">
        <v>19</v>
      </c>
      <c r="E1977" t="s">
        <v>64</v>
      </c>
      <c r="F1977" t="s">
        <v>21</v>
      </c>
      <c r="G1977" t="s">
        <v>32</v>
      </c>
      <c r="H1977">
        <v>17832.84</v>
      </c>
      <c r="I1977">
        <v>5</v>
      </c>
      <c r="J1977">
        <v>89164.2</v>
      </c>
      <c r="K1977">
        <v>3.86</v>
      </c>
    </row>
    <row r="1978" spans="1:11" x14ac:dyDescent="0.35">
      <c r="A1978" s="1">
        <v>45638</v>
      </c>
      <c r="B1978" t="s">
        <v>1057</v>
      </c>
      <c r="C1978" t="s">
        <v>18</v>
      </c>
      <c r="D1978" t="s">
        <v>19</v>
      </c>
      <c r="E1978" t="s">
        <v>20</v>
      </c>
      <c r="F1978" t="s">
        <v>21</v>
      </c>
      <c r="G1978" t="s">
        <v>22</v>
      </c>
      <c r="H1978">
        <v>194.72</v>
      </c>
      <c r="I1978">
        <v>3</v>
      </c>
      <c r="J1978">
        <v>584.16</v>
      </c>
      <c r="K1978">
        <v>3.41</v>
      </c>
    </row>
    <row r="1979" spans="1:11" x14ac:dyDescent="0.35">
      <c r="A1979" s="1">
        <v>45640</v>
      </c>
      <c r="B1979" t="s">
        <v>310</v>
      </c>
      <c r="C1979" t="s">
        <v>63</v>
      </c>
      <c r="D1979" t="s">
        <v>19</v>
      </c>
      <c r="E1979" t="s">
        <v>64</v>
      </c>
      <c r="F1979" t="s">
        <v>21</v>
      </c>
      <c r="G1979" t="s">
        <v>32</v>
      </c>
      <c r="H1979">
        <v>10506.9</v>
      </c>
      <c r="I1979">
        <v>3</v>
      </c>
      <c r="J1979">
        <v>31520.7</v>
      </c>
      <c r="K1979">
        <v>1.29</v>
      </c>
    </row>
    <row r="1980" spans="1:11" x14ac:dyDescent="0.35">
      <c r="A1980" s="1">
        <v>45640</v>
      </c>
      <c r="B1980" t="s">
        <v>394</v>
      </c>
      <c r="C1980" t="s">
        <v>18</v>
      </c>
      <c r="D1980" t="s">
        <v>19</v>
      </c>
      <c r="E1980" t="s">
        <v>20</v>
      </c>
      <c r="F1980" t="s">
        <v>15</v>
      </c>
      <c r="G1980" t="s">
        <v>27</v>
      </c>
      <c r="H1980">
        <v>15002.43</v>
      </c>
      <c r="I1980">
        <v>2</v>
      </c>
      <c r="J1980">
        <v>30004.86</v>
      </c>
      <c r="K1980">
        <v>1.01</v>
      </c>
    </row>
    <row r="1981" spans="1:11" x14ac:dyDescent="0.35">
      <c r="A1981" s="1">
        <v>45640</v>
      </c>
      <c r="B1981" t="s">
        <v>884</v>
      </c>
      <c r="C1981" t="s">
        <v>37</v>
      </c>
      <c r="D1981" t="s">
        <v>19</v>
      </c>
      <c r="E1981" t="s">
        <v>38</v>
      </c>
      <c r="F1981" t="s">
        <v>15</v>
      </c>
      <c r="G1981" t="s">
        <v>22</v>
      </c>
      <c r="H1981">
        <v>4053.5</v>
      </c>
      <c r="I1981">
        <v>5</v>
      </c>
      <c r="J1981">
        <v>20267.5</v>
      </c>
      <c r="K1981">
        <v>3</v>
      </c>
    </row>
    <row r="1982" spans="1:11" x14ac:dyDescent="0.35">
      <c r="A1982" s="1">
        <v>45640</v>
      </c>
      <c r="B1982" t="s">
        <v>1682</v>
      </c>
      <c r="C1982" t="s">
        <v>37</v>
      </c>
      <c r="D1982" t="s">
        <v>19</v>
      </c>
      <c r="E1982" t="s">
        <v>38</v>
      </c>
      <c r="F1982" t="s">
        <v>15</v>
      </c>
      <c r="G1982" t="s">
        <v>27</v>
      </c>
      <c r="H1982">
        <v>9937.57</v>
      </c>
      <c r="I1982">
        <v>3</v>
      </c>
      <c r="J1982">
        <v>29812.71</v>
      </c>
      <c r="K1982">
        <v>1.63</v>
      </c>
    </row>
    <row r="1983" spans="1:11" x14ac:dyDescent="0.35">
      <c r="A1983" s="1">
        <v>45641</v>
      </c>
      <c r="B1983" t="s">
        <v>1567</v>
      </c>
      <c r="C1983" t="s">
        <v>63</v>
      </c>
      <c r="D1983" t="s">
        <v>19</v>
      </c>
      <c r="E1983" t="s">
        <v>64</v>
      </c>
      <c r="F1983" t="s">
        <v>45</v>
      </c>
      <c r="G1983" t="s">
        <v>60</v>
      </c>
      <c r="H1983">
        <v>9764.93</v>
      </c>
      <c r="I1983">
        <v>2</v>
      </c>
      <c r="J1983">
        <v>19529.86</v>
      </c>
      <c r="K1983">
        <v>3.52</v>
      </c>
    </row>
    <row r="1984" spans="1:11" x14ac:dyDescent="0.35">
      <c r="A1984" s="1">
        <v>45641</v>
      </c>
      <c r="B1984" t="s">
        <v>1594</v>
      </c>
      <c r="C1984" t="s">
        <v>18</v>
      </c>
      <c r="D1984" t="s">
        <v>19</v>
      </c>
      <c r="E1984" t="s">
        <v>20</v>
      </c>
      <c r="F1984" t="s">
        <v>45</v>
      </c>
      <c r="G1984" t="s">
        <v>32</v>
      </c>
      <c r="H1984">
        <v>13447.46</v>
      </c>
      <c r="I1984">
        <v>2</v>
      </c>
      <c r="J1984">
        <v>26894.92</v>
      </c>
      <c r="K1984">
        <v>4.71</v>
      </c>
    </row>
    <row r="1985" spans="1:11" x14ac:dyDescent="0.35">
      <c r="A1985" s="1">
        <v>45642</v>
      </c>
      <c r="B1985" t="s">
        <v>1239</v>
      </c>
      <c r="C1985" t="s">
        <v>37</v>
      </c>
      <c r="D1985" t="s">
        <v>19</v>
      </c>
      <c r="E1985" t="s">
        <v>38</v>
      </c>
      <c r="F1985" t="s">
        <v>21</v>
      </c>
      <c r="G1985" t="s">
        <v>27</v>
      </c>
      <c r="H1985">
        <v>9895.2900000000009</v>
      </c>
      <c r="I1985">
        <v>4</v>
      </c>
      <c r="J1985">
        <v>39581.160000000003</v>
      </c>
      <c r="K1985">
        <v>3.05</v>
      </c>
    </row>
    <row r="1986" spans="1:11" x14ac:dyDescent="0.35">
      <c r="A1986" s="1">
        <v>45642</v>
      </c>
      <c r="B1986" t="s">
        <v>1726</v>
      </c>
      <c r="C1986" t="s">
        <v>37</v>
      </c>
      <c r="D1986" t="s">
        <v>19</v>
      </c>
      <c r="E1986" t="s">
        <v>38</v>
      </c>
      <c r="F1986" t="s">
        <v>21</v>
      </c>
      <c r="G1986" t="s">
        <v>60</v>
      </c>
      <c r="H1986">
        <v>2184.81</v>
      </c>
      <c r="I1986">
        <v>1</v>
      </c>
      <c r="J1986">
        <v>2184.81</v>
      </c>
      <c r="K1986">
        <v>3.38</v>
      </c>
    </row>
    <row r="1987" spans="1:11" x14ac:dyDescent="0.35">
      <c r="A1987" s="1">
        <v>45643</v>
      </c>
      <c r="B1987" t="s">
        <v>1696</v>
      </c>
      <c r="C1987" t="s">
        <v>63</v>
      </c>
      <c r="D1987" t="s">
        <v>19</v>
      </c>
      <c r="E1987" t="s">
        <v>64</v>
      </c>
      <c r="F1987" t="s">
        <v>21</v>
      </c>
      <c r="G1987" t="s">
        <v>16</v>
      </c>
      <c r="H1987">
        <v>1371.97</v>
      </c>
      <c r="I1987">
        <v>2</v>
      </c>
      <c r="J1987">
        <v>2743.94</v>
      </c>
      <c r="K1987">
        <v>4.0999999999999996</v>
      </c>
    </row>
    <row r="1988" spans="1:11" x14ac:dyDescent="0.35">
      <c r="A1988" s="1">
        <v>45644</v>
      </c>
      <c r="B1988" t="s">
        <v>994</v>
      </c>
      <c r="C1988" t="s">
        <v>37</v>
      </c>
      <c r="D1988" t="s">
        <v>19</v>
      </c>
      <c r="E1988" t="s">
        <v>38</v>
      </c>
      <c r="F1988" t="s">
        <v>15</v>
      </c>
      <c r="G1988" t="s">
        <v>22</v>
      </c>
      <c r="H1988">
        <v>4724.2700000000004</v>
      </c>
      <c r="I1988">
        <v>2</v>
      </c>
      <c r="J1988">
        <v>9448.5400000000009</v>
      </c>
      <c r="K1988">
        <v>1.49</v>
      </c>
    </row>
    <row r="1989" spans="1:11" x14ac:dyDescent="0.35">
      <c r="A1989" s="1">
        <v>45644</v>
      </c>
      <c r="B1989" t="s">
        <v>1079</v>
      </c>
      <c r="C1989" t="s">
        <v>37</v>
      </c>
      <c r="D1989" t="s">
        <v>19</v>
      </c>
      <c r="E1989" t="s">
        <v>38</v>
      </c>
      <c r="F1989" t="s">
        <v>45</v>
      </c>
      <c r="G1989" t="s">
        <v>32</v>
      </c>
      <c r="H1989">
        <v>8152.67</v>
      </c>
      <c r="I1989">
        <v>3</v>
      </c>
      <c r="J1989">
        <v>24458.01</v>
      </c>
      <c r="K1989">
        <v>4.99</v>
      </c>
    </row>
    <row r="1990" spans="1:11" x14ac:dyDescent="0.35">
      <c r="A1990" s="1">
        <v>45646</v>
      </c>
      <c r="B1990" t="s">
        <v>632</v>
      </c>
      <c r="C1990" t="s">
        <v>18</v>
      </c>
      <c r="D1990" t="s">
        <v>19</v>
      </c>
      <c r="E1990" t="s">
        <v>20</v>
      </c>
      <c r="F1990" t="s">
        <v>45</v>
      </c>
      <c r="G1990" t="s">
        <v>32</v>
      </c>
      <c r="H1990">
        <v>8438.9500000000007</v>
      </c>
      <c r="I1990">
        <v>5</v>
      </c>
      <c r="J1990">
        <v>42194.75</v>
      </c>
      <c r="K1990">
        <v>3.74</v>
      </c>
    </row>
    <row r="1991" spans="1:11" x14ac:dyDescent="0.35">
      <c r="A1991" s="1">
        <v>45648</v>
      </c>
      <c r="B1991" t="s">
        <v>245</v>
      </c>
      <c r="C1991" t="s">
        <v>37</v>
      </c>
      <c r="D1991" t="s">
        <v>19</v>
      </c>
      <c r="E1991" t="s">
        <v>38</v>
      </c>
      <c r="F1991" t="s">
        <v>21</v>
      </c>
      <c r="G1991" t="s">
        <v>22</v>
      </c>
      <c r="H1991">
        <v>14808.65</v>
      </c>
      <c r="I1991">
        <v>1</v>
      </c>
      <c r="J1991">
        <v>14808.65</v>
      </c>
      <c r="K1991">
        <v>4.92</v>
      </c>
    </row>
    <row r="1992" spans="1:11" x14ac:dyDescent="0.35">
      <c r="A1992" s="1">
        <v>45648</v>
      </c>
      <c r="B1992" t="s">
        <v>1067</v>
      </c>
      <c r="C1992" t="s">
        <v>18</v>
      </c>
      <c r="D1992" t="s">
        <v>19</v>
      </c>
      <c r="E1992" t="s">
        <v>20</v>
      </c>
      <c r="F1992" t="s">
        <v>45</v>
      </c>
      <c r="G1992" t="s">
        <v>27</v>
      </c>
      <c r="H1992">
        <v>315.72000000000003</v>
      </c>
      <c r="I1992">
        <v>4</v>
      </c>
      <c r="J1992">
        <v>1262.8800000000001</v>
      </c>
      <c r="K1992">
        <v>4.41</v>
      </c>
    </row>
    <row r="1993" spans="1:11" x14ac:dyDescent="0.35">
      <c r="A1993" s="1">
        <v>45648</v>
      </c>
      <c r="B1993" t="s">
        <v>1731</v>
      </c>
      <c r="C1993" t="s">
        <v>37</v>
      </c>
      <c r="D1993" t="s">
        <v>19</v>
      </c>
      <c r="E1993" t="s">
        <v>38</v>
      </c>
      <c r="F1993" t="s">
        <v>15</v>
      </c>
      <c r="G1993" t="s">
        <v>60</v>
      </c>
      <c r="H1993">
        <v>5061.1099999999997</v>
      </c>
      <c r="I1993">
        <v>3</v>
      </c>
      <c r="J1993">
        <v>15183.33</v>
      </c>
      <c r="K1993">
        <v>2</v>
      </c>
    </row>
    <row r="1994" spans="1:11" x14ac:dyDescent="0.35">
      <c r="A1994" s="1">
        <v>45649</v>
      </c>
      <c r="B1994" t="s">
        <v>1374</v>
      </c>
      <c r="C1994" t="s">
        <v>18</v>
      </c>
      <c r="D1994" t="s">
        <v>19</v>
      </c>
      <c r="E1994" t="s">
        <v>20</v>
      </c>
      <c r="F1994" t="s">
        <v>15</v>
      </c>
      <c r="G1994" t="s">
        <v>27</v>
      </c>
      <c r="H1994">
        <v>16780.11</v>
      </c>
      <c r="I1994">
        <v>1</v>
      </c>
      <c r="J1994">
        <v>16780.11</v>
      </c>
      <c r="K1994">
        <v>3.12</v>
      </c>
    </row>
    <row r="1995" spans="1:11" x14ac:dyDescent="0.35">
      <c r="A1995" s="1">
        <v>45649</v>
      </c>
      <c r="B1995" t="s">
        <v>1735</v>
      </c>
      <c r="C1995" t="s">
        <v>37</v>
      </c>
      <c r="D1995" t="s">
        <v>19</v>
      </c>
      <c r="E1995" t="s">
        <v>38</v>
      </c>
      <c r="F1995" t="s">
        <v>45</v>
      </c>
      <c r="G1995" t="s">
        <v>60</v>
      </c>
      <c r="H1995">
        <v>13189.5</v>
      </c>
      <c r="I1995">
        <v>2</v>
      </c>
      <c r="J1995">
        <v>26379</v>
      </c>
      <c r="K1995">
        <v>1.02</v>
      </c>
    </row>
    <row r="1996" spans="1:11" x14ac:dyDescent="0.35">
      <c r="A1996" s="1">
        <v>45650</v>
      </c>
      <c r="B1996" t="s">
        <v>1278</v>
      </c>
      <c r="C1996" t="s">
        <v>18</v>
      </c>
      <c r="D1996" t="s">
        <v>19</v>
      </c>
      <c r="E1996" t="s">
        <v>20</v>
      </c>
      <c r="F1996" t="s">
        <v>45</v>
      </c>
      <c r="G1996" t="s">
        <v>22</v>
      </c>
      <c r="H1996">
        <v>11230.55</v>
      </c>
      <c r="I1996">
        <v>5</v>
      </c>
      <c r="J1996">
        <v>56152.75</v>
      </c>
      <c r="K1996">
        <v>3.57</v>
      </c>
    </row>
    <row r="1997" spans="1:11" x14ac:dyDescent="0.35">
      <c r="A1997" s="1">
        <v>45652</v>
      </c>
      <c r="B1997" t="s">
        <v>120</v>
      </c>
      <c r="C1997" t="s">
        <v>18</v>
      </c>
      <c r="D1997" t="s">
        <v>19</v>
      </c>
      <c r="E1997" t="s">
        <v>20</v>
      </c>
      <c r="F1997" t="s">
        <v>15</v>
      </c>
      <c r="G1997" t="s">
        <v>32</v>
      </c>
      <c r="H1997">
        <v>17105.39</v>
      </c>
      <c r="I1997">
        <v>3</v>
      </c>
      <c r="J1997">
        <v>51316.17</v>
      </c>
      <c r="K1997">
        <v>2.68</v>
      </c>
    </row>
    <row r="1998" spans="1:11" x14ac:dyDescent="0.35">
      <c r="A1998" s="1">
        <v>45652</v>
      </c>
      <c r="B1998" t="s">
        <v>551</v>
      </c>
      <c r="C1998" t="s">
        <v>18</v>
      </c>
      <c r="D1998" t="s">
        <v>19</v>
      </c>
      <c r="E1998" t="s">
        <v>20</v>
      </c>
      <c r="F1998" t="s">
        <v>15</v>
      </c>
      <c r="G1998" t="s">
        <v>60</v>
      </c>
      <c r="H1998">
        <v>1458.76</v>
      </c>
      <c r="I1998">
        <v>1</v>
      </c>
      <c r="J1998">
        <v>1458.76</v>
      </c>
      <c r="K1998">
        <v>3.59</v>
      </c>
    </row>
    <row r="1999" spans="1:11" x14ac:dyDescent="0.35">
      <c r="A1999" s="1">
        <v>45652</v>
      </c>
      <c r="B1999" t="s">
        <v>1413</v>
      </c>
      <c r="C1999" t="s">
        <v>18</v>
      </c>
      <c r="D1999" t="s">
        <v>19</v>
      </c>
      <c r="E1999" t="s">
        <v>20</v>
      </c>
      <c r="F1999" t="s">
        <v>45</v>
      </c>
      <c r="G1999" t="s">
        <v>27</v>
      </c>
      <c r="H1999">
        <v>17845.38</v>
      </c>
      <c r="I1999">
        <v>2</v>
      </c>
      <c r="J1999">
        <v>35690.76</v>
      </c>
      <c r="K1999">
        <v>4.04</v>
      </c>
    </row>
    <row r="2000" spans="1:11" x14ac:dyDescent="0.35">
      <c r="A2000" s="1">
        <v>45652</v>
      </c>
      <c r="B2000" t="s">
        <v>1625</v>
      </c>
      <c r="C2000" t="s">
        <v>18</v>
      </c>
      <c r="D2000" t="s">
        <v>19</v>
      </c>
      <c r="E2000" t="s">
        <v>20</v>
      </c>
      <c r="F2000" t="s">
        <v>15</v>
      </c>
      <c r="G2000" t="s">
        <v>22</v>
      </c>
      <c r="H2000">
        <v>11677.2</v>
      </c>
      <c r="I2000">
        <v>5</v>
      </c>
      <c r="J2000">
        <v>58386</v>
      </c>
      <c r="K2000">
        <v>2.87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D9C80-30A1-4C52-B0E7-BC4EE398C710}">
  <dimension ref="A3:F15"/>
  <sheetViews>
    <sheetView workbookViewId="0">
      <selection activeCell="A12" sqref="A12:B12"/>
      <pivotSelection pane="bottomRight" showHeader="1" extendable="1" axis="axisRow" start="8" max="12" activeRow="11" previousRow="11" click="1" r:id="rId1">
        <pivotArea dataOnly="0" fieldPosition="0">
          <references count="1">
            <reference field="11" count="1">
              <x v="9"/>
            </reference>
          </references>
        </pivotArea>
      </pivotSelection>
    </sheetView>
  </sheetViews>
  <sheetFormatPr defaultRowHeight="14.5" x14ac:dyDescent="0.35"/>
  <cols>
    <col min="1" max="1" width="12.36328125" bestFit="1" customWidth="1"/>
    <col min="2" max="2" width="18.36328125" bestFit="1" customWidth="1"/>
    <col min="3" max="5" width="13.6328125" bestFit="1" customWidth="1"/>
    <col min="6" max="6" width="11.81640625" bestFit="1" customWidth="1"/>
    <col min="7" max="11" width="10.81640625" bestFit="1" customWidth="1"/>
    <col min="12" max="12" width="11.81640625" bestFit="1" customWidth="1"/>
  </cols>
  <sheetData>
    <row r="3" spans="1:6" x14ac:dyDescent="0.35">
      <c r="A3" s="3" t="s">
        <v>2047</v>
      </c>
      <c r="B3" t="s">
        <v>2043</v>
      </c>
    </row>
    <row r="4" spans="1:6" x14ac:dyDescent="0.35">
      <c r="A4" s="4" t="s">
        <v>2049</v>
      </c>
      <c r="B4" s="6">
        <v>8.7426438395479325E-2</v>
      </c>
    </row>
    <row r="5" spans="1:6" x14ac:dyDescent="0.35">
      <c r="A5" s="4" t="s">
        <v>2050</v>
      </c>
      <c r="B5" s="6">
        <v>7.6465057818585078E-2</v>
      </c>
      <c r="F5" s="5"/>
    </row>
    <row r="6" spans="1:6" x14ac:dyDescent="0.35">
      <c r="A6" s="4" t="s">
        <v>2051</v>
      </c>
      <c r="B6" s="6">
        <v>7.6151592602210008E-2</v>
      </c>
      <c r="F6" s="5"/>
    </row>
    <row r="7" spans="1:6" x14ac:dyDescent="0.35">
      <c r="A7" s="4" t="s">
        <v>2052</v>
      </c>
      <c r="B7" s="6">
        <v>7.8787583504439929E-2</v>
      </c>
      <c r="F7" s="5"/>
    </row>
    <row r="8" spans="1:6" x14ac:dyDescent="0.35">
      <c r="A8" s="4" t="s">
        <v>2053</v>
      </c>
      <c r="B8" s="6">
        <v>8.5559528091520481E-2</v>
      </c>
      <c r="F8" s="5"/>
    </row>
    <row r="9" spans="1:6" x14ac:dyDescent="0.35">
      <c r="A9" s="4" t="s">
        <v>2054</v>
      </c>
      <c r="B9" s="6">
        <v>8.5172862040793537E-2</v>
      </c>
    </row>
    <row r="10" spans="1:6" x14ac:dyDescent="0.35">
      <c r="A10" s="4" t="s">
        <v>2055</v>
      </c>
      <c r="B10" s="6">
        <v>8.2562625965747968E-2</v>
      </c>
    </row>
    <row r="11" spans="1:6" x14ac:dyDescent="0.35">
      <c r="A11" s="4" t="s">
        <v>2056</v>
      </c>
      <c r="B11" s="6">
        <v>7.8025046122098665E-2</v>
      </c>
    </row>
    <row r="12" spans="1:6" x14ac:dyDescent="0.35">
      <c r="A12" s="4" t="s">
        <v>2057</v>
      </c>
      <c r="B12" s="6">
        <v>0.1073799218977556</v>
      </c>
    </row>
    <row r="13" spans="1:6" x14ac:dyDescent="0.35">
      <c r="A13" s="4" t="s">
        <v>2058</v>
      </c>
      <c r="B13" s="6">
        <v>7.9381819996547809E-2</v>
      </c>
    </row>
    <row r="14" spans="1:6" x14ac:dyDescent="0.35">
      <c r="A14" s="4" t="s">
        <v>2059</v>
      </c>
      <c r="B14" s="6">
        <v>9.1314913963496308E-2</v>
      </c>
    </row>
    <row r="15" spans="1:6" x14ac:dyDescent="0.35">
      <c r="A15" s="4" t="s">
        <v>2060</v>
      </c>
      <c r="B15" s="6">
        <v>7.177260960132531E-2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73ECF-48F5-40EF-87C3-F55400BF8071}">
  <dimension ref="A3:M8"/>
  <sheetViews>
    <sheetView showGridLines="0" workbookViewId="0">
      <selection activeCell="J11" sqref="J11"/>
    </sheetView>
  </sheetViews>
  <sheetFormatPr defaultRowHeight="14.5" x14ac:dyDescent="0.35"/>
  <cols>
    <col min="1" max="1" width="14.54296875" bestFit="1" customWidth="1"/>
    <col min="2" max="2" width="15.26953125" bestFit="1" customWidth="1"/>
    <col min="3" max="3" width="10.08984375" bestFit="1" customWidth="1"/>
    <col min="4" max="4" width="9.81640625" bestFit="1" customWidth="1"/>
    <col min="5" max="5" width="7.26953125" bestFit="1" customWidth="1"/>
    <col min="6" max="7" width="10.7265625" bestFit="1" customWidth="1"/>
    <col min="8" max="8" width="18.08984375" bestFit="1" customWidth="1"/>
    <col min="9" max="9" width="21.1796875" customWidth="1"/>
    <col min="10" max="10" width="14.81640625" customWidth="1"/>
    <col min="11" max="11" width="13.453125" customWidth="1"/>
    <col min="12" max="12" width="13.81640625" customWidth="1"/>
    <col min="13" max="13" width="12.26953125" customWidth="1"/>
  </cols>
  <sheetData>
    <row r="3" spans="1:13" ht="15" thickBot="1" x14ac:dyDescent="0.4">
      <c r="A3" s="3" t="s">
        <v>2044</v>
      </c>
      <c r="B3" s="3" t="s">
        <v>2068</v>
      </c>
      <c r="I3" t="s">
        <v>2069</v>
      </c>
    </row>
    <row r="4" spans="1:13" ht="16.5" thickTop="1" thickBot="1" x14ac:dyDescent="0.4">
      <c r="A4" s="3" t="s">
        <v>2047</v>
      </c>
      <c r="B4" t="s">
        <v>25</v>
      </c>
      <c r="C4" t="s">
        <v>30</v>
      </c>
      <c r="D4" t="s">
        <v>13</v>
      </c>
      <c r="E4" t="s">
        <v>19</v>
      </c>
      <c r="I4" s="7" t="s">
        <v>2070</v>
      </c>
      <c r="J4" s="8" t="str">
        <f>B4</f>
        <v>Accessories</v>
      </c>
      <c r="K4" s="8" t="str">
        <f t="shared" ref="K4:M4" si="0">C4</f>
        <v>Computers</v>
      </c>
      <c r="L4" s="8" t="str">
        <f t="shared" si="0"/>
        <v>Electronics</v>
      </c>
      <c r="M4" s="8" t="str">
        <f t="shared" si="0"/>
        <v>Fashion</v>
      </c>
    </row>
    <row r="5" spans="1:13" ht="16.5" thickTop="1" thickBot="1" x14ac:dyDescent="0.4">
      <c r="A5" s="4" t="s">
        <v>45</v>
      </c>
      <c r="B5" s="6">
        <v>5.6635110446769638E-2</v>
      </c>
      <c r="C5" s="6">
        <v>6.0455073907988703E-2</v>
      </c>
      <c r="D5" s="6">
        <v>0.10446769639594752</v>
      </c>
      <c r="E5" s="6">
        <v>0.10181033050988209</v>
      </c>
      <c r="I5" s="9" t="str">
        <f>A5</f>
        <v>Amazon</v>
      </c>
      <c r="J5" s="10">
        <f>B5</f>
        <v>5.6635110446769638E-2</v>
      </c>
      <c r="K5" s="10">
        <f t="shared" ref="K5:M7" si="1">C5</f>
        <v>6.0455073907988703E-2</v>
      </c>
      <c r="L5" s="10">
        <f t="shared" si="1"/>
        <v>0.10446769639594752</v>
      </c>
      <c r="M5" s="10">
        <f t="shared" si="1"/>
        <v>0.10181033050988209</v>
      </c>
    </row>
    <row r="6" spans="1:13" ht="16.5" thickTop="1" thickBot="1" x14ac:dyDescent="0.4">
      <c r="A6" s="4" t="s">
        <v>21</v>
      </c>
      <c r="B6" s="6">
        <v>6.726457399103139E-2</v>
      </c>
      <c r="C6" s="6">
        <v>7.2745391131041351E-2</v>
      </c>
      <c r="D6" s="6">
        <v>0.1013120744062448</v>
      </c>
      <c r="E6" s="6">
        <v>0.10214250124564025</v>
      </c>
      <c r="I6" s="9" t="str">
        <f>A6</f>
        <v>Jumia</v>
      </c>
      <c r="J6" s="10">
        <f>B6</f>
        <v>6.726457399103139E-2</v>
      </c>
      <c r="K6" s="10">
        <f t="shared" si="1"/>
        <v>7.2745391131041351E-2</v>
      </c>
      <c r="L6" s="10">
        <f t="shared" si="1"/>
        <v>0.1013120744062448</v>
      </c>
      <c r="M6" s="10">
        <f t="shared" si="1"/>
        <v>0.10214250124564025</v>
      </c>
    </row>
    <row r="7" spans="1:13" ht="16.5" thickTop="1" thickBot="1" x14ac:dyDescent="0.4">
      <c r="A7" s="4" t="s">
        <v>15</v>
      </c>
      <c r="B7" s="6">
        <v>5.8129878757681448E-2</v>
      </c>
      <c r="C7" s="6">
        <v>6.3444610529812318E-2</v>
      </c>
      <c r="D7" s="6">
        <v>0.11360239162929746</v>
      </c>
      <c r="E7" s="6">
        <v>9.7990367048663013E-2</v>
      </c>
      <c r="I7" s="11" t="str">
        <f>A7</f>
        <v>Souq</v>
      </c>
      <c r="J7" s="12">
        <f>B7</f>
        <v>5.8129878757681448E-2</v>
      </c>
      <c r="K7" s="12">
        <f t="shared" si="1"/>
        <v>6.3444610529812318E-2</v>
      </c>
      <c r="L7" s="12">
        <f t="shared" si="1"/>
        <v>0.11360239162929746</v>
      </c>
      <c r="M7" s="12">
        <f t="shared" si="1"/>
        <v>9.7990367048663013E-2</v>
      </c>
    </row>
    <row r="8" spans="1:13" ht="15" thickTop="1" x14ac:dyDescent="0.35"/>
  </sheetData>
  <conditionalFormatting sqref="J5:M7">
    <cfRule type="colorScale" priority="3">
      <colorScale>
        <cfvo type="min"/>
        <cfvo type="percentile" val="50"/>
        <cfvo type="max"/>
        <color rgb="FFF8696B"/>
        <color rgb="FFFCFCFF"/>
        <color rgb="FF5A8AC6"/>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AB218-DB01-4A82-8651-E11AF52A6883}">
  <dimension ref="A3:D14"/>
  <sheetViews>
    <sheetView workbookViewId="0">
      <selection activeCell="A9" sqref="A9:D9"/>
      <pivotSelection pane="bottomRight" showHeader="1" extendable="1" start="4" max="10" activeRow="8" click="1" r:id="rId1">
        <pivotArea dataOnly="0" fieldPosition="0">
          <references count="1">
            <reference field="4" count="1">
              <x v="4"/>
            </reference>
          </references>
        </pivotArea>
      </pivotSelection>
    </sheetView>
  </sheetViews>
  <sheetFormatPr defaultRowHeight="14.5" x14ac:dyDescent="0.35"/>
  <cols>
    <col min="1" max="1" width="14.54296875" bestFit="1" customWidth="1"/>
    <col min="2" max="2" width="15.26953125" bestFit="1" customWidth="1"/>
    <col min="3" max="3" width="5.6328125" bestFit="1" customWidth="1"/>
    <col min="4" max="4" width="5" bestFit="1" customWidth="1"/>
    <col min="5" max="5" width="10.7265625" bestFit="1" customWidth="1"/>
  </cols>
  <sheetData>
    <row r="3" spans="1:4" x14ac:dyDescent="0.35">
      <c r="A3" s="3" t="s">
        <v>2044</v>
      </c>
      <c r="B3" s="3" t="s">
        <v>2068</v>
      </c>
    </row>
    <row r="4" spans="1:4" x14ac:dyDescent="0.35">
      <c r="A4" s="3" t="s">
        <v>2047</v>
      </c>
      <c r="B4" t="s">
        <v>45</v>
      </c>
      <c r="C4" t="s">
        <v>21</v>
      </c>
      <c r="D4" t="s">
        <v>15</v>
      </c>
    </row>
    <row r="5" spans="1:4" x14ac:dyDescent="0.35">
      <c r="A5" s="4" t="s">
        <v>64</v>
      </c>
      <c r="B5" s="15">
        <v>214</v>
      </c>
      <c r="C5" s="15">
        <v>210</v>
      </c>
      <c r="D5" s="15">
        <v>164</v>
      </c>
    </row>
    <row r="6" spans="1:4" x14ac:dyDescent="0.35">
      <c r="A6" s="4" t="s">
        <v>35</v>
      </c>
      <c r="B6" s="15">
        <v>199</v>
      </c>
      <c r="C6" s="15">
        <v>172</v>
      </c>
      <c r="D6" s="15">
        <v>201</v>
      </c>
    </row>
    <row r="7" spans="1:4" x14ac:dyDescent="0.35">
      <c r="A7" s="4" t="s">
        <v>52</v>
      </c>
      <c r="B7" s="15">
        <v>203</v>
      </c>
      <c r="C7" s="15">
        <v>176</v>
      </c>
      <c r="D7" s="15">
        <v>190</v>
      </c>
    </row>
    <row r="8" spans="1:4" x14ac:dyDescent="0.35">
      <c r="A8" s="4" t="s">
        <v>43</v>
      </c>
      <c r="B8" s="15">
        <v>177</v>
      </c>
      <c r="C8" s="15">
        <v>228</v>
      </c>
      <c r="D8" s="15">
        <v>189</v>
      </c>
    </row>
    <row r="9" spans="1:4" x14ac:dyDescent="0.35">
      <c r="A9" s="4" t="s">
        <v>38</v>
      </c>
      <c r="B9" s="15">
        <v>181</v>
      </c>
      <c r="C9" s="15">
        <v>194</v>
      </c>
      <c r="D9" s="15">
        <v>256</v>
      </c>
    </row>
    <row r="10" spans="1:4" x14ac:dyDescent="0.35">
      <c r="A10" s="4" t="s">
        <v>31</v>
      </c>
      <c r="B10" s="15">
        <v>161</v>
      </c>
      <c r="C10" s="15">
        <v>262</v>
      </c>
      <c r="D10" s="15">
        <v>192</v>
      </c>
    </row>
    <row r="11" spans="1:4" x14ac:dyDescent="0.35">
      <c r="A11" s="4" t="s">
        <v>26</v>
      </c>
      <c r="B11" s="15">
        <v>164</v>
      </c>
      <c r="C11" s="15">
        <v>177</v>
      </c>
      <c r="D11" s="15">
        <v>161</v>
      </c>
    </row>
    <row r="12" spans="1:4" x14ac:dyDescent="0.35">
      <c r="A12" s="4" t="s">
        <v>20</v>
      </c>
      <c r="B12" s="15">
        <v>218</v>
      </c>
      <c r="C12" s="15">
        <v>211</v>
      </c>
      <c r="D12" s="15">
        <v>170</v>
      </c>
    </row>
    <row r="13" spans="1:4" x14ac:dyDescent="0.35">
      <c r="A13" s="4" t="s">
        <v>14</v>
      </c>
      <c r="B13" s="15">
        <v>226</v>
      </c>
      <c r="C13" s="15">
        <v>207</v>
      </c>
      <c r="D13" s="15">
        <v>241</v>
      </c>
    </row>
    <row r="14" spans="1:4" x14ac:dyDescent="0.35">
      <c r="A14" s="4" t="s">
        <v>48</v>
      </c>
      <c r="B14" s="15">
        <v>204</v>
      </c>
      <c r="C14" s="15">
        <v>231</v>
      </c>
      <c r="D14" s="15">
        <v>242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5775D-F575-4A0A-BEA4-DC72DE8B70D1}">
  <dimension ref="A3:I14"/>
  <sheetViews>
    <sheetView workbookViewId="0">
      <selection activeCell="H8" sqref="H8"/>
    </sheetView>
  </sheetViews>
  <sheetFormatPr defaultRowHeight="14.5" x14ac:dyDescent="0.35"/>
  <cols>
    <col min="1" max="1" width="19.26953125" bestFit="1" customWidth="1"/>
    <col min="2" max="2" width="15.26953125" bestFit="1" customWidth="1"/>
    <col min="3" max="3" width="5.6328125" bestFit="1" customWidth="1"/>
    <col min="4" max="4" width="5" bestFit="1" customWidth="1"/>
    <col min="5" max="5" width="10.7265625" bestFit="1" customWidth="1"/>
    <col min="8" max="8" width="12.36328125" bestFit="1" customWidth="1"/>
    <col min="9" max="9" width="14.54296875" bestFit="1" customWidth="1"/>
    <col min="10" max="10" width="5.6328125" bestFit="1" customWidth="1"/>
    <col min="11" max="11" width="5" bestFit="1" customWidth="1"/>
  </cols>
  <sheetData>
    <row r="3" spans="1:9" x14ac:dyDescent="0.35">
      <c r="A3" s="3" t="s">
        <v>2044</v>
      </c>
      <c r="B3" s="3" t="s">
        <v>2068</v>
      </c>
    </row>
    <row r="4" spans="1:9" x14ac:dyDescent="0.35">
      <c r="A4" s="3" t="s">
        <v>2047</v>
      </c>
      <c r="B4" t="s">
        <v>45</v>
      </c>
      <c r="C4" t="s">
        <v>21</v>
      </c>
      <c r="D4" t="s">
        <v>15</v>
      </c>
    </row>
    <row r="5" spans="1:9" x14ac:dyDescent="0.35">
      <c r="A5" s="4" t="s">
        <v>12</v>
      </c>
      <c r="B5" s="15">
        <v>226</v>
      </c>
      <c r="C5" s="15">
        <v>207</v>
      </c>
      <c r="D5" s="15">
        <v>241</v>
      </c>
    </row>
    <row r="6" spans="1:9" x14ac:dyDescent="0.35">
      <c r="A6" s="4" t="s">
        <v>18</v>
      </c>
      <c r="B6" s="15">
        <v>218</v>
      </c>
      <c r="C6" s="15">
        <v>211</v>
      </c>
      <c r="D6" s="15">
        <v>170</v>
      </c>
    </row>
    <row r="7" spans="1:9" x14ac:dyDescent="0.35">
      <c r="A7" s="4" t="s">
        <v>63</v>
      </c>
      <c r="B7" s="15">
        <v>214</v>
      </c>
      <c r="C7" s="15">
        <v>210</v>
      </c>
      <c r="D7" s="15">
        <v>164</v>
      </c>
      <c r="H7" s="3" t="s">
        <v>2047</v>
      </c>
      <c r="I7" t="s">
        <v>2044</v>
      </c>
    </row>
    <row r="8" spans="1:9" x14ac:dyDescent="0.35">
      <c r="A8" s="4" t="s">
        <v>47</v>
      </c>
      <c r="B8" s="15">
        <v>204</v>
      </c>
      <c r="C8" s="15">
        <v>231</v>
      </c>
      <c r="D8" s="15">
        <v>242</v>
      </c>
      <c r="H8" s="4" t="s">
        <v>45</v>
      </c>
      <c r="I8" s="15">
        <v>1947</v>
      </c>
    </row>
    <row r="9" spans="1:9" x14ac:dyDescent="0.35">
      <c r="A9" s="4" t="s">
        <v>51</v>
      </c>
      <c r="B9" s="15">
        <v>203</v>
      </c>
      <c r="C9" s="15">
        <v>176</v>
      </c>
      <c r="D9" s="15">
        <v>190</v>
      </c>
      <c r="H9" s="4" t="s">
        <v>21</v>
      </c>
      <c r="I9" s="15">
        <v>2068</v>
      </c>
    </row>
    <row r="10" spans="1:9" x14ac:dyDescent="0.35">
      <c r="A10" s="4" t="s">
        <v>34</v>
      </c>
      <c r="B10" s="15">
        <v>199</v>
      </c>
      <c r="C10" s="15">
        <v>172</v>
      </c>
      <c r="D10" s="15">
        <v>201</v>
      </c>
      <c r="H10" s="4" t="s">
        <v>15</v>
      </c>
      <c r="I10" s="15">
        <v>2006</v>
      </c>
    </row>
    <row r="11" spans="1:9" x14ac:dyDescent="0.35">
      <c r="A11" s="4" t="s">
        <v>37</v>
      </c>
      <c r="B11" s="15">
        <v>181</v>
      </c>
      <c r="C11" s="15">
        <v>194</v>
      </c>
      <c r="D11" s="15">
        <v>256</v>
      </c>
    </row>
    <row r="12" spans="1:9" x14ac:dyDescent="0.35">
      <c r="A12" s="4" t="s">
        <v>42</v>
      </c>
      <c r="B12" s="15">
        <v>177</v>
      </c>
      <c r="C12" s="15">
        <v>228</v>
      </c>
      <c r="D12" s="15">
        <v>189</v>
      </c>
    </row>
    <row r="13" spans="1:9" x14ac:dyDescent="0.35">
      <c r="A13" s="4" t="s">
        <v>24</v>
      </c>
      <c r="B13" s="15">
        <v>164</v>
      </c>
      <c r="C13" s="15">
        <v>177</v>
      </c>
      <c r="D13" s="15">
        <v>161</v>
      </c>
    </row>
    <row r="14" spans="1:9" x14ac:dyDescent="0.35">
      <c r="A14" s="4" t="s">
        <v>29</v>
      </c>
      <c r="B14" s="15">
        <v>161</v>
      </c>
      <c r="C14" s="15">
        <v>262</v>
      </c>
      <c r="D14" s="15">
        <v>192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A883C-A442-47A1-BC3E-00E77923F839}">
  <dimension ref="A3:K11"/>
  <sheetViews>
    <sheetView zoomScale="87" zoomScaleNormal="61" workbookViewId="0">
      <selection activeCell="K11" sqref="K11"/>
    </sheetView>
  </sheetViews>
  <sheetFormatPr defaultRowHeight="14.5" x14ac:dyDescent="0.35"/>
  <cols>
    <col min="1" max="1" width="10.1796875" bestFit="1" customWidth="1"/>
    <col min="2" max="2" width="18.36328125" bestFit="1" customWidth="1"/>
    <col min="3" max="3" width="16" bestFit="1" customWidth="1"/>
    <col min="6" max="6" width="16.36328125" customWidth="1"/>
    <col min="7" max="7" width="20.1796875" customWidth="1"/>
    <col min="8" max="8" width="8.7265625" customWidth="1"/>
    <col min="11" max="11" width="19.08984375" customWidth="1"/>
    <col min="12" max="12" width="17.1796875" customWidth="1"/>
  </cols>
  <sheetData>
    <row r="3" spans="1:11" x14ac:dyDescent="0.35">
      <c r="A3" s="3" t="s">
        <v>5</v>
      </c>
      <c r="B3" t="s">
        <v>2043</v>
      </c>
      <c r="C3" t="s">
        <v>2071</v>
      </c>
    </row>
    <row r="4" spans="1:11" x14ac:dyDescent="0.35">
      <c r="A4" t="s">
        <v>22</v>
      </c>
      <c r="B4" s="15">
        <v>9964624.6100000013</v>
      </c>
      <c r="C4" s="15">
        <v>339</v>
      </c>
    </row>
    <row r="5" spans="1:11" x14ac:dyDescent="0.35">
      <c r="A5" t="s">
        <v>16</v>
      </c>
      <c r="B5" s="15">
        <v>9665846.9399999958</v>
      </c>
      <c r="C5" s="15">
        <v>330</v>
      </c>
      <c r="K5" s="5"/>
    </row>
    <row r="6" spans="1:11" x14ac:dyDescent="0.35">
      <c r="A6" t="s">
        <v>27</v>
      </c>
      <c r="B6" s="15">
        <v>10862163.32000001</v>
      </c>
      <c r="C6" s="15">
        <v>338</v>
      </c>
      <c r="K6" s="5"/>
    </row>
    <row r="7" spans="1:11" x14ac:dyDescent="0.35">
      <c r="A7" t="s">
        <v>32</v>
      </c>
      <c r="B7" s="15">
        <v>9506322.6599999927</v>
      </c>
      <c r="C7" s="15">
        <v>309</v>
      </c>
      <c r="K7" s="5"/>
    </row>
    <row r="8" spans="1:11" x14ac:dyDescent="0.35">
      <c r="A8" t="s">
        <v>60</v>
      </c>
      <c r="B8" s="15">
        <v>10327126.369999986</v>
      </c>
      <c r="C8" s="15">
        <v>331</v>
      </c>
      <c r="K8" s="5"/>
    </row>
    <row r="9" spans="1:11" x14ac:dyDescent="0.35">
      <c r="A9" t="s">
        <v>39</v>
      </c>
      <c r="B9" s="15">
        <v>11103953.610000007</v>
      </c>
      <c r="C9" s="15">
        <v>352</v>
      </c>
      <c r="K9" s="5"/>
    </row>
    <row r="10" spans="1:11" x14ac:dyDescent="0.35">
      <c r="K10" s="5"/>
    </row>
    <row r="11" spans="1:11" x14ac:dyDescent="0.35">
      <c r="K11"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6242D-3DD7-4F7B-81DF-981B571652AD}">
  <dimension ref="A2:K18"/>
  <sheetViews>
    <sheetView topLeftCell="A3" workbookViewId="0">
      <selection activeCell="G15" sqref="G15"/>
    </sheetView>
  </sheetViews>
  <sheetFormatPr defaultRowHeight="14.5" x14ac:dyDescent="0.35"/>
  <cols>
    <col min="1" max="1" width="15.36328125" bestFit="1" customWidth="1"/>
    <col min="2" max="2" width="18.36328125" bestFit="1" customWidth="1"/>
    <col min="3" max="3" width="14.54296875" bestFit="1" customWidth="1"/>
    <col min="4" max="4" width="15.54296875" bestFit="1" customWidth="1"/>
    <col min="5" max="5" width="16.54296875" bestFit="1" customWidth="1"/>
    <col min="6" max="6" width="10.81640625" bestFit="1" customWidth="1"/>
    <col min="7" max="7" width="11.453125" bestFit="1" customWidth="1"/>
    <col min="8" max="8" width="18.08984375" bestFit="1" customWidth="1"/>
    <col min="9" max="9" width="16.453125" bestFit="1" customWidth="1"/>
    <col min="10" max="10" width="12.54296875" bestFit="1" customWidth="1"/>
    <col min="11" max="11" width="19.453125" bestFit="1" customWidth="1"/>
    <col min="12" max="12" width="19.26953125" bestFit="1" customWidth="1"/>
    <col min="13" max="13" width="16.6328125" bestFit="1" customWidth="1"/>
    <col min="14" max="14" width="15.90625" bestFit="1" customWidth="1"/>
    <col min="15" max="15" width="16.54296875" bestFit="1" customWidth="1"/>
    <col min="16" max="16" width="9.08984375" bestFit="1" customWidth="1"/>
    <col min="17" max="17" width="11.453125" bestFit="1" customWidth="1"/>
    <col min="18" max="18" width="18.08984375" bestFit="1" customWidth="1"/>
    <col min="19" max="19" width="16.453125" bestFit="1" customWidth="1"/>
    <col min="20" max="20" width="12.54296875" bestFit="1" customWidth="1"/>
    <col min="21" max="21" width="19.453125" bestFit="1" customWidth="1"/>
    <col min="22" max="22" width="23.1796875" bestFit="1" customWidth="1"/>
    <col min="23" max="23" width="20.1796875" bestFit="1" customWidth="1"/>
  </cols>
  <sheetData>
    <row r="2" spans="1:11" x14ac:dyDescent="0.35">
      <c r="G2" s="14" t="s">
        <v>2062</v>
      </c>
      <c r="H2" s="14"/>
    </row>
    <row r="3" spans="1:11" x14ac:dyDescent="0.35">
      <c r="A3" t="s">
        <v>2046</v>
      </c>
      <c r="B3" t="s">
        <v>2043</v>
      </c>
      <c r="C3" t="s">
        <v>2044</v>
      </c>
      <c r="D3" t="s">
        <v>2045</v>
      </c>
      <c r="G3" t="s">
        <v>2066</v>
      </c>
      <c r="H3" t="s">
        <v>2064</v>
      </c>
      <c r="I3" t="s">
        <v>2063</v>
      </c>
      <c r="J3" t="s">
        <v>2065</v>
      </c>
    </row>
    <row r="4" spans="1:11" x14ac:dyDescent="0.35">
      <c r="A4" s="15">
        <v>1999</v>
      </c>
      <c r="B4" s="15">
        <v>61430037.50999999</v>
      </c>
      <c r="C4" s="15">
        <v>6021</v>
      </c>
      <c r="D4" s="15">
        <v>3.0092796398199102</v>
      </c>
      <c r="G4" t="str">
        <f>TEXT(A4," #,##")</f>
        <v xml:space="preserve"> 1,999</v>
      </c>
      <c r="H4" t="str">
        <f>TEXT(B4," $#,##,.0k")</f>
        <v xml:space="preserve"> $61,430.0k</v>
      </c>
      <c r="I4" t="str">
        <f>TEXT(C4,"#,##")</f>
        <v>6,021</v>
      </c>
      <c r="J4" t="str">
        <f>TEXT(D4,"0.0")</f>
        <v>3.0</v>
      </c>
      <c r="K4" t="str">
        <f t="shared" ref="K4" si="0">TEXT(E4," #,##")</f>
        <v xml:space="preserve"> </v>
      </c>
    </row>
    <row r="6" spans="1:11" x14ac:dyDescent="0.35">
      <c r="A6" t="s">
        <v>2067</v>
      </c>
    </row>
    <row r="7" spans="1:11" x14ac:dyDescent="0.35">
      <c r="A7" s="3" t="s">
        <v>2047</v>
      </c>
      <c r="B7" t="s">
        <v>2045</v>
      </c>
    </row>
    <row r="8" spans="1:11" x14ac:dyDescent="0.35">
      <c r="A8" s="4" t="s">
        <v>29</v>
      </c>
      <c r="B8" s="13">
        <v>3.162904761904763</v>
      </c>
    </row>
    <row r="9" spans="1:11" x14ac:dyDescent="0.35">
      <c r="A9" s="4" t="s">
        <v>12</v>
      </c>
      <c r="B9" s="13">
        <v>3.0385333333333331</v>
      </c>
    </row>
    <row r="10" spans="1:11" x14ac:dyDescent="0.35">
      <c r="A10" s="4" t="s">
        <v>37</v>
      </c>
      <c r="B10" s="13">
        <v>3.0333980582524274</v>
      </c>
    </row>
    <row r="11" spans="1:11" x14ac:dyDescent="0.35">
      <c r="A11" s="4" t="s">
        <v>24</v>
      </c>
      <c r="B11" s="13">
        <v>3.0258426966292142</v>
      </c>
    </row>
    <row r="12" spans="1:11" x14ac:dyDescent="0.35">
      <c r="A12" s="4" t="s">
        <v>63</v>
      </c>
      <c r="B12" s="13">
        <v>3.0257868020304572</v>
      </c>
    </row>
    <row r="13" spans="1:11" x14ac:dyDescent="0.35">
      <c r="A13" s="4" t="s">
        <v>42</v>
      </c>
      <c r="B13" s="13">
        <v>3.0064921465968575</v>
      </c>
    </row>
    <row r="14" spans="1:11" x14ac:dyDescent="0.35">
      <c r="A14" s="4" t="s">
        <v>51</v>
      </c>
      <c r="B14" s="13">
        <v>2.9866120218579244</v>
      </c>
    </row>
    <row r="15" spans="1:11" x14ac:dyDescent="0.35">
      <c r="A15" s="4" t="s">
        <v>18</v>
      </c>
      <c r="B15" s="13">
        <v>2.9741752577319587</v>
      </c>
    </row>
    <row r="16" spans="1:11" x14ac:dyDescent="0.35">
      <c r="A16" s="4" t="s">
        <v>47</v>
      </c>
      <c r="B16" s="13">
        <v>2.9569724770642196</v>
      </c>
    </row>
    <row r="17" spans="1:2" x14ac:dyDescent="0.35">
      <c r="A17" s="4" t="s">
        <v>34</v>
      </c>
      <c r="B17" s="13">
        <v>2.8716243654822335</v>
      </c>
    </row>
    <row r="18" spans="1:2" x14ac:dyDescent="0.35">
      <c r="A18" s="4" t="s">
        <v>2048</v>
      </c>
      <c r="B18" s="15">
        <v>3.0092796398199084</v>
      </c>
    </row>
  </sheetData>
  <mergeCells count="1">
    <mergeCell ref="G2: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MAIN DATA</vt:lpstr>
      <vt:lpstr>Monthly SALES</vt:lpstr>
      <vt:lpstr>ORDER MODE VS CATEGORY</vt:lpstr>
      <vt:lpstr>ORDER QTY VS BRAND</vt:lpstr>
      <vt:lpstr>POPULAR PRODUCT</vt:lpstr>
      <vt:lpstr>SALES VS CITY</vt:lpstr>
      <vt:lpstr>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 Chaurasia</dc:creator>
  <cp:lastModifiedBy>Tanya Chaurasia</cp:lastModifiedBy>
  <dcterms:created xsi:type="dcterms:W3CDTF">2026-02-25T21:49:04Z</dcterms:created>
  <dcterms:modified xsi:type="dcterms:W3CDTF">2026-03-26T20:52:51Z</dcterms:modified>
</cp:coreProperties>
</file>